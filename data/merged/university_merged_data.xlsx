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Institution_Name</t>
        </is>
      </c>
      <c r="B1" t="inlineStr">
        <is>
          <t>Country</t>
        </is>
      </c>
      <c r="C1" t="inlineStr">
        <is>
          <t>Country_Code</t>
        </is>
      </c>
      <c r="D1" t="inlineStr">
        <is>
          <t>Region</t>
        </is>
      </c>
      <c r="E1" t="inlineStr">
        <is>
          <t>Size</t>
        </is>
      </c>
      <c r="F1" t="inlineStr">
        <is>
          <t>Focus</t>
        </is>
      </c>
      <c r="G1" t="inlineStr">
        <is>
          <t>Research</t>
        </is>
      </c>
      <c r="H1" t="inlineStr">
        <is>
          <t>Age</t>
        </is>
      </c>
      <c r="I1" t="inlineStr">
        <is>
          <t>Status</t>
        </is>
      </c>
      <c r="J1" t="inlineStr">
        <is>
          <t>Rank_2026</t>
        </is>
      </c>
      <c r="K1" t="inlineStr">
        <is>
          <t>Previous_Rank_2025</t>
        </is>
      </c>
      <c r="L1" t="inlineStr">
        <is>
          <t>Rank_2024</t>
        </is>
      </c>
      <c r="M1" t="inlineStr">
        <is>
          <t>Rank_2023</t>
        </is>
      </c>
      <c r="N1" t="inlineStr">
        <is>
          <t>Overall_Score_2026</t>
        </is>
      </c>
      <c r="O1" t="inlineStr">
        <is>
          <t>Overall_Score_2024</t>
        </is>
      </c>
      <c r="P1" t="inlineStr">
        <is>
          <t>Academic_Reputation_Score_2026</t>
        </is>
      </c>
      <c r="Q1" t="inlineStr">
        <is>
          <t>Academic_Reputation_Rank_2026</t>
        </is>
      </c>
      <c r="R1" t="inlineStr">
        <is>
          <t>Employer_Reputation_Score_2026</t>
        </is>
      </c>
      <c r="S1" t="inlineStr">
        <is>
          <t>Employer_Reputation_Rank_2026</t>
        </is>
      </c>
      <c r="T1" t="inlineStr">
        <is>
          <t>Faculty_Student_Score_2026</t>
        </is>
      </c>
      <c r="U1" t="inlineStr">
        <is>
          <t>Faculty_Student_Rank_2026</t>
        </is>
      </c>
      <c r="V1" t="inlineStr">
        <is>
          <t>Citations_per_Faculty_Score_2026</t>
        </is>
      </c>
      <c r="W1" t="inlineStr">
        <is>
          <t>Citations_per_Faculty_Rank_2026</t>
        </is>
      </c>
      <c r="X1" t="inlineStr">
        <is>
          <t>International_Faculty_Score_2026</t>
        </is>
      </c>
      <c r="Y1" t="inlineStr">
        <is>
          <t>International_Faculty_Rank_2026</t>
        </is>
      </c>
      <c r="Z1" t="inlineStr">
        <is>
          <t>International_Students_Score_2026</t>
        </is>
      </c>
      <c r="AA1" t="inlineStr">
        <is>
          <t>International_Students_Rank_2026</t>
        </is>
      </c>
      <c r="AB1" t="inlineStr">
        <is>
          <t>International_Students_Diversity_Score_2026</t>
        </is>
      </c>
      <c r="AC1" t="inlineStr">
        <is>
          <t>International_Students_Diversity_Rank_2026</t>
        </is>
      </c>
      <c r="AD1" t="inlineStr">
        <is>
          <t>International_Research_Network_Score_2026</t>
        </is>
      </c>
      <c r="AE1" t="inlineStr">
        <is>
          <t>International_Research_Network_Rank_2026</t>
        </is>
      </c>
      <c r="AF1" t="inlineStr">
        <is>
          <t>Employment_Outcomes_Score_2026</t>
        </is>
      </c>
      <c r="AG1" t="inlineStr">
        <is>
          <t>Employment_Outcomes_Rank_2026</t>
        </is>
      </c>
      <c r="AH1" t="inlineStr">
        <is>
          <t>Sustainability_Score_2026</t>
        </is>
      </c>
      <c r="AI1" t="inlineStr">
        <is>
          <t>Sustainability_Rank_2026</t>
        </is>
      </c>
      <c r="AJ1" t="inlineStr">
        <is>
          <t>Academic_Reputation_Score_2024</t>
        </is>
      </c>
      <c r="AK1" t="inlineStr">
        <is>
          <t>Academic_Reputation_Rank_2024</t>
        </is>
      </c>
      <c r="AL1" t="inlineStr">
        <is>
          <t>Employer_Reputation_Score_2024</t>
        </is>
      </c>
      <c r="AM1" t="inlineStr">
        <is>
          <t>Employer_Reputation_Rank_2024</t>
        </is>
      </c>
      <c r="AN1" t="inlineStr">
        <is>
          <t>Faculty_Student_Score_2024</t>
        </is>
      </c>
      <c r="AO1" t="inlineStr">
        <is>
          <t>Faculty_Student_Rank_2024</t>
        </is>
      </c>
      <c r="AP1" t="inlineStr">
        <is>
          <t>Citations_per_Faculty_Score_2024</t>
        </is>
      </c>
      <c r="AQ1" t="inlineStr">
        <is>
          <t>Citations_per_Faculty_Rank_2024</t>
        </is>
      </c>
      <c r="AR1" t="inlineStr">
        <is>
          <t>International_Faculty_Score_2024</t>
        </is>
      </c>
      <c r="AS1" t="inlineStr">
        <is>
          <t>International_Faculty_Rank_2024</t>
        </is>
      </c>
      <c r="AT1" t="inlineStr">
        <is>
          <t>International_Students_Score_2024</t>
        </is>
      </c>
      <c r="AU1" t="inlineStr">
        <is>
          <t>International_Students_Rank_2024</t>
        </is>
      </c>
      <c r="AV1" t="inlineStr">
        <is>
          <t>International_Research_Network_Score_2024</t>
        </is>
      </c>
      <c r="AW1" t="inlineStr">
        <is>
          <t>International_Research_Network_Rank_2024</t>
        </is>
      </c>
      <c r="AX1" t="inlineStr">
        <is>
          <t>Employment_Outcomes_Score_2024</t>
        </is>
      </c>
      <c r="AY1" t="inlineStr">
        <is>
          <t>Employment_Outcomes_Rank_2024</t>
        </is>
      </c>
      <c r="AZ1" t="inlineStr">
        <is>
          <t>Sustainability_Score_2024</t>
        </is>
      </c>
      <c r="BA1" t="inlineStr">
        <is>
          <t>Sustainability_Rank_2024</t>
        </is>
      </c>
    </row>
    <row r="2">
      <c r="A2" t="inlineStr">
        <is>
          <t>Aalborg University</t>
        </is>
      </c>
      <c r="B2" t="inlineStr">
        <is>
          <t>Denmark</t>
        </is>
      </c>
      <c r="C2" t="inlineStr">
        <is>
          <t>DK</t>
        </is>
      </c>
      <c r="D2" t="inlineStr">
        <is>
          <t>Europe</t>
        </is>
      </c>
      <c r="E2" t="inlineStr">
        <is>
          <t>L</t>
        </is>
      </c>
      <c r="F2" t="inlineStr">
        <is>
          <t>FC</t>
        </is>
      </c>
      <c r="G2" t="inlineStr">
        <is>
          <t>VH</t>
        </is>
      </c>
      <c r="H2" t="inlineStr">
        <is>
          <t>3</t>
        </is>
      </c>
      <c r="I2" t="inlineStr">
        <is>
          <t>Public</t>
        </is>
      </c>
      <c r="J2" t="inlineStr">
        <is>
          <t>306</t>
        </is>
      </c>
      <c r="K2" t="inlineStr">
        <is>
          <t>306</t>
        </is>
      </c>
      <c r="L2">
        <f>336</f>
        <v/>
      </c>
      <c r="M2" t="inlineStr">
        <is>
          <t>330</t>
        </is>
      </c>
      <c r="N2" t="inlineStr">
        <is>
          <t>44.9</t>
        </is>
      </c>
      <c r="O2" t="inlineStr">
        <is>
          <t>32.2</t>
        </is>
      </c>
      <c r="P2" t="n">
        <v>26.4</v>
      </c>
      <c r="Q2" t="inlineStr">
        <is>
          <t>478</t>
        </is>
      </c>
      <c r="R2" t="n">
        <v>25</v>
      </c>
      <c r="S2" t="inlineStr">
        <is>
          <t>538</t>
        </is>
      </c>
      <c r="T2" t="n">
        <v>27.7</v>
      </c>
      <c r="U2" t="inlineStr">
        <is>
          <t>685</t>
        </is>
      </c>
      <c r="V2" t="n">
        <v>77.2</v>
      </c>
      <c r="W2" t="inlineStr">
        <is>
          <t>167</t>
        </is>
      </c>
      <c r="X2" t="n">
        <v>89</v>
      </c>
      <c r="Y2" t="inlineStr">
        <is>
          <t>231</t>
        </is>
      </c>
      <c r="Z2" t="n">
        <v>29.4</v>
      </c>
      <c r="AA2" t="inlineStr">
        <is>
          <t>597</t>
        </is>
      </c>
      <c r="AB2" t="n">
        <v>35.4</v>
      </c>
      <c r="AC2" t="inlineStr">
        <is>
          <t>546</t>
        </is>
      </c>
      <c r="AD2" t="n">
        <v>91.7</v>
      </c>
      <c r="AE2" t="inlineStr">
        <is>
          <t>148</t>
        </is>
      </c>
      <c r="AF2" t="n">
        <v>25.4</v>
      </c>
      <c r="AG2" t="inlineStr">
        <is>
          <t>634</t>
        </is>
      </c>
      <c r="AH2" t="n">
        <v>79.09999999999999</v>
      </c>
      <c r="AI2" t="inlineStr">
        <is>
          <t>186</t>
        </is>
      </c>
      <c r="AJ2" t="inlineStr">
        <is>
          <t>20.0</t>
        </is>
      </c>
      <c r="AK2" t="inlineStr">
        <is>
          <t>442</t>
        </is>
      </c>
      <c r="AL2" t="inlineStr">
        <is>
          <t>22.2</t>
        </is>
      </c>
      <c r="AM2" t="inlineStr">
        <is>
          <t>424</t>
        </is>
      </c>
      <c r="AN2" t="inlineStr">
        <is>
          <t>31.5</t>
        </is>
      </c>
      <c r="AO2" t="inlineStr">
        <is>
          <t>500</t>
        </is>
      </c>
      <c r="AP2" t="inlineStr">
        <is>
          <t>42.4</t>
        </is>
      </c>
      <c r="AQ2" t="inlineStr">
        <is>
          <t>317</t>
        </is>
      </c>
      <c r="AR2" t="inlineStr">
        <is>
          <t>76.4</t>
        </is>
      </c>
      <c r="AS2" t="inlineStr">
        <is>
          <t>244</t>
        </is>
      </c>
      <c r="AT2" t="inlineStr">
        <is>
          <t>18.2</t>
        </is>
      </c>
      <c r="AU2" t="inlineStr">
        <is>
          <t>570</t>
        </is>
      </c>
      <c r="AV2" t="inlineStr">
        <is>
          <t>79.2</t>
        </is>
      </c>
      <c r="AW2" t="inlineStr">
        <is>
          <t>151</t>
        </is>
      </c>
      <c r="AX2" t="inlineStr">
        <is>
          <t>14.7</t>
        </is>
      </c>
      <c r="AY2" t="inlineStr">
        <is>
          <t>569</t>
        </is>
      </c>
      <c r="AZ2" t="inlineStr">
        <is>
          <t>35.8</t>
        </is>
      </c>
      <c r="BA2" t="inlineStr">
        <is>
          <t>393=</t>
        </is>
      </c>
    </row>
    <row r="3">
      <c r="A3" t="inlineStr">
        <is>
          <t>Aalto University</t>
        </is>
      </c>
      <c r="B3" t="inlineStr">
        <is>
          <t>Finland</t>
        </is>
      </c>
      <c r="C3" t="inlineStr">
        <is>
          <t>FI</t>
        </is>
      </c>
      <c r="D3" t="inlineStr">
        <is>
          <t>Europe</t>
        </is>
      </c>
      <c r="E3" t="inlineStr">
        <is>
          <t>L</t>
        </is>
      </c>
      <c r="F3" t="inlineStr">
        <is>
          <t>FO</t>
        </is>
      </c>
      <c r="G3" t="inlineStr">
        <is>
          <t>VH</t>
        </is>
      </c>
      <c r="H3" t="inlineStr">
        <is>
          <t>2</t>
        </is>
      </c>
      <c r="I3" t="inlineStr">
        <is>
          <t>Public</t>
        </is>
      </c>
      <c r="J3" t="inlineStr">
        <is>
          <t>114</t>
        </is>
      </c>
      <c r="K3" t="inlineStr">
        <is>
          <t>113</t>
        </is>
      </c>
      <c r="L3" t="inlineStr">
        <is>
          <t>109</t>
        </is>
      </c>
      <c r="M3" t="inlineStr">
        <is>
          <t>116=</t>
        </is>
      </c>
      <c r="N3" t="inlineStr">
        <is>
          <t>66.3</t>
        </is>
      </c>
      <c r="O3" t="inlineStr">
        <is>
          <t>58.7</t>
        </is>
      </c>
      <c r="P3" t="n">
        <v>57.5</v>
      </c>
      <c r="Q3" t="inlineStr">
        <is>
          <t>189</t>
        </is>
      </c>
      <c r="R3" t="n">
        <v>56.1</v>
      </c>
      <c r="S3" t="inlineStr">
        <is>
          <t>212</t>
        </is>
      </c>
      <c r="T3" t="n">
        <v>35.1</v>
      </c>
      <c r="U3" t="inlineStr">
        <is>
          <t>564</t>
        </is>
      </c>
      <c r="V3" t="n">
        <v>79.59999999999999</v>
      </c>
      <c r="W3" t="inlineStr">
        <is>
          <t>160</t>
        </is>
      </c>
      <c r="X3" t="n">
        <v>97.2</v>
      </c>
      <c r="Y3" t="inlineStr">
        <is>
          <t>147</t>
        </is>
      </c>
      <c r="Z3" t="n">
        <v>60</v>
      </c>
      <c r="AA3" t="inlineStr">
        <is>
          <t>343</t>
        </is>
      </c>
      <c r="AB3" t="n">
        <v>63.9</v>
      </c>
      <c r="AC3" t="inlineStr">
        <is>
          <t>312</t>
        </is>
      </c>
      <c r="AD3" t="n">
        <v>80.90000000000001</v>
      </c>
      <c r="AE3" t="inlineStr">
        <is>
          <t>332</t>
        </is>
      </c>
      <c r="AF3" t="n">
        <v>97.09999999999999</v>
      </c>
      <c r="AG3" t="inlineStr">
        <is>
          <t>55</t>
        </is>
      </c>
      <c r="AH3" t="n">
        <v>88.3</v>
      </c>
      <c r="AI3" t="inlineStr">
        <is>
          <t>77</t>
        </is>
      </c>
      <c r="AJ3" t="inlineStr">
        <is>
          <t>44.6</t>
        </is>
      </c>
      <c r="AK3" t="inlineStr">
        <is>
          <t>187</t>
        </is>
      </c>
      <c r="AL3" t="inlineStr">
        <is>
          <t>41.8</t>
        </is>
      </c>
      <c r="AM3" t="inlineStr">
        <is>
          <t>223</t>
        </is>
      </c>
      <c r="AN3" t="inlineStr">
        <is>
          <t>40.2</t>
        </is>
      </c>
      <c r="AO3" t="inlineStr">
        <is>
          <t>391</t>
        </is>
      </c>
      <c r="AP3" t="inlineStr">
        <is>
          <t>79.4</t>
        </is>
      </c>
      <c r="AQ3" t="inlineStr">
        <is>
          <t>112</t>
        </is>
      </c>
      <c r="AR3" t="inlineStr">
        <is>
          <t>95.5</t>
        </is>
      </c>
      <c r="AS3" t="inlineStr">
        <is>
          <t>147</t>
        </is>
      </c>
      <c r="AT3" t="inlineStr">
        <is>
          <t>37.7</t>
        </is>
      </c>
      <c r="AU3" t="inlineStr">
        <is>
          <t>363</t>
        </is>
      </c>
      <c r="AV3" t="inlineStr">
        <is>
          <t>56.2</t>
        </is>
      </c>
      <c r="AW3" t="inlineStr">
        <is>
          <t>277</t>
        </is>
      </c>
      <c r="AX3" t="inlineStr">
        <is>
          <t>88.9</t>
        </is>
      </c>
      <c r="AY3" t="inlineStr">
        <is>
          <t>39</t>
        </is>
      </c>
      <c r="AZ3" t="inlineStr">
        <is>
          <t>95</t>
        </is>
      </c>
      <c r="BA3" t="inlineStr">
        <is>
          <t>53=</t>
        </is>
      </c>
    </row>
    <row r="4">
      <c r="A4" t="inlineStr">
        <is>
          <t>Aarhus University</t>
        </is>
      </c>
      <c r="B4" t="inlineStr">
        <is>
          <t>Denmark</t>
        </is>
      </c>
      <c r="C4" t="inlineStr">
        <is>
          <t>DK</t>
        </is>
      </c>
      <c r="D4" t="inlineStr">
        <is>
          <t>Europe</t>
        </is>
      </c>
      <c r="E4" t="inlineStr">
        <is>
          <t>L</t>
        </is>
      </c>
      <c r="F4" t="inlineStr">
        <is>
          <t>FC</t>
        </is>
      </c>
      <c r="G4" t="inlineStr">
        <is>
          <t>VH</t>
        </is>
      </c>
      <c r="H4" t="inlineStr">
        <is>
          <t>4</t>
        </is>
      </c>
      <c r="I4" t="inlineStr">
        <is>
          <t>Public</t>
        </is>
      </c>
      <c r="J4" t="inlineStr">
        <is>
          <t>131</t>
        </is>
      </c>
      <c r="K4" t="inlineStr">
        <is>
          <t>144</t>
        </is>
      </c>
      <c r="L4">
        <f>143</f>
        <v/>
      </c>
      <c r="M4" t="inlineStr">
        <is>
          <t>161</t>
        </is>
      </c>
      <c r="N4" t="inlineStr">
        <is>
          <t>64.3</t>
        </is>
      </c>
      <c r="O4" t="inlineStr">
        <is>
          <t>52.0</t>
        </is>
      </c>
      <c r="P4" t="n">
        <v>68.3</v>
      </c>
      <c r="Q4" t="inlineStr">
        <is>
          <t>140</t>
        </is>
      </c>
      <c r="R4" t="n">
        <v>41.7</v>
      </c>
      <c r="S4" t="inlineStr">
        <is>
          <t>325</t>
        </is>
      </c>
      <c r="T4" t="n">
        <v>42.4</v>
      </c>
      <c r="U4" t="inlineStr">
        <is>
          <t>472</t>
        </is>
      </c>
      <c r="V4" t="n">
        <v>74.09999999999999</v>
      </c>
      <c r="W4" t="inlineStr">
        <is>
          <t>183</t>
        </is>
      </c>
      <c r="X4" t="n">
        <v>96.7</v>
      </c>
      <c r="Y4" t="inlineStr">
        <is>
          <t>157</t>
        </is>
      </c>
      <c r="Z4" t="n">
        <v>25.5</v>
      </c>
      <c r="AA4" t="inlineStr">
        <is>
          <t>654</t>
        </is>
      </c>
      <c r="AB4" t="n">
        <v>19.1</v>
      </c>
      <c r="AC4" t="inlineStr">
        <is>
          <t>777</t>
        </is>
      </c>
      <c r="AD4" t="n">
        <v>96.3</v>
      </c>
      <c r="AE4" t="inlineStr">
        <is>
          <t>52</t>
        </is>
      </c>
      <c r="AF4" t="n">
        <v>79.40000000000001</v>
      </c>
      <c r="AG4" t="inlineStr">
        <is>
          <t>164</t>
        </is>
      </c>
      <c r="AH4" t="n">
        <v>73.2</v>
      </c>
      <c r="AI4" t="inlineStr">
        <is>
          <t>271=</t>
        </is>
      </c>
      <c r="AJ4" t="inlineStr">
        <is>
          <t>55.8</t>
        </is>
      </c>
      <c r="AK4" t="inlineStr">
        <is>
          <t>140</t>
        </is>
      </c>
      <c r="AL4" t="inlineStr">
        <is>
          <t>24.7</t>
        </is>
      </c>
      <c r="AM4" t="inlineStr">
        <is>
          <t>387</t>
        </is>
      </c>
      <c r="AN4" t="inlineStr">
        <is>
          <t>32.5</t>
        </is>
      </c>
      <c r="AO4" t="inlineStr">
        <is>
          <t>490</t>
        </is>
      </c>
      <c r="AP4" t="inlineStr">
        <is>
          <t>54.1</t>
        </is>
      </c>
      <c r="AQ4" t="inlineStr">
        <is>
          <t>238</t>
        </is>
      </c>
      <c r="AR4" t="inlineStr">
        <is>
          <t>90.3</t>
        </is>
      </c>
      <c r="AS4" t="inlineStr">
        <is>
          <t>181</t>
        </is>
      </c>
      <c r="AT4" t="inlineStr">
        <is>
          <t>13.1</t>
        </is>
      </c>
      <c r="AU4" t="inlineStr">
        <is>
          <t>661</t>
        </is>
      </c>
      <c r="AV4" t="inlineStr">
        <is>
          <t>94.8</t>
        </is>
      </c>
      <c r="AW4" t="inlineStr">
        <is>
          <t>56</t>
        </is>
      </c>
      <c r="AX4" t="inlineStr">
        <is>
          <t>45.1</t>
        </is>
      </c>
      <c r="AY4" t="inlineStr">
        <is>
          <t>156</t>
        </is>
      </c>
      <c r="AZ4" t="inlineStr">
        <is>
          <t>98.4</t>
        </is>
      </c>
      <c r="BA4" t="inlineStr">
        <is>
          <t>18=</t>
        </is>
      </c>
    </row>
    <row r="5">
      <c r="A5" t="inlineStr">
        <is>
          <t>Abai Kazakh National Pedagogical University</t>
        </is>
      </c>
      <c r="B5" t="inlineStr">
        <is>
          <t>Kazakhstan</t>
        </is>
      </c>
      <c r="C5" t="inlineStr">
        <is>
          <t>KZ</t>
        </is>
      </c>
      <c r="D5" t="inlineStr"/>
      <c r="E5" t="inlineStr">
        <is>
          <t>L</t>
        </is>
      </c>
      <c r="F5" t="inlineStr">
        <is>
          <t>CO</t>
        </is>
      </c>
      <c r="G5" t="inlineStr">
        <is>
          <t>MD</t>
        </is>
      </c>
      <c r="H5" t="inlineStr">
        <is>
          <t>4</t>
        </is>
      </c>
      <c r="I5" t="inlineStr">
        <is>
          <t>A</t>
        </is>
      </c>
      <c r="J5" t="inlineStr"/>
      <c r="K5" t="inlineStr"/>
      <c r="L5" t="inlineStr">
        <is>
          <t>681-690</t>
        </is>
      </c>
      <c r="M5" t="inlineStr">
        <is>
          <t>511-520</t>
        </is>
      </c>
      <c r="N5" t="inlineStr"/>
      <c r="O5" t="inlineStr">
        <is>
          <t>-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23.2</t>
        </is>
      </c>
      <c r="AK5" t="inlineStr">
        <is>
          <t>372</t>
        </is>
      </c>
      <c r="AL5" t="inlineStr">
        <is>
          <t>17.0</t>
        </is>
      </c>
      <c r="AM5" t="inlineStr">
        <is>
          <t>510</t>
        </is>
      </c>
      <c r="AN5" t="inlineStr">
        <is>
          <t>47.8</t>
        </is>
      </c>
      <c r="AO5" t="inlineStr">
        <is>
          <t>327</t>
        </is>
      </c>
      <c r="AP5" t="inlineStr">
        <is>
          <t>1.2</t>
        </is>
      </c>
      <c r="AQ5" t="inlineStr">
        <is>
          <t>701+</t>
        </is>
      </c>
      <c r="AR5" t="inlineStr">
        <is>
          <t>38.0</t>
        </is>
      </c>
      <c r="AS5" t="inlineStr">
        <is>
          <t>423</t>
        </is>
      </c>
      <c r="AT5" t="inlineStr">
        <is>
          <t>2.8</t>
        </is>
      </c>
      <c r="AU5" t="inlineStr">
        <is>
          <t>701+</t>
        </is>
      </c>
      <c r="AV5" t="inlineStr">
        <is>
          <t>1.0</t>
        </is>
      </c>
      <c r="AW5" t="inlineStr">
        <is>
          <t>701+</t>
        </is>
      </c>
      <c r="AX5" t="inlineStr">
        <is>
          <t>12.1</t>
        </is>
      </c>
      <c r="AY5" t="inlineStr">
        <is>
          <t>701+</t>
        </is>
      </c>
      <c r="AZ5" t="inlineStr">
        <is>
          <t>1</t>
        </is>
      </c>
      <c r="BA5" t="inlineStr">
        <is>
          <t>701+</t>
        </is>
      </c>
    </row>
    <row r="6">
      <c r="A6" t="inlineStr">
        <is>
          <t>Aberystwyth University</t>
        </is>
      </c>
      <c r="B6" t="inlineStr">
        <is>
          <t>United Kingdom</t>
        </is>
      </c>
      <c r="C6" t="inlineStr">
        <is>
          <t>UK</t>
        </is>
      </c>
      <c r="D6" t="inlineStr">
        <is>
          <t>Europe</t>
        </is>
      </c>
      <c r="E6" t="inlineStr">
        <is>
          <t>M</t>
        </is>
      </c>
      <c r="F6" t="inlineStr">
        <is>
          <t>CO</t>
        </is>
      </c>
      <c r="G6" t="inlineStr">
        <is>
          <t>VH</t>
        </is>
      </c>
      <c r="H6" t="inlineStr">
        <is>
          <t>5</t>
        </is>
      </c>
      <c r="I6" t="inlineStr">
        <is>
          <t>Public</t>
        </is>
      </c>
      <c r="J6" t="inlineStr">
        <is>
          <t>741-750</t>
        </is>
      </c>
      <c r="K6" t="inlineStr">
        <is>
          <t>661-670</t>
        </is>
      </c>
      <c r="L6" t="inlineStr">
        <is>
          <t>661-670</t>
        </is>
      </c>
      <c r="M6" t="inlineStr">
        <is>
          <t>651-700</t>
        </is>
      </c>
      <c r="N6" t="inlineStr">
        <is>
          <t>-</t>
        </is>
      </c>
      <c r="O6" t="inlineStr">
        <is>
          <t>-</t>
        </is>
      </c>
      <c r="P6" t="n">
        <v>12.8</v>
      </c>
      <c r="Q6" t="inlineStr">
        <is>
          <t>701+</t>
        </is>
      </c>
      <c r="R6" t="n">
        <v>11.5</v>
      </c>
      <c r="S6" t="inlineStr">
        <is>
          <t>701+</t>
        </is>
      </c>
      <c r="T6" t="n">
        <v>27.6</v>
      </c>
      <c r="U6" t="inlineStr">
        <is>
          <t>687</t>
        </is>
      </c>
      <c r="V6" t="n">
        <v>23.9</v>
      </c>
      <c r="W6" t="inlineStr">
        <is>
          <t>658</t>
        </is>
      </c>
      <c r="X6" t="n">
        <v>61.3</v>
      </c>
      <c r="Y6" t="inlineStr">
        <is>
          <t>382=</t>
        </is>
      </c>
      <c r="Z6" t="n">
        <v>42</v>
      </c>
      <c r="AA6" t="inlineStr">
        <is>
          <t>475</t>
        </is>
      </c>
      <c r="AB6" t="n">
        <v>45.4</v>
      </c>
      <c r="AC6" t="inlineStr">
        <is>
          <t>457</t>
        </is>
      </c>
      <c r="AD6" t="n">
        <v>63.3</v>
      </c>
      <c r="AE6" t="inlineStr">
        <is>
          <t>646</t>
        </is>
      </c>
      <c r="AF6" t="n">
        <v>11</v>
      </c>
      <c r="AG6" t="inlineStr">
        <is>
          <t>801+</t>
        </is>
      </c>
      <c r="AH6" t="n">
        <v>63.1</v>
      </c>
      <c r="AI6" t="inlineStr">
        <is>
          <t>439=</t>
        </is>
      </c>
      <c r="AJ6" t="inlineStr">
        <is>
          <t>9.5</t>
        </is>
      </c>
      <c r="AK6" t="inlineStr">
        <is>
          <t>601+</t>
        </is>
      </c>
      <c r="AL6" t="inlineStr">
        <is>
          <t>6.4</t>
        </is>
      </c>
      <c r="AM6" t="inlineStr">
        <is>
          <t>601+</t>
        </is>
      </c>
      <c r="AN6" t="inlineStr">
        <is>
          <t>19.5</t>
        </is>
      </c>
      <c r="AO6" t="inlineStr">
        <is>
          <t>680</t>
        </is>
      </c>
      <c r="AP6" t="inlineStr">
        <is>
          <t>23.5</t>
        </is>
      </c>
      <c r="AQ6" t="inlineStr">
        <is>
          <t>507</t>
        </is>
      </c>
      <c r="AR6" t="inlineStr">
        <is>
          <t>46.1</t>
        </is>
      </c>
      <c r="AS6" t="inlineStr">
        <is>
          <t>374</t>
        </is>
      </c>
      <c r="AT6" t="inlineStr">
        <is>
          <t>49.5</t>
        </is>
      </c>
      <c r="AU6" t="inlineStr">
        <is>
          <t>300</t>
        </is>
      </c>
      <c r="AV6" t="inlineStr">
        <is>
          <t>27.1</t>
        </is>
      </c>
      <c r="AW6" t="inlineStr">
        <is>
          <t>482</t>
        </is>
      </c>
      <c r="AX6" t="inlineStr">
        <is>
          <t>10.5</t>
        </is>
      </c>
      <c r="AY6" t="inlineStr">
        <is>
          <t>701+</t>
        </is>
      </c>
      <c r="AZ6" t="inlineStr">
        <is>
          <t>9.6</t>
        </is>
      </c>
      <c r="BA6" t="inlineStr">
        <is>
          <t>678=</t>
        </is>
      </c>
    </row>
    <row r="7">
      <c r="A7" t="inlineStr">
        <is>
          <t>Abo Akademi University</t>
        </is>
      </c>
      <c r="B7" t="inlineStr">
        <is>
          <t>Finland</t>
        </is>
      </c>
      <c r="C7" t="inlineStr">
        <is>
          <t>FI</t>
        </is>
      </c>
      <c r="D7" t="inlineStr">
        <is>
          <t>Europe</t>
        </is>
      </c>
      <c r="E7" t="inlineStr">
        <is>
          <t>M</t>
        </is>
      </c>
      <c r="F7" t="inlineStr">
        <is>
          <t>CO</t>
        </is>
      </c>
      <c r="G7" t="inlineStr">
        <is>
          <t>VH</t>
        </is>
      </c>
      <c r="H7" t="inlineStr">
        <is>
          <t>5</t>
        </is>
      </c>
      <c r="I7" t="inlineStr">
        <is>
          <t>Public</t>
        </is>
      </c>
      <c r="J7" t="inlineStr">
        <is>
          <t>643</t>
        </is>
      </c>
      <c r="K7" t="inlineStr">
        <is>
          <t>621-630</t>
        </is>
      </c>
      <c r="L7" t="inlineStr">
        <is>
          <t>601-610</t>
        </is>
      </c>
      <c r="M7" t="inlineStr">
        <is>
          <t>601-650</t>
        </is>
      </c>
      <c r="N7" t="inlineStr">
        <is>
          <t>26.9</t>
        </is>
      </c>
      <c r="O7" t="inlineStr">
        <is>
          <t>-</t>
        </is>
      </c>
      <c r="P7" t="n">
        <v>9.5</v>
      </c>
      <c r="Q7" t="inlineStr">
        <is>
          <t>701+</t>
        </is>
      </c>
      <c r="R7" t="n">
        <v>7.9</v>
      </c>
      <c r="S7" t="inlineStr">
        <is>
          <t>701+</t>
        </is>
      </c>
      <c r="T7" t="n">
        <v>22.1</v>
      </c>
      <c r="U7" t="inlineStr">
        <is>
          <t>789</t>
        </is>
      </c>
      <c r="V7" t="n">
        <v>53.9</v>
      </c>
      <c r="W7" t="inlineStr">
        <is>
          <t>341</t>
        </is>
      </c>
      <c r="X7" t="n">
        <v>60.7</v>
      </c>
      <c r="Y7" t="inlineStr">
        <is>
          <t>386</t>
        </is>
      </c>
      <c r="Z7" t="n">
        <v>43.6</v>
      </c>
      <c r="AA7" t="inlineStr">
        <is>
          <t>462</t>
        </is>
      </c>
      <c r="AB7" t="n">
        <v>32.6</v>
      </c>
      <c r="AC7" t="inlineStr">
        <is>
          <t>582</t>
        </is>
      </c>
      <c r="AD7" t="n">
        <v>59.8</v>
      </c>
      <c r="AE7" t="inlineStr">
        <is>
          <t>696</t>
        </is>
      </c>
      <c r="AF7" t="n">
        <v>13.5</v>
      </c>
      <c r="AG7" t="inlineStr">
        <is>
          <t>801+</t>
        </is>
      </c>
      <c r="AH7" t="n">
        <v>45.2</v>
      </c>
      <c r="AI7" t="inlineStr">
        <is>
          <t>801+</t>
        </is>
      </c>
      <c r="AJ7" t="inlineStr">
        <is>
          <t>8.3</t>
        </is>
      </c>
      <c r="AK7" t="inlineStr">
        <is>
          <t>601+</t>
        </is>
      </c>
      <c r="AL7" t="inlineStr">
        <is>
          <t>6.2</t>
        </is>
      </c>
      <c r="AM7" t="inlineStr">
        <is>
          <t>601+</t>
        </is>
      </c>
      <c r="AN7" t="inlineStr">
        <is>
          <t>23.6</t>
        </is>
      </c>
      <c r="AO7" t="inlineStr">
        <is>
          <t>605</t>
        </is>
      </c>
      <c r="AP7" t="inlineStr">
        <is>
          <t>40.7</t>
        </is>
      </c>
      <c r="AQ7" t="inlineStr">
        <is>
          <t>336</t>
        </is>
      </c>
      <c r="AR7" t="inlineStr">
        <is>
          <t>45.2</t>
        </is>
      </c>
      <c r="AS7" t="inlineStr">
        <is>
          <t>377</t>
        </is>
      </c>
      <c r="AT7" t="inlineStr">
        <is>
          <t>15.5</t>
        </is>
      </c>
      <c r="AU7" t="inlineStr">
        <is>
          <t>612</t>
        </is>
      </c>
      <c r="AV7" t="inlineStr">
        <is>
          <t>29.5</t>
        </is>
      </c>
      <c r="AW7" t="inlineStr">
        <is>
          <t>460</t>
        </is>
      </c>
      <c r="AX7" t="inlineStr">
        <is>
          <t>11.5</t>
        </is>
      </c>
      <c r="AY7" t="inlineStr">
        <is>
          <t>701+</t>
        </is>
      </c>
      <c r="AZ7" t="inlineStr">
        <is>
          <t>11.8</t>
        </is>
      </c>
      <c r="BA7" t="inlineStr">
        <is>
          <t>644=</t>
        </is>
      </c>
    </row>
    <row r="8">
      <c r="A8" t="inlineStr">
        <is>
          <t>Abu Dhabi University</t>
        </is>
      </c>
      <c r="B8" t="inlineStr">
        <is>
          <t>United Arab Emirates</t>
        </is>
      </c>
      <c r="C8" t="inlineStr">
        <is>
          <t>AE</t>
        </is>
      </c>
      <c r="D8" t="inlineStr">
        <is>
          <t>Asia</t>
        </is>
      </c>
      <c r="E8" t="inlineStr">
        <is>
          <t>S</t>
        </is>
      </c>
      <c r="F8" t="inlineStr">
        <is>
          <t>FO</t>
        </is>
      </c>
      <c r="G8" t="inlineStr">
        <is>
          <t>VH</t>
        </is>
      </c>
      <c r="H8" t="inlineStr">
        <is>
          <t>2</t>
        </is>
      </c>
      <c r="I8" t="inlineStr">
        <is>
          <t>Private for Profit</t>
        </is>
      </c>
      <c r="J8" t="inlineStr">
        <is>
          <t>391</t>
        </is>
      </c>
      <c r="K8" t="inlineStr">
        <is>
          <t>501</t>
        </is>
      </c>
      <c r="L8">
        <f>580</f>
        <v/>
      </c>
      <c r="M8" t="inlineStr">
        <is>
          <t>651-700</t>
        </is>
      </c>
      <c r="N8" t="inlineStr">
        <is>
          <t>38.3</t>
        </is>
      </c>
      <c r="O8" t="inlineStr">
        <is>
          <t>20.4</t>
        </is>
      </c>
      <c r="P8" t="n">
        <v>24.6</v>
      </c>
      <c r="Q8" t="inlineStr">
        <is>
          <t>518</t>
        </is>
      </c>
      <c r="R8" t="n">
        <v>49.8</v>
      </c>
      <c r="S8" t="inlineStr">
        <is>
          <t>256</t>
        </is>
      </c>
      <c r="T8" t="n">
        <v>23.9</v>
      </c>
      <c r="U8" t="inlineStr">
        <is>
          <t>755</t>
        </is>
      </c>
      <c r="V8" t="n">
        <v>35.9</v>
      </c>
      <c r="W8" t="inlineStr">
        <is>
          <t>518</t>
        </is>
      </c>
      <c r="X8" t="n">
        <v>100</v>
      </c>
      <c r="Y8" t="inlineStr">
        <is>
          <t>5</t>
        </is>
      </c>
      <c r="Z8" t="n">
        <v>99.90000000000001</v>
      </c>
      <c r="AA8" t="inlineStr">
        <is>
          <t>44</t>
        </is>
      </c>
      <c r="AB8" t="n">
        <v>99.90000000000001</v>
      </c>
      <c r="AC8" t="inlineStr">
        <is>
          <t>32</t>
        </is>
      </c>
      <c r="AD8" t="n">
        <v>34.5</v>
      </c>
      <c r="AE8" t="inlineStr">
        <is>
          <t>801+</t>
        </is>
      </c>
      <c r="AF8" t="n">
        <v>10.1</v>
      </c>
      <c r="AG8" t="inlineStr">
        <is>
          <t>801+</t>
        </is>
      </c>
      <c r="AH8" t="n">
        <v>49.6</v>
      </c>
      <c r="AI8" t="inlineStr">
        <is>
          <t>711=</t>
        </is>
      </c>
      <c r="AJ8" t="inlineStr">
        <is>
          <t>11.5</t>
        </is>
      </c>
      <c r="AK8" t="inlineStr">
        <is>
          <t>601+</t>
        </is>
      </c>
      <c r="AL8" t="inlineStr">
        <is>
          <t>17.9</t>
        </is>
      </c>
      <c r="AM8" t="inlineStr">
        <is>
          <t>490</t>
        </is>
      </c>
      <c r="AN8" t="inlineStr">
        <is>
          <t>12.6</t>
        </is>
      </c>
      <c r="AO8" t="inlineStr">
        <is>
          <t>701+</t>
        </is>
      </c>
      <c r="AP8" t="inlineStr">
        <is>
          <t>12.4</t>
        </is>
      </c>
      <c r="AQ8" t="inlineStr">
        <is>
          <t>689</t>
        </is>
      </c>
      <c r="AR8" t="inlineStr">
        <is>
          <t>100.0</t>
        </is>
      </c>
      <c r="AS8" t="inlineStr">
        <is>
          <t>5</t>
        </is>
      </c>
      <c r="AT8" t="inlineStr">
        <is>
          <t>99.9</t>
        </is>
      </c>
      <c r="AU8" t="inlineStr">
        <is>
          <t>32</t>
        </is>
      </c>
      <c r="AV8" t="inlineStr">
        <is>
          <t>1.2</t>
        </is>
      </c>
      <c r="AW8" t="inlineStr">
        <is>
          <t>701+</t>
        </is>
      </c>
      <c r="AX8" t="inlineStr">
        <is>
          <t>11.3</t>
        </is>
      </c>
      <c r="AY8" t="inlineStr">
        <is>
          <t>701+</t>
        </is>
      </c>
      <c r="AZ8" t="inlineStr">
        <is>
          <t>1.1</t>
        </is>
      </c>
      <c r="BA8" t="inlineStr">
        <is>
          <t>701+</t>
        </is>
      </c>
    </row>
    <row r="9">
      <c r="A9" t="inlineStr">
        <is>
          <t>Abylkas Saginov Karaganda Technical University</t>
        </is>
      </c>
      <c r="B9" t="inlineStr">
        <is>
          <t>Kazakhstan</t>
        </is>
      </c>
      <c r="C9" t="inlineStr"/>
      <c r="D9" t="inlineStr">
        <is>
          <t>Asia</t>
        </is>
      </c>
      <c r="E9" t="inlineStr">
        <is>
          <t>M</t>
        </is>
      </c>
      <c r="F9" t="inlineStr">
        <is>
          <t>FO</t>
        </is>
      </c>
      <c r="G9" t="inlineStr">
        <is>
          <t>HI</t>
        </is>
      </c>
      <c r="H9" t="inlineStr"/>
      <c r="I9" t="inlineStr">
        <is>
          <t>Public</t>
        </is>
      </c>
      <c r="J9" t="inlineStr">
        <is>
          <t>951-1000</t>
        </is>
      </c>
      <c r="K9" t="inlineStr">
        <is>
          <t>851-900</t>
        </is>
      </c>
      <c r="L9" t="inlineStr"/>
      <c r="M9" t="inlineStr"/>
      <c r="N9" t="inlineStr">
        <is>
          <t>-</t>
        </is>
      </c>
      <c r="O9" t="inlineStr"/>
      <c r="P9" t="n">
        <v>10.3</v>
      </c>
      <c r="Q9" t="inlineStr">
        <is>
          <t>701+</t>
        </is>
      </c>
      <c r="R9" t="n">
        <v>16.9</v>
      </c>
      <c r="S9" t="inlineStr">
        <is>
          <t>701+</t>
        </is>
      </c>
      <c r="T9" t="n">
        <v>90.3</v>
      </c>
      <c r="U9" t="inlineStr">
        <is>
          <t>102</t>
        </is>
      </c>
      <c r="V9" t="n">
        <v>1.3</v>
      </c>
      <c r="W9" t="inlineStr">
        <is>
          <t>801+</t>
        </is>
      </c>
      <c r="X9" t="n">
        <v>15.5</v>
      </c>
      <c r="Y9" t="inlineStr">
        <is>
          <t>794</t>
        </is>
      </c>
      <c r="Z9" t="n">
        <v>25.6</v>
      </c>
      <c r="AA9" t="inlineStr">
        <is>
          <t>652</t>
        </is>
      </c>
      <c r="AB9" t="n">
        <v>26.4</v>
      </c>
      <c r="AC9" t="inlineStr">
        <is>
          <t>665</t>
        </is>
      </c>
      <c r="AD9" t="n">
        <v>3.1</v>
      </c>
      <c r="AE9" t="inlineStr">
        <is>
          <t>801+</t>
        </is>
      </c>
      <c r="AF9" t="n">
        <v>7.8</v>
      </c>
      <c r="AG9" t="inlineStr">
        <is>
          <t>801+</t>
        </is>
      </c>
      <c r="AH9" t="n">
        <v>29.7</v>
      </c>
      <c r="AI9" t="inlineStr">
        <is>
          <t>801+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ADA University</t>
        </is>
      </c>
      <c r="B10" t="inlineStr">
        <is>
          <t>Azerbaijan</t>
        </is>
      </c>
      <c r="C10" t="inlineStr"/>
      <c r="D10" t="inlineStr">
        <is>
          <t>Asia</t>
        </is>
      </c>
      <c r="E10" t="inlineStr">
        <is>
          <t>S</t>
        </is>
      </c>
      <c r="F10" t="inlineStr">
        <is>
          <t>SP</t>
        </is>
      </c>
      <c r="G10" t="inlineStr">
        <is>
          <t>LO</t>
        </is>
      </c>
      <c r="H10" t="inlineStr"/>
      <c r="I10" t="inlineStr">
        <is>
          <t>Public</t>
        </is>
      </c>
      <c r="J10" t="inlineStr">
        <is>
          <t>1201-1400</t>
        </is>
      </c>
      <c r="K10" t="inlineStr"/>
      <c r="L10" t="inlineStr"/>
      <c r="M10" t="inlineStr"/>
      <c r="N10" t="inlineStr">
        <is>
          <t>-</t>
        </is>
      </c>
      <c r="O10" t="inlineStr"/>
      <c r="P10" t="n">
        <v>8.4</v>
      </c>
      <c r="Q10" t="inlineStr">
        <is>
          <t>701+</t>
        </is>
      </c>
      <c r="R10" t="n">
        <v>22.4</v>
      </c>
      <c r="S10" t="inlineStr">
        <is>
          <t>595</t>
        </is>
      </c>
      <c r="T10" t="n">
        <v>62.3</v>
      </c>
      <c r="U10" t="inlineStr">
        <is>
          <t>286</t>
        </is>
      </c>
      <c r="V10" t="n">
        <v>1.3</v>
      </c>
      <c r="W10" t="inlineStr">
        <is>
          <t>801+</t>
        </is>
      </c>
      <c r="X10" t="n">
        <v>20.2</v>
      </c>
      <c r="Y10" t="inlineStr">
        <is>
          <t>710</t>
        </is>
      </c>
      <c r="Z10" t="n">
        <v>7.7</v>
      </c>
      <c r="AA10" t="inlineStr">
        <is>
          <t>801+</t>
        </is>
      </c>
      <c r="AB10" t="n">
        <v>11.9</v>
      </c>
      <c r="AC10" t="inlineStr">
        <is>
          <t>801+</t>
        </is>
      </c>
      <c r="AD10" t="n">
        <v>5.2</v>
      </c>
      <c r="AE10" t="inlineStr">
        <is>
          <t>801+</t>
        </is>
      </c>
      <c r="AF10" t="n">
        <v>12</v>
      </c>
      <c r="AG10" t="inlineStr">
        <is>
          <t>801+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Adam Mickiewicz University</t>
        </is>
      </c>
      <c r="B11" t="inlineStr">
        <is>
          <t>Poland</t>
        </is>
      </c>
      <c r="C11" t="inlineStr"/>
      <c r="D11" t="inlineStr">
        <is>
          <t>Europe</t>
        </is>
      </c>
      <c r="E11" t="inlineStr">
        <is>
          <t>L</t>
        </is>
      </c>
      <c r="F11" t="inlineStr">
        <is>
          <t>CO</t>
        </is>
      </c>
      <c r="G11" t="inlineStr">
        <is>
          <t>VH</t>
        </is>
      </c>
      <c r="H11" t="inlineStr"/>
      <c r="I11" t="inlineStr">
        <is>
          <t>Public</t>
        </is>
      </c>
      <c r="J11" t="inlineStr">
        <is>
          <t>741-750</t>
        </is>
      </c>
      <c r="K11" t="inlineStr">
        <is>
          <t>761-770</t>
        </is>
      </c>
      <c r="L11" t="inlineStr"/>
      <c r="M11" t="inlineStr"/>
      <c r="N11" t="inlineStr">
        <is>
          <t>-</t>
        </is>
      </c>
      <c r="O11" t="inlineStr"/>
      <c r="P11" t="n">
        <v>24.1</v>
      </c>
      <c r="Q11" t="inlineStr">
        <is>
          <t>528</t>
        </is>
      </c>
      <c r="R11" t="n">
        <v>12.3</v>
      </c>
      <c r="S11" t="inlineStr">
        <is>
          <t>701+</t>
        </is>
      </c>
      <c r="T11" t="n">
        <v>45.7</v>
      </c>
      <c r="U11" t="inlineStr">
        <is>
          <t>427</t>
        </is>
      </c>
      <c r="V11" t="n">
        <v>8.800000000000001</v>
      </c>
      <c r="W11" t="inlineStr">
        <is>
          <t>801+</t>
        </is>
      </c>
      <c r="X11" t="n">
        <v>10.9</v>
      </c>
      <c r="Y11" t="inlineStr">
        <is>
          <t>801+</t>
        </is>
      </c>
      <c r="Z11" t="n">
        <v>15.6</v>
      </c>
      <c r="AA11" t="inlineStr">
        <is>
          <t>801+</t>
        </is>
      </c>
      <c r="AB11" t="n">
        <v>21.7</v>
      </c>
      <c r="AC11" t="inlineStr">
        <is>
          <t>737</t>
        </is>
      </c>
      <c r="AD11" t="n">
        <v>88.7</v>
      </c>
      <c r="AE11" t="inlineStr">
        <is>
          <t>196</t>
        </is>
      </c>
      <c r="AF11" t="n">
        <v>15.8</v>
      </c>
      <c r="AG11" t="inlineStr">
        <is>
          <t>801+</t>
        </is>
      </c>
      <c r="AH11" t="n">
        <v>63.6</v>
      </c>
      <c r="AI11" t="inlineStr">
        <is>
          <t>431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Adam Mickiewicz University, Poznań</t>
        </is>
      </c>
      <c r="B12" t="inlineStr">
        <is>
          <t>Poland</t>
        </is>
      </c>
      <c r="C12" t="inlineStr">
        <is>
          <t>PL</t>
        </is>
      </c>
      <c r="D12" t="inlineStr"/>
      <c r="E12" t="inlineStr">
        <is>
          <t>L</t>
        </is>
      </c>
      <c r="F12" t="inlineStr">
        <is>
          <t>CO</t>
        </is>
      </c>
      <c r="G12" t="inlineStr">
        <is>
          <t>VH</t>
        </is>
      </c>
      <c r="H12" t="inlineStr">
        <is>
          <t>5</t>
        </is>
      </c>
      <c r="I12" t="inlineStr">
        <is>
          <t>A</t>
        </is>
      </c>
      <c r="J12" t="inlineStr"/>
      <c r="K12" t="inlineStr"/>
      <c r="L12" t="inlineStr">
        <is>
          <t>731-740</t>
        </is>
      </c>
      <c r="M12" t="inlineStr">
        <is>
          <t>801-1000</t>
        </is>
      </c>
      <c r="N12" t="inlineStr"/>
      <c r="O12" t="inlineStr">
        <is>
          <t>-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15.8</t>
        </is>
      </c>
      <c r="AK12" t="inlineStr">
        <is>
          <t>554</t>
        </is>
      </c>
      <c r="AL12" t="inlineStr">
        <is>
          <t>8.7</t>
        </is>
      </c>
      <c r="AM12" t="inlineStr">
        <is>
          <t>601+</t>
        </is>
      </c>
      <c r="AN12" t="inlineStr">
        <is>
          <t>29.7</t>
        </is>
      </c>
      <c r="AO12" t="inlineStr">
        <is>
          <t>523</t>
        </is>
      </c>
      <c r="AP12" t="inlineStr">
        <is>
          <t>5.0</t>
        </is>
      </c>
      <c r="AQ12" t="inlineStr">
        <is>
          <t>701+</t>
        </is>
      </c>
      <c r="AR12" t="inlineStr">
        <is>
          <t>7.0</t>
        </is>
      </c>
      <c r="AS12" t="inlineStr">
        <is>
          <t>701+</t>
        </is>
      </c>
      <c r="AT12" t="inlineStr">
        <is>
          <t>7.0</t>
        </is>
      </c>
      <c r="AU12" t="inlineStr">
        <is>
          <t>701+</t>
        </is>
      </c>
      <c r="AV12" t="inlineStr">
        <is>
          <t>59.5</t>
        </is>
      </c>
      <c r="AW12" t="inlineStr">
        <is>
          <t>247</t>
        </is>
      </c>
      <c r="AX12" t="inlineStr">
        <is>
          <t>12.6</t>
        </is>
      </c>
      <c r="AY12" t="inlineStr">
        <is>
          <t>689</t>
        </is>
      </c>
      <c r="AZ12" t="inlineStr">
        <is>
          <t>38.4</t>
        </is>
      </c>
      <c r="BA12" t="inlineStr">
        <is>
          <t>373=</t>
        </is>
      </c>
    </row>
    <row r="13">
      <c r="A13" t="inlineStr">
        <is>
          <t>Adamson University</t>
        </is>
      </c>
      <c r="B13" t="inlineStr">
        <is>
          <t>Philippines</t>
        </is>
      </c>
      <c r="C13" t="inlineStr"/>
      <c r="D13" t="inlineStr">
        <is>
          <t>Asia</t>
        </is>
      </c>
      <c r="E13" t="inlineStr">
        <is>
          <t>M</t>
        </is>
      </c>
      <c r="F13" t="inlineStr">
        <is>
          <t>CO</t>
        </is>
      </c>
      <c r="G13" t="inlineStr">
        <is>
          <t>MD</t>
        </is>
      </c>
      <c r="H13" t="inlineStr"/>
      <c r="I13" t="inlineStr">
        <is>
          <t>Private for Profit</t>
        </is>
      </c>
      <c r="J13" t="inlineStr">
        <is>
          <t>1001-1200</t>
        </is>
      </c>
      <c r="K13" t="inlineStr"/>
      <c r="L13" t="inlineStr"/>
      <c r="M13" t="inlineStr"/>
      <c r="N13" t="inlineStr">
        <is>
          <t>-</t>
        </is>
      </c>
      <c r="O13" t="inlineStr"/>
      <c r="P13" t="n">
        <v>39.3</v>
      </c>
      <c r="Q13" t="inlineStr">
        <is>
          <t>306</t>
        </is>
      </c>
      <c r="R13" t="n">
        <v>17.9</v>
      </c>
      <c r="S13" t="inlineStr">
        <is>
          <t>701+</t>
        </is>
      </c>
      <c r="T13" t="n">
        <v>7.6</v>
      </c>
      <c r="U13" t="inlineStr">
        <is>
          <t>801+</t>
        </is>
      </c>
      <c r="V13" t="n">
        <v>1.7</v>
      </c>
      <c r="W13" t="inlineStr">
        <is>
          <t>801+</t>
        </is>
      </c>
      <c r="X13" t="n">
        <v>18.1</v>
      </c>
      <c r="Y13" t="inlineStr">
        <is>
          <t>741</t>
        </is>
      </c>
      <c r="Z13" t="n">
        <v>2.8</v>
      </c>
      <c r="AA13" t="inlineStr">
        <is>
          <t>801+</t>
        </is>
      </c>
      <c r="AB13" t="n">
        <v>7.1</v>
      </c>
      <c r="AC13" t="inlineStr">
        <is>
          <t>801+</t>
        </is>
      </c>
      <c r="AD13" t="n">
        <v>4.8</v>
      </c>
      <c r="AE13" t="inlineStr">
        <is>
          <t>801+</t>
        </is>
      </c>
      <c r="AF13" t="n">
        <v>3.5</v>
      </c>
      <c r="AG13" t="inlineStr">
        <is>
          <t>801+</t>
        </is>
      </c>
      <c r="AH13" t="n">
        <v>10.1</v>
      </c>
      <c r="AI13" t="inlineStr">
        <is>
          <t>801+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Addis Ababa University</t>
        </is>
      </c>
      <c r="B14" t="inlineStr">
        <is>
          <t>Ethiopia</t>
        </is>
      </c>
      <c r="C14" t="inlineStr">
        <is>
          <t>ET</t>
        </is>
      </c>
      <c r="D14" t="inlineStr">
        <is>
          <t>Africa</t>
        </is>
      </c>
      <c r="E14" t="inlineStr">
        <is>
          <t>XL</t>
        </is>
      </c>
      <c r="F14" t="inlineStr">
        <is>
          <t>FO</t>
        </is>
      </c>
      <c r="G14" t="inlineStr">
        <is>
          <t>VH</t>
        </is>
      </c>
      <c r="H14" t="inlineStr"/>
      <c r="I14" t="inlineStr"/>
      <c r="J14" t="inlineStr">
        <is>
          <t>851-900</t>
        </is>
      </c>
      <c r="K14" t="inlineStr">
        <is>
          <t>771-780</t>
        </is>
      </c>
      <c r="L14" t="inlineStr">
        <is>
          <t>851-900</t>
        </is>
      </c>
      <c r="M14" t="inlineStr"/>
      <c r="N14" t="inlineStr">
        <is>
          <t>-</t>
        </is>
      </c>
      <c r="O14" t="inlineStr">
        <is>
          <t>-</t>
        </is>
      </c>
      <c r="P14" t="n">
        <v>7.8</v>
      </c>
      <c r="Q14" t="inlineStr">
        <is>
          <t>701+</t>
        </is>
      </c>
      <c r="R14" t="n">
        <v>12.1</v>
      </c>
      <c r="S14" t="inlineStr">
        <is>
          <t>701+</t>
        </is>
      </c>
      <c r="T14" t="n">
        <v>65.3</v>
      </c>
      <c r="U14" t="inlineStr">
        <is>
          <t>267</t>
        </is>
      </c>
      <c r="V14" t="n">
        <v>2.5</v>
      </c>
      <c r="W14" t="inlineStr">
        <is>
          <t>801+</t>
        </is>
      </c>
      <c r="X14" t="inlineStr"/>
      <c r="Y14" t="inlineStr"/>
      <c r="Z14" t="inlineStr"/>
      <c r="AA14" t="inlineStr"/>
      <c r="AB14" t="inlineStr"/>
      <c r="AC14" t="inlineStr"/>
      <c r="AD14" t="n">
        <v>63.8</v>
      </c>
      <c r="AE14" t="inlineStr">
        <is>
          <t>636</t>
        </is>
      </c>
      <c r="AF14" t="n">
        <v>96.90000000000001</v>
      </c>
      <c r="AG14" t="inlineStr">
        <is>
          <t>62</t>
        </is>
      </c>
      <c r="AH14" t="n">
        <v>41.7</v>
      </c>
      <c r="AI14" t="inlineStr">
        <is>
          <t>801+</t>
        </is>
      </c>
      <c r="AJ14" t="inlineStr">
        <is>
          <t>5.6</t>
        </is>
      </c>
      <c r="AK14" t="inlineStr">
        <is>
          <t>601+</t>
        </is>
      </c>
      <c r="AL14" t="inlineStr">
        <is>
          <t>10.8</t>
        </is>
      </c>
      <c r="AM14" t="inlineStr">
        <is>
          <t>601+</t>
        </is>
      </c>
      <c r="AN14" t="inlineStr">
        <is>
          <t>61.1</t>
        </is>
      </c>
      <c r="AO14" t="inlineStr">
        <is>
          <t>231</t>
        </is>
      </c>
      <c r="AP14" t="inlineStr">
        <is>
          <t>1.7</t>
        </is>
      </c>
      <c r="AQ14" t="inlineStr">
        <is>
          <t>701+</t>
        </is>
      </c>
      <c r="AR14" t="inlineStr"/>
      <c r="AS14" t="inlineStr"/>
      <c r="AT14" t="inlineStr"/>
      <c r="AU14" t="inlineStr"/>
      <c r="AV14" t="inlineStr">
        <is>
          <t>14.3</t>
        </is>
      </c>
      <c r="AW14" t="inlineStr">
        <is>
          <t>608</t>
        </is>
      </c>
      <c r="AX14" t="inlineStr">
        <is>
          <t>54.7</t>
        </is>
      </c>
      <c r="AY14" t="inlineStr">
        <is>
          <t>114</t>
        </is>
      </c>
      <c r="AZ14" t="inlineStr"/>
      <c r="BA14" t="inlineStr"/>
    </row>
    <row r="15">
      <c r="A15" t="inlineStr">
        <is>
          <t>Adelaide University</t>
        </is>
      </c>
      <c r="B15" t="inlineStr">
        <is>
          <t>Australia</t>
        </is>
      </c>
      <c r="C15" t="inlineStr"/>
      <c r="D15" t="inlineStr">
        <is>
          <t>Oceania</t>
        </is>
      </c>
      <c r="E15" t="inlineStr">
        <is>
          <t>XL</t>
        </is>
      </c>
      <c r="F15" t="inlineStr">
        <is>
          <t>CO</t>
        </is>
      </c>
      <c r="G15" t="inlineStr">
        <is>
          <t>VH</t>
        </is>
      </c>
      <c r="H15" t="inlineStr"/>
      <c r="I15" t="inlineStr"/>
      <c r="J15" t="inlineStr">
        <is>
          <t>82</t>
        </is>
      </c>
      <c r="K15" t="inlineStr"/>
      <c r="L15" t="inlineStr"/>
      <c r="M15" t="inlineStr"/>
      <c r="N15" t="inlineStr">
        <is>
          <t>72.6</t>
        </is>
      </c>
      <c r="O15" t="inlineStr"/>
      <c r="P15" t="n">
        <v>78.3</v>
      </c>
      <c r="Q15" t="inlineStr">
        <is>
          <t>102</t>
        </is>
      </c>
      <c r="R15" t="n">
        <v>62.7</v>
      </c>
      <c r="S15" t="inlineStr">
        <is>
          <t>176</t>
        </is>
      </c>
      <c r="T15" t="n">
        <v>30.5</v>
      </c>
      <c r="U15" t="inlineStr">
        <is>
          <t>621</t>
        </is>
      </c>
      <c r="V15" t="n">
        <v>69.8</v>
      </c>
      <c r="W15" t="inlineStr">
        <is>
          <t>218</t>
        </is>
      </c>
      <c r="X15" t="n">
        <v>100</v>
      </c>
      <c r="Y15" t="inlineStr">
        <is>
          <t>90</t>
        </is>
      </c>
      <c r="Z15" t="n">
        <v>97.5</v>
      </c>
      <c r="AA15" t="inlineStr">
        <is>
          <t>96</t>
        </is>
      </c>
      <c r="AB15" t="n">
        <v>72.5</v>
      </c>
      <c r="AC15" t="inlineStr">
        <is>
          <t>251</t>
        </is>
      </c>
      <c r="AD15" t="n">
        <v>96.7</v>
      </c>
      <c r="AE15" t="inlineStr">
        <is>
          <t>46</t>
        </is>
      </c>
      <c r="AF15" t="n">
        <v>70.40000000000001</v>
      </c>
      <c r="AG15" t="inlineStr">
        <is>
          <t>207</t>
        </is>
      </c>
      <c r="AH15" t="n">
        <v>86.09999999999999</v>
      </c>
      <c r="AI15" t="inlineStr">
        <is>
          <t>98=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Aga Khan University</t>
        </is>
      </c>
      <c r="B16" t="inlineStr">
        <is>
          <t>Pakistan</t>
        </is>
      </c>
      <c r="C16" t="inlineStr"/>
      <c r="D16" t="inlineStr">
        <is>
          <t>Asia</t>
        </is>
      </c>
      <c r="E16" t="inlineStr">
        <is>
          <t>S</t>
        </is>
      </c>
      <c r="F16" t="inlineStr">
        <is>
          <t>FO</t>
        </is>
      </c>
      <c r="G16" t="inlineStr">
        <is>
          <t>VH</t>
        </is>
      </c>
      <c r="H16" t="inlineStr"/>
      <c r="I16" t="inlineStr">
        <is>
          <t>Private not for Profit</t>
        </is>
      </c>
      <c r="J16" t="inlineStr">
        <is>
          <t>1001-1200</t>
        </is>
      </c>
      <c r="K16" t="inlineStr"/>
      <c r="L16" t="inlineStr"/>
      <c r="M16" t="inlineStr"/>
      <c r="N16" t="inlineStr">
        <is>
          <t>-</t>
        </is>
      </c>
      <c r="O16" t="inlineStr"/>
      <c r="P16" t="n">
        <v>6.4</v>
      </c>
      <c r="Q16" t="inlineStr">
        <is>
          <t>701+</t>
        </is>
      </c>
      <c r="R16" t="n">
        <v>10</v>
      </c>
      <c r="S16" t="inlineStr">
        <is>
          <t>701+</t>
        </is>
      </c>
      <c r="T16" t="n">
        <v>100</v>
      </c>
      <c r="U16" t="inlineStr">
        <is>
          <t>2</t>
        </is>
      </c>
      <c r="V16" t="n">
        <v>11.4</v>
      </c>
      <c r="W16" t="inlineStr">
        <is>
          <t>801+</t>
        </is>
      </c>
      <c r="X16" t="n">
        <v>1.5</v>
      </c>
      <c r="Y16" t="inlineStr">
        <is>
          <t>801+</t>
        </is>
      </c>
      <c r="Z16" t="n">
        <v>2</v>
      </c>
      <c r="AA16" t="inlineStr">
        <is>
          <t>801+</t>
        </is>
      </c>
      <c r="AB16" t="n">
        <v>1.7</v>
      </c>
      <c r="AC16" t="inlineStr">
        <is>
          <t>801+</t>
        </is>
      </c>
      <c r="AD16" t="n">
        <v>18.2</v>
      </c>
      <c r="AE16" t="inlineStr">
        <is>
          <t>801+</t>
        </is>
      </c>
      <c r="AF16" t="n">
        <v>8.300000000000001</v>
      </c>
      <c r="AG16" t="inlineStr">
        <is>
          <t>801+</t>
        </is>
      </c>
      <c r="AH16" t="n">
        <v>22.6</v>
      </c>
      <c r="AI16" t="inlineStr">
        <is>
          <t>801+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AGH University of Krakow</t>
        </is>
      </c>
      <c r="B17" t="inlineStr">
        <is>
          <t>Poland</t>
        </is>
      </c>
      <c r="C17" t="inlineStr"/>
      <c r="D17" t="inlineStr">
        <is>
          <t>Europe</t>
        </is>
      </c>
      <c r="E17" t="inlineStr">
        <is>
          <t>L</t>
        </is>
      </c>
      <c r="F17" t="inlineStr">
        <is>
          <t>CO</t>
        </is>
      </c>
      <c r="G17" t="inlineStr">
        <is>
          <t>VH</t>
        </is>
      </c>
      <c r="H17" t="inlineStr"/>
      <c r="I17" t="inlineStr">
        <is>
          <t>Public</t>
        </is>
      </c>
      <c r="J17" t="inlineStr">
        <is>
          <t>801-850</t>
        </is>
      </c>
      <c r="K17" t="inlineStr">
        <is>
          <t>851-900</t>
        </is>
      </c>
      <c r="L17" t="inlineStr"/>
      <c r="M17" t="inlineStr"/>
      <c r="N17" t="inlineStr">
        <is>
          <t>-</t>
        </is>
      </c>
      <c r="O17" t="inlineStr"/>
      <c r="P17" t="n">
        <v>13.1</v>
      </c>
      <c r="Q17" t="inlineStr">
        <is>
          <t>701+</t>
        </is>
      </c>
      <c r="R17" t="n">
        <v>30.6</v>
      </c>
      <c r="S17" t="inlineStr">
        <is>
          <t>465</t>
        </is>
      </c>
      <c r="T17" t="n">
        <v>54.7</v>
      </c>
      <c r="U17" t="inlineStr">
        <is>
          <t>344</t>
        </is>
      </c>
      <c r="V17" t="n">
        <v>12.7</v>
      </c>
      <c r="W17" t="inlineStr">
        <is>
          <t>801+</t>
        </is>
      </c>
      <c r="X17" t="n">
        <v>4.4</v>
      </c>
      <c r="Y17" t="inlineStr">
        <is>
          <t>801+</t>
        </is>
      </c>
      <c r="Z17" t="n">
        <v>7.3</v>
      </c>
      <c r="AA17" t="inlineStr">
        <is>
          <t>801+</t>
        </is>
      </c>
      <c r="AB17" t="n">
        <v>12.1</v>
      </c>
      <c r="AC17" t="inlineStr">
        <is>
          <t>801+</t>
        </is>
      </c>
      <c r="AD17" t="n">
        <v>75.59999999999999</v>
      </c>
      <c r="AE17" t="inlineStr">
        <is>
          <t>430</t>
        </is>
      </c>
      <c r="AF17" t="n">
        <v>4</v>
      </c>
      <c r="AG17" t="inlineStr">
        <is>
          <t>801+</t>
        </is>
      </c>
      <c r="AH17" t="n">
        <v>47.4</v>
      </c>
      <c r="AI17" t="inlineStr">
        <is>
          <t>776=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AGH University of Science and Technology</t>
        </is>
      </c>
      <c r="B18" t="inlineStr">
        <is>
          <t>Poland</t>
        </is>
      </c>
      <c r="C18" t="inlineStr">
        <is>
          <t>PL</t>
        </is>
      </c>
      <c r="D18" t="inlineStr"/>
      <c r="E18" t="inlineStr">
        <is>
          <t>L</t>
        </is>
      </c>
      <c r="F18" t="inlineStr">
        <is>
          <t>CO</t>
        </is>
      </c>
      <c r="G18" t="inlineStr">
        <is>
          <t>VH</t>
        </is>
      </c>
      <c r="H18" t="inlineStr">
        <is>
          <t>5</t>
        </is>
      </c>
      <c r="I18" t="inlineStr">
        <is>
          <t>A</t>
        </is>
      </c>
      <c r="J18" t="inlineStr"/>
      <c r="K18" t="inlineStr"/>
      <c r="L18" t="inlineStr">
        <is>
          <t>901-950</t>
        </is>
      </c>
      <c r="M18" t="inlineStr">
        <is>
          <t>801-1000</t>
        </is>
      </c>
      <c r="N18" t="inlineStr"/>
      <c r="O18" t="inlineStr">
        <is>
          <t>-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9.2</t>
        </is>
      </c>
      <c r="AK18" t="inlineStr">
        <is>
          <t>601+</t>
        </is>
      </c>
      <c r="AL18" t="inlineStr">
        <is>
          <t>15.2</t>
        </is>
      </c>
      <c r="AM18" t="inlineStr">
        <is>
          <t>542</t>
        </is>
      </c>
      <c r="AN18" t="inlineStr">
        <is>
          <t>37.3</t>
        </is>
      </c>
      <c r="AO18" t="inlineStr">
        <is>
          <t>422</t>
        </is>
      </c>
      <c r="AP18" t="inlineStr">
        <is>
          <t>7.0</t>
        </is>
      </c>
      <c r="AQ18" t="inlineStr">
        <is>
          <t>701+</t>
        </is>
      </c>
      <c r="AR18" t="inlineStr">
        <is>
          <t>2.7</t>
        </is>
      </c>
      <c r="AS18" t="inlineStr">
        <is>
          <t>701+</t>
        </is>
      </c>
      <c r="AT18" t="inlineStr">
        <is>
          <t>4.5</t>
        </is>
      </c>
      <c r="AU18" t="inlineStr">
        <is>
          <t>701+</t>
        </is>
      </c>
      <c r="AV18" t="inlineStr">
        <is>
          <t>13.2</t>
        </is>
      </c>
      <c r="AW18" t="inlineStr">
        <is>
          <t>623</t>
        </is>
      </c>
      <c r="AX18" t="inlineStr">
        <is>
          <t>8.8</t>
        </is>
      </c>
      <c r="AY18" t="inlineStr">
        <is>
          <t>701+</t>
        </is>
      </c>
      <c r="AZ18" t="inlineStr">
        <is>
          <t>2.5</t>
        </is>
      </c>
      <c r="BA18" t="inlineStr">
        <is>
          <t>701+</t>
        </is>
      </c>
    </row>
    <row r="19">
      <c r="A19" t="inlineStr">
        <is>
          <t>Ahlia University</t>
        </is>
      </c>
      <c r="B19" t="inlineStr">
        <is>
          <t>Bahrain</t>
        </is>
      </c>
      <c r="C19" t="inlineStr">
        <is>
          <t>BH</t>
        </is>
      </c>
      <c r="D19" t="inlineStr">
        <is>
          <t>Asia</t>
        </is>
      </c>
      <c r="E19" t="inlineStr">
        <is>
          <t>S</t>
        </is>
      </c>
      <c r="F19" t="inlineStr">
        <is>
          <t>SP</t>
        </is>
      </c>
      <c r="G19" t="inlineStr">
        <is>
          <t>HI</t>
        </is>
      </c>
      <c r="H19" t="inlineStr">
        <is>
          <t>2</t>
        </is>
      </c>
      <c r="I19" t="inlineStr">
        <is>
          <t>Private not for Profit</t>
        </is>
      </c>
      <c r="J19" t="inlineStr">
        <is>
          <t>801-850</t>
        </is>
      </c>
      <c r="K19" t="inlineStr">
        <is>
          <t>711-720</t>
        </is>
      </c>
      <c r="L19" t="inlineStr">
        <is>
          <t>751-760</t>
        </is>
      </c>
      <c r="M19" t="inlineStr">
        <is>
          <t>651-700</t>
        </is>
      </c>
      <c r="N19" t="inlineStr">
        <is>
          <t>-</t>
        </is>
      </c>
      <c r="O19" t="inlineStr">
        <is>
          <t>-</t>
        </is>
      </c>
      <c r="P19" t="n">
        <v>18.1</v>
      </c>
      <c r="Q19" t="inlineStr">
        <is>
          <t>677</t>
        </is>
      </c>
      <c r="R19" t="n">
        <v>9.9</v>
      </c>
      <c r="S19" t="inlineStr">
        <is>
          <t>701+</t>
        </is>
      </c>
      <c r="T19" t="n">
        <v>38.4</v>
      </c>
      <c r="U19" t="inlineStr">
        <is>
          <t>528</t>
        </is>
      </c>
      <c r="V19" t="n">
        <v>10.3</v>
      </c>
      <c r="W19" t="inlineStr">
        <is>
          <t>801+</t>
        </is>
      </c>
      <c r="X19" t="n">
        <v>100</v>
      </c>
      <c r="Y19" t="inlineStr">
        <is>
          <t>51</t>
        </is>
      </c>
      <c r="Z19" t="n">
        <v>61.7</v>
      </c>
      <c r="AA19" t="inlineStr">
        <is>
          <t>330</t>
        </is>
      </c>
      <c r="AB19" t="n">
        <v>46</v>
      </c>
      <c r="AC19" t="inlineStr">
        <is>
          <t>454</t>
        </is>
      </c>
      <c r="AD19" t="n">
        <v>11.1</v>
      </c>
      <c r="AE19" t="inlineStr">
        <is>
          <t>801+</t>
        </is>
      </c>
      <c r="AF19" t="n">
        <v>12.1</v>
      </c>
      <c r="AG19" t="inlineStr">
        <is>
          <t>801+</t>
        </is>
      </c>
      <c r="AH19" t="n">
        <v>26.4</v>
      </c>
      <c r="AI19" t="inlineStr">
        <is>
          <t>801+</t>
        </is>
      </c>
      <c r="AJ19" t="inlineStr">
        <is>
          <t>12.8</t>
        </is>
      </c>
      <c r="AK19" t="inlineStr">
        <is>
          <t>601+</t>
        </is>
      </c>
      <c r="AL19" t="inlineStr">
        <is>
          <t>8.0</t>
        </is>
      </c>
      <c r="AM19" t="inlineStr">
        <is>
          <t>601+</t>
        </is>
      </c>
      <c r="AN19" t="inlineStr">
        <is>
          <t>31.7</t>
        </is>
      </c>
      <c r="AO19" t="inlineStr">
        <is>
          <t>495</t>
        </is>
      </c>
      <c r="AP19" t="inlineStr">
        <is>
          <t>3.0</t>
        </is>
      </c>
      <c r="AQ19" t="inlineStr">
        <is>
          <t>701+</t>
        </is>
      </c>
      <c r="AR19" t="inlineStr">
        <is>
          <t>100.0</t>
        </is>
      </c>
      <c r="AS19" t="inlineStr">
        <is>
          <t>73=</t>
        </is>
      </c>
      <c r="AT19" t="inlineStr">
        <is>
          <t>31.0</t>
        </is>
      </c>
      <c r="AU19" t="inlineStr">
        <is>
          <t>411</t>
        </is>
      </c>
      <c r="AV19" t="inlineStr">
        <is>
          <t>1.0</t>
        </is>
      </c>
      <c r="AW19" t="inlineStr">
        <is>
          <t>701+</t>
        </is>
      </c>
      <c r="AX19" t="inlineStr">
        <is>
          <t>8.3</t>
        </is>
      </c>
      <c r="AY19" t="inlineStr">
        <is>
          <t>701+</t>
        </is>
      </c>
      <c r="AZ19" t="inlineStr">
        <is>
          <t>1</t>
        </is>
      </c>
      <c r="BA19" t="inlineStr">
        <is>
          <t>701+</t>
        </is>
      </c>
    </row>
    <row r="20">
      <c r="A20" t="inlineStr">
        <is>
          <t>Ahmadu Bello University, Zaria</t>
        </is>
      </c>
      <c r="B20" t="inlineStr">
        <is>
          <t>Nigeria</t>
        </is>
      </c>
      <c r="C20" t="inlineStr"/>
      <c r="D20" t="inlineStr">
        <is>
          <t>Africa</t>
        </is>
      </c>
      <c r="E20" t="inlineStr">
        <is>
          <t>XL</t>
        </is>
      </c>
      <c r="F20" t="inlineStr">
        <is>
          <t>CO</t>
        </is>
      </c>
      <c r="G20" t="inlineStr">
        <is>
          <t>HI</t>
        </is>
      </c>
      <c r="H20" t="inlineStr"/>
      <c r="I20" t="inlineStr"/>
      <c r="J20" t="inlineStr">
        <is>
          <t>1201-1400</t>
        </is>
      </c>
      <c r="K20" t="inlineStr"/>
      <c r="L20" t="inlineStr"/>
      <c r="M20" t="inlineStr"/>
      <c r="N20" t="inlineStr">
        <is>
          <t>-</t>
        </is>
      </c>
      <c r="O20" t="inlineStr"/>
      <c r="P20" t="n">
        <v>6.3</v>
      </c>
      <c r="Q20" t="inlineStr">
        <is>
          <t>701+</t>
        </is>
      </c>
      <c r="R20" t="n">
        <v>9.4</v>
      </c>
      <c r="S20" t="inlineStr">
        <is>
          <t>701+</t>
        </is>
      </c>
      <c r="T20" t="n">
        <v>10</v>
      </c>
      <c r="U20" t="inlineStr">
        <is>
          <t>801+</t>
        </is>
      </c>
      <c r="V20" t="n">
        <v>2.2</v>
      </c>
      <c r="W20" t="inlineStr">
        <is>
          <t>801+</t>
        </is>
      </c>
      <c r="X20" t="n">
        <v>2</v>
      </c>
      <c r="Y20" t="inlineStr">
        <is>
          <t>801+</t>
        </is>
      </c>
      <c r="Z20" t="n">
        <v>1.4</v>
      </c>
      <c r="AA20" t="inlineStr">
        <is>
          <t>801+</t>
        </is>
      </c>
      <c r="AB20" t="n">
        <v>5.8</v>
      </c>
      <c r="AC20" t="inlineStr">
        <is>
          <t>801+</t>
        </is>
      </c>
      <c r="AD20" t="n">
        <v>44.1</v>
      </c>
      <c r="AE20" t="inlineStr">
        <is>
          <t>801+</t>
        </is>
      </c>
      <c r="AF20" t="n">
        <v>80.8</v>
      </c>
      <c r="AG20" t="inlineStr">
        <is>
          <t>154</t>
        </is>
      </c>
      <c r="AH20" t="n">
        <v>28</v>
      </c>
      <c r="AI20" t="inlineStr">
        <is>
          <t>801+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Ain Shams University</t>
        </is>
      </c>
      <c r="B21" t="inlineStr">
        <is>
          <t>Egypt</t>
        </is>
      </c>
      <c r="C21" t="inlineStr">
        <is>
          <t>EG</t>
        </is>
      </c>
      <c r="D21" t="inlineStr">
        <is>
          <t>Africa</t>
        </is>
      </c>
      <c r="E21" t="inlineStr">
        <is>
          <t>XL</t>
        </is>
      </c>
      <c r="F21" t="inlineStr">
        <is>
          <t>FC</t>
        </is>
      </c>
      <c r="G21" t="inlineStr">
        <is>
          <t>VH</t>
        </is>
      </c>
      <c r="H21" t="inlineStr">
        <is>
          <t>4</t>
        </is>
      </c>
      <c r="I21" t="inlineStr">
        <is>
          <t>Public</t>
        </is>
      </c>
      <c r="J21" t="inlineStr">
        <is>
          <t>542</t>
        </is>
      </c>
      <c r="K21" t="inlineStr">
        <is>
          <t>592</t>
        </is>
      </c>
      <c r="L21" t="inlineStr">
        <is>
          <t>721-730</t>
        </is>
      </c>
      <c r="M21" t="inlineStr">
        <is>
          <t>801-1000</t>
        </is>
      </c>
      <c r="N21" t="inlineStr">
        <is>
          <t>30.3</t>
        </is>
      </c>
      <c r="O21" t="inlineStr">
        <is>
          <t>-</t>
        </is>
      </c>
      <c r="P21" t="n">
        <v>35.6</v>
      </c>
      <c r="Q21" t="inlineStr">
        <is>
          <t>340</t>
        </is>
      </c>
      <c r="R21" t="n">
        <v>38.8</v>
      </c>
      <c r="S21" t="inlineStr">
        <is>
          <t>357</t>
        </is>
      </c>
      <c r="T21" t="n">
        <v>17.1</v>
      </c>
      <c r="U21" t="inlineStr">
        <is>
          <t>801+</t>
        </is>
      </c>
      <c r="V21" t="n">
        <v>3.5</v>
      </c>
      <c r="W21" t="inlineStr">
        <is>
          <t>801+</t>
        </is>
      </c>
      <c r="X21" t="n">
        <v>29.5</v>
      </c>
      <c r="Y21" t="inlineStr">
        <is>
          <t>590</t>
        </is>
      </c>
      <c r="Z21" t="n">
        <v>13.7</v>
      </c>
      <c r="AA21" t="inlineStr">
        <is>
          <t>801+</t>
        </is>
      </c>
      <c r="AB21" t="n">
        <v>19.7</v>
      </c>
      <c r="AC21" t="inlineStr">
        <is>
          <t>769</t>
        </is>
      </c>
      <c r="AD21" t="n">
        <v>80.8</v>
      </c>
      <c r="AE21" t="inlineStr">
        <is>
          <t>336</t>
        </is>
      </c>
      <c r="AF21" t="n">
        <v>69.59999999999999</v>
      </c>
      <c r="AG21" t="inlineStr">
        <is>
          <t>216</t>
        </is>
      </c>
      <c r="AH21" t="n">
        <v>56.7</v>
      </c>
      <c r="AI21" t="inlineStr">
        <is>
          <t>562=</t>
        </is>
      </c>
      <c r="AJ21" t="inlineStr">
        <is>
          <t>22.4</t>
        </is>
      </c>
      <c r="AK21" t="inlineStr">
        <is>
          <t>394</t>
        </is>
      </c>
      <c r="AL21" t="inlineStr">
        <is>
          <t>25.4</t>
        </is>
      </c>
      <c r="AM21" t="inlineStr">
        <is>
          <t>377</t>
        </is>
      </c>
      <c r="AN21" t="inlineStr">
        <is>
          <t>10.2</t>
        </is>
      </c>
      <c r="AO21" t="inlineStr">
        <is>
          <t>701+</t>
        </is>
      </c>
      <c r="AP21" t="inlineStr">
        <is>
          <t>1.9</t>
        </is>
      </c>
      <c r="AQ21" t="inlineStr">
        <is>
          <t>701+</t>
        </is>
      </c>
      <c r="AR21" t="inlineStr">
        <is>
          <t>25.0</t>
        </is>
      </c>
      <c r="AS21" t="inlineStr">
        <is>
          <t>536</t>
        </is>
      </c>
      <c r="AT21" t="inlineStr">
        <is>
          <t>5.6</t>
        </is>
      </c>
      <c r="AU21" t="inlineStr">
        <is>
          <t>701+</t>
        </is>
      </c>
      <c r="AV21" t="inlineStr">
        <is>
          <t>22.2</t>
        </is>
      </c>
      <c r="AW21" t="inlineStr">
        <is>
          <t>526</t>
        </is>
      </c>
      <c r="AX21" t="inlineStr">
        <is>
          <t>30.2</t>
        </is>
      </c>
      <c r="AY21" t="inlineStr">
        <is>
          <t>255</t>
        </is>
      </c>
      <c r="AZ21" t="inlineStr">
        <is>
          <t>7</t>
        </is>
      </c>
      <c r="BA21" t="inlineStr">
        <is>
          <t>701+</t>
        </is>
      </c>
    </row>
    <row r="22">
      <c r="A22" t="inlineStr">
        <is>
          <t>Airlangga University</t>
        </is>
      </c>
      <c r="B22" t="inlineStr">
        <is>
          <t>Indonesia</t>
        </is>
      </c>
      <c r="C22" t="inlineStr">
        <is>
          <t>ID</t>
        </is>
      </c>
      <c r="D22" t="inlineStr"/>
      <c r="E22" t="inlineStr">
        <is>
          <t>L</t>
        </is>
      </c>
      <c r="F22" t="inlineStr">
        <is>
          <t>FC</t>
        </is>
      </c>
      <c r="G22" t="inlineStr">
        <is>
          <t>HI</t>
        </is>
      </c>
      <c r="H22" t="inlineStr">
        <is>
          <t>4</t>
        </is>
      </c>
      <c r="I22" t="inlineStr">
        <is>
          <t>A</t>
        </is>
      </c>
      <c r="J22" t="inlineStr"/>
      <c r="K22" t="inlineStr"/>
      <c r="L22">
        <f>345</f>
        <v/>
      </c>
      <c r="M22" t="inlineStr">
        <is>
          <t>369=</t>
        </is>
      </c>
      <c r="N22" t="inlineStr"/>
      <c r="O22" t="inlineStr">
        <is>
          <t>31.5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34.0</t>
        </is>
      </c>
      <c r="AK22" t="inlineStr">
        <is>
          <t>254</t>
        </is>
      </c>
      <c r="AL22" t="inlineStr">
        <is>
          <t>72.5</t>
        </is>
      </c>
      <c r="AM22" t="inlineStr">
        <is>
          <t>95</t>
        </is>
      </c>
      <c r="AN22" t="inlineStr">
        <is>
          <t>52.4</t>
        </is>
      </c>
      <c r="AO22" t="inlineStr">
        <is>
          <t>301</t>
        </is>
      </c>
      <c r="AP22" t="inlineStr">
        <is>
          <t>1.4</t>
        </is>
      </c>
      <c r="AQ22" t="inlineStr">
        <is>
          <t>701+</t>
        </is>
      </c>
      <c r="AR22" t="inlineStr">
        <is>
          <t>44.6</t>
        </is>
      </c>
      <c r="AS22" t="inlineStr">
        <is>
          <t>379</t>
        </is>
      </c>
      <c r="AT22" t="inlineStr">
        <is>
          <t>6.3</t>
        </is>
      </c>
      <c r="AU22" t="inlineStr">
        <is>
          <t>701+</t>
        </is>
      </c>
      <c r="AV22" t="inlineStr">
        <is>
          <t>1.4</t>
        </is>
      </c>
      <c r="AW22" t="inlineStr">
        <is>
          <t>701+</t>
        </is>
      </c>
      <c r="AX22" t="inlineStr">
        <is>
          <t>14.4</t>
        </is>
      </c>
      <c r="AY22" t="inlineStr">
        <is>
          <t>582</t>
        </is>
      </c>
      <c r="AZ22" t="inlineStr">
        <is>
          <t>30.5</t>
        </is>
      </c>
      <c r="BA22" t="inlineStr">
        <is>
          <t>444=</t>
        </is>
      </c>
    </row>
    <row r="23">
      <c r="A23" t="inlineStr">
        <is>
          <t>Aix-Marseille University</t>
        </is>
      </c>
      <c r="B23" t="inlineStr">
        <is>
          <t>France</t>
        </is>
      </c>
      <c r="C23" t="inlineStr">
        <is>
          <t>FR</t>
        </is>
      </c>
      <c r="D23" t="inlineStr">
        <is>
          <t>Europe</t>
        </is>
      </c>
      <c r="E23" t="inlineStr">
        <is>
          <t>XL</t>
        </is>
      </c>
      <c r="F23" t="inlineStr">
        <is>
          <t>FC</t>
        </is>
      </c>
      <c r="G23" t="inlineStr">
        <is>
          <t>VH</t>
        </is>
      </c>
      <c r="H23" t="inlineStr">
        <is>
          <t>5</t>
        </is>
      </c>
      <c r="I23" t="inlineStr">
        <is>
          <t>Public</t>
        </is>
      </c>
      <c r="J23" t="inlineStr">
        <is>
          <t>428</t>
        </is>
      </c>
      <c r="K23" t="inlineStr">
        <is>
          <t>481</t>
        </is>
      </c>
      <c r="L23">
        <f>387</f>
        <v/>
      </c>
      <c r="M23" t="inlineStr">
        <is>
          <t>490=</t>
        </is>
      </c>
      <c r="N23" t="inlineStr">
        <is>
          <t>35.9</t>
        </is>
      </c>
      <c r="O23" t="inlineStr">
        <is>
          <t>28.3</t>
        </is>
      </c>
      <c r="P23" t="n">
        <v>51</v>
      </c>
      <c r="Q23" t="inlineStr">
        <is>
          <t>218</t>
        </is>
      </c>
      <c r="R23" t="n">
        <v>15.9</v>
      </c>
      <c r="S23" t="inlineStr">
        <is>
          <t>701+</t>
        </is>
      </c>
      <c r="T23" t="n">
        <v>11</v>
      </c>
      <c r="U23" t="inlineStr">
        <is>
          <t>801+</t>
        </is>
      </c>
      <c r="V23" t="n">
        <v>29.7</v>
      </c>
      <c r="W23" t="inlineStr">
        <is>
          <t>591</t>
        </is>
      </c>
      <c r="X23" t="n">
        <v>22.8</v>
      </c>
      <c r="Y23" t="inlineStr">
        <is>
          <t>678</t>
        </is>
      </c>
      <c r="Z23" t="n">
        <v>29</v>
      </c>
      <c r="AA23" t="inlineStr">
        <is>
          <t>604</t>
        </is>
      </c>
      <c r="AB23" t="n">
        <v>21.7</v>
      </c>
      <c r="AC23" t="inlineStr">
        <is>
          <t>734</t>
        </is>
      </c>
      <c r="AD23" t="n">
        <v>99</v>
      </c>
      <c r="AE23" t="inlineStr">
        <is>
          <t>15</t>
        </is>
      </c>
      <c r="AF23" t="n">
        <v>29</v>
      </c>
      <c r="AG23" t="inlineStr">
        <is>
          <t>571</t>
        </is>
      </c>
      <c r="AH23" t="n">
        <v>63.2</v>
      </c>
      <c r="AI23" t="inlineStr">
        <is>
          <t>436=</t>
        </is>
      </c>
      <c r="AJ23" t="inlineStr">
        <is>
          <t>36.1</t>
        </is>
      </c>
      <c r="AK23" t="inlineStr">
        <is>
          <t>241</t>
        </is>
      </c>
      <c r="AL23" t="inlineStr">
        <is>
          <t>4.5</t>
        </is>
      </c>
      <c r="AM23" t="inlineStr">
        <is>
          <t>601+</t>
        </is>
      </c>
      <c r="AN23" t="inlineStr">
        <is>
          <t>8.3</t>
        </is>
      </c>
      <c r="AO23" t="inlineStr">
        <is>
          <t>701+</t>
        </is>
      </c>
      <c r="AP23" t="inlineStr">
        <is>
          <t>26.5</t>
        </is>
      </c>
      <c r="AQ23" t="inlineStr">
        <is>
          <t>468</t>
        </is>
      </c>
      <c r="AR23" t="inlineStr">
        <is>
          <t>18.5</t>
        </is>
      </c>
      <c r="AS23" t="inlineStr">
        <is>
          <t>609</t>
        </is>
      </c>
      <c r="AT23" t="inlineStr">
        <is>
          <t>19.9</t>
        </is>
      </c>
      <c r="AU23" t="inlineStr">
        <is>
          <t>549</t>
        </is>
      </c>
      <c r="AV23" t="inlineStr">
        <is>
          <t>99.4</t>
        </is>
      </c>
      <c r="AW23" t="inlineStr">
        <is>
          <t>13</t>
        </is>
      </c>
      <c r="AX23" t="inlineStr">
        <is>
          <t>11.3</t>
        </is>
      </c>
      <c r="AY23" t="inlineStr">
        <is>
          <t>701+</t>
        </is>
      </c>
      <c r="AZ23" t="inlineStr">
        <is>
          <t>64.5</t>
        </is>
      </c>
      <c r="BA23" t="inlineStr">
        <is>
          <t>228=</t>
        </is>
      </c>
    </row>
    <row r="24">
      <c r="A24" t="inlineStr">
        <is>
          <t>Ajman University</t>
        </is>
      </c>
      <c r="B24" t="inlineStr">
        <is>
          <t>United Arab Emirates</t>
        </is>
      </c>
      <c r="C24" t="inlineStr">
        <is>
          <t>AE</t>
        </is>
      </c>
      <c r="D24" t="inlineStr">
        <is>
          <t>Asia</t>
        </is>
      </c>
      <c r="E24" t="inlineStr">
        <is>
          <t>S</t>
        </is>
      </c>
      <c r="F24" t="inlineStr">
        <is>
          <t>FO</t>
        </is>
      </c>
      <c r="G24" t="inlineStr">
        <is>
          <t>VH</t>
        </is>
      </c>
      <c r="H24" t="inlineStr">
        <is>
          <t>3</t>
        </is>
      </c>
      <c r="I24" t="inlineStr">
        <is>
          <t>Private not for Profit</t>
        </is>
      </c>
      <c r="J24" t="inlineStr">
        <is>
          <t>440</t>
        </is>
      </c>
      <c r="K24" t="inlineStr">
        <is>
          <t>477</t>
        </is>
      </c>
      <c r="L24">
        <f>551</f>
        <v/>
      </c>
      <c r="M24" t="inlineStr">
        <is>
          <t>651-700</t>
        </is>
      </c>
      <c r="N24" t="inlineStr">
        <is>
          <t>34.9</t>
        </is>
      </c>
      <c r="O24" t="inlineStr">
        <is>
          <t>21.3</t>
        </is>
      </c>
      <c r="P24" t="n">
        <v>27.8</v>
      </c>
      <c r="Q24" t="inlineStr">
        <is>
          <t>454</t>
        </is>
      </c>
      <c r="R24" t="n">
        <v>51.3</v>
      </c>
      <c r="S24" t="inlineStr">
        <is>
          <t>241</t>
        </is>
      </c>
      <c r="T24" t="n">
        <v>15.7</v>
      </c>
      <c r="U24" t="inlineStr">
        <is>
          <t>801+</t>
        </is>
      </c>
      <c r="V24" t="n">
        <v>10.2</v>
      </c>
      <c r="W24" t="inlineStr">
        <is>
          <t>801+</t>
        </is>
      </c>
      <c r="X24" t="n">
        <v>100</v>
      </c>
      <c r="Y24" t="inlineStr">
        <is>
          <t>8</t>
        </is>
      </c>
      <c r="Z24" t="n">
        <v>100</v>
      </c>
      <c r="AA24" t="inlineStr">
        <is>
          <t>4</t>
        </is>
      </c>
      <c r="AB24" t="n">
        <v>99.7</v>
      </c>
      <c r="AC24" t="inlineStr">
        <is>
          <t>37</t>
        </is>
      </c>
      <c r="AD24" t="n">
        <v>65.2</v>
      </c>
      <c r="AE24" t="inlineStr">
        <is>
          <t>621</t>
        </is>
      </c>
      <c r="AF24" t="n">
        <v>12.8</v>
      </c>
      <c r="AG24" t="inlineStr">
        <is>
          <t>801+</t>
        </is>
      </c>
      <c r="AH24" t="n">
        <v>46.2</v>
      </c>
      <c r="AI24" t="inlineStr">
        <is>
          <t>801+</t>
        </is>
      </c>
      <c r="AJ24" t="inlineStr">
        <is>
          <t>13.6</t>
        </is>
      </c>
      <c r="AK24" t="inlineStr">
        <is>
          <t>601+</t>
        </is>
      </c>
      <c r="AL24" t="inlineStr">
        <is>
          <t>34.7</t>
        </is>
      </c>
      <c r="AM24" t="inlineStr">
        <is>
          <t>279</t>
        </is>
      </c>
      <c r="AN24" t="inlineStr">
        <is>
          <t>8.2</t>
        </is>
      </c>
      <c r="AO24" t="inlineStr">
        <is>
          <t>701+</t>
        </is>
      </c>
      <c r="AP24" t="inlineStr">
        <is>
          <t>2.2</t>
        </is>
      </c>
      <c r="AQ24" t="inlineStr">
        <is>
          <t>701+</t>
        </is>
      </c>
      <c r="AR24" t="inlineStr">
        <is>
          <t>100.0</t>
        </is>
      </c>
      <c r="AS24" t="inlineStr">
        <is>
          <t>8</t>
        </is>
      </c>
      <c r="AT24" t="inlineStr">
        <is>
          <t>100.0</t>
        </is>
      </c>
      <c r="AU24" t="inlineStr">
        <is>
          <t>3</t>
        </is>
      </c>
      <c r="AV24" t="inlineStr">
        <is>
          <t>2.0</t>
        </is>
      </c>
      <c r="AW24" t="inlineStr">
        <is>
          <t>701+</t>
        </is>
      </c>
      <c r="AX24" t="inlineStr">
        <is>
          <t>13.3</t>
        </is>
      </c>
      <c r="AY24" t="inlineStr">
        <is>
          <t>644</t>
        </is>
      </c>
      <c r="AZ24" t="inlineStr">
        <is>
          <t>3</t>
        </is>
      </c>
      <c r="BA24" t="inlineStr">
        <is>
          <t>701+</t>
        </is>
      </c>
    </row>
    <row r="25">
      <c r="A25" t="inlineStr">
        <is>
          <t>Ajou University</t>
        </is>
      </c>
      <c r="B25" t="inlineStr">
        <is>
          <t>Republic of Korea</t>
        </is>
      </c>
      <c r="C25" t="inlineStr"/>
      <c r="D25" t="inlineStr">
        <is>
          <t>Asia</t>
        </is>
      </c>
      <c r="E25" t="inlineStr">
        <is>
          <t>M</t>
        </is>
      </c>
      <c r="F25" t="inlineStr">
        <is>
          <t>FC</t>
        </is>
      </c>
      <c r="G25" t="inlineStr">
        <is>
          <t>VH</t>
        </is>
      </c>
      <c r="H25" t="inlineStr"/>
      <c r="I25" t="inlineStr">
        <is>
          <t>Private not for Profit</t>
        </is>
      </c>
      <c r="J25" t="inlineStr">
        <is>
          <t>563</t>
        </is>
      </c>
      <c r="K25" t="inlineStr">
        <is>
          <t>631-640</t>
        </is>
      </c>
      <c r="L25" t="inlineStr"/>
      <c r="M25" t="inlineStr"/>
      <c r="N25" t="inlineStr">
        <is>
          <t>29.4</t>
        </is>
      </c>
      <c r="O25" t="inlineStr"/>
      <c r="P25" t="n">
        <v>19.8</v>
      </c>
      <c r="Q25" t="inlineStr">
        <is>
          <t>623</t>
        </is>
      </c>
      <c r="R25" t="n">
        <v>22.1</v>
      </c>
      <c r="S25" t="inlineStr">
        <is>
          <t>600</t>
        </is>
      </c>
      <c r="T25" t="n">
        <v>70.2</v>
      </c>
      <c r="U25" t="inlineStr">
        <is>
          <t>230</t>
        </is>
      </c>
      <c r="V25" t="n">
        <v>34.3</v>
      </c>
      <c r="W25" t="inlineStr">
        <is>
          <t>530</t>
        </is>
      </c>
      <c r="X25" t="n">
        <v>13.3</v>
      </c>
      <c r="Y25" t="inlineStr">
        <is>
          <t>801+</t>
        </is>
      </c>
      <c r="Z25" t="n">
        <v>58</v>
      </c>
      <c r="AA25" t="inlineStr">
        <is>
          <t>355</t>
        </is>
      </c>
      <c r="AB25" t="n">
        <v>58.4</v>
      </c>
      <c r="AC25" t="inlineStr">
        <is>
          <t>350</t>
        </is>
      </c>
      <c r="AD25" t="n">
        <v>18.1</v>
      </c>
      <c r="AE25" t="inlineStr">
        <is>
          <t>801+</t>
        </is>
      </c>
      <c r="AF25" t="n">
        <v>5.3</v>
      </c>
      <c r="AG25" t="inlineStr">
        <is>
          <t>801+</t>
        </is>
      </c>
      <c r="AH25" t="n">
        <v>53.3</v>
      </c>
      <c r="AI25" t="inlineStr">
        <is>
          <t>636=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 xml:space="preserve">Ajou University </t>
        </is>
      </c>
      <c r="B26" t="inlineStr">
        <is>
          <t>South Korea</t>
        </is>
      </c>
      <c r="C26" t="inlineStr">
        <is>
          <t>KR</t>
        </is>
      </c>
      <c r="D26" t="inlineStr"/>
      <c r="E26" t="inlineStr">
        <is>
          <t>M</t>
        </is>
      </c>
      <c r="F26" t="inlineStr">
        <is>
          <t>FC</t>
        </is>
      </c>
      <c r="G26" t="inlineStr">
        <is>
          <t>VH</t>
        </is>
      </c>
      <c r="H26" t="inlineStr">
        <is>
          <t>4</t>
        </is>
      </c>
      <c r="I26" t="inlineStr">
        <is>
          <t>B</t>
        </is>
      </c>
      <c r="J26" t="inlineStr"/>
      <c r="K26" t="inlineStr"/>
      <c r="L26" t="inlineStr">
        <is>
          <t>631-640</t>
        </is>
      </c>
      <c r="M26" t="inlineStr">
        <is>
          <t>488=</t>
        </is>
      </c>
      <c r="N26" t="inlineStr"/>
      <c r="O26" t="inlineStr">
        <is>
          <t>-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15.5</t>
        </is>
      </c>
      <c r="AK26" t="inlineStr">
        <is>
          <t>563</t>
        </is>
      </c>
      <c r="AL26" t="inlineStr">
        <is>
          <t>15.4</t>
        </is>
      </c>
      <c r="AM26" t="inlineStr">
        <is>
          <t>535</t>
        </is>
      </c>
      <c r="AN26" t="inlineStr">
        <is>
          <t>65.1</t>
        </is>
      </c>
      <c r="AO26" t="inlineStr">
        <is>
          <t>211</t>
        </is>
      </c>
      <c r="AP26" t="inlineStr">
        <is>
          <t>17.4</t>
        </is>
      </c>
      <c r="AQ26" t="inlineStr">
        <is>
          <t>595</t>
        </is>
      </c>
      <c r="AR26" t="inlineStr">
        <is>
          <t>6.2</t>
        </is>
      </c>
      <c r="AS26" t="inlineStr">
        <is>
          <t>701+</t>
        </is>
      </c>
      <c r="AT26" t="inlineStr">
        <is>
          <t>13.7</t>
        </is>
      </c>
      <c r="AU26" t="inlineStr">
        <is>
          <t>648</t>
        </is>
      </c>
      <c r="AV26" t="inlineStr">
        <is>
          <t>1.1</t>
        </is>
      </c>
      <c r="AW26" t="inlineStr">
        <is>
          <t>701+</t>
        </is>
      </c>
      <c r="AX26" t="inlineStr">
        <is>
          <t>8.3</t>
        </is>
      </c>
      <c r="AY26" t="inlineStr">
        <is>
          <t>701+</t>
        </is>
      </c>
      <c r="AZ26" t="inlineStr">
        <is>
          <t>5</t>
        </is>
      </c>
      <c r="BA26" t="inlineStr">
        <is>
          <t>701+</t>
        </is>
      </c>
    </row>
    <row r="27">
      <c r="A27" t="inlineStr">
        <is>
          <t>Akdeniz Üniversitesi</t>
        </is>
      </c>
      <c r="B27" t="inlineStr">
        <is>
          <t>Turkey</t>
        </is>
      </c>
      <c r="C27" t="inlineStr">
        <is>
          <t>TR</t>
        </is>
      </c>
      <c r="D27" t="inlineStr">
        <is>
          <t>Asia</t>
        </is>
      </c>
      <c r="E27" t="inlineStr">
        <is>
          <t>XL</t>
        </is>
      </c>
      <c r="F27" t="inlineStr">
        <is>
          <t>FC</t>
        </is>
      </c>
      <c r="G27" t="inlineStr">
        <is>
          <t>HI</t>
        </is>
      </c>
      <c r="H27" t="inlineStr">
        <is>
          <t>3</t>
        </is>
      </c>
      <c r="I27" t="inlineStr">
        <is>
          <t>Public</t>
        </is>
      </c>
      <c r="J27" t="inlineStr">
        <is>
          <t>1401+</t>
        </is>
      </c>
      <c r="K27" t="inlineStr">
        <is>
          <t>1401+</t>
        </is>
      </c>
      <c r="L27" t="inlineStr">
        <is>
          <t>1401+</t>
        </is>
      </c>
      <c r="M27" t="inlineStr">
        <is>
          <t>1201-1400</t>
        </is>
      </c>
      <c r="N27" t="inlineStr">
        <is>
          <t>-</t>
        </is>
      </c>
      <c r="O27" t="inlineStr">
        <is>
          <t>-</t>
        </is>
      </c>
      <c r="P27" t="n">
        <v>8.300000000000001</v>
      </c>
      <c r="Q27" t="inlineStr">
        <is>
          <t>701+</t>
        </is>
      </c>
      <c r="R27" t="n">
        <v>8</v>
      </c>
      <c r="S27" t="inlineStr">
        <is>
          <t>701+</t>
        </is>
      </c>
      <c r="T27" t="n">
        <v>5.6</v>
      </c>
      <c r="U27" t="inlineStr">
        <is>
          <t>801+</t>
        </is>
      </c>
      <c r="V27" t="n">
        <v>6.1</v>
      </c>
      <c r="W27" t="inlineStr">
        <is>
          <t>801+</t>
        </is>
      </c>
      <c r="X27" t="n">
        <v>2.2</v>
      </c>
      <c r="Y27" t="inlineStr">
        <is>
          <t>801+</t>
        </is>
      </c>
      <c r="Z27" t="n">
        <v>6</v>
      </c>
      <c r="AA27" t="inlineStr">
        <is>
          <t>801+</t>
        </is>
      </c>
      <c r="AB27" t="n">
        <v>11.4</v>
      </c>
      <c r="AC27" t="inlineStr">
        <is>
          <t>801+</t>
        </is>
      </c>
      <c r="AD27" t="n">
        <v>47.6</v>
      </c>
      <c r="AE27" t="inlineStr">
        <is>
          <t>801+</t>
        </is>
      </c>
      <c r="AF27" t="n">
        <v>2.4</v>
      </c>
      <c r="AG27" t="inlineStr">
        <is>
          <t>801+</t>
        </is>
      </c>
      <c r="AH27" t="n">
        <v>22.1</v>
      </c>
      <c r="AI27" t="inlineStr">
        <is>
          <t>801+</t>
        </is>
      </c>
      <c r="AJ27" t="inlineStr">
        <is>
          <t>5.2</t>
        </is>
      </c>
      <c r="AK27" t="inlineStr">
        <is>
          <t>601+</t>
        </is>
      </c>
      <c r="AL27" t="inlineStr">
        <is>
          <t>3.8</t>
        </is>
      </c>
      <c r="AM27" t="inlineStr">
        <is>
          <t>601+</t>
        </is>
      </c>
      <c r="AN27" t="inlineStr">
        <is>
          <t>3.4</t>
        </is>
      </c>
      <c r="AO27" t="inlineStr">
        <is>
          <t>701+</t>
        </is>
      </c>
      <c r="AP27" t="inlineStr">
        <is>
          <t>2.8</t>
        </is>
      </c>
      <c r="AQ27" t="inlineStr">
        <is>
          <t>701+</t>
        </is>
      </c>
      <c r="AR27" t="inlineStr">
        <is>
          <t>1.2</t>
        </is>
      </c>
      <c r="AS27" t="inlineStr">
        <is>
          <t>701+</t>
        </is>
      </c>
      <c r="AT27" t="inlineStr">
        <is>
          <t>1.1</t>
        </is>
      </c>
      <c r="AU27" t="inlineStr">
        <is>
          <t>701+</t>
        </is>
      </c>
      <c r="AV27" t="inlineStr">
        <is>
          <t>1.9</t>
        </is>
      </c>
      <c r="AW27" t="inlineStr">
        <is>
          <t>701+</t>
        </is>
      </c>
      <c r="AX27" t="inlineStr">
        <is>
          <t>7.5</t>
        </is>
      </c>
      <c r="AY27" t="inlineStr">
        <is>
          <t>701+</t>
        </is>
      </c>
      <c r="AZ27" t="inlineStr">
        <is>
          <t>1</t>
        </is>
      </c>
      <c r="BA27" t="inlineStr">
        <is>
          <t>701+</t>
        </is>
      </c>
    </row>
    <row r="28">
      <c r="A28" t="inlineStr">
        <is>
          <t>Al-Ahliyya Amman University</t>
        </is>
      </c>
      <c r="B28" t="inlineStr">
        <is>
          <t>Jordan</t>
        </is>
      </c>
      <c r="C28" t="inlineStr">
        <is>
          <t>JO</t>
        </is>
      </c>
      <c r="D28" t="inlineStr">
        <is>
          <t>Asia</t>
        </is>
      </c>
      <c r="E28" t="inlineStr">
        <is>
          <t>M</t>
        </is>
      </c>
      <c r="F28" t="inlineStr">
        <is>
          <t>FO</t>
        </is>
      </c>
      <c r="G28" t="inlineStr">
        <is>
          <t>VH</t>
        </is>
      </c>
      <c r="H28" t="inlineStr">
        <is>
          <t>3</t>
        </is>
      </c>
      <c r="I28" t="inlineStr">
        <is>
          <t>Private not for Profit</t>
        </is>
      </c>
      <c r="J28" t="inlineStr">
        <is>
          <t>761-770</t>
        </is>
      </c>
      <c r="K28" t="inlineStr">
        <is>
          <t>801-850</t>
        </is>
      </c>
      <c r="L28" t="inlineStr">
        <is>
          <t>801-850</t>
        </is>
      </c>
      <c r="M28" t="inlineStr"/>
      <c r="N28" t="inlineStr">
        <is>
          <t>-</t>
        </is>
      </c>
      <c r="O28" t="inlineStr">
        <is>
          <t>-</t>
        </is>
      </c>
      <c r="P28" t="n">
        <v>17.1</v>
      </c>
      <c r="Q28" t="inlineStr">
        <is>
          <t>701+</t>
        </is>
      </c>
      <c r="R28" t="n">
        <v>21</v>
      </c>
      <c r="S28" t="inlineStr">
        <is>
          <t>625</t>
        </is>
      </c>
      <c r="T28" t="n">
        <v>15.8</v>
      </c>
      <c r="U28" t="inlineStr">
        <is>
          <t>801+</t>
        </is>
      </c>
      <c r="V28" t="n">
        <v>6.4</v>
      </c>
      <c r="W28" t="inlineStr">
        <is>
          <t>801+</t>
        </is>
      </c>
      <c r="X28" t="n">
        <v>93.7</v>
      </c>
      <c r="Y28" t="inlineStr">
        <is>
          <t>196</t>
        </is>
      </c>
      <c r="Z28" t="n">
        <v>100</v>
      </c>
      <c r="AA28" t="inlineStr">
        <is>
          <t>29</t>
        </is>
      </c>
      <c r="AB28" t="n">
        <v>98</v>
      </c>
      <c r="AC28" t="inlineStr">
        <is>
          <t>79</t>
        </is>
      </c>
      <c r="AD28" t="n">
        <v>32.7</v>
      </c>
      <c r="AE28" t="inlineStr">
        <is>
          <t>801+</t>
        </is>
      </c>
      <c r="AF28" t="n">
        <v>6</v>
      </c>
      <c r="AG28" t="inlineStr">
        <is>
          <t>801+</t>
        </is>
      </c>
      <c r="AH28" t="n">
        <v>38.2</v>
      </c>
      <c r="AI28" t="inlineStr">
        <is>
          <t>801+</t>
        </is>
      </c>
      <c r="AJ28" t="inlineStr">
        <is>
          <t>6.8</t>
        </is>
      </c>
      <c r="AK28" t="inlineStr">
        <is>
          <t>601+</t>
        </is>
      </c>
      <c r="AL28" t="inlineStr">
        <is>
          <t>5.9</t>
        </is>
      </c>
      <c r="AM28" t="inlineStr">
        <is>
          <t>601+</t>
        </is>
      </c>
      <c r="AN28" t="inlineStr">
        <is>
          <t>9.3</t>
        </is>
      </c>
      <c r="AO28" t="inlineStr">
        <is>
          <t>701+</t>
        </is>
      </c>
      <c r="AP28" t="inlineStr">
        <is>
          <t>2.3</t>
        </is>
      </c>
      <c r="AQ28" t="inlineStr">
        <is>
          <t>701+</t>
        </is>
      </c>
      <c r="AR28" t="inlineStr">
        <is>
          <t>72.9</t>
        </is>
      </c>
      <c r="AS28" t="inlineStr">
        <is>
          <t>262</t>
        </is>
      </c>
      <c r="AT28" t="inlineStr">
        <is>
          <t>100.0</t>
        </is>
      </c>
      <c r="AU28" t="inlineStr">
        <is>
          <t>25</t>
        </is>
      </c>
      <c r="AV28" t="inlineStr">
        <is>
          <t>1.0</t>
        </is>
      </c>
      <c r="AW28" t="inlineStr">
        <is>
          <t>701+</t>
        </is>
      </c>
      <c r="AX28" t="inlineStr">
        <is>
          <t>10.4</t>
        </is>
      </c>
      <c r="AY28" t="inlineStr">
        <is>
          <t>701+</t>
        </is>
      </c>
      <c r="AZ28" t="inlineStr">
        <is>
          <t>1.6</t>
        </is>
      </c>
      <c r="BA28" t="inlineStr">
        <is>
          <t>701+</t>
        </is>
      </c>
    </row>
    <row r="29">
      <c r="A29" t="inlineStr">
        <is>
          <t>Al Ain University</t>
        </is>
      </c>
      <c r="B29" t="inlineStr">
        <is>
          <t>United Arab Emirates</t>
        </is>
      </c>
      <c r="C29" t="inlineStr">
        <is>
          <t>AE</t>
        </is>
      </c>
      <c r="D29" t="inlineStr">
        <is>
          <t>Asia</t>
        </is>
      </c>
      <c r="E29" t="inlineStr">
        <is>
          <t>S</t>
        </is>
      </c>
      <c r="F29" t="inlineStr">
        <is>
          <t>FO</t>
        </is>
      </c>
      <c r="G29" t="inlineStr">
        <is>
          <t>VH</t>
        </is>
      </c>
      <c r="H29" t="inlineStr">
        <is>
          <t>2</t>
        </is>
      </c>
      <c r="I29" t="inlineStr">
        <is>
          <t>Private not for Profit</t>
        </is>
      </c>
      <c r="J29" t="inlineStr">
        <is>
          <t>558</t>
        </is>
      </c>
      <c r="K29" t="inlineStr">
        <is>
          <t>552</t>
        </is>
      </c>
      <c r="L29" t="inlineStr">
        <is>
          <t>611-620</t>
        </is>
      </c>
      <c r="M29" t="inlineStr">
        <is>
          <t>601-650</t>
        </is>
      </c>
      <c r="N29" t="inlineStr">
        <is>
          <t>29.5</t>
        </is>
      </c>
      <c r="O29" t="inlineStr">
        <is>
          <t>-</t>
        </is>
      </c>
      <c r="P29" t="n">
        <v>25.6</v>
      </c>
      <c r="Q29" t="inlineStr">
        <is>
          <t>494</t>
        </is>
      </c>
      <c r="R29" t="n">
        <v>20.8</v>
      </c>
      <c r="S29" t="inlineStr">
        <is>
          <t>631</t>
        </is>
      </c>
      <c r="T29" t="n">
        <v>20.8</v>
      </c>
      <c r="U29" t="inlineStr">
        <is>
          <t>801+</t>
        </is>
      </c>
      <c r="V29" t="n">
        <v>17</v>
      </c>
      <c r="W29" t="inlineStr">
        <is>
          <t>764</t>
        </is>
      </c>
      <c r="X29" t="n">
        <v>100</v>
      </c>
      <c r="Y29" t="inlineStr">
        <is>
          <t>1</t>
        </is>
      </c>
      <c r="Z29" t="n">
        <v>100</v>
      </c>
      <c r="AA29" t="inlineStr">
        <is>
          <t>20</t>
        </is>
      </c>
      <c r="AB29" t="n">
        <v>74.40000000000001</v>
      </c>
      <c r="AC29" t="inlineStr">
        <is>
          <t>238</t>
        </is>
      </c>
      <c r="AD29" t="n">
        <v>37.1</v>
      </c>
      <c r="AE29" t="inlineStr">
        <is>
          <t>801+</t>
        </is>
      </c>
      <c r="AF29" t="n">
        <v>7.3</v>
      </c>
      <c r="AG29" t="inlineStr">
        <is>
          <t>801+</t>
        </is>
      </c>
      <c r="AH29" t="n">
        <v>42.9</v>
      </c>
      <c r="AI29" t="inlineStr">
        <is>
          <t>801+</t>
        </is>
      </c>
      <c r="AJ29" t="inlineStr">
        <is>
          <t>17.4</t>
        </is>
      </c>
      <c r="AK29" t="inlineStr">
        <is>
          <t>509</t>
        </is>
      </c>
      <c r="AL29" t="inlineStr">
        <is>
          <t>11.0</t>
        </is>
      </c>
      <c r="AM29" t="inlineStr">
        <is>
          <t>601+</t>
        </is>
      </c>
      <c r="AN29" t="inlineStr">
        <is>
          <t>11.9</t>
        </is>
      </c>
      <c r="AO29" t="inlineStr">
        <is>
          <t>701+</t>
        </is>
      </c>
      <c r="AP29" t="inlineStr">
        <is>
          <t>4.2</t>
        </is>
      </c>
      <c r="AQ29" t="inlineStr">
        <is>
          <t>701+</t>
        </is>
      </c>
      <c r="AR29" t="inlineStr">
        <is>
          <t>100.0</t>
        </is>
      </c>
      <c r="AS29" t="inlineStr">
        <is>
          <t>1</t>
        </is>
      </c>
      <c r="AT29" t="inlineStr">
        <is>
          <t>100.0</t>
        </is>
      </c>
      <c r="AU29" t="inlineStr">
        <is>
          <t>21</t>
        </is>
      </c>
      <c r="AV29" t="inlineStr">
        <is>
          <t>1.4</t>
        </is>
      </c>
      <c r="AW29" t="inlineStr">
        <is>
          <t>701+</t>
        </is>
      </c>
      <c r="AX29" t="inlineStr">
        <is>
          <t>11.4</t>
        </is>
      </c>
      <c r="AY29" t="inlineStr">
        <is>
          <t>701+</t>
        </is>
      </c>
      <c r="AZ29" t="inlineStr">
        <is>
          <t>1</t>
        </is>
      </c>
      <c r="BA29" t="inlineStr">
        <is>
          <t>701+</t>
        </is>
      </c>
    </row>
    <row r="30">
      <c r="A30" t="inlineStr">
        <is>
          <t>Al Azhar University</t>
        </is>
      </c>
      <c r="B30" t="inlineStr">
        <is>
          <t>Egypt</t>
        </is>
      </c>
      <c r="C30" t="inlineStr">
        <is>
          <t>EG</t>
        </is>
      </c>
      <c r="D30" t="inlineStr">
        <is>
          <t>Africa</t>
        </is>
      </c>
      <c r="E30" t="inlineStr">
        <is>
          <t>XL</t>
        </is>
      </c>
      <c r="F30" t="inlineStr">
        <is>
          <t>CO</t>
        </is>
      </c>
      <c r="G30" t="inlineStr">
        <is>
          <t>VH</t>
        </is>
      </c>
      <c r="H30" t="inlineStr">
        <is>
          <t>4</t>
        </is>
      </c>
      <c r="I30" t="inlineStr">
        <is>
          <t>Public</t>
        </is>
      </c>
      <c r="J30" t="inlineStr">
        <is>
          <t>1001-1200</t>
        </is>
      </c>
      <c r="K30" t="inlineStr">
        <is>
          <t>1001-1200</t>
        </is>
      </c>
      <c r="L30" t="inlineStr">
        <is>
          <t>1201-1400</t>
        </is>
      </c>
      <c r="M30" t="inlineStr">
        <is>
          <t>1201-1400</t>
        </is>
      </c>
      <c r="N30" t="inlineStr">
        <is>
          <t>-</t>
        </is>
      </c>
      <c r="O30" t="inlineStr">
        <is>
          <t>-</t>
        </is>
      </c>
      <c r="P30" t="n">
        <v>21.5</v>
      </c>
      <c r="Q30" t="inlineStr">
        <is>
          <t>574</t>
        </is>
      </c>
      <c r="R30" t="n">
        <v>13.9</v>
      </c>
      <c r="S30" t="inlineStr">
        <is>
          <t>701+</t>
        </is>
      </c>
      <c r="T30" t="n">
        <v>14.9</v>
      </c>
      <c r="U30" t="inlineStr">
        <is>
          <t>801+</t>
        </is>
      </c>
      <c r="V30" t="n">
        <v>2</v>
      </c>
      <c r="W30" t="inlineStr">
        <is>
          <t>801+</t>
        </is>
      </c>
      <c r="X30" t="n">
        <v>1.7</v>
      </c>
      <c r="Y30" t="inlineStr">
        <is>
          <t>801+</t>
        </is>
      </c>
      <c r="Z30" t="n">
        <v>16.8</v>
      </c>
      <c r="AA30" t="inlineStr">
        <is>
          <t>782</t>
        </is>
      </c>
      <c r="AB30" t="n">
        <v>12.7</v>
      </c>
      <c r="AC30" t="inlineStr">
        <is>
          <t>801+</t>
        </is>
      </c>
      <c r="AD30" t="n">
        <v>64.40000000000001</v>
      </c>
      <c r="AE30" t="inlineStr">
        <is>
          <t>630</t>
        </is>
      </c>
      <c r="AF30" t="n">
        <v>33.2</v>
      </c>
      <c r="AG30" t="inlineStr">
        <is>
          <t>510</t>
        </is>
      </c>
      <c r="AH30" t="n">
        <v>35.3</v>
      </c>
      <c r="AI30" t="inlineStr">
        <is>
          <t>801+</t>
        </is>
      </c>
      <c r="AJ30" t="inlineStr">
        <is>
          <t>11.2</t>
        </is>
      </c>
      <c r="AK30" t="inlineStr">
        <is>
          <t>601+</t>
        </is>
      </c>
      <c r="AL30" t="inlineStr">
        <is>
          <t>6.8</t>
        </is>
      </c>
      <c r="AM30" t="inlineStr">
        <is>
          <t>601+</t>
        </is>
      </c>
      <c r="AN30" t="inlineStr">
        <is>
          <t>11.1</t>
        </is>
      </c>
      <c r="AO30" t="inlineStr">
        <is>
          <t>701+</t>
        </is>
      </c>
      <c r="AP30" t="inlineStr">
        <is>
          <t>1.3</t>
        </is>
      </c>
      <c r="AQ30" t="inlineStr">
        <is>
          <t>701+</t>
        </is>
      </c>
      <c r="AR30" t="inlineStr">
        <is>
          <t>1.5</t>
        </is>
      </c>
      <c r="AS30" t="inlineStr">
        <is>
          <t>701+</t>
        </is>
      </c>
      <c r="AT30" t="inlineStr">
        <is>
          <t>10.4</t>
        </is>
      </c>
      <c r="AU30" t="inlineStr">
        <is>
          <t>701+</t>
        </is>
      </c>
      <c r="AV30" t="inlineStr">
        <is>
          <t>5.2</t>
        </is>
      </c>
      <c r="AW30" t="inlineStr">
        <is>
          <t>701+</t>
        </is>
      </c>
      <c r="AX30" t="inlineStr">
        <is>
          <t>13.6</t>
        </is>
      </c>
      <c r="AY30" t="inlineStr">
        <is>
          <t>628</t>
        </is>
      </c>
      <c r="AZ30" t="inlineStr">
        <is>
          <t>1.2</t>
        </is>
      </c>
      <c r="BA30" t="inlineStr">
        <is>
          <t>701+</t>
        </is>
      </c>
    </row>
    <row r="31">
      <c r="A31" t="inlineStr">
        <is>
          <t>Al-Balqa Applied University</t>
        </is>
      </c>
      <c r="B31" t="inlineStr">
        <is>
          <t>Jordan</t>
        </is>
      </c>
      <c r="C31" t="inlineStr">
        <is>
          <t>JO</t>
        </is>
      </c>
      <c r="D31" t="inlineStr">
        <is>
          <t>Asia</t>
        </is>
      </c>
      <c r="E31" t="inlineStr">
        <is>
          <t>L</t>
        </is>
      </c>
      <c r="F31" t="inlineStr">
        <is>
          <t>FC</t>
        </is>
      </c>
      <c r="G31" t="inlineStr">
        <is>
          <t>HI</t>
        </is>
      </c>
      <c r="H31" t="inlineStr">
        <is>
          <t>3</t>
        </is>
      </c>
      <c r="I31" t="inlineStr">
        <is>
          <t>Public</t>
        </is>
      </c>
      <c r="J31" t="inlineStr">
        <is>
          <t>1201-1400</t>
        </is>
      </c>
      <c r="K31" t="inlineStr">
        <is>
          <t>1201-1400</t>
        </is>
      </c>
      <c r="L31" t="inlineStr">
        <is>
          <t>1401+</t>
        </is>
      </c>
      <c r="M31" t="inlineStr">
        <is>
          <t>1201-1400</t>
        </is>
      </c>
      <c r="N31" t="inlineStr">
        <is>
          <t>-</t>
        </is>
      </c>
      <c r="O31" t="inlineStr">
        <is>
          <t>-</t>
        </is>
      </c>
      <c r="P31" t="n">
        <v>10.2</v>
      </c>
      <c r="Q31" t="inlineStr">
        <is>
          <t>701+</t>
        </is>
      </c>
      <c r="R31" t="n">
        <v>15.4</v>
      </c>
      <c r="S31" t="inlineStr">
        <is>
          <t>701+</t>
        </is>
      </c>
      <c r="T31" t="n">
        <v>6</v>
      </c>
      <c r="U31" t="inlineStr">
        <is>
          <t>801+</t>
        </is>
      </c>
      <c r="V31" t="n">
        <v>5.8</v>
      </c>
      <c r="W31" t="inlineStr">
        <is>
          <t>801+</t>
        </is>
      </c>
      <c r="X31" t="n">
        <v>15.2</v>
      </c>
      <c r="Y31" t="inlineStr">
        <is>
          <t>801+</t>
        </is>
      </c>
      <c r="Z31" t="n">
        <v>5.2</v>
      </c>
      <c r="AA31" t="inlineStr">
        <is>
          <t>801+</t>
        </is>
      </c>
      <c r="AB31" t="n">
        <v>9.199999999999999</v>
      </c>
      <c r="AC31" t="inlineStr">
        <is>
          <t>801+</t>
        </is>
      </c>
      <c r="AD31" t="n">
        <v>46</v>
      </c>
      <c r="AE31" t="inlineStr">
        <is>
          <t>801+</t>
        </is>
      </c>
      <c r="AF31" t="n">
        <v>5.5</v>
      </c>
      <c r="AG31" t="inlineStr">
        <is>
          <t>801+</t>
        </is>
      </c>
      <c r="AH31" t="n">
        <v>41.8</v>
      </c>
      <c r="AI31" t="inlineStr">
        <is>
          <t>801+</t>
        </is>
      </c>
      <c r="AJ31" t="inlineStr">
        <is>
          <t>5.0</t>
        </is>
      </c>
      <c r="AK31" t="inlineStr">
        <is>
          <t>601+</t>
        </is>
      </c>
      <c r="AL31" t="inlineStr">
        <is>
          <t>6.7</t>
        </is>
      </c>
      <c r="AM31" t="inlineStr">
        <is>
          <t>601+</t>
        </is>
      </c>
      <c r="AN31" t="inlineStr">
        <is>
          <t>4.3</t>
        </is>
      </c>
      <c r="AO31" t="inlineStr">
        <is>
          <t>701+</t>
        </is>
      </c>
      <c r="AP31" t="inlineStr">
        <is>
          <t>2.4</t>
        </is>
      </c>
      <c r="AQ31" t="inlineStr">
        <is>
          <t>701+</t>
        </is>
      </c>
      <c r="AR31" t="inlineStr">
        <is>
          <t>3.8</t>
        </is>
      </c>
      <c r="AS31" t="inlineStr">
        <is>
          <t>701+</t>
        </is>
      </c>
      <c r="AT31" t="inlineStr">
        <is>
          <t>1.8</t>
        </is>
      </c>
      <c r="AU31" t="inlineStr">
        <is>
          <t>701+</t>
        </is>
      </c>
      <c r="AV31" t="inlineStr">
        <is>
          <t>2.0</t>
        </is>
      </c>
      <c r="AW31" t="inlineStr">
        <is>
          <t>701+</t>
        </is>
      </c>
      <c r="AX31" t="inlineStr">
        <is>
          <t>7.6</t>
        </is>
      </c>
      <c r="AY31" t="inlineStr">
        <is>
          <t>701+</t>
        </is>
      </c>
      <c r="AZ31" t="inlineStr">
        <is>
          <t>1</t>
        </is>
      </c>
      <c r="BA31" t="inlineStr">
        <is>
          <t>701+</t>
        </is>
      </c>
    </row>
    <row r="32">
      <c r="A32" t="inlineStr">
        <is>
          <t>Al-Farabi Kazakh National University</t>
        </is>
      </c>
      <c r="B32" t="inlineStr">
        <is>
          <t>Kazakhstan</t>
        </is>
      </c>
      <c r="C32" t="inlineStr">
        <is>
          <t>KZ</t>
        </is>
      </c>
      <c r="D32" t="inlineStr">
        <is>
          <t>Asia</t>
        </is>
      </c>
      <c r="E32" t="inlineStr">
        <is>
          <t>L</t>
        </is>
      </c>
      <c r="F32" t="inlineStr">
        <is>
          <t>FC</t>
        </is>
      </c>
      <c r="G32" t="inlineStr">
        <is>
          <t>HI</t>
        </is>
      </c>
      <c r="H32" t="inlineStr">
        <is>
          <t>4</t>
        </is>
      </c>
      <c r="I32" t="inlineStr">
        <is>
          <t>Public</t>
        </is>
      </c>
      <c r="J32" t="inlineStr">
        <is>
          <t>166</t>
        </is>
      </c>
      <c r="K32" t="inlineStr">
        <is>
          <t>163</t>
        </is>
      </c>
      <c r="L32">
        <f>230</f>
        <v/>
      </c>
      <c r="M32" t="inlineStr">
        <is>
          <t>150</t>
        </is>
      </c>
      <c r="N32" t="inlineStr">
        <is>
          <t>59.8</t>
        </is>
      </c>
      <c r="O32" t="inlineStr">
        <is>
          <t>41.6</t>
        </is>
      </c>
      <c r="P32" t="n">
        <v>60.7</v>
      </c>
      <c r="Q32" t="inlineStr">
        <is>
          <t>172</t>
        </is>
      </c>
      <c r="R32" t="n">
        <v>86.3</v>
      </c>
      <c r="S32" t="inlineStr">
        <is>
          <t>85</t>
        </is>
      </c>
      <c r="T32" t="n">
        <v>99.59999999999999</v>
      </c>
      <c r="U32" t="inlineStr">
        <is>
          <t>36</t>
        </is>
      </c>
      <c r="V32" t="n">
        <v>2.1</v>
      </c>
      <c r="W32" t="inlineStr">
        <is>
          <t>801+</t>
        </is>
      </c>
      <c r="X32" t="n">
        <v>80.90000000000001</v>
      </c>
      <c r="Y32" t="inlineStr">
        <is>
          <t>288</t>
        </is>
      </c>
      <c r="Z32" t="n">
        <v>83.2</v>
      </c>
      <c r="AA32" t="inlineStr">
        <is>
          <t>204</t>
        </is>
      </c>
      <c r="AB32" t="n">
        <v>79.3</v>
      </c>
      <c r="AC32" t="inlineStr">
        <is>
          <t>213</t>
        </is>
      </c>
      <c r="AD32" t="n">
        <v>75.7</v>
      </c>
      <c r="AE32" t="inlineStr">
        <is>
          <t>426</t>
        </is>
      </c>
      <c r="AF32" t="n">
        <v>66.2</v>
      </c>
      <c r="AG32" t="inlineStr">
        <is>
          <t>234</t>
        </is>
      </c>
      <c r="AH32" t="n">
        <v>62.8</v>
      </c>
      <c r="AI32" t="inlineStr">
        <is>
          <t>443</t>
        </is>
      </c>
      <c r="AJ32" t="inlineStr">
        <is>
          <t>51.4</t>
        </is>
      </c>
      <c r="AK32" t="inlineStr">
        <is>
          <t>155</t>
        </is>
      </c>
      <c r="AL32" t="inlineStr">
        <is>
          <t>74.9</t>
        </is>
      </c>
      <c r="AM32" t="inlineStr">
        <is>
          <t>85</t>
        </is>
      </c>
      <c r="AN32" t="inlineStr">
        <is>
          <t>98.9</t>
        </is>
      </c>
      <c r="AO32" t="inlineStr">
        <is>
          <t>38</t>
        </is>
      </c>
      <c r="AP32" t="inlineStr">
        <is>
          <t>1.4</t>
        </is>
      </c>
      <c r="AQ32" t="inlineStr">
        <is>
          <t>701+</t>
        </is>
      </c>
      <c r="AR32" t="inlineStr">
        <is>
          <t>28.8</t>
        </is>
      </c>
      <c r="AS32" t="inlineStr">
        <is>
          <t>497</t>
        </is>
      </c>
      <c r="AT32" t="inlineStr">
        <is>
          <t>34.0</t>
        </is>
      </c>
      <c r="AU32" t="inlineStr">
        <is>
          <t>386</t>
        </is>
      </c>
      <c r="AV32" t="inlineStr">
        <is>
          <t>12.0</t>
        </is>
      </c>
      <c r="AW32" t="inlineStr">
        <is>
          <t>634</t>
        </is>
      </c>
      <c r="AX32" t="inlineStr">
        <is>
          <t>11.5</t>
        </is>
      </c>
      <c r="AY32" t="inlineStr">
        <is>
          <t>701+</t>
        </is>
      </c>
      <c r="AZ32" t="inlineStr">
        <is>
          <t>5.1</t>
        </is>
      </c>
      <c r="BA32" t="inlineStr">
        <is>
          <t>701+</t>
        </is>
      </c>
    </row>
    <row r="33">
      <c r="A33" t="inlineStr">
        <is>
          <t>Al Jouf University</t>
        </is>
      </c>
      <c r="B33" t="inlineStr">
        <is>
          <t>Saudi Arabia</t>
        </is>
      </c>
      <c r="C33" t="inlineStr"/>
      <c r="D33" t="inlineStr">
        <is>
          <t>Asia</t>
        </is>
      </c>
      <c r="E33" t="inlineStr">
        <is>
          <t>M</t>
        </is>
      </c>
      <c r="F33" t="inlineStr">
        <is>
          <t>FC</t>
        </is>
      </c>
      <c r="G33" t="inlineStr">
        <is>
          <t>VH</t>
        </is>
      </c>
      <c r="H33" t="inlineStr"/>
      <c r="I33" t="inlineStr">
        <is>
          <t>Public</t>
        </is>
      </c>
      <c r="J33" t="inlineStr">
        <is>
          <t>901-950</t>
        </is>
      </c>
      <c r="K33" t="inlineStr">
        <is>
          <t>801-850</t>
        </is>
      </c>
      <c r="L33" t="inlineStr"/>
      <c r="M33" t="inlineStr"/>
      <c r="N33" t="inlineStr">
        <is>
          <t>-</t>
        </is>
      </c>
      <c r="O33" t="inlineStr"/>
      <c r="P33" t="n">
        <v>12.6</v>
      </c>
      <c r="Q33" t="inlineStr">
        <is>
          <t>701+</t>
        </is>
      </c>
      <c r="R33" t="n">
        <v>9.800000000000001</v>
      </c>
      <c r="S33" t="inlineStr">
        <is>
          <t>701+</t>
        </is>
      </c>
      <c r="T33" t="n">
        <v>44.8</v>
      </c>
      <c r="U33" t="inlineStr">
        <is>
          <t>440</t>
        </is>
      </c>
      <c r="V33" t="n">
        <v>7</v>
      </c>
      <c r="W33" t="inlineStr">
        <is>
          <t>801+</t>
        </is>
      </c>
      <c r="X33" t="n">
        <v>99.2</v>
      </c>
      <c r="Y33" t="inlineStr">
        <is>
          <t>126</t>
        </is>
      </c>
      <c r="Z33" t="n">
        <v>3.2</v>
      </c>
      <c r="AA33" t="inlineStr">
        <is>
          <t>801+</t>
        </is>
      </c>
      <c r="AB33" t="n">
        <v>7.3</v>
      </c>
      <c r="AC33" t="inlineStr">
        <is>
          <t>801+</t>
        </is>
      </c>
      <c r="AD33" t="n">
        <v>56.9</v>
      </c>
      <c r="AE33" t="inlineStr">
        <is>
          <t>740</t>
        </is>
      </c>
      <c r="AF33" t="n">
        <v>2.9</v>
      </c>
      <c r="AG33" t="inlineStr">
        <is>
          <t>801+</t>
        </is>
      </c>
      <c r="AH33" t="n">
        <v>23.7</v>
      </c>
      <c r="AI33" t="inlineStr">
        <is>
          <t>801+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Al Nahrain University</t>
        </is>
      </c>
      <c r="B34" t="inlineStr">
        <is>
          <t>Iraq</t>
        </is>
      </c>
      <c r="C34" t="inlineStr"/>
      <c r="D34" t="inlineStr">
        <is>
          <t>Asia</t>
        </is>
      </c>
      <c r="E34" t="inlineStr">
        <is>
          <t>M</t>
        </is>
      </c>
      <c r="F34" t="inlineStr">
        <is>
          <t>FO</t>
        </is>
      </c>
      <c r="G34" t="inlineStr">
        <is>
          <t>VH</t>
        </is>
      </c>
      <c r="H34" t="inlineStr"/>
      <c r="I34" t="inlineStr">
        <is>
          <t>Public</t>
        </is>
      </c>
      <c r="J34" t="inlineStr">
        <is>
          <t>951-1000</t>
        </is>
      </c>
      <c r="K34" t="inlineStr"/>
      <c r="L34" t="inlineStr"/>
      <c r="M34" t="inlineStr"/>
      <c r="N34" t="inlineStr">
        <is>
          <t>-</t>
        </is>
      </c>
      <c r="O34" t="inlineStr"/>
      <c r="P34" t="n">
        <v>8.199999999999999</v>
      </c>
      <c r="Q34" t="inlineStr">
        <is>
          <t>701+</t>
        </is>
      </c>
      <c r="R34" t="n">
        <v>24.1</v>
      </c>
      <c r="S34" t="inlineStr">
        <is>
          <t>559</t>
        </is>
      </c>
      <c r="T34" t="n">
        <v>98.90000000000001</v>
      </c>
      <c r="U34" t="inlineStr">
        <is>
          <t>45</t>
        </is>
      </c>
      <c r="V34" t="n">
        <v>3.7</v>
      </c>
      <c r="W34" t="inlineStr">
        <is>
          <t>801+</t>
        </is>
      </c>
      <c r="X34" t="n">
        <v>2.5</v>
      </c>
      <c r="Y34" t="inlineStr">
        <is>
          <t>801+</t>
        </is>
      </c>
      <c r="Z34" t="n">
        <v>1</v>
      </c>
      <c r="AA34" t="inlineStr">
        <is>
          <t>801+</t>
        </is>
      </c>
      <c r="AB34" t="n">
        <v>5.5</v>
      </c>
      <c r="AC34" t="inlineStr">
        <is>
          <t>801+</t>
        </is>
      </c>
      <c r="AD34" t="n">
        <v>15.6</v>
      </c>
      <c r="AE34" t="inlineStr">
        <is>
          <t>801+</t>
        </is>
      </c>
      <c r="AF34" t="n">
        <v>10.1</v>
      </c>
      <c r="AG34" t="inlineStr">
        <is>
          <t>801+</t>
        </is>
      </c>
      <c r="AH34" t="n">
        <v>29.4</v>
      </c>
      <c r="AI34" t="inlineStr">
        <is>
          <t>801+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Al-Quds University</t>
        </is>
      </c>
      <c r="B35" t="inlineStr">
        <is>
          <t>Palestine</t>
        </is>
      </c>
      <c r="C35" t="inlineStr"/>
      <c r="D35" t="inlineStr">
        <is>
          <t>Asia</t>
        </is>
      </c>
      <c r="E35" t="inlineStr">
        <is>
          <t>M</t>
        </is>
      </c>
      <c r="F35" t="inlineStr">
        <is>
          <t>FC</t>
        </is>
      </c>
      <c r="G35" t="inlineStr">
        <is>
          <t>MD</t>
        </is>
      </c>
      <c r="H35" t="inlineStr"/>
      <c r="I35" t="inlineStr">
        <is>
          <t>Public</t>
        </is>
      </c>
      <c r="J35" t="inlineStr">
        <is>
          <t>951-1000</t>
        </is>
      </c>
      <c r="K35" t="inlineStr">
        <is>
          <t>851-900</t>
        </is>
      </c>
      <c r="L35" t="inlineStr"/>
      <c r="M35" t="inlineStr"/>
      <c r="N35" t="inlineStr">
        <is>
          <t>-</t>
        </is>
      </c>
      <c r="O35" t="inlineStr"/>
      <c r="P35" t="n">
        <v>10.1</v>
      </c>
      <c r="Q35" t="inlineStr">
        <is>
          <t>701+</t>
        </is>
      </c>
      <c r="R35" t="n">
        <v>20.5</v>
      </c>
      <c r="S35" t="inlineStr">
        <is>
          <t>644</t>
        </is>
      </c>
      <c r="T35" t="n">
        <v>19.4</v>
      </c>
      <c r="U35" t="inlineStr">
        <is>
          <t>801+</t>
        </is>
      </c>
      <c r="V35" t="n">
        <v>2.8</v>
      </c>
      <c r="W35" t="inlineStr">
        <is>
          <t>801+</t>
        </is>
      </c>
      <c r="X35" t="n">
        <v>72.3</v>
      </c>
      <c r="Y35" t="inlineStr">
        <is>
          <t>327</t>
        </is>
      </c>
      <c r="Z35" t="n">
        <v>90.5</v>
      </c>
      <c r="AA35" t="inlineStr">
        <is>
          <t>163</t>
        </is>
      </c>
      <c r="AB35" t="n">
        <v>76.3</v>
      </c>
      <c r="AC35" t="inlineStr">
        <is>
          <t>229</t>
        </is>
      </c>
      <c r="AD35" t="n">
        <v>15</v>
      </c>
      <c r="AE35" t="inlineStr">
        <is>
          <t>801+</t>
        </is>
      </c>
      <c r="AF35" t="n">
        <v>12.3</v>
      </c>
      <c r="AG35" t="inlineStr">
        <is>
          <t>801+</t>
        </is>
      </c>
      <c r="AH35" t="n">
        <v>40.1</v>
      </c>
      <c r="AI35" t="inlineStr">
        <is>
          <t>801+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Al Quds University The Arab University in Jerusalem</t>
        </is>
      </c>
      <c r="B36" t="inlineStr">
        <is>
          <t>Palestinian Territory, Occupied</t>
        </is>
      </c>
      <c r="C36" t="inlineStr">
        <is>
          <t>PS</t>
        </is>
      </c>
      <c r="D36" t="inlineStr"/>
      <c r="E36" t="inlineStr">
        <is>
          <t>M</t>
        </is>
      </c>
      <c r="F36" t="inlineStr">
        <is>
          <t>FC</t>
        </is>
      </c>
      <c r="G36" t="inlineStr">
        <is>
          <t>MD</t>
        </is>
      </c>
      <c r="H36" t="inlineStr">
        <is>
          <t>3</t>
        </is>
      </c>
      <c r="I36" t="inlineStr">
        <is>
          <t>A</t>
        </is>
      </c>
      <c r="J36" t="inlineStr"/>
      <c r="K36" t="inlineStr"/>
      <c r="L36" t="inlineStr">
        <is>
          <t>1001-1200</t>
        </is>
      </c>
      <c r="M36" t="inlineStr">
        <is>
          <t>1001-1200</t>
        </is>
      </c>
      <c r="N36" t="inlineStr"/>
      <c r="O36" t="inlineStr">
        <is>
          <t>-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4.2</t>
        </is>
      </c>
      <c r="AK36" t="inlineStr">
        <is>
          <t>601+</t>
        </is>
      </c>
      <c r="AL36" t="inlineStr">
        <is>
          <t>10.7</t>
        </is>
      </c>
      <c r="AM36" t="inlineStr">
        <is>
          <t>601+</t>
        </is>
      </c>
      <c r="AN36" t="inlineStr">
        <is>
          <t>11.3</t>
        </is>
      </c>
      <c r="AO36" t="inlineStr">
        <is>
          <t>701+</t>
        </is>
      </c>
      <c r="AP36" t="inlineStr">
        <is>
          <t>1.6</t>
        </is>
      </c>
      <c r="AQ36" t="inlineStr">
        <is>
          <t>701+</t>
        </is>
      </c>
      <c r="AR36" t="inlineStr">
        <is>
          <t>55.1</t>
        </is>
      </c>
      <c r="AS36" t="inlineStr">
        <is>
          <t>335</t>
        </is>
      </c>
      <c r="AT36" t="inlineStr">
        <is>
          <t>34.5</t>
        </is>
      </c>
      <c r="AU36" t="inlineStr">
        <is>
          <t>384</t>
        </is>
      </c>
      <c r="AV36" t="inlineStr">
        <is>
          <t>1.1</t>
        </is>
      </c>
      <c r="AW36" t="inlineStr">
        <is>
          <t>701+</t>
        </is>
      </c>
      <c r="AX36" t="inlineStr">
        <is>
          <t>12.3</t>
        </is>
      </c>
      <c r="AY36" t="inlineStr">
        <is>
          <t>701+</t>
        </is>
      </c>
      <c r="AZ36" t="inlineStr">
        <is>
          <t>1</t>
        </is>
      </c>
      <c r="BA36" t="inlineStr">
        <is>
          <t>701+</t>
        </is>
      </c>
    </row>
    <row r="37">
      <c r="A37" t="inlineStr">
        <is>
          <t>Al Zaytoonah University</t>
        </is>
      </c>
      <c r="B37" t="inlineStr">
        <is>
          <t>Jordan</t>
        </is>
      </c>
      <c r="C37" t="inlineStr"/>
      <c r="D37" t="inlineStr">
        <is>
          <t>Asia</t>
        </is>
      </c>
      <c r="E37" t="inlineStr">
        <is>
          <t>M</t>
        </is>
      </c>
      <c r="F37" t="inlineStr">
        <is>
          <t>CO</t>
        </is>
      </c>
      <c r="G37" t="inlineStr">
        <is>
          <t>HI</t>
        </is>
      </c>
      <c r="H37" t="inlineStr"/>
      <c r="I37" t="inlineStr">
        <is>
          <t>Private not for Profit</t>
        </is>
      </c>
      <c r="J37" t="inlineStr">
        <is>
          <t>1201-1400</t>
        </is>
      </c>
      <c r="K37" t="inlineStr"/>
      <c r="L37" t="inlineStr"/>
      <c r="M37" t="inlineStr"/>
      <c r="N37" t="inlineStr">
        <is>
          <t>-</t>
        </is>
      </c>
      <c r="O37" t="inlineStr"/>
      <c r="P37" t="n">
        <v>5.9</v>
      </c>
      <c r="Q37" t="inlineStr">
        <is>
          <t>701+</t>
        </is>
      </c>
      <c r="R37" t="n">
        <v>7.7</v>
      </c>
      <c r="S37" t="inlineStr">
        <is>
          <t>701+</t>
        </is>
      </c>
      <c r="T37" t="n">
        <v>4.9</v>
      </c>
      <c r="U37" t="inlineStr">
        <is>
          <t>801+</t>
        </is>
      </c>
      <c r="V37" t="n">
        <v>8.1</v>
      </c>
      <c r="W37" t="inlineStr">
        <is>
          <t>801+</t>
        </is>
      </c>
      <c r="X37" t="n">
        <v>26.9</v>
      </c>
      <c r="Y37" t="inlineStr">
        <is>
          <t>628</t>
        </is>
      </c>
      <c r="Z37" t="n">
        <v>52.4</v>
      </c>
      <c r="AA37" t="inlineStr">
        <is>
          <t>394</t>
        </is>
      </c>
      <c r="AB37" t="n">
        <v>48.3</v>
      </c>
      <c r="AC37" t="inlineStr">
        <is>
          <t>432</t>
        </is>
      </c>
      <c r="AD37" t="n">
        <v>16.8</v>
      </c>
      <c r="AE37" t="inlineStr">
        <is>
          <t>801+</t>
        </is>
      </c>
      <c r="AF37" t="n">
        <v>5.3</v>
      </c>
      <c r="AG37" t="inlineStr">
        <is>
          <t>801+</t>
        </is>
      </c>
      <c r="AH37" t="n">
        <v>14.1</v>
      </c>
      <c r="AI37" t="inlineStr">
        <is>
          <t>801+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Albert-Ludwigs-Universitaet Freiburg</t>
        </is>
      </c>
      <c r="B38" t="inlineStr">
        <is>
          <t>Germany</t>
        </is>
      </c>
      <c r="C38" t="inlineStr">
        <is>
          <t>DE</t>
        </is>
      </c>
      <c r="D38" t="inlineStr"/>
      <c r="E38" t="inlineStr">
        <is>
          <t>L</t>
        </is>
      </c>
      <c r="F38" t="inlineStr">
        <is>
          <t>FC</t>
        </is>
      </c>
      <c r="G38" t="inlineStr">
        <is>
          <t>VH</t>
        </is>
      </c>
      <c r="H38" t="inlineStr">
        <is>
          <t>5</t>
        </is>
      </c>
      <c r="I38" t="inlineStr">
        <is>
          <t>A</t>
        </is>
      </c>
      <c r="J38" t="inlineStr"/>
      <c r="K38" t="inlineStr"/>
      <c r="L38">
        <f>192</f>
        <v/>
      </c>
      <c r="M38" t="inlineStr">
        <is>
          <t>189</t>
        </is>
      </c>
      <c r="N38" t="inlineStr"/>
      <c r="O38" t="inlineStr">
        <is>
          <t>46.7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46.1</t>
        </is>
      </c>
      <c r="AK38" t="inlineStr">
        <is>
          <t>179</t>
        </is>
      </c>
      <c r="AL38" t="inlineStr">
        <is>
          <t>19.8</t>
        </is>
      </c>
      <c r="AM38" t="inlineStr">
        <is>
          <t>460</t>
        </is>
      </c>
      <c r="AN38" t="inlineStr">
        <is>
          <t>29.1</t>
        </is>
      </c>
      <c r="AO38" t="inlineStr">
        <is>
          <t>531</t>
        </is>
      </c>
      <c r="AP38" t="inlineStr">
        <is>
          <t>63.3</t>
        </is>
      </c>
      <c r="AQ38" t="inlineStr">
        <is>
          <t>187</t>
        </is>
      </c>
      <c r="AR38" t="inlineStr">
        <is>
          <t>68.8</t>
        </is>
      </c>
      <c r="AS38" t="inlineStr">
        <is>
          <t>281</t>
        </is>
      </c>
      <c r="AT38" t="inlineStr">
        <is>
          <t>36.3</t>
        </is>
      </c>
      <c r="AU38" t="inlineStr">
        <is>
          <t>371</t>
        </is>
      </c>
      <c r="AV38" t="inlineStr">
        <is>
          <t>82.7</t>
        </is>
      </c>
      <c r="AW38" t="inlineStr">
        <is>
          <t>131</t>
        </is>
      </c>
      <c r="AX38" t="inlineStr">
        <is>
          <t>25.3</t>
        </is>
      </c>
      <c r="AY38" t="inlineStr">
        <is>
          <t>328</t>
        </is>
      </c>
      <c r="AZ38" t="inlineStr">
        <is>
          <t>68.2</t>
        </is>
      </c>
      <c r="BA38" t="inlineStr">
        <is>
          <t>213</t>
        </is>
      </c>
    </row>
    <row r="39">
      <c r="A39" t="inlineStr">
        <is>
          <t>Alexandria University</t>
        </is>
      </c>
      <c r="B39" t="inlineStr">
        <is>
          <t>Egypt</t>
        </is>
      </c>
      <c r="C39" t="inlineStr">
        <is>
          <t>EG</t>
        </is>
      </c>
      <c r="D39" t="inlineStr">
        <is>
          <t>Africa</t>
        </is>
      </c>
      <c r="E39" t="inlineStr">
        <is>
          <t>XL</t>
        </is>
      </c>
      <c r="F39" t="inlineStr">
        <is>
          <t>FC</t>
        </is>
      </c>
      <c r="G39" t="inlineStr">
        <is>
          <t>VH</t>
        </is>
      </c>
      <c r="H39" t="inlineStr">
        <is>
          <t>4</t>
        </is>
      </c>
      <c r="I39" t="inlineStr">
        <is>
          <t>Public</t>
        </is>
      </c>
      <c r="J39" t="inlineStr">
        <is>
          <t>781-790</t>
        </is>
      </c>
      <c r="K39" t="inlineStr">
        <is>
          <t>801-850</t>
        </is>
      </c>
      <c r="L39" t="inlineStr">
        <is>
          <t>901-950</t>
        </is>
      </c>
      <c r="M39" t="inlineStr">
        <is>
          <t>1001-1200</t>
        </is>
      </c>
      <c r="N39" t="inlineStr">
        <is>
          <t>-</t>
        </is>
      </c>
      <c r="O39" t="inlineStr">
        <is>
          <t>-</t>
        </is>
      </c>
      <c r="P39" t="n">
        <v>32.7</v>
      </c>
      <c r="Q39" t="inlineStr">
        <is>
          <t>376</t>
        </is>
      </c>
      <c r="R39" t="n">
        <v>24.2</v>
      </c>
      <c r="S39" t="inlineStr">
        <is>
          <t>555</t>
        </is>
      </c>
      <c r="T39" t="n">
        <v>7.2</v>
      </c>
      <c r="U39" t="inlineStr">
        <is>
          <t>801+</t>
        </is>
      </c>
      <c r="V39" t="n">
        <v>3.5</v>
      </c>
      <c r="W39" t="inlineStr">
        <is>
          <t>801+</t>
        </is>
      </c>
      <c r="X39" t="n">
        <v>1.9</v>
      </c>
      <c r="Y39" t="inlineStr">
        <is>
          <t>801+</t>
        </is>
      </c>
      <c r="Z39" t="n">
        <v>13.6</v>
      </c>
      <c r="AA39" t="inlineStr">
        <is>
          <t>801+</t>
        </is>
      </c>
      <c r="AB39" t="n">
        <v>19</v>
      </c>
      <c r="AC39" t="inlineStr">
        <is>
          <t>780</t>
        </is>
      </c>
      <c r="AD39" t="n">
        <v>80.7</v>
      </c>
      <c r="AE39" t="inlineStr">
        <is>
          <t>341</t>
        </is>
      </c>
      <c r="AF39" t="n">
        <v>33</v>
      </c>
      <c r="AG39" t="inlineStr">
        <is>
          <t>514</t>
        </is>
      </c>
      <c r="AH39" t="n">
        <v>56.6</v>
      </c>
      <c r="AI39" t="inlineStr">
        <is>
          <t>568=</t>
        </is>
      </c>
      <c r="AJ39" t="inlineStr">
        <is>
          <t>21.5</t>
        </is>
      </c>
      <c r="AK39" t="inlineStr">
        <is>
          <t>400</t>
        </is>
      </c>
      <c r="AL39" t="inlineStr">
        <is>
          <t>13.1</t>
        </is>
      </c>
      <c r="AM39" t="inlineStr">
        <is>
          <t>601+</t>
        </is>
      </c>
      <c r="AN39" t="inlineStr">
        <is>
          <t>5.0</t>
        </is>
      </c>
      <c r="AO39" t="inlineStr">
        <is>
          <t>701+</t>
        </is>
      </c>
      <c r="AP39" t="inlineStr">
        <is>
          <t>1.9</t>
        </is>
      </c>
      <c r="AQ39" t="inlineStr">
        <is>
          <t>701+</t>
        </is>
      </c>
      <c r="AR39" t="inlineStr">
        <is>
          <t>1.7</t>
        </is>
      </c>
      <c r="AS39" t="inlineStr">
        <is>
          <t>701+</t>
        </is>
      </c>
      <c r="AT39" t="inlineStr">
        <is>
          <t>5.0</t>
        </is>
      </c>
      <c r="AU39" t="inlineStr">
        <is>
          <t>701+</t>
        </is>
      </c>
      <c r="AV39" t="inlineStr">
        <is>
          <t>28.7</t>
        </is>
      </c>
      <c r="AW39" t="inlineStr">
        <is>
          <t>466</t>
        </is>
      </c>
      <c r="AX39" t="inlineStr">
        <is>
          <t>13.5</t>
        </is>
      </c>
      <c r="AY39" t="inlineStr">
        <is>
          <t>635</t>
        </is>
      </c>
      <c r="AZ39" t="inlineStr">
        <is>
          <t>2.7</t>
        </is>
      </c>
      <c r="BA39" t="inlineStr">
        <is>
          <t>701+</t>
        </is>
      </c>
    </row>
    <row r="40">
      <c r="A40" t="inlineStr">
        <is>
          <t>Alexandru Ioan Cuza University</t>
        </is>
      </c>
      <c r="B40" t="inlineStr">
        <is>
          <t>Romania</t>
        </is>
      </c>
      <c r="C40" t="inlineStr">
        <is>
          <t>RO</t>
        </is>
      </c>
      <c r="D40" t="inlineStr">
        <is>
          <t>Europe</t>
        </is>
      </c>
      <c r="E40" t="inlineStr">
        <is>
          <t>L</t>
        </is>
      </c>
      <c r="F40" t="inlineStr">
        <is>
          <t>CO</t>
        </is>
      </c>
      <c r="G40" t="inlineStr">
        <is>
          <t>HI</t>
        </is>
      </c>
      <c r="H40" t="inlineStr">
        <is>
          <t>5</t>
        </is>
      </c>
      <c r="I40" t="inlineStr">
        <is>
          <t>Public</t>
        </is>
      </c>
      <c r="J40" t="inlineStr">
        <is>
          <t>1001-1200</t>
        </is>
      </c>
      <c r="K40" t="inlineStr">
        <is>
          <t>1201-1400</t>
        </is>
      </c>
      <c r="L40" t="inlineStr">
        <is>
          <t>1201-1400</t>
        </is>
      </c>
      <c r="M40" t="inlineStr">
        <is>
          <t>1201-1400</t>
        </is>
      </c>
      <c r="N40" t="inlineStr">
        <is>
          <t>-</t>
        </is>
      </c>
      <c r="O40" t="inlineStr">
        <is>
          <t>-</t>
        </is>
      </c>
      <c r="P40" t="n">
        <v>11.7</v>
      </c>
      <c r="Q40" t="inlineStr">
        <is>
          <t>701+</t>
        </is>
      </c>
      <c r="R40" t="n">
        <v>20.6</v>
      </c>
      <c r="S40" t="inlineStr">
        <is>
          <t>641</t>
        </is>
      </c>
      <c r="T40" t="n">
        <v>7.8</v>
      </c>
      <c r="U40" t="inlineStr">
        <is>
          <t>801+</t>
        </is>
      </c>
      <c r="V40" t="n">
        <v>5.8</v>
      </c>
      <c r="W40" t="inlineStr">
        <is>
          <t>801+</t>
        </is>
      </c>
      <c r="X40" t="n">
        <v>4.6</v>
      </c>
      <c r="Y40" t="inlineStr">
        <is>
          <t>801+</t>
        </is>
      </c>
      <c r="Z40" t="n">
        <v>17</v>
      </c>
      <c r="AA40" t="inlineStr">
        <is>
          <t>779</t>
        </is>
      </c>
      <c r="AB40" t="n">
        <v>21.4</v>
      </c>
      <c r="AC40" t="inlineStr">
        <is>
          <t>742</t>
        </is>
      </c>
      <c r="AD40" t="n">
        <v>49.1</v>
      </c>
      <c r="AE40" t="inlineStr">
        <is>
          <t>801+</t>
        </is>
      </c>
      <c r="AF40" t="n">
        <v>23.1</v>
      </c>
      <c r="AG40" t="inlineStr">
        <is>
          <t>668</t>
        </is>
      </c>
      <c r="AH40" t="n">
        <v>48.7</v>
      </c>
      <c r="AI40" t="inlineStr">
        <is>
          <t>737=</t>
        </is>
      </c>
      <c r="AJ40" t="inlineStr">
        <is>
          <t>8.0</t>
        </is>
      </c>
      <c r="AK40" t="inlineStr">
        <is>
          <t>601+</t>
        </is>
      </c>
      <c r="AL40" t="inlineStr">
        <is>
          <t>8.0</t>
        </is>
      </c>
      <c r="AM40" t="inlineStr">
        <is>
          <t>601+</t>
        </is>
      </c>
      <c r="AN40" t="inlineStr">
        <is>
          <t>5.3</t>
        </is>
      </c>
      <c r="AO40" t="inlineStr">
        <is>
          <t>701+</t>
        </is>
      </c>
      <c r="AP40" t="inlineStr">
        <is>
          <t>2.9</t>
        </is>
      </c>
      <c r="AQ40" t="inlineStr">
        <is>
          <t>701+</t>
        </is>
      </c>
      <c r="AR40" t="inlineStr">
        <is>
          <t>3.6</t>
        </is>
      </c>
      <c r="AS40" t="inlineStr">
        <is>
          <t>701+</t>
        </is>
      </c>
      <c r="AT40" t="inlineStr">
        <is>
          <t>10.9</t>
        </is>
      </c>
      <c r="AU40" t="inlineStr">
        <is>
          <t>693</t>
        </is>
      </c>
      <c r="AV40" t="inlineStr">
        <is>
          <t>1.8</t>
        </is>
      </c>
      <c r="AW40" t="inlineStr">
        <is>
          <t>701+</t>
        </is>
      </c>
      <c r="AX40" t="inlineStr">
        <is>
          <t>8</t>
        </is>
      </c>
      <c r="AY40" t="inlineStr">
        <is>
          <t>701+</t>
        </is>
      </c>
      <c r="AZ40" t="inlineStr">
        <is>
          <t>1.2</t>
        </is>
      </c>
      <c r="BA40" t="inlineStr">
        <is>
          <t>701+</t>
        </is>
      </c>
    </row>
    <row r="41">
      <c r="A41" t="inlineStr">
        <is>
          <t>Alfaisal University</t>
        </is>
      </c>
      <c r="B41" t="inlineStr">
        <is>
          <t>Saudi Arabia</t>
        </is>
      </c>
      <c r="C41" t="inlineStr">
        <is>
          <t>SA</t>
        </is>
      </c>
      <c r="D41" t="inlineStr">
        <is>
          <t>Asia</t>
        </is>
      </c>
      <c r="E41" t="inlineStr">
        <is>
          <t>S</t>
        </is>
      </c>
      <c r="F41" t="inlineStr">
        <is>
          <t>FO</t>
        </is>
      </c>
      <c r="G41" t="inlineStr">
        <is>
          <t>VH</t>
        </is>
      </c>
      <c r="H41" t="inlineStr">
        <is>
          <t>2</t>
        </is>
      </c>
      <c r="I41" t="inlineStr">
        <is>
          <t>Private not for Profit</t>
        </is>
      </c>
      <c r="J41" t="inlineStr">
        <is>
          <t>801-850</t>
        </is>
      </c>
      <c r="K41" t="inlineStr">
        <is>
          <t>791-800</t>
        </is>
      </c>
      <c r="L41" t="inlineStr">
        <is>
          <t>731-740</t>
        </is>
      </c>
      <c r="M41" t="inlineStr">
        <is>
          <t>651-700</t>
        </is>
      </c>
      <c r="N41" t="inlineStr">
        <is>
          <t>-</t>
        </is>
      </c>
      <c r="O41" t="inlineStr">
        <is>
          <t>-</t>
        </is>
      </c>
      <c r="P41" t="n">
        <v>7.9</v>
      </c>
      <c r="Q41" t="inlineStr">
        <is>
          <t>701+</t>
        </is>
      </c>
      <c r="R41" t="n">
        <v>5.9</v>
      </c>
      <c r="S41" t="inlineStr">
        <is>
          <t>701+</t>
        </is>
      </c>
      <c r="T41" t="n">
        <v>31.7</v>
      </c>
      <c r="U41" t="inlineStr">
        <is>
          <t>605</t>
        </is>
      </c>
      <c r="V41" t="n">
        <v>21.8</v>
      </c>
      <c r="W41" t="inlineStr">
        <is>
          <t>687</t>
        </is>
      </c>
      <c r="X41" t="n">
        <v>100</v>
      </c>
      <c r="Y41" t="inlineStr">
        <is>
          <t>29</t>
        </is>
      </c>
      <c r="Z41" t="n">
        <v>96.7</v>
      </c>
      <c r="AA41" t="inlineStr">
        <is>
          <t>102</t>
        </is>
      </c>
      <c r="AB41" t="n">
        <v>92.40000000000001</v>
      </c>
      <c r="AC41" t="inlineStr">
        <is>
          <t>127</t>
        </is>
      </c>
      <c r="AD41" t="n">
        <v>28.1</v>
      </c>
      <c r="AE41" t="inlineStr">
        <is>
          <t>801+</t>
        </is>
      </c>
      <c r="AF41" t="n">
        <v>5.7</v>
      </c>
      <c r="AG41" t="inlineStr">
        <is>
          <t>801+</t>
        </is>
      </c>
      <c r="AH41" t="n">
        <v>31</v>
      </c>
      <c r="AI41" t="inlineStr">
        <is>
          <t>801+</t>
        </is>
      </c>
      <c r="AJ41" t="inlineStr">
        <is>
          <t>3.9</t>
        </is>
      </c>
      <c r="AK41" t="inlineStr">
        <is>
          <t>601+</t>
        </is>
      </c>
      <c r="AL41" t="inlineStr">
        <is>
          <t>3.2</t>
        </is>
      </c>
      <c r="AM41" t="inlineStr">
        <is>
          <t>601+</t>
        </is>
      </c>
      <c r="AN41" t="inlineStr">
        <is>
          <t>23.9</t>
        </is>
      </c>
      <c r="AO41" t="inlineStr">
        <is>
          <t>594</t>
        </is>
      </c>
      <c r="AP41" t="inlineStr">
        <is>
          <t>10.7</t>
        </is>
      </c>
      <c r="AQ41" t="inlineStr">
        <is>
          <t>701+</t>
        </is>
      </c>
      <c r="AR41" t="inlineStr">
        <is>
          <t>100.0</t>
        </is>
      </c>
      <c r="AS41" t="inlineStr">
        <is>
          <t>26</t>
        </is>
      </c>
      <c r="AT41" t="inlineStr">
        <is>
          <t>89.4</t>
        </is>
      </c>
      <c r="AU41" t="inlineStr">
        <is>
          <t>120</t>
        </is>
      </c>
      <c r="AV41" t="inlineStr">
        <is>
          <t>1.1</t>
        </is>
      </c>
      <c r="AW41" t="inlineStr">
        <is>
          <t>701+</t>
        </is>
      </c>
      <c r="AX41" t="inlineStr">
        <is>
          <t>9.2</t>
        </is>
      </c>
      <c r="AY41" t="inlineStr">
        <is>
          <t>701+</t>
        </is>
      </c>
      <c r="AZ41" t="inlineStr">
        <is>
          <t>1.2</t>
        </is>
      </c>
      <c r="BA41" t="inlineStr">
        <is>
          <t>701+</t>
        </is>
      </c>
    </row>
    <row r="42">
      <c r="A42" t="inlineStr">
        <is>
          <t>Aligarh Muslim University</t>
        </is>
      </c>
      <c r="B42" t="inlineStr">
        <is>
          <t>India</t>
        </is>
      </c>
      <c r="C42" t="inlineStr">
        <is>
          <t>IN</t>
        </is>
      </c>
      <c r="D42" t="inlineStr"/>
      <c r="E42" t="inlineStr">
        <is>
          <t>L</t>
        </is>
      </c>
      <c r="F42" t="inlineStr">
        <is>
          <t>CO</t>
        </is>
      </c>
      <c r="G42" t="inlineStr">
        <is>
          <t>VH</t>
        </is>
      </c>
      <c r="H42" t="inlineStr">
        <is>
          <t>5</t>
        </is>
      </c>
      <c r="I42" t="inlineStr">
        <is>
          <t>A</t>
        </is>
      </c>
      <c r="J42" t="inlineStr"/>
      <c r="K42" t="inlineStr"/>
      <c r="L42" t="inlineStr">
        <is>
          <t>1001-1200</t>
        </is>
      </c>
      <c r="M42" t="inlineStr">
        <is>
          <t>1001-1200</t>
        </is>
      </c>
      <c r="N42" t="inlineStr"/>
      <c r="O42" t="inlineStr">
        <is>
          <t>-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9.7</t>
        </is>
      </c>
      <c r="AK42" t="inlineStr">
        <is>
          <t>601+</t>
        </is>
      </c>
      <c r="AL42" t="inlineStr">
        <is>
          <t>2.5</t>
        </is>
      </c>
      <c r="AM42" t="inlineStr">
        <is>
          <t>601+</t>
        </is>
      </c>
      <c r="AN42" t="inlineStr">
        <is>
          <t>20.8</t>
        </is>
      </c>
      <c r="AO42" t="inlineStr">
        <is>
          <t>651</t>
        </is>
      </c>
      <c r="AP42" t="inlineStr">
        <is>
          <t>10.2</t>
        </is>
      </c>
      <c r="AQ42" t="inlineStr">
        <is>
          <t>701+</t>
        </is>
      </c>
      <c r="AR42" t="inlineStr">
        <is>
          <t>1.2</t>
        </is>
      </c>
      <c r="AS42" t="inlineStr">
        <is>
          <t>701+</t>
        </is>
      </c>
      <c r="AT42" t="inlineStr">
        <is>
          <t>1.7</t>
        </is>
      </c>
      <c r="AU42" t="inlineStr">
        <is>
          <t>701+</t>
        </is>
      </c>
      <c r="AV42" t="inlineStr">
        <is>
          <t>5.0</t>
        </is>
      </c>
      <c r="AW42" t="inlineStr">
        <is>
          <t>701+</t>
        </is>
      </c>
      <c r="AX42" t="inlineStr">
        <is>
          <t>6.1</t>
        </is>
      </c>
      <c r="AY42" t="inlineStr">
        <is>
          <t>701+</t>
        </is>
      </c>
      <c r="AZ42" t="inlineStr">
        <is>
          <t>17.1</t>
        </is>
      </c>
      <c r="BA42" t="inlineStr">
        <is>
          <t>579=</t>
        </is>
      </c>
    </row>
    <row r="43">
      <c r="A43" t="inlineStr">
        <is>
          <t>Aligarh Muslim University (AMU), Aligarh</t>
        </is>
      </c>
      <c r="B43" t="inlineStr">
        <is>
          <t>India</t>
        </is>
      </c>
      <c r="C43" t="inlineStr"/>
      <c r="D43" t="inlineStr">
        <is>
          <t>Asia</t>
        </is>
      </c>
      <c r="E43" t="inlineStr">
        <is>
          <t>L</t>
        </is>
      </c>
      <c r="F43" t="inlineStr">
        <is>
          <t>CO</t>
        </is>
      </c>
      <c r="G43" t="inlineStr">
        <is>
          <t>VH</t>
        </is>
      </c>
      <c r="H43" t="inlineStr"/>
      <c r="I43" t="inlineStr">
        <is>
          <t>Public</t>
        </is>
      </c>
      <c r="J43" t="inlineStr">
        <is>
          <t>1001-1200</t>
        </is>
      </c>
      <c r="K43" t="inlineStr">
        <is>
          <t>1001-1200</t>
        </is>
      </c>
      <c r="L43" t="inlineStr"/>
      <c r="M43" t="inlineStr"/>
      <c r="N43" t="inlineStr">
        <is>
          <t>-</t>
        </is>
      </c>
      <c r="O43" t="inlineStr"/>
      <c r="P43" t="n">
        <v>15.4</v>
      </c>
      <c r="Q43" t="inlineStr">
        <is>
          <t>701+</t>
        </is>
      </c>
      <c r="R43" t="n">
        <v>5.3</v>
      </c>
      <c r="S43" t="inlineStr">
        <is>
          <t>701+</t>
        </is>
      </c>
      <c r="T43" t="n">
        <v>18.4</v>
      </c>
      <c r="U43" t="inlineStr">
        <is>
          <t>801+</t>
        </is>
      </c>
      <c r="V43" t="n">
        <v>24.7</v>
      </c>
      <c r="W43" t="inlineStr">
        <is>
          <t>645</t>
        </is>
      </c>
      <c r="X43" t="inlineStr"/>
      <c r="Y43" t="inlineStr"/>
      <c r="Z43" t="n">
        <v>1.8</v>
      </c>
      <c r="AA43" t="inlineStr">
        <is>
          <t>801+</t>
        </is>
      </c>
      <c r="AB43" t="n">
        <v>6.2</v>
      </c>
      <c r="AC43" t="inlineStr">
        <is>
          <t>801+</t>
        </is>
      </c>
      <c r="AD43" t="n">
        <v>64.8</v>
      </c>
      <c r="AE43" t="inlineStr">
        <is>
          <t>622</t>
        </is>
      </c>
      <c r="AF43" t="n">
        <v>3.2</v>
      </c>
      <c r="AG43" t="inlineStr">
        <is>
          <t>801+</t>
        </is>
      </c>
      <c r="AH43" t="n">
        <v>45.8</v>
      </c>
      <c r="AI43" t="inlineStr">
        <is>
          <t>801+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Alma Mater Studiorum - University of Bologna</t>
        </is>
      </c>
      <c r="B44" t="inlineStr">
        <is>
          <t>Italy</t>
        </is>
      </c>
      <c r="C44" t="inlineStr">
        <is>
          <t>IT</t>
        </is>
      </c>
      <c r="D44" t="inlineStr">
        <is>
          <t>Europe</t>
        </is>
      </c>
      <c r="E44" t="inlineStr">
        <is>
          <t>XL</t>
        </is>
      </c>
      <c r="F44" t="inlineStr">
        <is>
          <t>FC</t>
        </is>
      </c>
      <c r="G44" t="inlineStr">
        <is>
          <t>VH</t>
        </is>
      </c>
      <c r="H44" t="inlineStr">
        <is>
          <t>5</t>
        </is>
      </c>
      <c r="I44" t="inlineStr">
        <is>
          <t>Public</t>
        </is>
      </c>
      <c r="J44" t="inlineStr">
        <is>
          <t>138</t>
        </is>
      </c>
      <c r="K44" t="inlineStr">
        <is>
          <t>133</t>
        </is>
      </c>
      <c r="L44">
        <f>154</f>
        <v/>
      </c>
      <c r="M44" t="inlineStr">
        <is>
          <t>167=</t>
        </is>
      </c>
      <c r="N44" t="inlineStr">
        <is>
          <t>63.3</t>
        </is>
      </c>
      <c r="O44" t="inlineStr">
        <is>
          <t>50.5</t>
        </is>
      </c>
      <c r="P44" t="n">
        <v>90.59999999999999</v>
      </c>
      <c r="Q44" t="inlineStr">
        <is>
          <t>66</t>
        </is>
      </c>
      <c r="R44" t="n">
        <v>67.5</v>
      </c>
      <c r="S44" t="inlineStr">
        <is>
          <t>156</t>
        </is>
      </c>
      <c r="T44" t="n">
        <v>6</v>
      </c>
      <c r="U44" t="inlineStr">
        <is>
          <t>801+</t>
        </is>
      </c>
      <c r="V44" t="n">
        <v>51.9</v>
      </c>
      <c r="W44" t="inlineStr">
        <is>
          <t>363</t>
        </is>
      </c>
      <c r="X44" t="n">
        <v>29.9</v>
      </c>
      <c r="Y44" t="inlineStr">
        <is>
          <t>585</t>
        </is>
      </c>
      <c r="Z44" t="n">
        <v>26.5</v>
      </c>
      <c r="AA44" t="inlineStr">
        <is>
          <t>639</t>
        </is>
      </c>
      <c r="AB44" t="n">
        <v>32.5</v>
      </c>
      <c r="AC44" t="inlineStr">
        <is>
          <t>583</t>
        </is>
      </c>
      <c r="AD44" t="n">
        <v>95.59999999999999</v>
      </c>
      <c r="AE44" t="inlineStr">
        <is>
          <t>67</t>
        </is>
      </c>
      <c r="AF44" t="n">
        <v>67.40000000000001</v>
      </c>
      <c r="AG44" t="inlineStr">
        <is>
          <t>229</t>
        </is>
      </c>
      <c r="AH44" t="n">
        <v>83.2</v>
      </c>
      <c r="AI44" t="inlineStr">
        <is>
          <t>133</t>
        </is>
      </c>
      <c r="AJ44" t="inlineStr">
        <is>
          <t>79.6</t>
        </is>
      </c>
      <c r="AK44" t="inlineStr">
        <is>
          <t>73</t>
        </is>
      </c>
      <c r="AL44" t="inlineStr">
        <is>
          <t>40.0</t>
        </is>
      </c>
      <c r="AM44" t="inlineStr">
        <is>
          <t>237</t>
        </is>
      </c>
      <c r="AN44" t="inlineStr">
        <is>
          <t>3.4</t>
        </is>
      </c>
      <c r="AO44" t="inlineStr">
        <is>
          <t>701+</t>
        </is>
      </c>
      <c r="AP44" t="inlineStr">
        <is>
          <t>49.5</t>
        </is>
      </c>
      <c r="AQ44" t="inlineStr">
        <is>
          <t>267</t>
        </is>
      </c>
      <c r="AR44" t="inlineStr">
        <is>
          <t>8.0</t>
        </is>
      </c>
      <c r="AS44" t="inlineStr">
        <is>
          <t>701+</t>
        </is>
      </c>
      <c r="AT44" t="inlineStr">
        <is>
          <t>10.9</t>
        </is>
      </c>
      <c r="AU44" t="inlineStr">
        <is>
          <t>695</t>
        </is>
      </c>
      <c r="AV44" t="inlineStr">
        <is>
          <t>91.0</t>
        </is>
      </c>
      <c r="AW44" t="inlineStr">
        <is>
          <t>75</t>
        </is>
      </c>
      <c r="AX44" t="inlineStr">
        <is>
          <t>34.8</t>
        </is>
      </c>
      <c r="AY44" t="inlineStr">
        <is>
          <t>219</t>
        </is>
      </c>
      <c r="AZ44" t="inlineStr">
        <is>
          <t>56.5</t>
        </is>
      </c>
      <c r="BA44" t="inlineStr">
        <is>
          <t>268=</t>
        </is>
      </c>
    </row>
    <row r="45">
      <c r="A45" t="inlineStr">
        <is>
          <t>Almaty Technological University</t>
        </is>
      </c>
      <c r="B45" t="inlineStr">
        <is>
          <t>Kazakhstan</t>
        </is>
      </c>
      <c r="C45" t="inlineStr">
        <is>
          <t>KZ</t>
        </is>
      </c>
      <c r="D45" t="inlineStr">
        <is>
          <t>Asia</t>
        </is>
      </c>
      <c r="E45" t="inlineStr">
        <is>
          <t>M</t>
        </is>
      </c>
      <c r="F45" t="inlineStr">
        <is>
          <t>CO</t>
        </is>
      </c>
      <c r="G45" t="inlineStr">
        <is>
          <t>MD</t>
        </is>
      </c>
      <c r="H45" t="inlineStr">
        <is>
          <t>4</t>
        </is>
      </c>
      <c r="I45" t="inlineStr">
        <is>
          <t>Public</t>
        </is>
      </c>
      <c r="J45" t="inlineStr">
        <is>
          <t>1001-1200</t>
        </is>
      </c>
      <c r="K45" t="inlineStr">
        <is>
          <t>951-1000</t>
        </is>
      </c>
      <c r="L45" t="inlineStr">
        <is>
          <t>801-850</t>
        </is>
      </c>
      <c r="M45" t="inlineStr">
        <is>
          <t>561-570</t>
        </is>
      </c>
      <c r="N45" t="inlineStr">
        <is>
          <t>-</t>
        </is>
      </c>
      <c r="O45" t="inlineStr">
        <is>
          <t>-</t>
        </is>
      </c>
      <c r="P45" t="n">
        <v>5.9</v>
      </c>
      <c r="Q45" t="inlineStr">
        <is>
          <t>701+</t>
        </is>
      </c>
      <c r="R45" t="n">
        <v>8.9</v>
      </c>
      <c r="S45" t="inlineStr">
        <is>
          <t>701+</t>
        </is>
      </c>
      <c r="T45" t="n">
        <v>93.90000000000001</v>
      </c>
      <c r="U45" t="inlineStr">
        <is>
          <t>86</t>
        </is>
      </c>
      <c r="V45" t="n">
        <v>1.1</v>
      </c>
      <c r="W45" t="inlineStr">
        <is>
          <t>801+</t>
        </is>
      </c>
      <c r="X45" t="n">
        <v>27.8</v>
      </c>
      <c r="Y45" t="inlineStr">
        <is>
          <t>613</t>
        </is>
      </c>
      <c r="Z45" t="n">
        <v>14.4</v>
      </c>
      <c r="AA45" t="inlineStr">
        <is>
          <t>801+</t>
        </is>
      </c>
      <c r="AB45" t="n">
        <v>17.4</v>
      </c>
      <c r="AC45" t="inlineStr">
        <is>
          <t>801+</t>
        </is>
      </c>
      <c r="AD45" t="n">
        <v>4.4</v>
      </c>
      <c r="AE45" t="inlineStr">
        <is>
          <t>801+</t>
        </is>
      </c>
      <c r="AF45" t="n">
        <v>4.2</v>
      </c>
      <c r="AG45" t="inlineStr">
        <is>
          <t>801+</t>
        </is>
      </c>
      <c r="AH45" t="n">
        <v>26.6</v>
      </c>
      <c r="AI45" t="inlineStr">
        <is>
          <t>801+</t>
        </is>
      </c>
      <c r="AJ45" t="inlineStr">
        <is>
          <t>5.1</t>
        </is>
      </c>
      <c r="AK45" t="inlineStr">
        <is>
          <t>601+</t>
        </is>
      </c>
      <c r="AL45" t="inlineStr">
        <is>
          <t>3.3</t>
        </is>
      </c>
      <c r="AM45" t="inlineStr">
        <is>
          <t>601+</t>
        </is>
      </c>
      <c r="AN45" t="inlineStr">
        <is>
          <t>92.1</t>
        </is>
      </c>
      <c r="AO45" t="inlineStr">
        <is>
          <t>75</t>
        </is>
      </c>
      <c r="AP45" t="inlineStr">
        <is>
          <t>1.0</t>
        </is>
      </c>
      <c r="AQ45" t="inlineStr">
        <is>
          <t>701+</t>
        </is>
      </c>
      <c r="AR45" t="inlineStr">
        <is>
          <t>26.0</t>
        </is>
      </c>
      <c r="AS45" t="inlineStr">
        <is>
          <t>523</t>
        </is>
      </c>
      <c r="AT45" t="inlineStr">
        <is>
          <t>5.2</t>
        </is>
      </c>
      <c r="AU45" t="inlineStr">
        <is>
          <t>701+</t>
        </is>
      </c>
      <c r="AV45" t="inlineStr">
        <is>
          <t>1.0</t>
        </is>
      </c>
      <c r="AW45" t="inlineStr">
        <is>
          <t>701+</t>
        </is>
      </c>
      <c r="AX45" t="inlineStr">
        <is>
          <t>11.8</t>
        </is>
      </c>
      <c r="AY45" t="inlineStr">
        <is>
          <t>701+</t>
        </is>
      </c>
      <c r="AZ45" t="inlineStr">
        <is>
          <t>1</t>
        </is>
      </c>
      <c r="BA45" t="inlineStr">
        <is>
          <t>701+</t>
        </is>
      </c>
    </row>
    <row r="46">
      <c r="A46" t="inlineStr">
        <is>
          <t>Altai State University</t>
        </is>
      </c>
      <c r="B46" t="inlineStr">
        <is>
          <t>Russia</t>
        </is>
      </c>
      <c r="C46" t="inlineStr">
        <is>
          <t>RU</t>
        </is>
      </c>
      <c r="D46" t="inlineStr">
        <is>
          <t>Europe</t>
        </is>
      </c>
      <c r="E46" t="inlineStr">
        <is>
          <t>M</t>
        </is>
      </c>
      <c r="F46" t="inlineStr">
        <is>
          <t>CO</t>
        </is>
      </c>
      <c r="G46" t="inlineStr">
        <is>
          <t>VH</t>
        </is>
      </c>
      <c r="H46" t="inlineStr">
        <is>
          <t>4</t>
        </is>
      </c>
      <c r="I46" t="inlineStr">
        <is>
          <t>Public</t>
        </is>
      </c>
      <c r="J46" t="inlineStr">
        <is>
          <t>851-900</t>
        </is>
      </c>
      <c r="K46" t="inlineStr">
        <is>
          <t>741-750</t>
        </is>
      </c>
      <c r="L46" t="inlineStr">
        <is>
          <t>701-710</t>
        </is>
      </c>
      <c r="M46" t="inlineStr">
        <is>
          <t>521-530</t>
        </is>
      </c>
      <c r="N46" t="inlineStr">
        <is>
          <t>-</t>
        </is>
      </c>
      <c r="O46" t="inlineStr">
        <is>
          <t>-</t>
        </is>
      </c>
      <c r="P46" t="n">
        <v>12.9</v>
      </c>
      <c r="Q46" t="inlineStr">
        <is>
          <t>701+</t>
        </is>
      </c>
      <c r="R46" t="n">
        <v>7</v>
      </c>
      <c r="S46" t="inlineStr">
        <is>
          <t>701+</t>
        </is>
      </c>
      <c r="T46" t="n">
        <v>90.7</v>
      </c>
      <c r="U46" t="inlineStr">
        <is>
          <t>101</t>
        </is>
      </c>
      <c r="V46" t="n">
        <v>1.9</v>
      </c>
      <c r="W46" t="inlineStr">
        <is>
          <t>801+</t>
        </is>
      </c>
      <c r="X46" t="n">
        <v>8.6</v>
      </c>
      <c r="Y46" t="inlineStr">
        <is>
          <t>801+</t>
        </is>
      </c>
      <c r="Z46" t="n">
        <v>71.3</v>
      </c>
      <c r="AA46" t="inlineStr">
        <is>
          <t>266</t>
        </is>
      </c>
      <c r="AB46" t="n">
        <v>68.09999999999999</v>
      </c>
      <c r="AC46" t="inlineStr">
        <is>
          <t>283</t>
        </is>
      </c>
      <c r="AD46" t="n">
        <v>18.3</v>
      </c>
      <c r="AE46" t="inlineStr">
        <is>
          <t>801+</t>
        </is>
      </c>
      <c r="AF46" t="n">
        <v>2</v>
      </c>
      <c r="AG46" t="inlineStr">
        <is>
          <t>801+</t>
        </is>
      </c>
      <c r="AH46" t="n">
        <v>46.2</v>
      </c>
      <c r="AI46" t="inlineStr">
        <is>
          <t>801+</t>
        </is>
      </c>
      <c r="AJ46" t="inlineStr">
        <is>
          <t>10.0</t>
        </is>
      </c>
      <c r="AK46" t="inlineStr">
        <is>
          <t>601+</t>
        </is>
      </c>
      <c r="AL46" t="inlineStr">
        <is>
          <t>3.7</t>
        </is>
      </c>
      <c r="AM46" t="inlineStr">
        <is>
          <t>601+</t>
        </is>
      </c>
      <c r="AN46" t="inlineStr">
        <is>
          <t>84.4</t>
        </is>
      </c>
      <c r="AO46" t="inlineStr">
        <is>
          <t>110</t>
        </is>
      </c>
      <c r="AP46" t="inlineStr">
        <is>
          <t>1.4</t>
        </is>
      </c>
      <c r="AQ46" t="inlineStr">
        <is>
          <t>701+</t>
        </is>
      </c>
      <c r="AR46" t="inlineStr">
        <is>
          <t>6.7</t>
        </is>
      </c>
      <c r="AS46" t="inlineStr">
        <is>
          <t>701+</t>
        </is>
      </c>
      <c r="AT46" t="inlineStr">
        <is>
          <t>69.9</t>
        </is>
      </c>
      <c r="AU46" t="inlineStr">
        <is>
          <t>212</t>
        </is>
      </c>
      <c r="AV46" t="inlineStr">
        <is>
          <t>1.0</t>
        </is>
      </c>
      <c r="AW46" t="inlineStr">
        <is>
          <t>701+</t>
        </is>
      </c>
      <c r="AX46" t="inlineStr">
        <is>
          <t>7.6</t>
        </is>
      </c>
      <c r="AY46" t="inlineStr">
        <is>
          <t>701+</t>
        </is>
      </c>
      <c r="AZ46" t="inlineStr">
        <is>
          <t>6.1</t>
        </is>
      </c>
      <c r="BA46" t="inlineStr">
        <is>
          <t>701+</t>
        </is>
      </c>
    </row>
    <row r="47">
      <c r="A47" t="inlineStr">
        <is>
          <t>American International University-Bangladesh (AIUB)</t>
        </is>
      </c>
      <c r="B47" t="inlineStr">
        <is>
          <t>Bangladesh</t>
        </is>
      </c>
      <c r="C47" t="inlineStr"/>
      <c r="D47" t="inlineStr">
        <is>
          <t>Asia</t>
        </is>
      </c>
      <c r="E47" t="inlineStr">
        <is>
          <t>M</t>
        </is>
      </c>
      <c r="F47" t="inlineStr">
        <is>
          <t>FO</t>
        </is>
      </c>
      <c r="G47" t="inlineStr">
        <is>
          <t>VH</t>
        </is>
      </c>
      <c r="H47" t="inlineStr"/>
      <c r="I47" t="inlineStr">
        <is>
          <t>Private not for Profit</t>
        </is>
      </c>
      <c r="J47" t="inlineStr">
        <is>
          <t>1401+</t>
        </is>
      </c>
      <c r="K47" t="inlineStr"/>
      <c r="L47" t="inlineStr"/>
      <c r="M47" t="inlineStr"/>
      <c r="N47" t="inlineStr">
        <is>
          <t>-</t>
        </is>
      </c>
      <c r="O47" t="inlineStr"/>
      <c r="P47" t="n">
        <v>8.300000000000001</v>
      </c>
      <c r="Q47" t="inlineStr">
        <is>
          <t>701+</t>
        </is>
      </c>
      <c r="R47" t="n">
        <v>8.5</v>
      </c>
      <c r="S47" t="inlineStr">
        <is>
          <t>701+</t>
        </is>
      </c>
      <c r="T47" t="n">
        <v>9</v>
      </c>
      <c r="U47" t="inlineStr">
        <is>
          <t>801+</t>
        </is>
      </c>
      <c r="V47" t="n">
        <v>4.4</v>
      </c>
      <c r="W47" t="inlineStr">
        <is>
          <t>801+</t>
        </is>
      </c>
      <c r="X47" t="n">
        <v>5.4</v>
      </c>
      <c r="Y47" t="inlineStr">
        <is>
          <t>801+</t>
        </is>
      </c>
      <c r="Z47" t="n">
        <v>17.7</v>
      </c>
      <c r="AA47" t="inlineStr">
        <is>
          <t>770</t>
        </is>
      </c>
      <c r="AB47" t="n">
        <v>18.5</v>
      </c>
      <c r="AC47" t="inlineStr">
        <is>
          <t>788</t>
        </is>
      </c>
      <c r="AD47" t="n">
        <v>7.9</v>
      </c>
      <c r="AE47" t="inlineStr">
        <is>
          <t>801+</t>
        </is>
      </c>
      <c r="AF47" t="n">
        <v>4.6</v>
      </c>
      <c r="AG47" t="inlineStr">
        <is>
          <t>801+</t>
        </is>
      </c>
      <c r="AH47" t="n">
        <v>30.3</v>
      </c>
      <c r="AI47" t="inlineStr">
        <is>
          <t>801+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American University</t>
        </is>
      </c>
      <c r="B48" t="inlineStr">
        <is>
          <t>United States</t>
        </is>
      </c>
      <c r="C48" t="inlineStr">
        <is>
          <t>US</t>
        </is>
      </c>
      <c r="D48" t="inlineStr">
        <is>
          <t>Americas</t>
        </is>
      </c>
      <c r="E48" t="inlineStr">
        <is>
          <t>M</t>
        </is>
      </c>
      <c r="F48" t="inlineStr">
        <is>
          <t>CO</t>
        </is>
      </c>
      <c r="G48" t="inlineStr">
        <is>
          <t>VH</t>
        </is>
      </c>
      <c r="H48" t="inlineStr">
        <is>
          <t>5</t>
        </is>
      </c>
      <c r="I48" t="inlineStr">
        <is>
          <t>Private not for Profit</t>
        </is>
      </c>
      <c r="J48" t="inlineStr">
        <is>
          <t>587</t>
        </is>
      </c>
      <c r="K48" t="inlineStr">
        <is>
          <t>711-720</t>
        </is>
      </c>
      <c r="L48" t="inlineStr">
        <is>
          <t>791-800</t>
        </is>
      </c>
      <c r="M48" t="inlineStr">
        <is>
          <t>701-750</t>
        </is>
      </c>
      <c r="N48" t="inlineStr">
        <is>
          <t>28.6</t>
        </is>
      </c>
      <c r="O48" t="inlineStr">
        <is>
          <t>-</t>
        </is>
      </c>
      <c r="P48" t="n">
        <v>19.8</v>
      </c>
      <c r="Q48" t="inlineStr">
        <is>
          <t>624</t>
        </is>
      </c>
      <c r="R48" t="n">
        <v>50.2</v>
      </c>
      <c r="S48" t="inlineStr">
        <is>
          <t>253</t>
        </is>
      </c>
      <c r="T48" t="n">
        <v>45.1</v>
      </c>
      <c r="U48" t="inlineStr">
        <is>
          <t>433</t>
        </is>
      </c>
      <c r="V48" t="n">
        <v>7.6</v>
      </c>
      <c r="W48" t="inlineStr">
        <is>
          <t>801+</t>
        </is>
      </c>
      <c r="X48" t="n">
        <v>16.7</v>
      </c>
      <c r="Y48" t="inlineStr">
        <is>
          <t>770</t>
        </is>
      </c>
      <c r="Z48" t="n">
        <v>27</v>
      </c>
      <c r="AA48" t="inlineStr">
        <is>
          <t>630</t>
        </is>
      </c>
      <c r="AB48" t="n">
        <v>33.1</v>
      </c>
      <c r="AC48" t="inlineStr">
        <is>
          <t>574</t>
        </is>
      </c>
      <c r="AD48" t="n">
        <v>34.6</v>
      </c>
      <c r="AE48" t="inlineStr">
        <is>
          <t>801+</t>
        </is>
      </c>
      <c r="AF48" t="n">
        <v>51.6</v>
      </c>
      <c r="AG48" t="inlineStr">
        <is>
          <t>328</t>
        </is>
      </c>
      <c r="AH48" t="n">
        <v>74.59999999999999</v>
      </c>
      <c r="AI48" t="inlineStr">
        <is>
          <t>247=</t>
        </is>
      </c>
      <c r="AJ48" t="inlineStr">
        <is>
          <t>16.2</t>
        </is>
      </c>
      <c r="AK48" t="inlineStr">
        <is>
          <t>542</t>
        </is>
      </c>
      <c r="AL48" t="inlineStr">
        <is>
          <t>22.8</t>
        </is>
      </c>
      <c r="AM48" t="inlineStr">
        <is>
          <t>418</t>
        </is>
      </c>
      <c r="AN48" t="inlineStr">
        <is>
          <t>30.0</t>
        </is>
      </c>
      <c r="AO48" t="inlineStr">
        <is>
          <t>522</t>
        </is>
      </c>
      <c r="AP48" t="inlineStr">
        <is>
          <t>4.1</t>
        </is>
      </c>
      <c r="AQ48" t="inlineStr">
        <is>
          <t>701+</t>
        </is>
      </c>
      <c r="AR48" t="inlineStr">
        <is>
          <t>3.0</t>
        </is>
      </c>
      <c r="AS48" t="inlineStr">
        <is>
          <t>701+</t>
        </is>
      </c>
      <c r="AT48" t="inlineStr">
        <is>
          <t>15.6</t>
        </is>
      </c>
      <c r="AU48" t="inlineStr">
        <is>
          <t>610</t>
        </is>
      </c>
      <c r="AV48" t="inlineStr">
        <is>
          <t>1.2</t>
        </is>
      </c>
      <c r="AW48" t="inlineStr">
        <is>
          <t>701+</t>
        </is>
      </c>
      <c r="AX48" t="inlineStr">
        <is>
          <t>33.3</t>
        </is>
      </c>
      <c r="AY48" t="inlineStr">
        <is>
          <t>231</t>
        </is>
      </c>
      <c r="AZ48" t="inlineStr">
        <is>
          <t>3</t>
        </is>
      </c>
      <c r="BA48" t="inlineStr">
        <is>
          <t>701+</t>
        </is>
      </c>
    </row>
    <row r="49">
      <c r="A49" t="inlineStr">
        <is>
          <t>American University in Dubai</t>
        </is>
      </c>
      <c r="B49" t="inlineStr">
        <is>
          <t>United Arab Emirates</t>
        </is>
      </c>
      <c r="C49" t="inlineStr">
        <is>
          <t>AE</t>
        </is>
      </c>
      <c r="D49" t="inlineStr">
        <is>
          <t>Asia</t>
        </is>
      </c>
      <c r="E49" t="inlineStr">
        <is>
          <t>S</t>
        </is>
      </c>
      <c r="F49" t="inlineStr">
        <is>
          <t>FO</t>
        </is>
      </c>
      <c r="G49" t="inlineStr">
        <is>
          <t>HI</t>
        </is>
      </c>
      <c r="H49" t="inlineStr">
        <is>
          <t>3</t>
        </is>
      </c>
      <c r="I49" t="inlineStr">
        <is>
          <t>Private for Profit</t>
        </is>
      </c>
      <c r="J49" t="inlineStr">
        <is>
          <t>678</t>
        </is>
      </c>
      <c r="K49" t="inlineStr">
        <is>
          <t>621-630</t>
        </is>
      </c>
      <c r="L49" t="inlineStr">
        <is>
          <t>601-610</t>
        </is>
      </c>
      <c r="M49" t="inlineStr">
        <is>
          <t>651-700</t>
        </is>
      </c>
      <c r="N49" t="inlineStr">
        <is>
          <t>26</t>
        </is>
      </c>
      <c r="O49" t="inlineStr">
        <is>
          <t>-</t>
        </is>
      </c>
      <c r="P49" t="n">
        <v>14.4</v>
      </c>
      <c r="Q49" t="inlineStr">
        <is>
          <t>701+</t>
        </is>
      </c>
      <c r="R49" t="n">
        <v>38.3</v>
      </c>
      <c r="S49" t="inlineStr">
        <is>
          <t>364</t>
        </is>
      </c>
      <c r="T49" t="n">
        <v>26.2</v>
      </c>
      <c r="U49" t="inlineStr">
        <is>
          <t>714</t>
        </is>
      </c>
      <c r="V49" t="n">
        <v>3.8</v>
      </c>
      <c r="W49" t="inlineStr">
        <is>
          <t>801+</t>
        </is>
      </c>
      <c r="X49" t="n">
        <v>100</v>
      </c>
      <c r="Y49" t="inlineStr">
        <is>
          <t>2</t>
        </is>
      </c>
      <c r="Z49" t="n">
        <v>100</v>
      </c>
      <c r="AA49" t="inlineStr">
        <is>
          <t>11</t>
        </is>
      </c>
      <c r="AB49" t="n">
        <v>100</v>
      </c>
      <c r="AC49" t="inlineStr">
        <is>
          <t>6</t>
        </is>
      </c>
      <c r="AD49" t="n">
        <v>4.3</v>
      </c>
      <c r="AE49" t="inlineStr">
        <is>
          <t>801+</t>
        </is>
      </c>
      <c r="AF49" t="n">
        <v>45.6</v>
      </c>
      <c r="AG49" t="inlineStr">
        <is>
          <t>383</t>
        </is>
      </c>
      <c r="AH49" t="n">
        <v>25.4</v>
      </c>
      <c r="AI49" t="inlineStr">
        <is>
          <t>801+</t>
        </is>
      </c>
      <c r="AJ49" t="inlineStr">
        <is>
          <t>9.8</t>
        </is>
      </c>
      <c r="AK49" t="inlineStr">
        <is>
          <t>601+</t>
        </is>
      </c>
      <c r="AL49" t="inlineStr">
        <is>
          <t>16.8</t>
        </is>
      </c>
      <c r="AM49" t="inlineStr">
        <is>
          <t>513</t>
        </is>
      </c>
      <c r="AN49" t="inlineStr">
        <is>
          <t>20.4</t>
        </is>
      </c>
      <c r="AO49" t="inlineStr">
        <is>
          <t>657</t>
        </is>
      </c>
      <c r="AP49" t="inlineStr">
        <is>
          <t>1.9</t>
        </is>
      </c>
      <c r="AQ49" t="inlineStr">
        <is>
          <t>701+</t>
        </is>
      </c>
      <c r="AR49" t="inlineStr">
        <is>
          <t>100.0</t>
        </is>
      </c>
      <c r="AS49" t="inlineStr">
        <is>
          <t>3</t>
        </is>
      </c>
      <c r="AT49" t="inlineStr">
        <is>
          <t>100.0</t>
        </is>
      </c>
      <c r="AU49" t="inlineStr">
        <is>
          <t>8</t>
        </is>
      </c>
      <c r="AV49" t="inlineStr">
        <is>
          <t>1.0</t>
        </is>
      </c>
      <c r="AW49" t="inlineStr">
        <is>
          <t>701+</t>
        </is>
      </c>
      <c r="AX49" t="inlineStr">
        <is>
          <t>37.3</t>
        </is>
      </c>
      <c r="AY49" t="inlineStr">
        <is>
          <t>195</t>
        </is>
      </c>
      <c r="AZ49" t="inlineStr">
        <is>
          <t>1</t>
        </is>
      </c>
      <c r="BA49" t="inlineStr">
        <is>
          <t>701+</t>
        </is>
      </c>
    </row>
    <row r="50">
      <c r="A50" t="inlineStr">
        <is>
          <t>American University of Beirut (AUB)</t>
        </is>
      </c>
      <c r="B50" t="inlineStr">
        <is>
          <t>Lebanon</t>
        </is>
      </c>
      <c r="C50" t="inlineStr">
        <is>
          <t>LB</t>
        </is>
      </c>
      <c r="D50" t="inlineStr">
        <is>
          <t>Asia</t>
        </is>
      </c>
      <c r="E50" t="inlineStr">
        <is>
          <t>M</t>
        </is>
      </c>
      <c r="F50" t="inlineStr">
        <is>
          <t>FC</t>
        </is>
      </c>
      <c r="G50" t="inlineStr">
        <is>
          <t>VH</t>
        </is>
      </c>
      <c r="H50" t="inlineStr">
        <is>
          <t>5</t>
        </is>
      </c>
      <c r="I50" t="inlineStr">
        <is>
          <t>Private not for Profit</t>
        </is>
      </c>
      <c r="J50" t="inlineStr">
        <is>
          <t>237</t>
        </is>
      </c>
      <c r="K50" t="inlineStr">
        <is>
          <t>250</t>
        </is>
      </c>
      <c r="L50">
        <f>226</f>
        <v/>
      </c>
      <c r="M50" t="inlineStr">
        <is>
          <t>252</t>
        </is>
      </c>
      <c r="N50" t="inlineStr">
        <is>
          <t>51.6</t>
        </is>
      </c>
      <c r="O50" t="inlineStr">
        <is>
          <t>41.9</t>
        </is>
      </c>
      <c r="P50" t="n">
        <v>41.5</v>
      </c>
      <c r="Q50" t="inlineStr">
        <is>
          <t>288</t>
        </is>
      </c>
      <c r="R50" t="n">
        <v>58.1</v>
      </c>
      <c r="S50" t="inlineStr">
        <is>
          <t>200</t>
        </is>
      </c>
      <c r="T50" t="n">
        <v>52.3</v>
      </c>
      <c r="U50" t="inlineStr">
        <is>
          <t>358</t>
        </is>
      </c>
      <c r="V50" t="n">
        <v>37.8</v>
      </c>
      <c r="W50" t="inlineStr">
        <is>
          <t>494</t>
        </is>
      </c>
      <c r="X50" t="n">
        <v>71.40000000000001</v>
      </c>
      <c r="Y50" t="inlineStr">
        <is>
          <t>330</t>
        </is>
      </c>
      <c r="Z50" t="n">
        <v>45.2</v>
      </c>
      <c r="AA50" t="inlineStr">
        <is>
          <t>449</t>
        </is>
      </c>
      <c r="AB50" t="n">
        <v>50.2</v>
      </c>
      <c r="AC50" t="inlineStr">
        <is>
          <t>413</t>
        </is>
      </c>
      <c r="AD50" t="n">
        <v>68.7</v>
      </c>
      <c r="AE50" t="inlineStr">
        <is>
          <t>554</t>
        </is>
      </c>
      <c r="AF50" t="n">
        <v>98.7</v>
      </c>
      <c r="AG50" t="inlineStr">
        <is>
          <t>33</t>
        </is>
      </c>
      <c r="AH50" t="n">
        <v>77.7</v>
      </c>
      <c r="AI50" t="inlineStr">
        <is>
          <t>204</t>
        </is>
      </c>
      <c r="AJ50" t="inlineStr">
        <is>
          <t>27.6</t>
        </is>
      </c>
      <c r="AK50" t="inlineStr">
        <is>
          <t>316</t>
        </is>
      </c>
      <c r="AL50" t="inlineStr">
        <is>
          <t>41.6</t>
        </is>
      </c>
      <c r="AM50" t="inlineStr">
        <is>
          <t>225</t>
        </is>
      </c>
      <c r="AN50" t="inlineStr">
        <is>
          <t>57.3</t>
        </is>
      </c>
      <c r="AO50" t="inlineStr">
        <is>
          <t>254</t>
        </is>
      </c>
      <c r="AP50" t="inlineStr">
        <is>
          <t>24.2</t>
        </is>
      </c>
      <c r="AQ50" t="inlineStr">
        <is>
          <t>499</t>
        </is>
      </c>
      <c r="AR50" t="inlineStr">
        <is>
          <t>67.8</t>
        </is>
      </c>
      <c r="AS50" t="inlineStr">
        <is>
          <t>288</t>
        </is>
      </c>
      <c r="AT50" t="inlineStr">
        <is>
          <t>46.8</t>
        </is>
      </c>
      <c r="AU50" t="inlineStr">
        <is>
          <t>310</t>
        </is>
      </c>
      <c r="AV50" t="inlineStr">
        <is>
          <t>35.6</t>
        </is>
      </c>
      <c r="AW50" t="inlineStr">
        <is>
          <t>415</t>
        </is>
      </c>
      <c r="AX50" t="inlineStr">
        <is>
          <t>88.5</t>
        </is>
      </c>
      <c r="AY50" t="inlineStr">
        <is>
          <t>40</t>
        </is>
      </c>
      <c r="AZ50" t="inlineStr">
        <is>
          <t>93.2</t>
        </is>
      </c>
      <c r="BA50" t="inlineStr">
        <is>
          <t>70=</t>
        </is>
      </c>
    </row>
    <row r="51">
      <c r="A51" t="inlineStr">
        <is>
          <t>American University of Central Asia</t>
        </is>
      </c>
      <c r="B51" t="inlineStr">
        <is>
          <t>Kyrgyzstan</t>
        </is>
      </c>
      <c r="C51" t="inlineStr"/>
      <c r="D51" t="inlineStr">
        <is>
          <t>Asia</t>
        </is>
      </c>
      <c r="E51" t="inlineStr">
        <is>
          <t>S</t>
        </is>
      </c>
      <c r="F51" t="inlineStr">
        <is>
          <t>FO</t>
        </is>
      </c>
      <c r="G51" t="inlineStr">
        <is>
          <t>MD</t>
        </is>
      </c>
      <c r="H51" t="inlineStr"/>
      <c r="I51" t="inlineStr">
        <is>
          <t>Private not for Profit</t>
        </is>
      </c>
      <c r="J51" t="inlineStr">
        <is>
          <t>901-950</t>
        </is>
      </c>
      <c r="K51" t="inlineStr"/>
      <c r="L51" t="inlineStr"/>
      <c r="M51" t="inlineStr"/>
      <c r="N51" t="inlineStr">
        <is>
          <t>-</t>
        </is>
      </c>
      <c r="O51" t="inlineStr"/>
      <c r="P51" t="n">
        <v>12.7</v>
      </c>
      <c r="Q51" t="inlineStr">
        <is>
          <t>701+</t>
        </is>
      </c>
      <c r="R51" t="n">
        <v>14.5</v>
      </c>
      <c r="S51" t="inlineStr">
        <is>
          <t>701+</t>
        </is>
      </c>
      <c r="T51" t="n">
        <v>60.9</v>
      </c>
      <c r="U51" t="inlineStr">
        <is>
          <t>296</t>
        </is>
      </c>
      <c r="V51" t="n">
        <v>2.4</v>
      </c>
      <c r="W51" t="inlineStr">
        <is>
          <t>801+</t>
        </is>
      </c>
      <c r="X51" t="n">
        <v>58</v>
      </c>
      <c r="Y51" t="inlineStr">
        <is>
          <t>398</t>
        </is>
      </c>
      <c r="Z51" t="n">
        <v>96.40000000000001</v>
      </c>
      <c r="AA51" t="inlineStr">
        <is>
          <t>105</t>
        </is>
      </c>
      <c r="AB51" t="n">
        <v>81.5</v>
      </c>
      <c r="AC51" t="inlineStr">
        <is>
          <t>193</t>
        </is>
      </c>
      <c r="AD51" t="n">
        <v>4.3</v>
      </c>
      <c r="AE51" t="inlineStr">
        <is>
          <t>801+</t>
        </is>
      </c>
      <c r="AF51" t="n">
        <v>6.6</v>
      </c>
      <c r="AG51" t="inlineStr">
        <is>
          <t>801+</t>
        </is>
      </c>
      <c r="AH51" t="n">
        <v>7.5</v>
      </c>
      <c r="AI51" t="inlineStr">
        <is>
          <t>801+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American University of Ras Al Khaimah ( AURAK )</t>
        </is>
      </c>
      <c r="B52" t="inlineStr">
        <is>
          <t>United Arab Emirates</t>
        </is>
      </c>
      <c r="C52" t="inlineStr"/>
      <c r="D52" t="inlineStr">
        <is>
          <t>Asia</t>
        </is>
      </c>
      <c r="E52" t="inlineStr">
        <is>
          <t>S</t>
        </is>
      </c>
      <c r="F52" t="inlineStr">
        <is>
          <t>SP</t>
        </is>
      </c>
      <c r="G52" t="inlineStr">
        <is>
          <t>MD</t>
        </is>
      </c>
      <c r="H52" t="inlineStr"/>
      <c r="I52" t="inlineStr">
        <is>
          <t>Public</t>
        </is>
      </c>
      <c r="J52" t="inlineStr">
        <is>
          <t>591</t>
        </is>
      </c>
      <c r="K52" t="inlineStr">
        <is>
          <t>485</t>
        </is>
      </c>
      <c r="L52" t="inlineStr"/>
      <c r="M52" t="inlineStr"/>
      <c r="N52" t="inlineStr">
        <is>
          <t>28.5</t>
        </is>
      </c>
      <c r="O52" t="inlineStr"/>
      <c r="P52" t="n">
        <v>8.4</v>
      </c>
      <c r="Q52" t="inlineStr">
        <is>
          <t>701+</t>
        </is>
      </c>
      <c r="R52" t="n">
        <v>9.5</v>
      </c>
      <c r="S52" t="inlineStr">
        <is>
          <t>701+</t>
        </is>
      </c>
      <c r="T52" t="n">
        <v>37.6</v>
      </c>
      <c r="U52" t="inlineStr">
        <is>
          <t>536</t>
        </is>
      </c>
      <c r="V52" t="n">
        <v>48.6</v>
      </c>
      <c r="W52" t="inlineStr">
        <is>
          <t>383</t>
        </is>
      </c>
      <c r="X52" t="n">
        <v>100</v>
      </c>
      <c r="Y52" t="inlineStr">
        <is>
          <t>9</t>
        </is>
      </c>
      <c r="Z52" t="n">
        <v>100</v>
      </c>
      <c r="AA52" t="inlineStr">
        <is>
          <t>15</t>
        </is>
      </c>
      <c r="AB52" t="n">
        <v>97.40000000000001</v>
      </c>
      <c r="AC52" t="inlineStr">
        <is>
          <t>88</t>
        </is>
      </c>
      <c r="AD52" t="n">
        <v>15.3</v>
      </c>
      <c r="AE52" t="inlineStr">
        <is>
          <t>801+</t>
        </is>
      </c>
      <c r="AF52" t="n">
        <v>4.4</v>
      </c>
      <c r="AG52" t="inlineStr">
        <is>
          <t>801+</t>
        </is>
      </c>
      <c r="AH52" t="n">
        <v>25.3</v>
      </c>
      <c r="AI52" t="inlineStr">
        <is>
          <t>801+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American University of Sharjah</t>
        </is>
      </c>
      <c r="B53" t="inlineStr">
        <is>
          <t>United Arab Emirates</t>
        </is>
      </c>
      <c r="C53" t="inlineStr">
        <is>
          <t>AE</t>
        </is>
      </c>
      <c r="D53" t="inlineStr"/>
      <c r="E53" t="inlineStr">
        <is>
          <t>S</t>
        </is>
      </c>
      <c r="F53" t="inlineStr">
        <is>
          <t>CO</t>
        </is>
      </c>
      <c r="G53" t="inlineStr">
        <is>
          <t>VH</t>
        </is>
      </c>
      <c r="H53" t="inlineStr">
        <is>
          <t>3</t>
        </is>
      </c>
      <c r="I53" t="inlineStr">
        <is>
          <t>B</t>
        </is>
      </c>
      <c r="J53" t="inlineStr"/>
      <c r="K53" t="inlineStr"/>
      <c r="L53">
        <f>364</f>
        <v/>
      </c>
      <c r="M53" t="inlineStr">
        <is>
          <t>369=</t>
        </is>
      </c>
      <c r="N53" t="inlineStr"/>
      <c r="O53" t="inlineStr">
        <is>
          <t>30.3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20.0</t>
        </is>
      </c>
      <c r="AK53" t="inlineStr">
        <is>
          <t>438</t>
        </is>
      </c>
      <c r="AL53" t="inlineStr">
        <is>
          <t>39.1</t>
        </is>
      </c>
      <c r="AM53" t="inlineStr">
        <is>
          <t>243</t>
        </is>
      </c>
      <c r="AN53" t="inlineStr">
        <is>
          <t>20.7</t>
        </is>
      </c>
      <c r="AO53" t="inlineStr">
        <is>
          <t>653</t>
        </is>
      </c>
      <c r="AP53" t="inlineStr">
        <is>
          <t>20.0</t>
        </is>
      </c>
      <c r="AQ53" t="inlineStr">
        <is>
          <t>559</t>
        </is>
      </c>
      <c r="AR53" t="inlineStr">
        <is>
          <t>100.0</t>
        </is>
      </c>
      <c r="AS53" t="inlineStr">
        <is>
          <t>2</t>
        </is>
      </c>
      <c r="AT53" t="inlineStr">
        <is>
          <t>100.0</t>
        </is>
      </c>
      <c r="AU53" t="inlineStr">
        <is>
          <t>6</t>
        </is>
      </c>
      <c r="AV53" t="inlineStr">
        <is>
          <t>6.4</t>
        </is>
      </c>
      <c r="AW53" t="inlineStr">
        <is>
          <t>701+</t>
        </is>
      </c>
      <c r="AX53" t="inlineStr">
        <is>
          <t>36.9</t>
        </is>
      </c>
      <c r="AY53" t="inlineStr">
        <is>
          <t>202</t>
        </is>
      </c>
      <c r="AZ53" t="inlineStr">
        <is>
          <t>3</t>
        </is>
      </c>
      <c r="BA53" t="inlineStr">
        <is>
          <t>701+</t>
        </is>
      </c>
    </row>
    <row r="54">
      <c r="A54" t="inlineStr">
        <is>
          <t>American University of Sharjah (AUS)</t>
        </is>
      </c>
      <c r="B54" t="inlineStr">
        <is>
          <t>United Arab Emirates</t>
        </is>
      </c>
      <c r="C54" t="inlineStr"/>
      <c r="D54" t="inlineStr">
        <is>
          <t>Asia</t>
        </is>
      </c>
      <c r="E54" t="inlineStr">
        <is>
          <t>M</t>
        </is>
      </c>
      <c r="F54" t="inlineStr">
        <is>
          <t>CO</t>
        </is>
      </c>
      <c r="G54" t="inlineStr">
        <is>
          <t>VH</t>
        </is>
      </c>
      <c r="H54" t="inlineStr"/>
      <c r="I54" t="inlineStr">
        <is>
          <t>Private not for Profit</t>
        </is>
      </c>
      <c r="J54" t="inlineStr">
        <is>
          <t>272</t>
        </is>
      </c>
      <c r="K54" t="inlineStr">
        <is>
          <t>332</t>
        </is>
      </c>
      <c r="L54" t="inlineStr"/>
      <c r="M54" t="inlineStr"/>
      <c r="N54" t="inlineStr">
        <is>
          <t>48.2</t>
        </is>
      </c>
      <c r="O54" t="inlineStr"/>
      <c r="P54" t="n">
        <v>31.7</v>
      </c>
      <c r="Q54" t="inlineStr">
        <is>
          <t>388</t>
        </is>
      </c>
      <c r="R54" t="n">
        <v>65.09999999999999</v>
      </c>
      <c r="S54" t="inlineStr">
        <is>
          <t>163</t>
        </is>
      </c>
      <c r="T54" t="n">
        <v>24.6</v>
      </c>
      <c r="U54" t="inlineStr">
        <is>
          <t>742</t>
        </is>
      </c>
      <c r="V54" t="n">
        <v>43.8</v>
      </c>
      <c r="W54" t="inlineStr">
        <is>
          <t>428</t>
        </is>
      </c>
      <c r="X54" t="n">
        <v>100</v>
      </c>
      <c r="Y54" t="inlineStr">
        <is>
          <t>3</t>
        </is>
      </c>
      <c r="Z54" t="n">
        <v>100</v>
      </c>
      <c r="AA54" t="inlineStr">
        <is>
          <t>9</t>
        </is>
      </c>
      <c r="AB54" t="n">
        <v>100</v>
      </c>
      <c r="AC54" t="inlineStr">
        <is>
          <t>4</t>
        </is>
      </c>
      <c r="AD54" t="n">
        <v>50.6</v>
      </c>
      <c r="AE54" t="inlineStr">
        <is>
          <t>801+</t>
        </is>
      </c>
      <c r="AF54" t="n">
        <v>60.6</v>
      </c>
      <c r="AG54" t="inlineStr">
        <is>
          <t>268</t>
        </is>
      </c>
      <c r="AH54" t="n">
        <v>54.4</v>
      </c>
      <c r="AI54" t="inlineStr">
        <is>
          <t>613=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American University of the Middle East</t>
        </is>
      </c>
      <c r="B55" t="inlineStr">
        <is>
          <t>Kuwait</t>
        </is>
      </c>
      <c r="C55" t="inlineStr">
        <is>
          <t>KW</t>
        </is>
      </c>
      <c r="D55" t="inlineStr">
        <is>
          <t>Asia</t>
        </is>
      </c>
      <c r="E55" t="inlineStr">
        <is>
          <t>M</t>
        </is>
      </c>
      <c r="F55" t="inlineStr">
        <is>
          <t>SP</t>
        </is>
      </c>
      <c r="G55" t="inlineStr">
        <is>
          <t>HI</t>
        </is>
      </c>
      <c r="H55" t="inlineStr">
        <is>
          <t>2</t>
        </is>
      </c>
      <c r="I55" t="inlineStr">
        <is>
          <t>Private for Profit</t>
        </is>
      </c>
      <c r="J55" t="inlineStr">
        <is>
          <t>563</t>
        </is>
      </c>
      <c r="K55" t="inlineStr">
        <is>
          <t>611-620</t>
        </is>
      </c>
      <c r="L55" t="inlineStr">
        <is>
          <t>671-680</t>
        </is>
      </c>
      <c r="M55" t="inlineStr">
        <is>
          <t>701-750</t>
        </is>
      </c>
      <c r="N55" t="inlineStr">
        <is>
          <t>29.4</t>
        </is>
      </c>
      <c r="O55" t="inlineStr">
        <is>
          <t>-</t>
        </is>
      </c>
      <c r="P55" t="n">
        <v>25.9</v>
      </c>
      <c r="Q55" t="inlineStr">
        <is>
          <t>487</t>
        </is>
      </c>
      <c r="R55" t="n">
        <v>34.7</v>
      </c>
      <c r="S55" t="inlineStr">
        <is>
          <t>416</t>
        </is>
      </c>
      <c r="T55" t="n">
        <v>28.9</v>
      </c>
      <c r="U55" t="inlineStr">
        <is>
          <t>652</t>
        </is>
      </c>
      <c r="V55" t="n">
        <v>8.9</v>
      </c>
      <c r="W55" t="inlineStr">
        <is>
          <t>801+</t>
        </is>
      </c>
      <c r="X55" t="n">
        <v>100</v>
      </c>
      <c r="Y55" t="inlineStr">
        <is>
          <t>7</t>
        </is>
      </c>
      <c r="Z55" t="n">
        <v>36.9</v>
      </c>
      <c r="AA55" t="inlineStr">
        <is>
          <t>528</t>
        </is>
      </c>
      <c r="AB55" t="n">
        <v>38.6</v>
      </c>
      <c r="AC55" t="inlineStr">
        <is>
          <t>512</t>
        </is>
      </c>
      <c r="AD55" t="n">
        <v>67.2</v>
      </c>
      <c r="AE55" t="inlineStr">
        <is>
          <t>586</t>
        </is>
      </c>
      <c r="AF55" t="n">
        <v>6.1</v>
      </c>
      <c r="AG55" t="inlineStr">
        <is>
          <t>801+</t>
        </is>
      </c>
      <c r="AH55" t="n">
        <v>47.2</v>
      </c>
      <c r="AI55" t="inlineStr">
        <is>
          <t>783=</t>
        </is>
      </c>
      <c r="AJ55" t="inlineStr">
        <is>
          <t>17.7</t>
        </is>
      </c>
      <c r="AK55" t="inlineStr">
        <is>
          <t>504</t>
        </is>
      </c>
      <c r="AL55" t="inlineStr">
        <is>
          <t>18.0</t>
        </is>
      </c>
      <c r="AM55" t="inlineStr">
        <is>
          <t>487</t>
        </is>
      </c>
      <c r="AN55" t="inlineStr">
        <is>
          <t>17.8</t>
        </is>
      </c>
      <c r="AO55" t="inlineStr">
        <is>
          <t>701+</t>
        </is>
      </c>
      <c r="AP55" t="inlineStr">
        <is>
          <t>3.3</t>
        </is>
      </c>
      <c r="AQ55" t="inlineStr">
        <is>
          <t>701+</t>
        </is>
      </c>
      <c r="AR55" t="inlineStr">
        <is>
          <t>100.0</t>
        </is>
      </c>
      <c r="AS55" t="inlineStr">
        <is>
          <t>6</t>
        </is>
      </c>
      <c r="AT55" t="inlineStr">
        <is>
          <t>25.0</t>
        </is>
      </c>
      <c r="AU55" t="inlineStr">
        <is>
          <t>474</t>
        </is>
      </c>
      <c r="AV55" t="inlineStr">
        <is>
          <t>1.3</t>
        </is>
      </c>
      <c r="AW55" t="inlineStr">
        <is>
          <t>701+</t>
        </is>
      </c>
      <c r="AX55" t="inlineStr">
        <is>
          <t>12.7</t>
        </is>
      </c>
      <c r="AY55" t="inlineStr">
        <is>
          <t>680</t>
        </is>
      </c>
      <c r="AZ55" t="inlineStr">
        <is>
          <t>1.1</t>
        </is>
      </c>
      <c r="BA55" t="inlineStr">
        <is>
          <t>701+</t>
        </is>
      </c>
    </row>
    <row r="56">
      <c r="A56" t="inlineStr">
        <is>
          <t>Amirkabir University of Technology</t>
        </is>
      </c>
      <c r="B56" t="inlineStr">
        <is>
          <t>Iran (Islamic Republic of)</t>
        </is>
      </c>
      <c r="C56" t="inlineStr"/>
      <c r="D56" t="inlineStr">
        <is>
          <t>Asia</t>
        </is>
      </c>
      <c r="E56" t="inlineStr">
        <is>
          <t>M</t>
        </is>
      </c>
      <c r="F56" t="inlineStr">
        <is>
          <t>SP</t>
        </is>
      </c>
      <c r="G56" t="inlineStr">
        <is>
          <t>VH</t>
        </is>
      </c>
      <c r="H56" t="inlineStr"/>
      <c r="I56" t="inlineStr">
        <is>
          <t>Public</t>
        </is>
      </c>
      <c r="J56" t="inlineStr">
        <is>
          <t>456</t>
        </is>
      </c>
      <c r="K56" t="inlineStr">
        <is>
          <t>403</t>
        </is>
      </c>
      <c r="L56" t="inlineStr"/>
      <c r="M56" t="inlineStr"/>
      <c r="N56" t="inlineStr">
        <is>
          <t>34.1</t>
        </is>
      </c>
      <c r="O56" t="inlineStr"/>
      <c r="P56" t="n">
        <v>8.5</v>
      </c>
      <c r="Q56" t="inlineStr">
        <is>
          <t>701+</t>
        </is>
      </c>
      <c r="R56" t="n">
        <v>26.7</v>
      </c>
      <c r="S56" t="inlineStr">
        <is>
          <t>513</t>
        </is>
      </c>
      <c r="T56" t="n">
        <v>7.4</v>
      </c>
      <c r="U56" t="inlineStr">
        <is>
          <t>801+</t>
        </is>
      </c>
      <c r="V56" t="n">
        <v>100</v>
      </c>
      <c r="W56" t="inlineStr">
        <is>
          <t>9</t>
        </is>
      </c>
      <c r="X56" t="n">
        <v>41.7</v>
      </c>
      <c r="Y56" t="inlineStr">
        <is>
          <t>485</t>
        </is>
      </c>
      <c r="Z56" t="n">
        <v>5.7</v>
      </c>
      <c r="AA56" t="inlineStr">
        <is>
          <t>801+</t>
        </is>
      </c>
      <c r="AB56" t="n">
        <v>4.5</v>
      </c>
      <c r="AC56" t="inlineStr">
        <is>
          <t>801+</t>
        </is>
      </c>
      <c r="AD56" t="n">
        <v>67.2</v>
      </c>
      <c r="AE56" t="inlineStr">
        <is>
          <t>583</t>
        </is>
      </c>
      <c r="AF56" t="n">
        <v>5.4</v>
      </c>
      <c r="AG56" t="inlineStr">
        <is>
          <t>801+</t>
        </is>
      </c>
      <c r="AH56" t="n">
        <v>35.5</v>
      </c>
      <c r="AI56" t="inlineStr">
        <is>
          <t>801+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Amirkabir University of Technology</t>
        </is>
      </c>
      <c r="B57" t="inlineStr">
        <is>
          <t>Iran, Islamic Republic of</t>
        </is>
      </c>
      <c r="C57" t="inlineStr">
        <is>
          <t>IR</t>
        </is>
      </c>
      <c r="D57" t="inlineStr"/>
      <c r="E57" t="inlineStr">
        <is>
          <t>M</t>
        </is>
      </c>
      <c r="F57" t="inlineStr">
        <is>
          <t>FO</t>
        </is>
      </c>
      <c r="G57" t="inlineStr">
        <is>
          <t>VH</t>
        </is>
      </c>
      <c r="H57" t="inlineStr">
        <is>
          <t>4</t>
        </is>
      </c>
      <c r="I57" t="inlineStr">
        <is>
          <t>A</t>
        </is>
      </c>
      <c r="J57" t="inlineStr"/>
      <c r="K57" t="inlineStr"/>
      <c r="L57">
        <f>375</f>
        <v/>
      </c>
      <c r="M57" t="inlineStr">
        <is>
          <t>443=</t>
        </is>
      </c>
      <c r="N57" t="inlineStr"/>
      <c r="O57" t="inlineStr">
        <is>
          <t>29.5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4.1</t>
        </is>
      </c>
      <c r="AK57" t="inlineStr">
        <is>
          <t>601+</t>
        </is>
      </c>
      <c r="AL57" t="inlineStr">
        <is>
          <t>33.4</t>
        </is>
      </c>
      <c r="AM57" t="inlineStr">
        <is>
          <t>295</t>
        </is>
      </c>
      <c r="AN57" t="inlineStr">
        <is>
          <t>5.1</t>
        </is>
      </c>
      <c r="AO57" t="inlineStr">
        <is>
          <t>701+</t>
        </is>
      </c>
      <c r="AP57" t="inlineStr">
        <is>
          <t>99.8</t>
        </is>
      </c>
      <c r="AQ57" t="inlineStr">
        <is>
          <t>13</t>
        </is>
      </c>
      <c r="AR57" t="inlineStr">
        <is>
          <t>15.9</t>
        </is>
      </c>
      <c r="AS57" t="inlineStr">
        <is>
          <t>652</t>
        </is>
      </c>
      <c r="AT57" t="inlineStr">
        <is>
          <t>2.8</t>
        </is>
      </c>
      <c r="AU57" t="inlineStr">
        <is>
          <t>701+</t>
        </is>
      </c>
      <c r="AV57" t="inlineStr">
        <is>
          <t>9.5</t>
        </is>
      </c>
      <c r="AW57" t="inlineStr">
        <is>
          <t>681</t>
        </is>
      </c>
      <c r="AX57" t="inlineStr">
        <is>
          <t>10.3</t>
        </is>
      </c>
      <c r="AY57" t="inlineStr">
        <is>
          <t>701+</t>
        </is>
      </c>
      <c r="AZ57" t="inlineStr">
        <is>
          <t>16.5</t>
        </is>
      </c>
      <c r="BA57" t="inlineStr">
        <is>
          <t>586=</t>
        </is>
      </c>
    </row>
    <row r="58">
      <c r="A58" t="inlineStr">
        <is>
          <t>Amity University</t>
        </is>
      </c>
      <c r="B58" t="inlineStr">
        <is>
          <t>India</t>
        </is>
      </c>
      <c r="C58" t="inlineStr">
        <is>
          <t>IN</t>
        </is>
      </c>
      <c r="D58" t="inlineStr">
        <is>
          <t>Asia</t>
        </is>
      </c>
      <c r="E58" t="inlineStr">
        <is>
          <t>L</t>
        </is>
      </c>
      <c r="F58" t="inlineStr">
        <is>
          <t>CO</t>
        </is>
      </c>
      <c r="G58" t="inlineStr">
        <is>
          <t>VH</t>
        </is>
      </c>
      <c r="H58" t="inlineStr">
        <is>
          <t>2</t>
        </is>
      </c>
      <c r="I58" t="inlineStr">
        <is>
          <t>Private not for Profit</t>
        </is>
      </c>
      <c r="J58" t="inlineStr">
        <is>
          <t>951-1000</t>
        </is>
      </c>
      <c r="K58" t="inlineStr">
        <is>
          <t>1001-1200</t>
        </is>
      </c>
      <c r="L58" t="inlineStr">
        <is>
          <t>1001-1200</t>
        </is>
      </c>
      <c r="M58" t="inlineStr">
        <is>
          <t>1001-1200</t>
        </is>
      </c>
      <c r="N58" t="inlineStr">
        <is>
          <t>-</t>
        </is>
      </c>
      <c r="O58" t="inlineStr">
        <is>
          <t>-</t>
        </is>
      </c>
      <c r="P58" t="n">
        <v>10.5</v>
      </c>
      <c r="Q58" t="inlineStr">
        <is>
          <t>701+</t>
        </is>
      </c>
      <c r="R58" t="n">
        <v>18.3</v>
      </c>
      <c r="S58" t="inlineStr">
        <is>
          <t>700</t>
        </is>
      </c>
      <c r="T58" t="n">
        <v>18.2</v>
      </c>
      <c r="U58" t="inlineStr">
        <is>
          <t>801+</t>
        </is>
      </c>
      <c r="V58" t="n">
        <v>14.9</v>
      </c>
      <c r="W58" t="inlineStr">
        <is>
          <t>801+</t>
        </is>
      </c>
      <c r="X58" t="n">
        <v>12.1</v>
      </c>
      <c r="Y58" t="inlineStr">
        <is>
          <t>801+</t>
        </is>
      </c>
      <c r="Z58" t="n">
        <v>34.9</v>
      </c>
      <c r="AA58" t="inlineStr">
        <is>
          <t>540</t>
        </is>
      </c>
      <c r="AB58" t="n">
        <v>36.3</v>
      </c>
      <c r="AC58" t="inlineStr">
        <is>
          <t>531</t>
        </is>
      </c>
      <c r="AD58" t="n">
        <v>67.5</v>
      </c>
      <c r="AE58" t="inlineStr">
        <is>
          <t>578</t>
        </is>
      </c>
      <c r="AF58" t="n">
        <v>4.9</v>
      </c>
      <c r="AG58" t="inlineStr">
        <is>
          <t>801+</t>
        </is>
      </c>
      <c r="AH58" t="n">
        <v>54.7</v>
      </c>
      <c r="AI58" t="inlineStr">
        <is>
          <t>608=</t>
        </is>
      </c>
      <c r="AJ58" t="inlineStr">
        <is>
          <t>8.5</t>
        </is>
      </c>
      <c r="AK58" t="inlineStr">
        <is>
          <t>601+</t>
        </is>
      </c>
      <c r="AL58" t="inlineStr">
        <is>
          <t>7.6</t>
        </is>
      </c>
      <c r="AM58" t="inlineStr">
        <is>
          <t>601+</t>
        </is>
      </c>
      <c r="AN58" t="inlineStr">
        <is>
          <t>10.6</t>
        </is>
      </c>
      <c r="AO58" t="inlineStr">
        <is>
          <t>701+</t>
        </is>
      </c>
      <c r="AP58" t="inlineStr">
        <is>
          <t>5.9</t>
        </is>
      </c>
      <c r="AQ58" t="inlineStr">
        <is>
          <t>701+</t>
        </is>
      </c>
      <c r="AR58" t="inlineStr">
        <is>
          <t>3.8</t>
        </is>
      </c>
      <c r="AS58" t="inlineStr">
        <is>
          <t>701+</t>
        </is>
      </c>
      <c r="AT58" t="inlineStr">
        <is>
          <t>21.8</t>
        </is>
      </c>
      <c r="AU58" t="inlineStr">
        <is>
          <t>519</t>
        </is>
      </c>
      <c r="AV58" t="inlineStr">
        <is>
          <t>22.4</t>
        </is>
      </c>
      <c r="AW58" t="inlineStr">
        <is>
          <t>524</t>
        </is>
      </c>
      <c r="AX58" t="inlineStr">
        <is>
          <t>9.1</t>
        </is>
      </c>
      <c r="AY58" t="inlineStr">
        <is>
          <t>701+</t>
        </is>
      </c>
      <c r="AZ58" t="inlineStr">
        <is>
          <t>1.9</t>
        </is>
      </c>
      <c r="BA58" t="inlineStr">
        <is>
          <t>701+</t>
        </is>
      </c>
    </row>
    <row r="59">
      <c r="A59" t="inlineStr">
        <is>
          <t>Amman Arab University</t>
        </is>
      </c>
      <c r="B59" t="inlineStr">
        <is>
          <t>Jordan</t>
        </is>
      </c>
      <c r="C59" t="inlineStr"/>
      <c r="D59" t="inlineStr">
        <is>
          <t>Asia</t>
        </is>
      </c>
      <c r="E59" t="inlineStr">
        <is>
          <t>S</t>
        </is>
      </c>
      <c r="F59" t="inlineStr">
        <is>
          <t>FO</t>
        </is>
      </c>
      <c r="G59" t="inlineStr">
        <is>
          <t>VH</t>
        </is>
      </c>
      <c r="H59" t="inlineStr"/>
      <c r="I59" t="inlineStr">
        <is>
          <t>Private not for Profit</t>
        </is>
      </c>
      <c r="J59" t="inlineStr">
        <is>
          <t>1201-1400</t>
        </is>
      </c>
      <c r="K59" t="inlineStr"/>
      <c r="L59" t="inlineStr"/>
      <c r="M59" t="inlineStr"/>
      <c r="N59" t="inlineStr">
        <is>
          <t>-</t>
        </is>
      </c>
      <c r="O59" t="inlineStr"/>
      <c r="P59" t="n">
        <v>8.4</v>
      </c>
      <c r="Q59" t="inlineStr">
        <is>
          <t>701+</t>
        </is>
      </c>
      <c r="R59" t="n">
        <v>6</v>
      </c>
      <c r="S59" t="inlineStr">
        <is>
          <t>701+</t>
        </is>
      </c>
      <c r="T59" t="n">
        <v>13</v>
      </c>
      <c r="U59" t="inlineStr">
        <is>
          <t>801+</t>
        </is>
      </c>
      <c r="V59" t="n">
        <v>16</v>
      </c>
      <c r="W59" t="inlineStr">
        <is>
          <t>783</t>
        </is>
      </c>
      <c r="X59" t="n">
        <v>10.6</v>
      </c>
      <c r="Y59" t="inlineStr">
        <is>
          <t>801+</t>
        </is>
      </c>
      <c r="Z59" t="n">
        <v>58.6</v>
      </c>
      <c r="AA59" t="inlineStr">
        <is>
          <t>349</t>
        </is>
      </c>
      <c r="AB59" t="n">
        <v>53.4</v>
      </c>
      <c r="AC59" t="inlineStr">
        <is>
          <t>384</t>
        </is>
      </c>
      <c r="AD59" t="n">
        <v>12.2</v>
      </c>
      <c r="AE59" t="inlineStr">
        <is>
          <t>801+</t>
        </is>
      </c>
      <c r="AF59" t="n">
        <v>5.4</v>
      </c>
      <c r="AG59" t="inlineStr">
        <is>
          <t>801+</t>
        </is>
      </c>
      <c r="AH59" t="n">
        <v>8.9</v>
      </c>
      <c r="AI59" t="inlineStr">
        <is>
          <t>801+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Amrita Vishwa Vidyapeetham</t>
        </is>
      </c>
      <c r="B60" t="inlineStr">
        <is>
          <t>India</t>
        </is>
      </c>
      <c r="C60" t="inlineStr">
        <is>
          <t>IN</t>
        </is>
      </c>
      <c r="D60" t="inlineStr">
        <is>
          <t>Asia</t>
        </is>
      </c>
      <c r="E60" t="inlineStr">
        <is>
          <t>L</t>
        </is>
      </c>
      <c r="F60" t="inlineStr">
        <is>
          <t>FC</t>
        </is>
      </c>
      <c r="G60" t="inlineStr">
        <is>
          <t>VH</t>
        </is>
      </c>
      <c r="H60" t="inlineStr">
        <is>
          <t>2</t>
        </is>
      </c>
      <c r="I60" t="inlineStr">
        <is>
          <t>Private not for Profit</t>
        </is>
      </c>
      <c r="J60" t="inlineStr">
        <is>
          <t>1001-1200</t>
        </is>
      </c>
      <c r="K60" t="inlineStr">
        <is>
          <t>1001-1200</t>
        </is>
      </c>
      <c r="L60" t="inlineStr">
        <is>
          <t>1001-1200</t>
        </is>
      </c>
      <c r="M60" t="inlineStr">
        <is>
          <t>1001-1200</t>
        </is>
      </c>
      <c r="N60" t="inlineStr">
        <is>
          <t>-</t>
        </is>
      </c>
      <c r="O60" t="inlineStr">
        <is>
          <t>-</t>
        </is>
      </c>
      <c r="P60" t="n">
        <v>6.9</v>
      </c>
      <c r="Q60" t="inlineStr">
        <is>
          <t>701+</t>
        </is>
      </c>
      <c r="R60" t="n">
        <v>6.6</v>
      </c>
      <c r="S60" t="inlineStr">
        <is>
          <t>701+</t>
        </is>
      </c>
      <c r="T60" t="n">
        <v>39.2</v>
      </c>
      <c r="U60" t="inlineStr">
        <is>
          <t>518</t>
        </is>
      </c>
      <c r="V60" t="n">
        <v>10.7</v>
      </c>
      <c r="W60" t="inlineStr">
        <is>
          <t>801+</t>
        </is>
      </c>
      <c r="X60" t="n">
        <v>36.7</v>
      </c>
      <c r="Y60" t="inlineStr">
        <is>
          <t>524</t>
        </is>
      </c>
      <c r="Z60" t="n">
        <v>2.5</v>
      </c>
      <c r="AA60" t="inlineStr">
        <is>
          <t>801+</t>
        </is>
      </c>
      <c r="AB60" t="n">
        <v>2.1</v>
      </c>
      <c r="AC60" t="inlineStr">
        <is>
          <t>801+</t>
        </is>
      </c>
      <c r="AD60" t="n">
        <v>67.40000000000001</v>
      </c>
      <c r="AE60" t="inlineStr">
        <is>
          <t>579</t>
        </is>
      </c>
      <c r="AF60" t="n">
        <v>1.2</v>
      </c>
      <c r="AG60" t="inlineStr">
        <is>
          <t>801+</t>
        </is>
      </c>
      <c r="AH60" t="n">
        <v>26.8</v>
      </c>
      <c r="AI60" t="inlineStr">
        <is>
          <t>801+</t>
        </is>
      </c>
      <c r="AJ60" t="inlineStr">
        <is>
          <t>4.8</t>
        </is>
      </c>
      <c r="AK60" t="inlineStr">
        <is>
          <t>601+</t>
        </is>
      </c>
      <c r="AL60" t="inlineStr">
        <is>
          <t>4.1</t>
        </is>
      </c>
      <c r="AM60" t="inlineStr">
        <is>
          <t>601+</t>
        </is>
      </c>
      <c r="AN60" t="inlineStr">
        <is>
          <t>25.3</t>
        </is>
      </c>
      <c r="AO60" t="inlineStr">
        <is>
          <t>579</t>
        </is>
      </c>
      <c r="AP60" t="inlineStr">
        <is>
          <t>5.2</t>
        </is>
      </c>
      <c r="AQ60" t="inlineStr">
        <is>
          <t>701+</t>
        </is>
      </c>
      <c r="AR60" t="inlineStr">
        <is>
          <t>37.0</t>
        </is>
      </c>
      <c r="AS60" t="inlineStr">
        <is>
          <t>438</t>
        </is>
      </c>
      <c r="AT60" t="inlineStr">
        <is>
          <t>1.7</t>
        </is>
      </c>
      <c r="AU60" t="inlineStr">
        <is>
          <t>701+</t>
        </is>
      </c>
      <c r="AV60" t="inlineStr">
        <is>
          <t>1.4</t>
        </is>
      </c>
      <c r="AW60" t="inlineStr">
        <is>
          <t>701+</t>
        </is>
      </c>
      <c r="AX60" t="inlineStr">
        <is>
          <t>4.5</t>
        </is>
      </c>
      <c r="AY60" t="inlineStr">
        <is>
          <t>701+</t>
        </is>
      </c>
      <c r="AZ60" t="inlineStr">
        <is>
          <t>1.1</t>
        </is>
      </c>
      <c r="BA60" t="inlineStr">
        <is>
          <t>701+</t>
        </is>
      </c>
    </row>
    <row r="61">
      <c r="A61" t="inlineStr">
        <is>
          <t>An-Najah National University</t>
        </is>
      </c>
      <c r="B61" t="inlineStr">
        <is>
          <t>Palestine</t>
        </is>
      </c>
      <c r="C61" t="inlineStr"/>
      <c r="D61" t="inlineStr">
        <is>
          <t>Asia</t>
        </is>
      </c>
      <c r="E61" t="inlineStr">
        <is>
          <t>L</t>
        </is>
      </c>
      <c r="F61" t="inlineStr">
        <is>
          <t>FC</t>
        </is>
      </c>
      <c r="G61" t="inlineStr">
        <is>
          <t>MD</t>
        </is>
      </c>
      <c r="H61" t="inlineStr"/>
      <c r="I61" t="inlineStr">
        <is>
          <t>Public</t>
        </is>
      </c>
      <c r="J61" t="inlineStr">
        <is>
          <t>1001-1200</t>
        </is>
      </c>
      <c r="K61" t="inlineStr">
        <is>
          <t>1001-1200</t>
        </is>
      </c>
      <c r="L61" t="inlineStr"/>
      <c r="M61" t="inlineStr"/>
      <c r="N61" t="inlineStr">
        <is>
          <t>-</t>
        </is>
      </c>
      <c r="O61" t="inlineStr"/>
      <c r="P61" t="n">
        <v>13.5</v>
      </c>
      <c r="Q61" t="inlineStr">
        <is>
          <t>701+</t>
        </is>
      </c>
      <c r="R61" t="n">
        <v>14.5</v>
      </c>
      <c r="S61" t="inlineStr">
        <is>
          <t>701+</t>
        </is>
      </c>
      <c r="T61" t="n">
        <v>11.5</v>
      </c>
      <c r="U61" t="inlineStr">
        <is>
          <t>801+</t>
        </is>
      </c>
      <c r="V61" t="n">
        <v>4.3</v>
      </c>
      <c r="W61" t="inlineStr">
        <is>
          <t>801+</t>
        </is>
      </c>
      <c r="X61" t="n">
        <v>49.8</v>
      </c>
      <c r="Y61" t="inlineStr">
        <is>
          <t>441</t>
        </is>
      </c>
      <c r="Z61" t="n">
        <v>47.4</v>
      </c>
      <c r="AA61" t="inlineStr">
        <is>
          <t>426</t>
        </is>
      </c>
      <c r="AB61" t="n">
        <v>43.8</v>
      </c>
      <c r="AC61" t="inlineStr">
        <is>
          <t>475</t>
        </is>
      </c>
      <c r="AD61" t="n">
        <v>39</v>
      </c>
      <c r="AE61" t="inlineStr">
        <is>
          <t>801+</t>
        </is>
      </c>
      <c r="AF61" t="n">
        <v>11.3</v>
      </c>
      <c r="AG61" t="inlineStr">
        <is>
          <t>801+</t>
        </is>
      </c>
      <c r="AH61" t="n">
        <v>47.1</v>
      </c>
      <c r="AI61" t="inlineStr">
        <is>
          <t>785=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An-Najah National University</t>
        </is>
      </c>
      <c r="B62" t="inlineStr">
        <is>
          <t>Palestinian Territory, Occupied</t>
        </is>
      </c>
      <c r="C62" t="inlineStr">
        <is>
          <t>PS</t>
        </is>
      </c>
      <c r="D62" t="inlineStr"/>
      <c r="E62" t="inlineStr">
        <is>
          <t>L</t>
        </is>
      </c>
      <c r="F62" t="inlineStr">
        <is>
          <t>FC</t>
        </is>
      </c>
      <c r="G62" t="inlineStr">
        <is>
          <t>MD</t>
        </is>
      </c>
      <c r="H62" t="inlineStr">
        <is>
          <t>4</t>
        </is>
      </c>
      <c r="I62" t="inlineStr">
        <is>
          <t>A</t>
        </is>
      </c>
      <c r="J62" t="inlineStr"/>
      <c r="K62" t="inlineStr"/>
      <c r="L62" t="inlineStr">
        <is>
          <t>1001-1200</t>
        </is>
      </c>
      <c r="M62" t="inlineStr">
        <is>
          <t>1001-1200</t>
        </is>
      </c>
      <c r="N62" t="inlineStr"/>
      <c r="O62" t="inlineStr">
        <is>
          <t>-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6.4</t>
        </is>
      </c>
      <c r="AK62" t="inlineStr">
        <is>
          <t>601+</t>
        </is>
      </c>
      <c r="AL62" t="inlineStr">
        <is>
          <t>16.5</t>
        </is>
      </c>
      <c r="AM62" t="inlineStr">
        <is>
          <t>518</t>
        </is>
      </c>
      <c r="AN62" t="inlineStr">
        <is>
          <t>7.3</t>
        </is>
      </c>
      <c r="AO62" t="inlineStr">
        <is>
          <t>701+</t>
        </is>
      </c>
      <c r="AP62" t="inlineStr">
        <is>
          <t>2.2</t>
        </is>
      </c>
      <c r="AQ62" t="inlineStr">
        <is>
          <t>701+</t>
        </is>
      </c>
      <c r="AR62" t="inlineStr">
        <is>
          <t>36.2</t>
        </is>
      </c>
      <c r="AS62" t="inlineStr">
        <is>
          <t>446</t>
        </is>
      </c>
      <c r="AT62" t="inlineStr">
        <is>
          <t>25.0</t>
        </is>
      </c>
      <c r="AU62" t="inlineStr">
        <is>
          <t>473</t>
        </is>
      </c>
      <c r="AV62" t="inlineStr">
        <is>
          <t>1.3</t>
        </is>
      </c>
      <c r="AW62" t="inlineStr">
        <is>
          <t>701+</t>
        </is>
      </c>
      <c r="AX62" t="inlineStr">
        <is>
          <t>10.9</t>
        </is>
      </c>
      <c r="AY62" t="inlineStr">
        <is>
          <t>701+</t>
        </is>
      </c>
      <c r="AZ62" t="inlineStr">
        <is>
          <t>3.1</t>
        </is>
      </c>
      <c r="BA62" t="inlineStr">
        <is>
          <t>701+</t>
        </is>
      </c>
    </row>
    <row r="63">
      <c r="A63" t="inlineStr">
        <is>
          <t>Anadolu University</t>
        </is>
      </c>
      <c r="B63" t="inlineStr">
        <is>
          <t>Turkey</t>
        </is>
      </c>
      <c r="C63" t="inlineStr">
        <is>
          <t>TR</t>
        </is>
      </c>
      <c r="D63" t="inlineStr">
        <is>
          <t>Asia</t>
        </is>
      </c>
      <c r="E63" t="inlineStr">
        <is>
          <t>L</t>
        </is>
      </c>
      <c r="F63" t="inlineStr">
        <is>
          <t>SP</t>
        </is>
      </c>
      <c r="G63" t="inlineStr">
        <is>
          <t>VH</t>
        </is>
      </c>
      <c r="H63" t="inlineStr">
        <is>
          <t>4</t>
        </is>
      </c>
      <c r="I63" t="inlineStr">
        <is>
          <t>Public</t>
        </is>
      </c>
      <c r="J63" t="inlineStr">
        <is>
          <t>1401+</t>
        </is>
      </c>
      <c r="K63" t="inlineStr">
        <is>
          <t>1201-1400</t>
        </is>
      </c>
      <c r="L63" t="inlineStr">
        <is>
          <t>1201-1400</t>
        </is>
      </c>
      <c r="M63" t="inlineStr">
        <is>
          <t>1201-1400</t>
        </is>
      </c>
      <c r="N63" t="inlineStr">
        <is>
          <t>-</t>
        </is>
      </c>
      <c r="O63" t="inlineStr">
        <is>
          <t>-</t>
        </is>
      </c>
      <c r="P63" t="n">
        <v>6.2</v>
      </c>
      <c r="Q63" t="inlineStr">
        <is>
          <t>701+</t>
        </is>
      </c>
      <c r="R63" t="n">
        <v>8.4</v>
      </c>
      <c r="S63" t="inlineStr">
        <is>
          <t>701+</t>
        </is>
      </c>
      <c r="T63" t="n">
        <v>17.5</v>
      </c>
      <c r="U63" t="inlineStr">
        <is>
          <t>801+</t>
        </is>
      </c>
      <c r="V63" t="n">
        <v>5.1</v>
      </c>
      <c r="W63" t="inlineStr">
        <is>
          <t>801+</t>
        </is>
      </c>
      <c r="X63" t="n">
        <v>2.2</v>
      </c>
      <c r="Y63" t="inlineStr">
        <is>
          <t>801+</t>
        </is>
      </c>
      <c r="Z63" t="n">
        <v>5.3</v>
      </c>
      <c r="AA63" t="inlineStr">
        <is>
          <t>801+</t>
        </is>
      </c>
      <c r="AB63" t="n">
        <v>4.2</v>
      </c>
      <c r="AC63" t="inlineStr">
        <is>
          <t>801+</t>
        </is>
      </c>
      <c r="AD63" t="n">
        <v>24.9</v>
      </c>
      <c r="AE63" t="inlineStr">
        <is>
          <t>801+</t>
        </is>
      </c>
      <c r="AF63" t="n">
        <v>22.3</v>
      </c>
      <c r="AG63" t="inlineStr">
        <is>
          <t>691</t>
        </is>
      </c>
      <c r="AH63" t="n">
        <v>22.3</v>
      </c>
      <c r="AI63" t="inlineStr">
        <is>
          <t>801+</t>
        </is>
      </c>
      <c r="AJ63" t="inlineStr">
        <is>
          <t>4.0</t>
        </is>
      </c>
      <c r="AK63" t="inlineStr">
        <is>
          <t>601+</t>
        </is>
      </c>
      <c r="AL63" t="inlineStr">
        <is>
          <t>4.0</t>
        </is>
      </c>
      <c r="AM63" t="inlineStr">
        <is>
          <t>601+</t>
        </is>
      </c>
      <c r="AN63" t="inlineStr">
        <is>
          <t>13.8</t>
        </is>
      </c>
      <c r="AO63" t="inlineStr">
        <is>
          <t>701+</t>
        </is>
      </c>
      <c r="AP63" t="inlineStr">
        <is>
          <t>2.9</t>
        </is>
      </c>
      <c r="AQ63" t="inlineStr">
        <is>
          <t>701+</t>
        </is>
      </c>
      <c r="AR63" t="inlineStr">
        <is>
          <t>1.9</t>
        </is>
      </c>
      <c r="AS63" t="inlineStr">
        <is>
          <t>701+</t>
        </is>
      </c>
      <c r="AT63" t="inlineStr">
        <is>
          <t>3.1</t>
        </is>
      </c>
      <c r="AU63" t="inlineStr">
        <is>
          <t>701+</t>
        </is>
      </c>
      <c r="AV63" t="inlineStr">
        <is>
          <t>1.4</t>
        </is>
      </c>
      <c r="AW63" t="inlineStr">
        <is>
          <t>701+</t>
        </is>
      </c>
      <c r="AX63" t="inlineStr">
        <is>
          <t>10.6</t>
        </is>
      </c>
      <c r="AY63" t="inlineStr">
        <is>
          <t>701+</t>
        </is>
      </c>
      <c r="AZ63" t="inlineStr">
        <is>
          <t>1.1</t>
        </is>
      </c>
      <c r="BA63" t="inlineStr">
        <is>
          <t>701+</t>
        </is>
      </c>
    </row>
    <row r="64">
      <c r="A64" t="inlineStr">
        <is>
          <t>Ankara Üniversitesi</t>
        </is>
      </c>
      <c r="B64" t="inlineStr">
        <is>
          <t>Turkey</t>
        </is>
      </c>
      <c r="C64" t="inlineStr">
        <is>
          <t>TR</t>
        </is>
      </c>
      <c r="D64" t="inlineStr">
        <is>
          <t>Asia</t>
        </is>
      </c>
      <c r="E64" t="inlineStr">
        <is>
          <t>XL</t>
        </is>
      </c>
      <c r="F64" t="inlineStr">
        <is>
          <t>FC</t>
        </is>
      </c>
      <c r="G64" t="inlineStr">
        <is>
          <t>HI</t>
        </is>
      </c>
      <c r="H64" t="inlineStr">
        <is>
          <t>4</t>
        </is>
      </c>
      <c r="I64" t="inlineStr">
        <is>
          <t>Public</t>
        </is>
      </c>
      <c r="J64" t="inlineStr">
        <is>
          <t>697</t>
        </is>
      </c>
      <c r="K64" t="inlineStr">
        <is>
          <t>801-850</t>
        </is>
      </c>
      <c r="L64" t="inlineStr">
        <is>
          <t>901-950</t>
        </is>
      </c>
      <c r="M64" t="inlineStr">
        <is>
          <t>1001-1200</t>
        </is>
      </c>
      <c r="N64" t="inlineStr">
        <is>
          <t>25.1</t>
        </is>
      </c>
      <c r="O64" t="inlineStr">
        <is>
          <t>-</t>
        </is>
      </c>
      <c r="P64" t="n">
        <v>30.6</v>
      </c>
      <c r="Q64" t="inlineStr">
        <is>
          <t>400</t>
        </is>
      </c>
      <c r="R64" t="n">
        <v>30.4</v>
      </c>
      <c r="S64" t="inlineStr">
        <is>
          <t>468</t>
        </is>
      </c>
      <c r="T64" t="n">
        <v>12.8</v>
      </c>
      <c r="U64" t="inlineStr">
        <is>
          <t>801+</t>
        </is>
      </c>
      <c r="V64" t="n">
        <v>4.6</v>
      </c>
      <c r="W64" t="inlineStr">
        <is>
          <t>801+</t>
        </is>
      </c>
      <c r="X64" t="n">
        <v>2.8</v>
      </c>
      <c r="Y64" t="inlineStr">
        <is>
          <t>801+</t>
        </is>
      </c>
      <c r="Z64" t="n">
        <v>9.699999999999999</v>
      </c>
      <c r="AA64" t="inlineStr">
        <is>
          <t>801+</t>
        </is>
      </c>
      <c r="AB64" t="n">
        <v>15.4</v>
      </c>
      <c r="AC64" t="inlineStr">
        <is>
          <t>801+</t>
        </is>
      </c>
      <c r="AD64" t="n">
        <v>74</v>
      </c>
      <c r="AE64" t="inlineStr">
        <is>
          <t>466</t>
        </is>
      </c>
      <c r="AF64" t="n">
        <v>61.2</v>
      </c>
      <c r="AG64" t="inlineStr">
        <is>
          <t>262</t>
        </is>
      </c>
      <c r="AH64" t="n">
        <v>61</v>
      </c>
      <c r="AI64" t="inlineStr">
        <is>
          <t>480=</t>
        </is>
      </c>
      <c r="AJ64" t="inlineStr">
        <is>
          <t>18.5</t>
        </is>
      </c>
      <c r="AK64" t="inlineStr">
        <is>
          <t>481</t>
        </is>
      </c>
      <c r="AL64" t="inlineStr">
        <is>
          <t>11.7</t>
        </is>
      </c>
      <c r="AM64" t="inlineStr">
        <is>
          <t>601+</t>
        </is>
      </c>
      <c r="AN64" t="inlineStr">
        <is>
          <t>8.1</t>
        </is>
      </c>
      <c r="AO64" t="inlineStr">
        <is>
          <t>701+</t>
        </is>
      </c>
      <c r="AP64" t="inlineStr">
        <is>
          <t>2.7</t>
        </is>
      </c>
      <c r="AQ64" t="inlineStr">
        <is>
          <t>701+</t>
        </is>
      </c>
      <c r="AR64" t="inlineStr">
        <is>
          <t>2.5</t>
        </is>
      </c>
      <c r="AS64" t="inlineStr">
        <is>
          <t>701+</t>
        </is>
      </c>
      <c r="AT64" t="inlineStr">
        <is>
          <t>5.4</t>
        </is>
      </c>
      <c r="AU64" t="inlineStr">
        <is>
          <t>701+</t>
        </is>
      </c>
      <c r="AV64" t="inlineStr">
        <is>
          <t>32.4</t>
        </is>
      </c>
      <c r="AW64" t="inlineStr">
        <is>
          <t>441</t>
        </is>
      </c>
      <c r="AX64" t="inlineStr">
        <is>
          <t>15.4</t>
        </is>
      </c>
      <c r="AY64" t="inlineStr">
        <is>
          <t>546</t>
        </is>
      </c>
      <c r="AZ64" t="inlineStr">
        <is>
          <t>16.1</t>
        </is>
      </c>
      <c r="BA64" t="inlineStr">
        <is>
          <t>592=</t>
        </is>
      </c>
    </row>
    <row r="65">
      <c r="A65" t="inlineStr">
        <is>
          <t>Anna University</t>
        </is>
      </c>
      <c r="B65" t="inlineStr">
        <is>
          <t>India</t>
        </is>
      </c>
      <c r="C65" t="inlineStr">
        <is>
          <t>IN</t>
        </is>
      </c>
      <c r="D65" t="inlineStr">
        <is>
          <t>Asia</t>
        </is>
      </c>
      <c r="E65" t="inlineStr">
        <is>
          <t>L</t>
        </is>
      </c>
      <c r="F65" t="inlineStr">
        <is>
          <t>SP</t>
        </is>
      </c>
      <c r="G65" t="inlineStr">
        <is>
          <t>VH</t>
        </is>
      </c>
      <c r="H65" t="inlineStr">
        <is>
          <t>3</t>
        </is>
      </c>
      <c r="I65" t="inlineStr">
        <is>
          <t>Public</t>
        </is>
      </c>
      <c r="J65" t="inlineStr">
        <is>
          <t>465</t>
        </is>
      </c>
      <c r="K65" t="inlineStr">
        <is>
          <t>383</t>
        </is>
      </c>
      <c r="L65" t="inlineStr">
        <is>
          <t>427</t>
        </is>
      </c>
      <c r="M65" t="inlineStr">
        <is>
          <t>551-560</t>
        </is>
      </c>
      <c r="N65" t="inlineStr">
        <is>
          <t>33.8</t>
        </is>
      </c>
      <c r="O65" t="inlineStr">
        <is>
          <t>26.5</t>
        </is>
      </c>
      <c r="P65" t="n">
        <v>15</v>
      </c>
      <c r="Q65" t="inlineStr">
        <is>
          <t>701+</t>
        </is>
      </c>
      <c r="R65" t="n">
        <v>19.4</v>
      </c>
      <c r="S65" t="inlineStr">
        <is>
          <t>674</t>
        </is>
      </c>
      <c r="T65" t="n">
        <v>9.199999999999999</v>
      </c>
      <c r="U65" t="inlineStr">
        <is>
          <t>801+</t>
        </is>
      </c>
      <c r="V65" t="n">
        <v>99.8</v>
      </c>
      <c r="W65" t="inlineStr">
        <is>
          <t>23</t>
        </is>
      </c>
      <c r="X65" t="inlineStr"/>
      <c r="Y65" t="inlineStr"/>
      <c r="Z65" t="n">
        <v>1.6</v>
      </c>
      <c r="AA65" t="inlineStr">
        <is>
          <t>801+</t>
        </is>
      </c>
      <c r="AB65" t="n">
        <v>6</v>
      </c>
      <c r="AC65" t="inlineStr">
        <is>
          <t>801+</t>
        </is>
      </c>
      <c r="AD65" t="n">
        <v>47.3</v>
      </c>
      <c r="AE65" t="inlineStr">
        <is>
          <t>801+</t>
        </is>
      </c>
      <c r="AF65" t="n">
        <v>17.8</v>
      </c>
      <c r="AG65" t="inlineStr">
        <is>
          <t>763</t>
        </is>
      </c>
      <c r="AH65" t="n">
        <v>64.5</v>
      </c>
      <c r="AI65" t="inlineStr">
        <is>
          <t>409=</t>
        </is>
      </c>
      <c r="AJ65" t="inlineStr">
        <is>
          <t>8.5</t>
        </is>
      </c>
      <c r="AK65" t="inlineStr">
        <is>
          <t>601+</t>
        </is>
      </c>
      <c r="AL65" t="inlineStr">
        <is>
          <t>8.5</t>
        </is>
      </c>
      <c r="AM65" t="inlineStr">
        <is>
          <t>601+</t>
        </is>
      </c>
      <c r="AN65" t="inlineStr">
        <is>
          <t>5.3</t>
        </is>
      </c>
      <c r="AO65" t="inlineStr">
        <is>
          <t>701+</t>
        </is>
      </c>
      <c r="AP65" t="inlineStr">
        <is>
          <t>99.8</t>
        </is>
      </c>
      <c r="AQ65" t="inlineStr">
        <is>
          <t>12</t>
        </is>
      </c>
      <c r="AR65" t="inlineStr"/>
      <c r="AS65" t="inlineStr"/>
      <c r="AT65" t="inlineStr">
        <is>
          <t>1.5</t>
        </is>
      </c>
      <c r="AU65" t="inlineStr">
        <is>
          <t>701+</t>
        </is>
      </c>
      <c r="AV65" t="inlineStr">
        <is>
          <t>33.8</t>
        </is>
      </c>
      <c r="AW65" t="inlineStr">
        <is>
          <t>427</t>
        </is>
      </c>
      <c r="AX65" t="inlineStr">
        <is>
          <t>9.8</t>
        </is>
      </c>
      <c r="AY65" t="inlineStr">
        <is>
          <t>701+</t>
        </is>
      </c>
      <c r="AZ65" t="inlineStr"/>
      <c r="BA65" t="inlineStr"/>
    </row>
    <row r="66">
      <c r="A66" t="inlineStr">
        <is>
          <t>Aoyama Gakuin University</t>
        </is>
      </c>
      <c r="B66" t="inlineStr">
        <is>
          <t>Japan</t>
        </is>
      </c>
      <c r="C66" t="inlineStr">
        <is>
          <t>JP</t>
        </is>
      </c>
      <c r="D66" t="inlineStr">
        <is>
          <t>Asia</t>
        </is>
      </c>
      <c r="E66" t="inlineStr">
        <is>
          <t>L</t>
        </is>
      </c>
      <c r="F66" t="inlineStr">
        <is>
          <t>FO</t>
        </is>
      </c>
      <c r="G66" t="inlineStr">
        <is>
          <t>HI</t>
        </is>
      </c>
      <c r="H66" t="inlineStr">
        <is>
          <t>4</t>
        </is>
      </c>
      <c r="I66" t="inlineStr">
        <is>
          <t>Private not for Profit</t>
        </is>
      </c>
      <c r="J66" t="inlineStr">
        <is>
          <t>1401+</t>
        </is>
      </c>
      <c r="K66" t="inlineStr">
        <is>
          <t>1201-1400</t>
        </is>
      </c>
      <c r="L66" t="inlineStr">
        <is>
          <t>1201-1400</t>
        </is>
      </c>
      <c r="M66" t="inlineStr">
        <is>
          <t>1201-1400</t>
        </is>
      </c>
      <c r="N66" t="inlineStr">
        <is>
          <t>-</t>
        </is>
      </c>
      <c r="O66" t="inlineStr">
        <is>
          <t>-</t>
        </is>
      </c>
      <c r="P66" t="n">
        <v>7.1</v>
      </c>
      <c r="Q66" t="inlineStr">
        <is>
          <t>701+</t>
        </is>
      </c>
      <c r="R66" t="n">
        <v>16.8</v>
      </c>
      <c r="S66" t="inlineStr">
        <is>
          <t>701+</t>
        </is>
      </c>
      <c r="T66" t="n">
        <v>7.4</v>
      </c>
      <c r="U66" t="inlineStr">
        <is>
          <t>801+</t>
        </is>
      </c>
      <c r="V66" t="n">
        <v>2.5</v>
      </c>
      <c r="W66" t="inlineStr">
        <is>
          <t>801+</t>
        </is>
      </c>
      <c r="X66" t="n">
        <v>20.3</v>
      </c>
      <c r="Y66" t="inlineStr">
        <is>
          <t>707</t>
        </is>
      </c>
      <c r="Z66" t="n">
        <v>4.5</v>
      </c>
      <c r="AA66" t="inlineStr">
        <is>
          <t>801+</t>
        </is>
      </c>
      <c r="AB66" t="n">
        <v>3.6</v>
      </c>
      <c r="AC66" t="inlineStr">
        <is>
          <t>801+</t>
        </is>
      </c>
      <c r="AD66" t="n">
        <v>9.5</v>
      </c>
      <c r="AE66" t="inlineStr">
        <is>
          <t>801+</t>
        </is>
      </c>
      <c r="AF66" t="n">
        <v>14.5</v>
      </c>
      <c r="AG66" t="inlineStr">
        <is>
          <t>801+</t>
        </is>
      </c>
      <c r="AH66" t="n">
        <v>9.6</v>
      </c>
      <c r="AI66" t="inlineStr">
        <is>
          <t>801+</t>
        </is>
      </c>
      <c r="AJ66" t="inlineStr">
        <is>
          <t>6.9</t>
        </is>
      </c>
      <c r="AK66" t="inlineStr">
        <is>
          <t>601+</t>
        </is>
      </c>
      <c r="AL66" t="inlineStr">
        <is>
          <t>12.3</t>
        </is>
      </c>
      <c r="AM66" t="inlineStr">
        <is>
          <t>601+</t>
        </is>
      </c>
      <c r="AN66" t="inlineStr">
        <is>
          <t>5.4</t>
        </is>
      </c>
      <c r="AO66" t="inlineStr">
        <is>
          <t>701+</t>
        </is>
      </c>
      <c r="AP66" t="inlineStr">
        <is>
          <t>2.0</t>
        </is>
      </c>
      <c r="AQ66" t="inlineStr">
        <is>
          <t>701+</t>
        </is>
      </c>
      <c r="AR66" t="inlineStr">
        <is>
          <t>16.3</t>
        </is>
      </c>
      <c r="AS66" t="inlineStr">
        <is>
          <t>648</t>
        </is>
      </c>
      <c r="AT66" t="inlineStr">
        <is>
          <t>2.7</t>
        </is>
      </c>
      <c r="AU66" t="inlineStr">
        <is>
          <t>701+</t>
        </is>
      </c>
      <c r="AV66" t="inlineStr">
        <is>
          <t>1.0</t>
        </is>
      </c>
      <c r="AW66" t="inlineStr">
        <is>
          <t>701+</t>
        </is>
      </c>
      <c r="AX66" t="inlineStr">
        <is>
          <t>11.4</t>
        </is>
      </c>
      <c r="AY66" t="inlineStr">
        <is>
          <t>701+</t>
        </is>
      </c>
      <c r="AZ66" t="inlineStr">
        <is>
          <t>1</t>
        </is>
      </c>
      <c r="BA66" t="inlineStr">
        <is>
          <t>701+</t>
        </is>
      </c>
    </row>
    <row r="67">
      <c r="A67" t="inlineStr">
        <is>
          <t>Applied Science Private University - Jordan</t>
        </is>
      </c>
      <c r="B67" t="inlineStr">
        <is>
          <t>Jordan</t>
        </is>
      </c>
      <c r="C67" t="inlineStr"/>
      <c r="D67" t="inlineStr">
        <is>
          <t>Asia</t>
        </is>
      </c>
      <c r="E67" t="inlineStr">
        <is>
          <t>M</t>
        </is>
      </c>
      <c r="F67" t="inlineStr">
        <is>
          <t>CO</t>
        </is>
      </c>
      <c r="G67" t="inlineStr">
        <is>
          <t>HI</t>
        </is>
      </c>
      <c r="H67" t="inlineStr"/>
      <c r="I67" t="inlineStr">
        <is>
          <t>Private for Profit</t>
        </is>
      </c>
      <c r="J67" t="inlineStr">
        <is>
          <t>791-800</t>
        </is>
      </c>
      <c r="K67" t="inlineStr">
        <is>
          <t>851-900</t>
        </is>
      </c>
      <c r="L67" t="inlineStr"/>
      <c r="M67" t="inlineStr"/>
      <c r="N67" t="inlineStr">
        <is>
          <t>-</t>
        </is>
      </c>
      <c r="O67" t="inlineStr"/>
      <c r="P67" t="n">
        <v>16.4</v>
      </c>
      <c r="Q67" t="inlineStr">
        <is>
          <t>701+</t>
        </is>
      </c>
      <c r="R67" t="n">
        <v>27.8</v>
      </c>
      <c r="S67" t="inlineStr">
        <is>
          <t>497</t>
        </is>
      </c>
      <c r="T67" t="n">
        <v>30</v>
      </c>
      <c r="U67" t="inlineStr">
        <is>
          <t>631</t>
        </is>
      </c>
      <c r="V67" t="n">
        <v>7.4</v>
      </c>
      <c r="W67" t="inlineStr">
        <is>
          <t>801+</t>
        </is>
      </c>
      <c r="X67" t="n">
        <v>36.3</v>
      </c>
      <c r="Y67" t="inlineStr">
        <is>
          <t>528</t>
        </is>
      </c>
      <c r="Z67" t="n">
        <v>82.09999999999999</v>
      </c>
      <c r="AA67" t="inlineStr">
        <is>
          <t>212</t>
        </is>
      </c>
      <c r="AB67" t="n">
        <v>79.3</v>
      </c>
      <c r="AC67" t="inlineStr">
        <is>
          <t>214</t>
        </is>
      </c>
      <c r="AD67" t="n">
        <v>44.9</v>
      </c>
      <c r="AE67" t="inlineStr">
        <is>
          <t>801+</t>
        </is>
      </c>
      <c r="AF67" t="n">
        <v>5.9</v>
      </c>
      <c r="AG67" t="inlineStr">
        <is>
          <t>801+</t>
        </is>
      </c>
      <c r="AH67" t="n">
        <v>39.4</v>
      </c>
      <c r="AI67" t="inlineStr">
        <is>
          <t>801+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</row>
    <row r="68">
      <c r="A68" t="inlineStr">
        <is>
          <t>Applied Science University - Bahrain</t>
        </is>
      </c>
      <c r="B68" t="inlineStr">
        <is>
          <t>Bahrain</t>
        </is>
      </c>
      <c r="C68" t="inlineStr">
        <is>
          <t>BH</t>
        </is>
      </c>
      <c r="D68" t="inlineStr">
        <is>
          <t>Asia</t>
        </is>
      </c>
      <c r="E68" t="inlineStr">
        <is>
          <t>S</t>
        </is>
      </c>
      <c r="F68" t="inlineStr">
        <is>
          <t>FO</t>
        </is>
      </c>
      <c r="G68" t="inlineStr">
        <is>
          <t>VH</t>
        </is>
      </c>
      <c r="H68" t="inlineStr">
        <is>
          <t>2</t>
        </is>
      </c>
      <c r="I68" t="inlineStr">
        <is>
          <t>Private not for Profit</t>
        </is>
      </c>
      <c r="J68" t="inlineStr">
        <is>
          <t>613</t>
        </is>
      </c>
      <c r="K68" t="inlineStr">
        <is>
          <t>539</t>
        </is>
      </c>
      <c r="L68">
        <f>582</f>
        <v/>
      </c>
      <c r="M68" t="inlineStr">
        <is>
          <t>561-570</t>
        </is>
      </c>
      <c r="N68" t="inlineStr">
        <is>
          <t>27.8</t>
        </is>
      </c>
      <c r="O68" t="inlineStr">
        <is>
          <t>20.3</t>
        </is>
      </c>
      <c r="P68" t="n">
        <v>26.6</v>
      </c>
      <c r="Q68" t="inlineStr">
        <is>
          <t>473</t>
        </is>
      </c>
      <c r="R68" t="n">
        <v>29.4</v>
      </c>
      <c r="S68" t="inlineStr">
        <is>
          <t>485</t>
        </is>
      </c>
      <c r="T68" t="n">
        <v>51.6</v>
      </c>
      <c r="U68" t="inlineStr">
        <is>
          <t>367</t>
        </is>
      </c>
      <c r="V68" t="n">
        <v>4.5</v>
      </c>
      <c r="W68" t="inlineStr">
        <is>
          <t>801+</t>
        </is>
      </c>
      <c r="X68" t="n">
        <v>100</v>
      </c>
      <c r="Y68" t="inlineStr">
        <is>
          <t>14</t>
        </is>
      </c>
      <c r="Z68" t="n">
        <v>62.3</v>
      </c>
      <c r="AA68" t="inlineStr">
        <is>
          <t>324</t>
        </is>
      </c>
      <c r="AB68" t="n">
        <v>46.5</v>
      </c>
      <c r="AC68" t="inlineStr">
        <is>
          <t>447</t>
        </is>
      </c>
      <c r="AD68" t="n">
        <v>12.3</v>
      </c>
      <c r="AE68" t="inlineStr">
        <is>
          <t>801+</t>
        </is>
      </c>
      <c r="AF68" t="n">
        <v>11.9</v>
      </c>
      <c r="AG68" t="inlineStr">
        <is>
          <t>801+</t>
        </is>
      </c>
      <c r="AH68" t="n">
        <v>23.9</v>
      </c>
      <c r="AI68" t="inlineStr">
        <is>
          <t>801+</t>
        </is>
      </c>
      <c r="AJ68" t="inlineStr">
        <is>
          <t>18.2</t>
        </is>
      </c>
      <c r="AK68" t="inlineStr">
        <is>
          <t>493</t>
        </is>
      </c>
      <c r="AL68" t="inlineStr">
        <is>
          <t>21.9</t>
        </is>
      </c>
      <c r="AM68" t="inlineStr">
        <is>
          <t>429</t>
        </is>
      </c>
      <c r="AN68" t="inlineStr">
        <is>
          <t>36.8</t>
        </is>
      </c>
      <c r="AO68" t="inlineStr">
        <is>
          <t>431</t>
        </is>
      </c>
      <c r="AP68" t="inlineStr">
        <is>
          <t>1.7</t>
        </is>
      </c>
      <c r="AQ68" t="inlineStr">
        <is>
          <t>701+</t>
        </is>
      </c>
      <c r="AR68" t="inlineStr">
        <is>
          <t>100.0</t>
        </is>
      </c>
      <c r="AS68" t="inlineStr">
        <is>
          <t>21</t>
        </is>
      </c>
      <c r="AT68" t="inlineStr">
        <is>
          <t>44.9</t>
        </is>
      </c>
      <c r="AU68" t="inlineStr">
        <is>
          <t>324</t>
        </is>
      </c>
      <c r="AV68" t="inlineStr">
        <is>
          <t>1.0</t>
        </is>
      </c>
      <c r="AW68" t="inlineStr">
        <is>
          <t>701+</t>
        </is>
      </c>
      <c r="AX68" t="inlineStr">
        <is>
          <t>8.3</t>
        </is>
      </c>
      <c r="AY68" t="inlineStr">
        <is>
          <t>701+</t>
        </is>
      </c>
      <c r="AZ68" t="inlineStr"/>
      <c r="BA68" t="inlineStr"/>
    </row>
    <row r="69">
      <c r="A69" t="inlineStr">
        <is>
          <t>Arab Academy for Science, Technology and Maritime Transport</t>
        </is>
      </c>
      <c r="B69" t="inlineStr">
        <is>
          <t>Egypt</t>
        </is>
      </c>
      <c r="C69" t="inlineStr">
        <is>
          <t>EG</t>
        </is>
      </c>
      <c r="D69" t="inlineStr">
        <is>
          <t>Africa</t>
        </is>
      </c>
      <c r="E69" t="inlineStr">
        <is>
          <t>L</t>
        </is>
      </c>
      <c r="F69" t="inlineStr">
        <is>
          <t>FO</t>
        </is>
      </c>
      <c r="G69" t="inlineStr">
        <is>
          <t>VH</t>
        </is>
      </c>
      <c r="H69" t="inlineStr">
        <is>
          <t>4</t>
        </is>
      </c>
      <c r="I69" t="inlineStr">
        <is>
          <t>Public</t>
        </is>
      </c>
      <c r="J69" t="inlineStr">
        <is>
          <t>1001-1200</t>
        </is>
      </c>
      <c r="K69" t="inlineStr">
        <is>
          <t>1001-1200</t>
        </is>
      </c>
      <c r="L69" t="inlineStr">
        <is>
          <t>1001-1200</t>
        </is>
      </c>
      <c r="M69" t="inlineStr"/>
      <c r="N69" t="inlineStr">
        <is>
          <t>-</t>
        </is>
      </c>
      <c r="O69" t="inlineStr">
        <is>
          <t>-</t>
        </is>
      </c>
      <c r="P69" t="n">
        <v>7.5</v>
      </c>
      <c r="Q69" t="inlineStr">
        <is>
          <t>701+</t>
        </is>
      </c>
      <c r="R69" t="n">
        <v>12.4</v>
      </c>
      <c r="S69" t="inlineStr">
        <is>
          <t>701+</t>
        </is>
      </c>
      <c r="T69" t="n">
        <v>44.7</v>
      </c>
      <c r="U69" t="inlineStr">
        <is>
          <t>441</t>
        </is>
      </c>
      <c r="V69" t="n">
        <v>2.4</v>
      </c>
      <c r="W69" t="inlineStr">
        <is>
          <t>801+</t>
        </is>
      </c>
      <c r="X69" t="n">
        <v>9.199999999999999</v>
      </c>
      <c r="Y69" t="inlineStr">
        <is>
          <t>801+</t>
        </is>
      </c>
      <c r="Z69" t="n">
        <v>34.9</v>
      </c>
      <c r="AA69" t="inlineStr">
        <is>
          <t>542</t>
        </is>
      </c>
      <c r="AB69" t="n">
        <v>33.6</v>
      </c>
      <c r="AC69" t="inlineStr">
        <is>
          <t>569</t>
        </is>
      </c>
      <c r="AD69" t="n">
        <v>27</v>
      </c>
      <c r="AE69" t="inlineStr">
        <is>
          <t>801+</t>
        </is>
      </c>
      <c r="AF69" t="n">
        <v>16.8</v>
      </c>
      <c r="AG69" t="inlineStr">
        <is>
          <t>789</t>
        </is>
      </c>
      <c r="AH69" t="n">
        <v>29.7</v>
      </c>
      <c r="AI69" t="inlineStr">
        <is>
          <t>801+</t>
        </is>
      </c>
      <c r="AJ69" t="inlineStr">
        <is>
          <t>5.3</t>
        </is>
      </c>
      <c r="AK69" t="inlineStr">
        <is>
          <t>601+</t>
        </is>
      </c>
      <c r="AL69" t="inlineStr">
        <is>
          <t>5.8</t>
        </is>
      </c>
      <c r="AM69" t="inlineStr">
        <is>
          <t>601+</t>
        </is>
      </c>
      <c r="AN69" t="inlineStr">
        <is>
          <t>32.6</t>
        </is>
      </c>
      <c r="AO69" t="inlineStr">
        <is>
          <t>486</t>
        </is>
      </c>
      <c r="AP69" t="inlineStr">
        <is>
          <t>1.5</t>
        </is>
      </c>
      <c r="AQ69" t="inlineStr">
        <is>
          <t>701+</t>
        </is>
      </c>
      <c r="AR69" t="inlineStr">
        <is>
          <t>6.9</t>
        </is>
      </c>
      <c r="AS69" t="inlineStr">
        <is>
          <t>701+</t>
        </is>
      </c>
      <c r="AT69" t="inlineStr">
        <is>
          <t>26.8</t>
        </is>
      </c>
      <c r="AU69" t="inlineStr">
        <is>
          <t>450</t>
        </is>
      </c>
      <c r="AV69" t="inlineStr">
        <is>
          <t>1.1</t>
        </is>
      </c>
      <c r="AW69" t="inlineStr">
        <is>
          <t>701+</t>
        </is>
      </c>
      <c r="AX69" t="inlineStr">
        <is>
          <t>11.4</t>
        </is>
      </c>
      <c r="AY69" t="inlineStr">
        <is>
          <t>701+</t>
        </is>
      </c>
      <c r="AZ69" t="inlineStr">
        <is>
          <t>1.1</t>
        </is>
      </c>
      <c r="BA69" t="inlineStr">
        <is>
          <t>701+</t>
        </is>
      </c>
    </row>
    <row r="70">
      <c r="A70" t="inlineStr">
        <is>
          <t>Aristotle University of Thessaloniki</t>
        </is>
      </c>
      <c r="B70" t="inlineStr">
        <is>
          <t>Greece</t>
        </is>
      </c>
      <c r="C70" t="inlineStr">
        <is>
          <t>GR</t>
        </is>
      </c>
      <c r="D70" t="inlineStr">
        <is>
          <t>Europe</t>
        </is>
      </c>
      <c r="E70" t="inlineStr">
        <is>
          <t>XL</t>
        </is>
      </c>
      <c r="F70" t="inlineStr">
        <is>
          <t>FC</t>
        </is>
      </c>
      <c r="G70" t="inlineStr">
        <is>
          <t>VH</t>
        </is>
      </c>
      <c r="H70" t="inlineStr">
        <is>
          <t>4</t>
        </is>
      </c>
      <c r="I70" t="inlineStr">
        <is>
          <t>Public</t>
        </is>
      </c>
      <c r="J70" t="inlineStr">
        <is>
          <t>485</t>
        </is>
      </c>
      <c r="K70" t="inlineStr">
        <is>
          <t>508</t>
        </is>
      </c>
      <c r="L70">
        <f>530</f>
        <v/>
      </c>
      <c r="M70" t="inlineStr">
        <is>
          <t>651-700</t>
        </is>
      </c>
      <c r="N70" t="inlineStr">
        <is>
          <t>32.9</t>
        </is>
      </c>
      <c r="O70" t="inlineStr">
        <is>
          <t>22.1</t>
        </is>
      </c>
      <c r="P70" t="n">
        <v>38.2</v>
      </c>
      <c r="Q70" t="inlineStr">
        <is>
          <t>311</t>
        </is>
      </c>
      <c r="R70" t="n">
        <v>35.9</v>
      </c>
      <c r="S70" t="inlineStr">
        <is>
          <t>402</t>
        </is>
      </c>
      <c r="T70" t="n">
        <v>6.4</v>
      </c>
      <c r="U70" t="inlineStr">
        <is>
          <t>801+</t>
        </is>
      </c>
      <c r="V70" t="n">
        <v>28.4</v>
      </c>
      <c r="W70" t="inlineStr">
        <is>
          <t>602</t>
        </is>
      </c>
      <c r="X70" t="n">
        <v>2.1</v>
      </c>
      <c r="Y70" t="inlineStr">
        <is>
          <t>801+</t>
        </is>
      </c>
      <c r="Z70" t="n">
        <v>8.1</v>
      </c>
      <c r="AA70" t="inlineStr">
        <is>
          <t>801+</t>
        </is>
      </c>
      <c r="AB70" t="n">
        <v>13.8</v>
      </c>
      <c r="AC70" t="inlineStr">
        <is>
          <t>801+</t>
        </is>
      </c>
      <c r="AD70" t="n">
        <v>90.90000000000001</v>
      </c>
      <c r="AE70" t="inlineStr">
        <is>
          <t>160</t>
        </is>
      </c>
      <c r="AF70" t="n">
        <v>48.3</v>
      </c>
      <c r="AG70" t="inlineStr">
        <is>
          <t>359</t>
        </is>
      </c>
      <c r="AH70" t="n">
        <v>66.40000000000001</v>
      </c>
      <c r="AI70" t="inlineStr">
        <is>
          <t>371=</t>
        </is>
      </c>
      <c r="AJ70" t="inlineStr">
        <is>
          <t>28.7</t>
        </is>
      </c>
      <c r="AK70" t="inlineStr">
        <is>
          <t>305</t>
        </is>
      </c>
      <c r="AL70" t="inlineStr">
        <is>
          <t>25.9</t>
        </is>
      </c>
      <c r="AM70" t="inlineStr">
        <is>
          <t>370</t>
        </is>
      </c>
      <c r="AN70" t="inlineStr">
        <is>
          <t>3.8</t>
        </is>
      </c>
      <c r="AO70" t="inlineStr">
        <is>
          <t>701+</t>
        </is>
      </c>
      <c r="AP70" t="inlineStr">
        <is>
          <t>13.5</t>
        </is>
      </c>
      <c r="AQ70" t="inlineStr">
        <is>
          <t>667</t>
        </is>
      </c>
      <c r="AR70" t="inlineStr">
        <is>
          <t>1.4</t>
        </is>
      </c>
      <c r="AS70" t="inlineStr">
        <is>
          <t>701+</t>
        </is>
      </c>
      <c r="AT70" t="inlineStr">
        <is>
          <t>4.0</t>
        </is>
      </c>
      <c r="AU70" t="inlineStr">
        <is>
          <t>701+</t>
        </is>
      </c>
      <c r="AV70" t="inlineStr">
        <is>
          <t>75.4</t>
        </is>
      </c>
      <c r="AW70" t="inlineStr">
        <is>
          <t>169</t>
        </is>
      </c>
      <c r="AX70" t="inlineStr">
        <is>
          <t>15.7</t>
        </is>
      </c>
      <c r="AY70" t="inlineStr">
        <is>
          <t>532</t>
        </is>
      </c>
      <c r="AZ70" t="inlineStr">
        <is>
          <t>36.6</t>
        </is>
      </c>
      <c r="BA70" t="inlineStr">
        <is>
          <t>388</t>
        </is>
      </c>
    </row>
    <row r="71">
      <c r="A71" t="inlineStr">
        <is>
          <t>Arizona State University</t>
        </is>
      </c>
      <c r="B71" t="inlineStr">
        <is>
          <t>United States</t>
        </is>
      </c>
      <c r="C71" t="inlineStr">
        <is>
          <t>US</t>
        </is>
      </c>
      <c r="D71" t="inlineStr">
        <is>
          <t>Americas</t>
        </is>
      </c>
      <c r="E71" t="inlineStr">
        <is>
          <t>XL</t>
        </is>
      </c>
      <c r="F71" t="inlineStr">
        <is>
          <t>CO</t>
        </is>
      </c>
      <c r="G71" t="inlineStr">
        <is>
          <t>VH</t>
        </is>
      </c>
      <c r="H71" t="inlineStr">
        <is>
          <t>5</t>
        </is>
      </c>
      <c r="I71" t="inlineStr">
        <is>
          <t>Public</t>
        </is>
      </c>
      <c r="J71" t="inlineStr">
        <is>
          <t>173</t>
        </is>
      </c>
      <c r="K71" t="inlineStr">
        <is>
          <t>200</t>
        </is>
      </c>
      <c r="L71" t="inlineStr">
        <is>
          <t>179</t>
        </is>
      </c>
      <c r="M71" t="inlineStr">
        <is>
          <t>219</t>
        </is>
      </c>
      <c r="N71" t="inlineStr">
        <is>
          <t>59.1</t>
        </is>
      </c>
      <c r="O71" t="inlineStr">
        <is>
          <t>48.1</t>
        </is>
      </c>
      <c r="P71" t="n">
        <v>63.9</v>
      </c>
      <c r="Q71" t="inlineStr">
        <is>
          <t>159</t>
        </is>
      </c>
      <c r="R71" t="n">
        <v>63.3</v>
      </c>
      <c r="S71" t="inlineStr">
        <is>
          <t>171</t>
        </is>
      </c>
      <c r="T71" t="n">
        <v>9.5</v>
      </c>
      <c r="U71" t="inlineStr">
        <is>
          <t>801+</t>
        </is>
      </c>
      <c r="V71" t="n">
        <v>61.5</v>
      </c>
      <c r="W71" t="inlineStr">
        <is>
          <t>277</t>
        </is>
      </c>
      <c r="X71" t="n">
        <v>72.5</v>
      </c>
      <c r="Y71" t="inlineStr">
        <is>
          <t>326</t>
        </is>
      </c>
      <c r="Z71" t="n">
        <v>53.2</v>
      </c>
      <c r="AA71" t="inlineStr">
        <is>
          <t>385</t>
        </is>
      </c>
      <c r="AB71" t="n">
        <v>57.7</v>
      </c>
      <c r="AC71" t="inlineStr">
        <is>
          <t>353</t>
        </is>
      </c>
      <c r="AD71" t="n">
        <v>95.2</v>
      </c>
      <c r="AE71" t="inlineStr">
        <is>
          <t>81</t>
        </is>
      </c>
      <c r="AF71" t="n">
        <v>42.2</v>
      </c>
      <c r="AG71" t="inlineStr">
        <is>
          <t>415</t>
        </is>
      </c>
      <c r="AH71" t="n">
        <v>85.8</v>
      </c>
      <c r="AI71" t="inlineStr">
        <is>
          <t>102=</t>
        </is>
      </c>
      <c r="AJ71" t="inlineStr">
        <is>
          <t>46.7</t>
        </is>
      </c>
      <c r="AK71" t="inlineStr">
        <is>
          <t>174</t>
        </is>
      </c>
      <c r="AL71" t="inlineStr">
        <is>
          <t>36.7</t>
        </is>
      </c>
      <c r="AM71" t="inlineStr">
        <is>
          <t>265</t>
        </is>
      </c>
      <c r="AN71" t="inlineStr">
        <is>
          <t>6.8</t>
        </is>
      </c>
      <c r="AO71" t="inlineStr">
        <is>
          <t>701+</t>
        </is>
      </c>
      <c r="AP71" t="inlineStr">
        <is>
          <t>61.5</t>
        </is>
      </c>
      <c r="AQ71" t="inlineStr">
        <is>
          <t>199</t>
        </is>
      </c>
      <c r="AR71" t="inlineStr">
        <is>
          <t>64.5</t>
        </is>
      </c>
      <c r="AS71" t="inlineStr">
        <is>
          <t>299</t>
        </is>
      </c>
      <c r="AT71" t="inlineStr">
        <is>
          <t>30.1</t>
        </is>
      </c>
      <c r="AU71" t="inlineStr">
        <is>
          <t>422</t>
        </is>
      </c>
      <c r="AV71" t="inlineStr">
        <is>
          <t>87.9</t>
        </is>
      </c>
      <c r="AW71" t="inlineStr">
        <is>
          <t>97</t>
        </is>
      </c>
      <c r="AX71" t="inlineStr">
        <is>
          <t>26.6</t>
        </is>
      </c>
      <c r="AY71" t="inlineStr">
        <is>
          <t>307</t>
        </is>
      </c>
      <c r="AZ71" t="inlineStr">
        <is>
          <t>97.3</t>
        </is>
      </c>
      <c r="BA71" t="inlineStr">
        <is>
          <t>33=</t>
        </is>
      </c>
    </row>
    <row r="72">
      <c r="A72" t="inlineStr">
        <is>
          <t>Asfendiyarov Kazakh National Medical University</t>
        </is>
      </c>
      <c r="B72" t="inlineStr">
        <is>
          <t>Kazakhstan</t>
        </is>
      </c>
      <c r="C72" t="inlineStr"/>
      <c r="D72" t="inlineStr">
        <is>
          <t>Asia</t>
        </is>
      </c>
      <c r="E72" t="inlineStr">
        <is>
          <t>M</t>
        </is>
      </c>
      <c r="F72" t="inlineStr">
        <is>
          <t>FO</t>
        </is>
      </c>
      <c r="G72" t="inlineStr">
        <is>
          <t>HI</t>
        </is>
      </c>
      <c r="H72" t="inlineStr"/>
      <c r="I72" t="inlineStr">
        <is>
          <t>Public</t>
        </is>
      </c>
      <c r="J72" t="inlineStr">
        <is>
          <t>1001-1200</t>
        </is>
      </c>
      <c r="K72" t="inlineStr">
        <is>
          <t>951-1000</t>
        </is>
      </c>
      <c r="L72" t="inlineStr"/>
      <c r="M72" t="inlineStr"/>
      <c r="N72" t="inlineStr">
        <is>
          <t>-</t>
        </is>
      </c>
      <c r="O72" t="inlineStr"/>
      <c r="P72" t="n">
        <v>7.3</v>
      </c>
      <c r="Q72" t="inlineStr">
        <is>
          <t>701+</t>
        </is>
      </c>
      <c r="R72" t="n">
        <v>8.800000000000001</v>
      </c>
      <c r="S72" t="inlineStr">
        <is>
          <t>701+</t>
        </is>
      </c>
      <c r="T72" t="n">
        <v>67.2</v>
      </c>
      <c r="U72" t="inlineStr">
        <is>
          <t>255</t>
        </is>
      </c>
      <c r="V72" t="n">
        <v>1.3</v>
      </c>
      <c r="W72" t="inlineStr">
        <is>
          <t>801+</t>
        </is>
      </c>
      <c r="X72" t="n">
        <v>15.8</v>
      </c>
      <c r="Y72" t="inlineStr">
        <is>
          <t>783</t>
        </is>
      </c>
      <c r="Z72" t="n">
        <v>76.8</v>
      </c>
      <c r="AA72" t="inlineStr">
        <is>
          <t>244</t>
        </is>
      </c>
      <c r="AB72" t="n">
        <v>70.3</v>
      </c>
      <c r="AC72" t="inlineStr">
        <is>
          <t>267</t>
        </is>
      </c>
      <c r="AD72" t="n">
        <v>6.4</v>
      </c>
      <c r="AE72" t="inlineStr">
        <is>
          <t>801+</t>
        </is>
      </c>
      <c r="AF72" t="n">
        <v>7.8</v>
      </c>
      <c r="AG72" t="inlineStr">
        <is>
          <t>801+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Ashoka University</t>
        </is>
      </c>
      <c r="B73" t="inlineStr">
        <is>
          <t>India</t>
        </is>
      </c>
      <c r="C73" t="inlineStr"/>
      <c r="D73" t="inlineStr">
        <is>
          <t>Asia</t>
        </is>
      </c>
      <c r="E73" t="inlineStr">
        <is>
          <t>S</t>
        </is>
      </c>
      <c r="F73" t="inlineStr">
        <is>
          <t>SP</t>
        </is>
      </c>
      <c r="G73" t="inlineStr">
        <is>
          <t>VH</t>
        </is>
      </c>
      <c r="H73" t="inlineStr"/>
      <c r="I73" t="inlineStr">
        <is>
          <t>Private for Profit</t>
        </is>
      </c>
      <c r="J73" t="inlineStr">
        <is>
          <t>1201-1400</t>
        </is>
      </c>
      <c r="K73" t="inlineStr"/>
      <c r="L73" t="inlineStr"/>
      <c r="M73" t="inlineStr"/>
      <c r="N73" t="inlineStr">
        <is>
          <t>-</t>
        </is>
      </c>
      <c r="O73" t="inlineStr"/>
      <c r="P73" t="n">
        <v>10.1</v>
      </c>
      <c r="Q73" t="inlineStr">
        <is>
          <t>701+</t>
        </is>
      </c>
      <c r="R73" t="n">
        <v>7.2</v>
      </c>
      <c r="S73" t="inlineStr">
        <is>
          <t>701+</t>
        </is>
      </c>
      <c r="T73" t="n">
        <v>28.4</v>
      </c>
      <c r="U73" t="inlineStr">
        <is>
          <t>672</t>
        </is>
      </c>
      <c r="V73" t="n">
        <v>6.2</v>
      </c>
      <c r="W73" t="inlineStr">
        <is>
          <t>801+</t>
        </is>
      </c>
      <c r="X73" t="n">
        <v>20.5</v>
      </c>
      <c r="Y73" t="inlineStr">
        <is>
          <t>702</t>
        </is>
      </c>
      <c r="Z73" t="n">
        <v>7.5</v>
      </c>
      <c r="AA73" t="inlineStr">
        <is>
          <t>801+</t>
        </is>
      </c>
      <c r="AB73" t="n">
        <v>10.9</v>
      </c>
      <c r="AC73" t="inlineStr">
        <is>
          <t>801+</t>
        </is>
      </c>
      <c r="AD73" t="n">
        <v>3.4</v>
      </c>
      <c r="AE73" t="inlineStr">
        <is>
          <t>801+</t>
        </is>
      </c>
      <c r="AF73" t="n">
        <v>1.9</v>
      </c>
      <c r="AG73" t="inlineStr">
        <is>
          <t>801+</t>
        </is>
      </c>
      <c r="AH73" t="n">
        <v>26.3</v>
      </c>
      <c r="AI73" t="inlineStr">
        <is>
          <t>801+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Asia Pacific University of Technology and Innovation (APU)</t>
        </is>
      </c>
      <c r="B74" t="inlineStr">
        <is>
          <t>Malaysia</t>
        </is>
      </c>
      <c r="C74" t="inlineStr">
        <is>
          <t>MY</t>
        </is>
      </c>
      <c r="D74" t="inlineStr"/>
      <c r="E74" t="inlineStr">
        <is>
          <t>S</t>
        </is>
      </c>
      <c r="F74" t="inlineStr">
        <is>
          <t>FO</t>
        </is>
      </c>
      <c r="G74" t="inlineStr">
        <is>
          <t>VH</t>
        </is>
      </c>
      <c r="H74" t="inlineStr">
        <is>
          <t>2</t>
        </is>
      </c>
      <c r="I74" t="inlineStr">
        <is>
          <t>C</t>
        </is>
      </c>
      <c r="J74" t="inlineStr"/>
      <c r="K74" t="inlineStr"/>
      <c r="L74" t="inlineStr">
        <is>
          <t>621-630</t>
        </is>
      </c>
      <c r="M74" t="inlineStr"/>
      <c r="N74" t="inlineStr"/>
      <c r="O74" t="inlineStr">
        <is>
          <t>-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6.4</t>
        </is>
      </c>
      <c r="AK74" t="inlineStr">
        <is>
          <t>601+</t>
        </is>
      </c>
      <c r="AL74" t="inlineStr">
        <is>
          <t>8.6</t>
        </is>
      </c>
      <c r="AM74" t="inlineStr">
        <is>
          <t>601+</t>
        </is>
      </c>
      <c r="AN74" t="inlineStr">
        <is>
          <t>57.8</t>
        </is>
      </c>
      <c r="AO74" t="inlineStr">
        <is>
          <t>250</t>
        </is>
      </c>
      <c r="AP74" t="inlineStr">
        <is>
          <t>1.5</t>
        </is>
      </c>
      <c r="AQ74" t="inlineStr">
        <is>
          <t>701+</t>
        </is>
      </c>
      <c r="AR74" t="inlineStr">
        <is>
          <t>89.8</t>
        </is>
      </c>
      <c r="AS74" t="inlineStr">
        <is>
          <t>185</t>
        </is>
      </c>
      <c r="AT74" t="inlineStr">
        <is>
          <t>100.0</t>
        </is>
      </c>
      <c r="AU74" t="inlineStr">
        <is>
          <t>16</t>
        </is>
      </c>
      <c r="AV74" t="inlineStr">
        <is>
          <t>1.0</t>
        </is>
      </c>
      <c r="AW74" t="inlineStr">
        <is>
          <t>701+</t>
        </is>
      </c>
      <c r="AX74" t="inlineStr">
        <is>
          <t>9.4</t>
        </is>
      </c>
      <c r="AY74" t="inlineStr">
        <is>
          <t>701+</t>
        </is>
      </c>
      <c r="AZ74" t="inlineStr">
        <is>
          <t>1</t>
        </is>
      </c>
      <c r="BA74" t="inlineStr">
        <is>
          <t>701+</t>
        </is>
      </c>
    </row>
    <row r="75">
      <c r="A75" t="inlineStr">
        <is>
          <t>Asia Pacific University of Technology and Innovation (APU) Malaysia</t>
        </is>
      </c>
      <c r="B75" t="inlineStr">
        <is>
          <t>Malaysia</t>
        </is>
      </c>
      <c r="C75" t="inlineStr"/>
      <c r="D75" t="inlineStr">
        <is>
          <t>Asia</t>
        </is>
      </c>
      <c r="E75" t="inlineStr">
        <is>
          <t>S</t>
        </is>
      </c>
      <c r="F75" t="inlineStr">
        <is>
          <t>SP</t>
        </is>
      </c>
      <c r="G75" t="inlineStr">
        <is>
          <t>HI</t>
        </is>
      </c>
      <c r="H75" t="inlineStr"/>
      <c r="I75" t="inlineStr">
        <is>
          <t>Private for Profit</t>
        </is>
      </c>
      <c r="J75" t="inlineStr">
        <is>
          <t>597</t>
        </is>
      </c>
      <c r="K75" t="inlineStr">
        <is>
          <t>611-620</t>
        </is>
      </c>
      <c r="L75" t="inlineStr"/>
      <c r="M75" t="inlineStr"/>
      <c r="N75" t="inlineStr">
        <is>
          <t>28.3</t>
        </is>
      </c>
      <c r="O75" t="inlineStr"/>
      <c r="P75" t="n">
        <v>17.3</v>
      </c>
      <c r="Q75" t="inlineStr">
        <is>
          <t>701+</t>
        </is>
      </c>
      <c r="R75" t="n">
        <v>23.7</v>
      </c>
      <c r="S75" t="inlineStr">
        <is>
          <t>565</t>
        </is>
      </c>
      <c r="T75" t="n">
        <v>74.2</v>
      </c>
      <c r="U75" t="inlineStr">
        <is>
          <t>204</t>
        </is>
      </c>
      <c r="V75" t="n">
        <v>2.9</v>
      </c>
      <c r="W75" t="inlineStr">
        <is>
          <t>801+</t>
        </is>
      </c>
      <c r="X75" t="n">
        <v>95.59999999999999</v>
      </c>
      <c r="Y75" t="inlineStr">
        <is>
          <t>169</t>
        </is>
      </c>
      <c r="Z75" t="n">
        <v>100</v>
      </c>
      <c r="AA75" t="inlineStr">
        <is>
          <t>16</t>
        </is>
      </c>
      <c r="AB75" t="n">
        <v>100</v>
      </c>
      <c r="AC75" t="inlineStr">
        <is>
          <t>10</t>
        </is>
      </c>
      <c r="AD75" t="n">
        <v>14.1</v>
      </c>
      <c r="AE75" t="inlineStr">
        <is>
          <t>801+</t>
        </is>
      </c>
      <c r="AF75" t="n">
        <v>5.3</v>
      </c>
      <c r="AG75" t="inlineStr">
        <is>
          <t>801+</t>
        </is>
      </c>
      <c r="AH75" t="n">
        <v>39</v>
      </c>
      <c r="AI75" t="inlineStr">
        <is>
          <t>801+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Asia University Taiwan</t>
        </is>
      </c>
      <c r="B76" t="inlineStr">
        <is>
          <t>Taiwan</t>
        </is>
      </c>
      <c r="C76" t="inlineStr">
        <is>
          <t>TW</t>
        </is>
      </c>
      <c r="D76" t="inlineStr">
        <is>
          <t>Asia</t>
        </is>
      </c>
      <c r="E76" t="inlineStr">
        <is>
          <t>M</t>
        </is>
      </c>
      <c r="F76" t="inlineStr">
        <is>
          <t>CO</t>
        </is>
      </c>
      <c r="G76" t="inlineStr">
        <is>
          <t>VH</t>
        </is>
      </c>
      <c r="H76" t="inlineStr">
        <is>
          <t>2</t>
        </is>
      </c>
      <c r="I76" t="inlineStr">
        <is>
          <t>Private for Profit</t>
        </is>
      </c>
      <c r="J76" t="inlineStr">
        <is>
          <t>711-720</t>
        </is>
      </c>
      <c r="K76" t="inlineStr">
        <is>
          <t>801-850</t>
        </is>
      </c>
      <c r="L76" t="inlineStr">
        <is>
          <t>901-950</t>
        </is>
      </c>
      <c r="M76" t="inlineStr">
        <is>
          <t>1001-1200</t>
        </is>
      </c>
      <c r="N76" t="inlineStr">
        <is>
          <t>-</t>
        </is>
      </c>
      <c r="O76" t="inlineStr">
        <is>
          <t>-</t>
        </is>
      </c>
      <c r="P76" t="n">
        <v>9</v>
      </c>
      <c r="Q76" t="inlineStr">
        <is>
          <t>701+</t>
        </is>
      </c>
      <c r="R76" t="n">
        <v>2.8</v>
      </c>
      <c r="S76" t="inlineStr">
        <is>
          <t>701+</t>
        </is>
      </c>
      <c r="T76" t="n">
        <v>5.1</v>
      </c>
      <c r="U76" t="inlineStr">
        <is>
          <t>801+</t>
        </is>
      </c>
      <c r="V76" t="n">
        <v>79.90000000000001</v>
      </c>
      <c r="W76" t="inlineStr">
        <is>
          <t>156</t>
        </is>
      </c>
      <c r="X76" t="n">
        <v>14.5</v>
      </c>
      <c r="Y76" t="inlineStr">
        <is>
          <t>801+</t>
        </is>
      </c>
      <c r="Z76" t="n">
        <v>6</v>
      </c>
      <c r="AA76" t="inlineStr">
        <is>
          <t>801+</t>
        </is>
      </c>
      <c r="AB76" t="n">
        <v>10.2</v>
      </c>
      <c r="AC76" t="inlineStr">
        <is>
          <t>801+</t>
        </is>
      </c>
      <c r="AD76" t="n">
        <v>64.2</v>
      </c>
      <c r="AE76" t="inlineStr">
        <is>
          <t>633</t>
        </is>
      </c>
      <c r="AF76" t="n">
        <v>2.1</v>
      </c>
      <c r="AG76" t="inlineStr">
        <is>
          <t>801+</t>
        </is>
      </c>
      <c r="AH76" t="n">
        <v>36.6</v>
      </c>
      <c r="AI76" t="inlineStr">
        <is>
          <t>801+</t>
        </is>
      </c>
      <c r="AJ76" t="inlineStr">
        <is>
          <t>5.9</t>
        </is>
      </c>
      <c r="AK76" t="inlineStr">
        <is>
          <t>601+</t>
        </is>
      </c>
      <c r="AL76" t="inlineStr">
        <is>
          <t>1.8</t>
        </is>
      </c>
      <c r="AM76" t="inlineStr">
        <is>
          <t>601+</t>
        </is>
      </c>
      <c r="AN76" t="inlineStr">
        <is>
          <t>3.3</t>
        </is>
      </c>
      <c r="AO76" t="inlineStr">
        <is>
          <t>701+</t>
        </is>
      </c>
      <c r="AP76" t="inlineStr">
        <is>
          <t>38.7</t>
        </is>
      </c>
      <c r="AQ76" t="inlineStr">
        <is>
          <t>358</t>
        </is>
      </c>
      <c r="AR76" t="inlineStr">
        <is>
          <t>9.5</t>
        </is>
      </c>
      <c r="AS76" t="inlineStr">
        <is>
          <t>701+</t>
        </is>
      </c>
      <c r="AT76" t="inlineStr">
        <is>
          <t>3.5</t>
        </is>
      </c>
      <c r="AU76" t="inlineStr">
        <is>
          <t>701+</t>
        </is>
      </c>
      <c r="AV76" t="inlineStr">
        <is>
          <t>12.0</t>
        </is>
      </c>
      <c r="AW76" t="inlineStr">
        <is>
          <t>637</t>
        </is>
      </c>
      <c r="AX76" t="inlineStr">
        <is>
          <t>7.9</t>
        </is>
      </c>
      <c r="AY76" t="inlineStr">
        <is>
          <t>701+</t>
        </is>
      </c>
      <c r="AZ76" t="inlineStr">
        <is>
          <t>2.3</t>
        </is>
      </c>
      <c r="BA76" t="inlineStr">
        <is>
          <t>701+</t>
        </is>
      </c>
    </row>
    <row r="77">
      <c r="A77" t="inlineStr">
        <is>
          <t>Assiut University</t>
        </is>
      </c>
      <c r="B77" t="inlineStr">
        <is>
          <t>Egypt</t>
        </is>
      </c>
      <c r="C77" t="inlineStr">
        <is>
          <t>EG</t>
        </is>
      </c>
      <c r="D77" t="inlineStr">
        <is>
          <t>Africa</t>
        </is>
      </c>
      <c r="E77" t="inlineStr">
        <is>
          <t>XL</t>
        </is>
      </c>
      <c r="F77" t="inlineStr">
        <is>
          <t>FC</t>
        </is>
      </c>
      <c r="G77" t="inlineStr">
        <is>
          <t>HI</t>
        </is>
      </c>
      <c r="H77" t="inlineStr">
        <is>
          <t>4</t>
        </is>
      </c>
      <c r="I77" t="inlineStr">
        <is>
          <t>Public</t>
        </is>
      </c>
      <c r="J77" t="inlineStr">
        <is>
          <t>1001-1200</t>
        </is>
      </c>
      <c r="K77" t="inlineStr">
        <is>
          <t>1001-1200</t>
        </is>
      </c>
      <c r="L77" t="inlineStr">
        <is>
          <t>1001-1200</t>
        </is>
      </c>
      <c r="M77" t="inlineStr">
        <is>
          <t>1001-1200</t>
        </is>
      </c>
      <c r="N77" t="inlineStr">
        <is>
          <t>-</t>
        </is>
      </c>
      <c r="O77" t="inlineStr">
        <is>
          <t>-</t>
        </is>
      </c>
      <c r="P77" t="n">
        <v>16.3</v>
      </c>
      <c r="Q77" t="inlineStr">
        <is>
          <t>701+</t>
        </is>
      </c>
      <c r="R77" t="n">
        <v>15.1</v>
      </c>
      <c r="S77" t="inlineStr">
        <is>
          <t>701+</t>
        </is>
      </c>
      <c r="T77" t="n">
        <v>20.7</v>
      </c>
      <c r="U77" t="inlineStr">
        <is>
          <t>801+</t>
        </is>
      </c>
      <c r="V77" t="n">
        <v>4</v>
      </c>
      <c r="W77" t="inlineStr">
        <is>
          <t>801+</t>
        </is>
      </c>
      <c r="X77" t="n">
        <v>21.1</v>
      </c>
      <c r="Y77" t="inlineStr">
        <is>
          <t>697</t>
        </is>
      </c>
      <c r="Z77" t="n">
        <v>7.2</v>
      </c>
      <c r="AA77" t="inlineStr">
        <is>
          <t>801+</t>
        </is>
      </c>
      <c r="AB77" t="n">
        <v>10.6</v>
      </c>
      <c r="AC77" t="inlineStr">
        <is>
          <t>801+</t>
        </is>
      </c>
      <c r="AD77" t="n">
        <v>66.5</v>
      </c>
      <c r="AE77" t="inlineStr">
        <is>
          <t>596</t>
        </is>
      </c>
      <c r="AF77" t="n">
        <v>3</v>
      </c>
      <c r="AG77" t="inlineStr">
        <is>
          <t>801+</t>
        </is>
      </c>
      <c r="AH77" t="n">
        <v>53.3</v>
      </c>
      <c r="AI77" t="inlineStr">
        <is>
          <t>636=</t>
        </is>
      </c>
      <c r="AJ77" t="inlineStr">
        <is>
          <t>11.2</t>
        </is>
      </c>
      <c r="AK77" t="inlineStr">
        <is>
          <t>601+</t>
        </is>
      </c>
      <c r="AL77" t="inlineStr">
        <is>
          <t>6.9</t>
        </is>
      </c>
      <c r="AM77" t="inlineStr">
        <is>
          <t>601+</t>
        </is>
      </c>
      <c r="AN77" t="inlineStr">
        <is>
          <t>12.3</t>
        </is>
      </c>
      <c r="AO77" t="inlineStr">
        <is>
          <t>701+</t>
        </is>
      </c>
      <c r="AP77" t="inlineStr">
        <is>
          <t>2.3</t>
        </is>
      </c>
      <c r="AQ77" t="inlineStr">
        <is>
          <t>701+</t>
        </is>
      </c>
      <c r="AR77" t="inlineStr">
        <is>
          <t>15.5</t>
        </is>
      </c>
      <c r="AS77" t="inlineStr">
        <is>
          <t>660</t>
        </is>
      </c>
      <c r="AT77" t="inlineStr">
        <is>
          <t>4.0</t>
        </is>
      </c>
      <c r="AU77" t="inlineStr">
        <is>
          <t>701+</t>
        </is>
      </c>
      <c r="AV77" t="inlineStr">
        <is>
          <t>10.7</t>
        </is>
      </c>
      <c r="AW77" t="inlineStr">
        <is>
          <t>658</t>
        </is>
      </c>
      <c r="AX77" t="inlineStr">
        <is>
          <t>6.9</t>
        </is>
      </c>
      <c r="AY77" t="inlineStr">
        <is>
          <t>701+</t>
        </is>
      </c>
      <c r="AZ77" t="inlineStr">
        <is>
          <t>1.9</t>
        </is>
      </c>
      <c r="BA77" t="inlineStr">
        <is>
          <t>701+</t>
        </is>
      </c>
    </row>
    <row r="78">
      <c r="A78" t="inlineStr">
        <is>
          <t>Aston University</t>
        </is>
      </c>
      <c r="B78" t="inlineStr">
        <is>
          <t>United Kingdom</t>
        </is>
      </c>
      <c r="C78" t="inlineStr">
        <is>
          <t>UK</t>
        </is>
      </c>
      <c r="D78" t="inlineStr">
        <is>
          <t>Europe</t>
        </is>
      </c>
      <c r="E78" t="inlineStr">
        <is>
          <t>L</t>
        </is>
      </c>
      <c r="F78" t="inlineStr">
        <is>
          <t>CO</t>
        </is>
      </c>
      <c r="G78" t="inlineStr">
        <is>
          <t>VH</t>
        </is>
      </c>
      <c r="H78" t="inlineStr">
        <is>
          <t>4</t>
        </is>
      </c>
      <c r="I78" t="inlineStr">
        <is>
          <t>Public</t>
        </is>
      </c>
      <c r="J78" t="inlineStr">
        <is>
          <t>395</t>
        </is>
      </c>
      <c r="K78" t="inlineStr">
        <is>
          <t>423</t>
        </is>
      </c>
      <c r="L78">
        <f>446</f>
        <v/>
      </c>
      <c r="M78" t="inlineStr">
        <is>
          <t>561-570</t>
        </is>
      </c>
      <c r="N78" t="inlineStr">
        <is>
          <t>38.1</t>
        </is>
      </c>
      <c r="O78" t="inlineStr">
        <is>
          <t>25.7</t>
        </is>
      </c>
      <c r="P78" t="n">
        <v>18.1</v>
      </c>
      <c r="Q78" t="inlineStr">
        <is>
          <t>673</t>
        </is>
      </c>
      <c r="R78" t="n">
        <v>27.1</v>
      </c>
      <c r="S78" t="inlineStr">
        <is>
          <t>506</t>
        </is>
      </c>
      <c r="T78" t="n">
        <v>12</v>
      </c>
      <c r="U78" t="inlineStr">
        <is>
          <t>801+</t>
        </is>
      </c>
      <c r="V78" t="n">
        <v>56.7</v>
      </c>
      <c r="W78" t="inlineStr">
        <is>
          <t>309</t>
        </is>
      </c>
      <c r="X78" t="n">
        <v>97.90000000000001</v>
      </c>
      <c r="Y78" t="inlineStr">
        <is>
          <t>142</t>
        </is>
      </c>
      <c r="Z78" t="n">
        <v>63.4</v>
      </c>
      <c r="AA78" t="inlineStr">
        <is>
          <t>317</t>
        </is>
      </c>
      <c r="AB78" t="n">
        <v>67</v>
      </c>
      <c r="AC78" t="inlineStr">
        <is>
          <t>290</t>
        </is>
      </c>
      <c r="AD78" t="n">
        <v>81.8</v>
      </c>
      <c r="AE78" t="inlineStr">
        <is>
          <t>317</t>
        </is>
      </c>
      <c r="AF78" t="n">
        <v>28.3</v>
      </c>
      <c r="AG78" t="inlineStr">
        <is>
          <t>587</t>
        </is>
      </c>
      <c r="AH78" t="n">
        <v>67.59999999999999</v>
      </c>
      <c r="AI78" t="inlineStr">
        <is>
          <t>355=</t>
        </is>
      </c>
      <c r="AJ78" t="inlineStr">
        <is>
          <t>12.9</t>
        </is>
      </c>
      <c r="AK78" t="inlineStr">
        <is>
          <t>601+</t>
        </is>
      </c>
      <c r="AL78" t="inlineStr">
        <is>
          <t>22.8</t>
        </is>
      </c>
      <c r="AM78" t="inlineStr">
        <is>
          <t>416</t>
        </is>
      </c>
      <c r="AN78" t="inlineStr">
        <is>
          <t>10.0</t>
        </is>
      </c>
      <c r="AO78" t="inlineStr">
        <is>
          <t>701+</t>
        </is>
      </c>
      <c r="AP78" t="inlineStr">
        <is>
          <t>34.1</t>
        </is>
      </c>
      <c r="AQ78" t="inlineStr">
        <is>
          <t>400</t>
        </is>
      </c>
      <c r="AR78" t="inlineStr">
        <is>
          <t>93.0</t>
        </is>
      </c>
      <c r="AS78" t="inlineStr">
        <is>
          <t>164</t>
        </is>
      </c>
      <c r="AT78" t="inlineStr">
        <is>
          <t>38.3</t>
        </is>
      </c>
      <c r="AU78" t="inlineStr">
        <is>
          <t>359</t>
        </is>
      </c>
      <c r="AV78" t="inlineStr">
        <is>
          <t>50.5</t>
        </is>
      </c>
      <c r="AW78" t="inlineStr">
        <is>
          <t>310</t>
        </is>
      </c>
      <c r="AX78" t="inlineStr">
        <is>
          <t>18.1</t>
        </is>
      </c>
      <c r="AY78" t="inlineStr">
        <is>
          <t>463</t>
        </is>
      </c>
      <c r="AZ78" t="inlineStr">
        <is>
          <t>12.3</t>
        </is>
      </c>
      <c r="BA78" t="inlineStr">
        <is>
          <t>640=</t>
        </is>
      </c>
    </row>
    <row r="79">
      <c r="A79" t="inlineStr">
        <is>
          <t>Aswan University</t>
        </is>
      </c>
      <c r="B79" t="inlineStr">
        <is>
          <t>Egypt</t>
        </is>
      </c>
      <c r="C79" t="inlineStr"/>
      <c r="D79" t="inlineStr">
        <is>
          <t>Africa</t>
        </is>
      </c>
      <c r="E79" t="inlineStr">
        <is>
          <t>L</t>
        </is>
      </c>
      <c r="F79" t="inlineStr">
        <is>
          <t>FC</t>
        </is>
      </c>
      <c r="G79" t="inlineStr">
        <is>
          <t>HI</t>
        </is>
      </c>
      <c r="H79" t="inlineStr"/>
      <c r="I79" t="inlineStr">
        <is>
          <t>Public</t>
        </is>
      </c>
      <c r="J79" t="inlineStr">
        <is>
          <t>1401+</t>
        </is>
      </c>
      <c r="K79" t="inlineStr"/>
      <c r="L79" t="inlineStr"/>
      <c r="M79" t="inlineStr"/>
      <c r="N79" t="inlineStr">
        <is>
          <t>-</t>
        </is>
      </c>
      <c r="O79" t="inlineStr"/>
      <c r="P79" t="n">
        <v>7.1</v>
      </c>
      <c r="Q79" t="inlineStr">
        <is>
          <t>701+</t>
        </is>
      </c>
      <c r="R79" t="n">
        <v>2.2</v>
      </c>
      <c r="S79" t="inlineStr">
        <is>
          <t>701+</t>
        </is>
      </c>
      <c r="T79" t="n">
        <v>11.8</v>
      </c>
      <c r="U79" t="inlineStr">
        <is>
          <t>801+</t>
        </is>
      </c>
      <c r="V79" t="n">
        <v>6.4</v>
      </c>
      <c r="W79" t="inlineStr">
        <is>
          <t>801+</t>
        </is>
      </c>
      <c r="X79" t="n">
        <v>1.1</v>
      </c>
      <c r="Y79" t="inlineStr">
        <is>
          <t>801+</t>
        </is>
      </c>
      <c r="Z79" t="n">
        <v>1.8</v>
      </c>
      <c r="AA79" t="inlineStr">
        <is>
          <t>801+</t>
        </is>
      </c>
      <c r="AB79" t="n">
        <v>6.1</v>
      </c>
      <c r="AC79" t="inlineStr">
        <is>
          <t>801+</t>
        </is>
      </c>
      <c r="AD79" t="n">
        <v>53.9</v>
      </c>
      <c r="AE79" t="inlineStr">
        <is>
          <t>784</t>
        </is>
      </c>
      <c r="AF79" t="n">
        <v>2.9</v>
      </c>
      <c r="AG79" t="inlineStr">
        <is>
          <t>801+</t>
        </is>
      </c>
      <c r="AH79" t="n">
        <v>40</v>
      </c>
      <c r="AI79" t="inlineStr">
        <is>
          <t>801+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Ataturk University</t>
        </is>
      </c>
      <c r="B80" t="inlineStr">
        <is>
          <t>Turkey</t>
        </is>
      </c>
      <c r="C80" t="inlineStr">
        <is>
          <t>TR</t>
        </is>
      </c>
      <c r="D80" t="inlineStr">
        <is>
          <t>Asia</t>
        </is>
      </c>
      <c r="E80" t="inlineStr">
        <is>
          <t>XL</t>
        </is>
      </c>
      <c r="F80" t="inlineStr">
        <is>
          <t>CO</t>
        </is>
      </c>
      <c r="G80" t="inlineStr">
        <is>
          <t>VH</t>
        </is>
      </c>
      <c r="H80" t="inlineStr">
        <is>
          <t>4</t>
        </is>
      </c>
      <c r="I80" t="inlineStr">
        <is>
          <t>Public</t>
        </is>
      </c>
      <c r="J80" t="inlineStr">
        <is>
          <t>1201-1400</t>
        </is>
      </c>
      <c r="K80" t="inlineStr">
        <is>
          <t>1201-1400</t>
        </is>
      </c>
      <c r="L80" t="inlineStr">
        <is>
          <t>1401+</t>
        </is>
      </c>
      <c r="M80" t="inlineStr">
        <is>
          <t>1401+</t>
        </is>
      </c>
      <c r="N80" t="inlineStr">
        <is>
          <t>-</t>
        </is>
      </c>
      <c r="O80" t="inlineStr">
        <is>
          <t>-</t>
        </is>
      </c>
      <c r="P80" t="n">
        <v>8.1</v>
      </c>
      <c r="Q80" t="inlineStr">
        <is>
          <t>701+</t>
        </is>
      </c>
      <c r="R80" t="n">
        <v>2.9</v>
      </c>
      <c r="S80" t="inlineStr">
        <is>
          <t>701+</t>
        </is>
      </c>
      <c r="T80" t="n">
        <v>4.1</v>
      </c>
      <c r="U80" t="inlineStr">
        <is>
          <t>801+</t>
        </is>
      </c>
      <c r="V80" t="n">
        <v>9.699999999999999</v>
      </c>
      <c r="W80" t="inlineStr">
        <is>
          <t>801+</t>
        </is>
      </c>
      <c r="X80" t="n">
        <v>4.7</v>
      </c>
      <c r="Y80" t="inlineStr">
        <is>
          <t>801+</t>
        </is>
      </c>
      <c r="Z80" t="n">
        <v>20.7</v>
      </c>
      <c r="AA80" t="inlineStr">
        <is>
          <t>715</t>
        </is>
      </c>
      <c r="AB80" t="n">
        <v>26.9</v>
      </c>
      <c r="AC80" t="inlineStr">
        <is>
          <t>657</t>
        </is>
      </c>
      <c r="AD80" t="n">
        <v>49.3</v>
      </c>
      <c r="AE80" t="inlineStr">
        <is>
          <t>801+</t>
        </is>
      </c>
      <c r="AF80" t="n">
        <v>11.3</v>
      </c>
      <c r="AG80" t="inlineStr">
        <is>
          <t>801+</t>
        </is>
      </c>
      <c r="AH80" t="n">
        <v>34.6</v>
      </c>
      <c r="AI80" t="inlineStr">
        <is>
          <t>801+</t>
        </is>
      </c>
      <c r="AJ80" t="inlineStr">
        <is>
          <t>4.9</t>
        </is>
      </c>
      <c r="AK80" t="inlineStr">
        <is>
          <t>601+</t>
        </is>
      </c>
      <c r="AL80" t="inlineStr">
        <is>
          <t>2.0</t>
        </is>
      </c>
      <c r="AM80" t="inlineStr">
        <is>
          <t>601+</t>
        </is>
      </c>
      <c r="AN80" t="inlineStr">
        <is>
          <t>2.8</t>
        </is>
      </c>
      <c r="AO80" t="inlineStr">
        <is>
          <t>701+</t>
        </is>
      </c>
      <c r="AP80" t="inlineStr">
        <is>
          <t>3.9</t>
        </is>
      </c>
      <c r="AQ80" t="inlineStr">
        <is>
          <t>701+</t>
        </is>
      </c>
      <c r="AR80" t="inlineStr">
        <is>
          <t>2.7</t>
        </is>
      </c>
      <c r="AS80" t="inlineStr">
        <is>
          <t>701+</t>
        </is>
      </c>
      <c r="AT80" t="inlineStr">
        <is>
          <t>3.6</t>
        </is>
      </c>
      <c r="AU80" t="inlineStr">
        <is>
          <t>701+</t>
        </is>
      </c>
      <c r="AV80" t="inlineStr">
        <is>
          <t>2.3</t>
        </is>
      </c>
      <c r="AW80" t="inlineStr">
        <is>
          <t>701+</t>
        </is>
      </c>
      <c r="AX80" t="inlineStr">
        <is>
          <t>9.4</t>
        </is>
      </c>
      <c r="AY80" t="inlineStr">
        <is>
          <t>701+</t>
        </is>
      </c>
      <c r="AZ80" t="inlineStr">
        <is>
          <t>4.3</t>
        </is>
      </c>
      <c r="BA80" t="inlineStr">
        <is>
          <t>701+</t>
        </is>
      </c>
    </row>
    <row r="81">
      <c r="A81" t="inlineStr">
        <is>
          <t>Ateneo de Manila University</t>
        </is>
      </c>
      <c r="B81" t="inlineStr">
        <is>
          <t>Philippines</t>
        </is>
      </c>
      <c r="C81" t="inlineStr">
        <is>
          <t>PH</t>
        </is>
      </c>
      <c r="D81" t="inlineStr">
        <is>
          <t>Asia</t>
        </is>
      </c>
      <c r="E81" t="inlineStr">
        <is>
          <t>L</t>
        </is>
      </c>
      <c r="F81" t="inlineStr">
        <is>
          <t>FC</t>
        </is>
      </c>
      <c r="G81" t="inlineStr">
        <is>
          <t>MD</t>
        </is>
      </c>
      <c r="H81" t="inlineStr">
        <is>
          <t>5</t>
        </is>
      </c>
      <c r="I81" t="inlineStr">
        <is>
          <t>Private not for Profit</t>
        </is>
      </c>
      <c r="J81" t="inlineStr">
        <is>
          <t>511</t>
        </is>
      </c>
      <c r="K81" t="inlineStr">
        <is>
          <t>516</t>
        </is>
      </c>
      <c r="L81">
        <f>563</f>
        <v/>
      </c>
      <c r="M81" t="inlineStr">
        <is>
          <t>651-700</t>
        </is>
      </c>
      <c r="N81" t="inlineStr">
        <is>
          <t>31.6</t>
        </is>
      </c>
      <c r="O81" t="inlineStr">
        <is>
          <t>20.9</t>
        </is>
      </c>
      <c r="P81" t="n">
        <v>32.2</v>
      </c>
      <c r="Q81" t="inlineStr">
        <is>
          <t>385</t>
        </is>
      </c>
      <c r="R81" t="n">
        <v>70</v>
      </c>
      <c r="S81" t="inlineStr">
        <is>
          <t>148</t>
        </is>
      </c>
      <c r="T81" t="n">
        <v>33.1</v>
      </c>
      <c r="U81" t="inlineStr">
        <is>
          <t>586</t>
        </is>
      </c>
      <c r="V81" t="n">
        <v>3</v>
      </c>
      <c r="W81" t="inlineStr">
        <is>
          <t>801+</t>
        </is>
      </c>
      <c r="X81" t="n">
        <v>3.6</v>
      </c>
      <c r="Y81" t="inlineStr">
        <is>
          <t>801+</t>
        </is>
      </c>
      <c r="Z81" t="n">
        <v>4.3</v>
      </c>
      <c r="AA81" t="inlineStr">
        <is>
          <t>801+</t>
        </is>
      </c>
      <c r="AB81" t="n">
        <v>8.5</v>
      </c>
      <c r="AC81" t="inlineStr">
        <is>
          <t>801+</t>
        </is>
      </c>
      <c r="AD81" t="n">
        <v>24.3</v>
      </c>
      <c r="AE81" t="inlineStr">
        <is>
          <t>801+</t>
        </is>
      </c>
      <c r="AF81" t="n">
        <v>80.40000000000001</v>
      </c>
      <c r="AG81" t="inlineStr">
        <is>
          <t>157</t>
        </is>
      </c>
      <c r="AH81" t="n">
        <v>60.5</v>
      </c>
      <c r="AI81" t="inlineStr">
        <is>
          <t>497=</t>
        </is>
      </c>
      <c r="AJ81" t="inlineStr">
        <is>
          <t>19.7</t>
        </is>
      </c>
      <c r="AK81" t="inlineStr">
        <is>
          <t>451</t>
        </is>
      </c>
      <c r="AL81" t="inlineStr">
        <is>
          <t>57.9</t>
        </is>
      </c>
      <c r="AM81" t="inlineStr">
        <is>
          <t>141</t>
        </is>
      </c>
      <c r="AN81" t="inlineStr">
        <is>
          <t>29.0</t>
        </is>
      </c>
      <c r="AO81" t="inlineStr">
        <is>
          <t>533</t>
        </is>
      </c>
      <c r="AP81" t="inlineStr">
        <is>
          <t>1.7</t>
        </is>
      </c>
      <c r="AQ81" t="inlineStr">
        <is>
          <t>701+</t>
        </is>
      </c>
      <c r="AR81" t="inlineStr">
        <is>
          <t>3.3</t>
        </is>
      </c>
      <c r="AS81" t="inlineStr">
        <is>
          <t>701+</t>
        </is>
      </c>
      <c r="AT81" t="inlineStr">
        <is>
          <t>2.7</t>
        </is>
      </c>
      <c r="AU81" t="inlineStr">
        <is>
          <t>701+</t>
        </is>
      </c>
      <c r="AV81" t="inlineStr">
        <is>
          <t>1.1</t>
        </is>
      </c>
      <c r="AW81" t="inlineStr">
        <is>
          <t>701+</t>
        </is>
      </c>
      <c r="AX81" t="inlineStr">
        <is>
          <t>54.6</t>
        </is>
      </c>
      <c r="AY81" t="inlineStr">
        <is>
          <t>115</t>
        </is>
      </c>
      <c r="AZ81" t="inlineStr">
        <is>
          <t>1.7</t>
        </is>
      </c>
      <c r="BA81" t="inlineStr">
        <is>
          <t>701+</t>
        </is>
      </c>
    </row>
    <row r="82">
      <c r="A82" t="inlineStr">
        <is>
          <t>Athens University of Economics And Business</t>
        </is>
      </c>
      <c r="B82" t="inlineStr">
        <is>
          <t>Greece</t>
        </is>
      </c>
      <c r="C82" t="inlineStr">
        <is>
          <t>GR</t>
        </is>
      </c>
      <c r="D82" t="inlineStr">
        <is>
          <t>Europe</t>
        </is>
      </c>
      <c r="E82" t="inlineStr">
        <is>
          <t>M</t>
        </is>
      </c>
      <c r="F82" t="inlineStr">
        <is>
          <t>SP</t>
        </is>
      </c>
      <c r="G82" t="inlineStr">
        <is>
          <t>HI</t>
        </is>
      </c>
      <c r="H82" t="inlineStr">
        <is>
          <t>5</t>
        </is>
      </c>
      <c r="I82" t="inlineStr">
        <is>
          <t>Public</t>
        </is>
      </c>
      <c r="J82" t="inlineStr">
        <is>
          <t>951-1000</t>
        </is>
      </c>
      <c r="K82" t="inlineStr">
        <is>
          <t>951-1000</t>
        </is>
      </c>
      <c r="L82" t="inlineStr">
        <is>
          <t>901-950</t>
        </is>
      </c>
      <c r="M82" t="inlineStr">
        <is>
          <t>1001-1200</t>
        </is>
      </c>
      <c r="N82" t="inlineStr">
        <is>
          <t>-</t>
        </is>
      </c>
      <c r="O82" t="inlineStr">
        <is>
          <t>-</t>
        </is>
      </c>
      <c r="P82" t="n">
        <v>10.1</v>
      </c>
      <c r="Q82" t="inlineStr">
        <is>
          <t>701+</t>
        </is>
      </c>
      <c r="R82" t="n">
        <v>37.2</v>
      </c>
      <c r="S82" t="inlineStr">
        <is>
          <t>380</t>
        </is>
      </c>
      <c r="T82" t="n">
        <v>2.1</v>
      </c>
      <c r="U82" t="inlineStr">
        <is>
          <t>801+</t>
        </is>
      </c>
      <c r="V82" t="n">
        <v>31.9</v>
      </c>
      <c r="W82" t="inlineStr">
        <is>
          <t>565</t>
        </is>
      </c>
      <c r="X82" t="n">
        <v>1.9</v>
      </c>
      <c r="Y82" t="inlineStr">
        <is>
          <t>801+</t>
        </is>
      </c>
      <c r="Z82" t="n">
        <v>6.6</v>
      </c>
      <c r="AA82" t="inlineStr">
        <is>
          <t>801+</t>
        </is>
      </c>
      <c r="AB82" t="n">
        <v>11</v>
      </c>
      <c r="AC82" t="inlineStr">
        <is>
          <t>801+</t>
        </is>
      </c>
      <c r="AD82" t="n">
        <v>14.8</v>
      </c>
      <c r="AE82" t="inlineStr">
        <is>
          <t>801+</t>
        </is>
      </c>
      <c r="AF82" t="n">
        <v>33.9</v>
      </c>
      <c r="AG82" t="inlineStr">
        <is>
          <t>501</t>
        </is>
      </c>
      <c r="AH82" t="n">
        <v>39.8</v>
      </c>
      <c r="AI82" t="inlineStr">
        <is>
          <t>801+</t>
        </is>
      </c>
      <c r="AJ82" t="inlineStr">
        <is>
          <t>7.4</t>
        </is>
      </c>
      <c r="AK82" t="inlineStr">
        <is>
          <t>601+</t>
        </is>
      </c>
      <c r="AL82" t="inlineStr">
        <is>
          <t>33.3</t>
        </is>
      </c>
      <c r="AM82" t="inlineStr">
        <is>
          <t>296</t>
        </is>
      </c>
      <c r="AN82" t="inlineStr">
        <is>
          <t>1.6</t>
        </is>
      </c>
      <c r="AO82" t="inlineStr">
        <is>
          <t>701+</t>
        </is>
      </c>
      <c r="AP82" t="inlineStr">
        <is>
          <t>17.7</t>
        </is>
      </c>
      <c r="AQ82" t="inlineStr">
        <is>
          <t>588</t>
        </is>
      </c>
      <c r="AR82" t="inlineStr">
        <is>
          <t>1.7</t>
        </is>
      </c>
      <c r="AS82" t="inlineStr">
        <is>
          <t>701+</t>
        </is>
      </c>
      <c r="AT82" t="inlineStr">
        <is>
          <t>3.3</t>
        </is>
      </c>
      <c r="AU82" t="inlineStr">
        <is>
          <t>701+</t>
        </is>
      </c>
      <c r="AV82" t="inlineStr">
        <is>
          <t>1.0</t>
        </is>
      </c>
      <c r="AW82" t="inlineStr">
        <is>
          <t>701+</t>
        </is>
      </c>
      <c r="AX82" t="inlineStr">
        <is>
          <t>15.7</t>
        </is>
      </c>
      <c r="AY82" t="inlineStr">
        <is>
          <t>530</t>
        </is>
      </c>
      <c r="AZ82" t="inlineStr">
        <is>
          <t>4.1</t>
        </is>
      </c>
      <c r="BA82" t="inlineStr">
        <is>
          <t>701+</t>
        </is>
      </c>
    </row>
    <row r="83">
      <c r="A83" t="inlineStr">
        <is>
          <t>Atma Jaya Catholic University Indonesia</t>
        </is>
      </c>
      <c r="B83" t="inlineStr">
        <is>
          <t>Indonesia</t>
        </is>
      </c>
      <c r="C83" t="inlineStr"/>
      <c r="D83" t="inlineStr">
        <is>
          <t>Asia</t>
        </is>
      </c>
      <c r="E83" t="inlineStr">
        <is>
          <t>M</t>
        </is>
      </c>
      <c r="F83" t="inlineStr">
        <is>
          <t>FO</t>
        </is>
      </c>
      <c r="G83" t="inlineStr">
        <is>
          <t>HI</t>
        </is>
      </c>
      <c r="H83" t="inlineStr"/>
      <c r="I83" t="inlineStr">
        <is>
          <t>Private for Profit</t>
        </is>
      </c>
      <c r="J83" t="inlineStr">
        <is>
          <t>1401+</t>
        </is>
      </c>
      <c r="K83" t="inlineStr">
        <is>
          <t>1201-1400</t>
        </is>
      </c>
      <c r="L83" t="inlineStr"/>
      <c r="M83" t="inlineStr"/>
      <c r="N83" t="inlineStr">
        <is>
          <t>-</t>
        </is>
      </c>
      <c r="O83" t="inlineStr"/>
      <c r="P83" t="n">
        <v>11.1</v>
      </c>
      <c r="Q83" t="inlineStr">
        <is>
          <t>701+</t>
        </is>
      </c>
      <c r="R83" t="n">
        <v>10.7</v>
      </c>
      <c r="S83" t="inlineStr">
        <is>
          <t>701+</t>
        </is>
      </c>
      <c r="T83" t="n">
        <v>10.5</v>
      </c>
      <c r="U83" t="inlineStr">
        <is>
          <t>801+</t>
        </is>
      </c>
      <c r="V83" t="n">
        <v>2</v>
      </c>
      <c r="W83" t="inlineStr">
        <is>
          <t>801+</t>
        </is>
      </c>
      <c r="X83" t="n">
        <v>9.800000000000001</v>
      </c>
      <c r="Y83" t="inlineStr">
        <is>
          <t>801+</t>
        </is>
      </c>
      <c r="Z83" t="n">
        <v>1.7</v>
      </c>
      <c r="AA83" t="inlineStr">
        <is>
          <t>801+</t>
        </is>
      </c>
      <c r="AB83" t="n">
        <v>6.1</v>
      </c>
      <c r="AC83" t="inlineStr">
        <is>
          <t>801+</t>
        </is>
      </c>
      <c r="AD83" t="n">
        <v>7.4</v>
      </c>
      <c r="AE83" t="inlineStr">
        <is>
          <t>801+</t>
        </is>
      </c>
      <c r="AF83" t="n">
        <v>22.6</v>
      </c>
      <c r="AG83" t="inlineStr">
        <is>
          <t>678</t>
        </is>
      </c>
      <c r="AH83" t="n">
        <v>30.2</v>
      </c>
      <c r="AI83" t="inlineStr">
        <is>
          <t>801+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Atma Jaya Catholic University Jakarta</t>
        </is>
      </c>
      <c r="B84" t="inlineStr">
        <is>
          <t>Indonesia</t>
        </is>
      </c>
      <c r="C84" t="inlineStr">
        <is>
          <t>ID</t>
        </is>
      </c>
      <c r="D84" t="inlineStr"/>
      <c r="E84" t="inlineStr">
        <is>
          <t>M</t>
        </is>
      </c>
      <c r="F84" t="inlineStr">
        <is>
          <t>FO</t>
        </is>
      </c>
      <c r="G84" t="inlineStr">
        <is>
          <t>HI</t>
        </is>
      </c>
      <c r="H84" t="inlineStr">
        <is>
          <t>4</t>
        </is>
      </c>
      <c r="I84" t="inlineStr">
        <is>
          <t>C</t>
        </is>
      </c>
      <c r="J84" t="inlineStr"/>
      <c r="K84" t="inlineStr"/>
      <c r="L84" t="inlineStr">
        <is>
          <t>1201-1400</t>
        </is>
      </c>
      <c r="M84" t="inlineStr"/>
      <c r="N84" t="inlineStr"/>
      <c r="O84" t="inlineStr">
        <is>
          <t>-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5.8</t>
        </is>
      </c>
      <c r="AK84" t="inlineStr">
        <is>
          <t>601+</t>
        </is>
      </c>
      <c r="AL84" t="inlineStr">
        <is>
          <t>6.3</t>
        </is>
      </c>
      <c r="AM84" t="inlineStr">
        <is>
          <t>601+</t>
        </is>
      </c>
      <c r="AN84" t="inlineStr">
        <is>
          <t>8.8</t>
        </is>
      </c>
      <c r="AO84" t="inlineStr">
        <is>
          <t>701+</t>
        </is>
      </c>
      <c r="AP84" t="inlineStr">
        <is>
          <t>1.3</t>
        </is>
      </c>
      <c r="AQ84" t="inlineStr">
        <is>
          <t>701+</t>
        </is>
      </c>
      <c r="AR84" t="inlineStr">
        <is>
          <t>2.1</t>
        </is>
      </c>
      <c r="AS84" t="inlineStr">
        <is>
          <t>701+</t>
        </is>
      </c>
      <c r="AT84" t="inlineStr">
        <is>
          <t>1.1</t>
        </is>
      </c>
      <c r="AU84" t="inlineStr">
        <is>
          <t>701+</t>
        </is>
      </c>
      <c r="AV84" t="inlineStr">
        <is>
          <t>1.0</t>
        </is>
      </c>
      <c r="AW84" t="inlineStr">
        <is>
          <t>701+</t>
        </is>
      </c>
      <c r="AX84" t="inlineStr">
        <is>
          <t>15.9</t>
        </is>
      </c>
      <c r="AY84" t="inlineStr">
        <is>
          <t>526</t>
        </is>
      </c>
      <c r="AZ84" t="inlineStr">
        <is>
          <t>1.4</t>
        </is>
      </c>
      <c r="BA84" t="inlineStr">
        <is>
          <t>701+</t>
        </is>
      </c>
    </row>
    <row r="85">
      <c r="A85" t="inlineStr">
        <is>
          <t>Auburn University</t>
        </is>
      </c>
      <c r="B85" t="inlineStr">
        <is>
          <t>United States</t>
        </is>
      </c>
      <c r="C85" t="inlineStr">
        <is>
          <t>US</t>
        </is>
      </c>
      <c r="D85" t="inlineStr">
        <is>
          <t>Americas</t>
        </is>
      </c>
      <c r="E85" t="inlineStr">
        <is>
          <t>XL</t>
        </is>
      </c>
      <c r="F85" t="inlineStr">
        <is>
          <t>CO</t>
        </is>
      </c>
      <c r="G85" t="inlineStr">
        <is>
          <t>VH</t>
        </is>
      </c>
      <c r="H85" t="inlineStr">
        <is>
          <t>4</t>
        </is>
      </c>
      <c r="I85" t="inlineStr">
        <is>
          <t>Public</t>
        </is>
      </c>
      <c r="J85" t="inlineStr">
        <is>
          <t>851-900</t>
        </is>
      </c>
      <c r="K85" t="inlineStr">
        <is>
          <t>951-1000</t>
        </is>
      </c>
      <c r="L85" t="inlineStr">
        <is>
          <t>801-850</t>
        </is>
      </c>
      <c r="M85" t="inlineStr">
        <is>
          <t>1001-1200</t>
        </is>
      </c>
      <c r="N85" t="inlineStr">
        <is>
          <t>-</t>
        </is>
      </c>
      <c r="O85" t="inlineStr">
        <is>
          <t>-</t>
        </is>
      </c>
      <c r="P85" t="n">
        <v>11.6</v>
      </c>
      <c r="Q85" t="inlineStr">
        <is>
          <t>701+</t>
        </is>
      </c>
      <c r="R85" t="n">
        <v>17.6</v>
      </c>
      <c r="S85" t="inlineStr">
        <is>
          <t>701+</t>
        </is>
      </c>
      <c r="T85" t="n">
        <v>10.7</v>
      </c>
      <c r="U85" t="inlineStr">
        <is>
          <t>801+</t>
        </is>
      </c>
      <c r="V85" t="n">
        <v>24.3</v>
      </c>
      <c r="W85" t="inlineStr">
        <is>
          <t>650</t>
        </is>
      </c>
      <c r="X85" t="n">
        <v>58.1</v>
      </c>
      <c r="Y85" t="inlineStr">
        <is>
          <t>397</t>
        </is>
      </c>
      <c r="Z85" t="n">
        <v>10.1</v>
      </c>
      <c r="AA85" t="inlineStr">
        <is>
          <t>801+</t>
        </is>
      </c>
      <c r="AB85" t="n">
        <v>16</v>
      </c>
      <c r="AC85" t="inlineStr">
        <is>
          <t>801+</t>
        </is>
      </c>
      <c r="AD85" t="n">
        <v>57.2</v>
      </c>
      <c r="AE85" t="inlineStr">
        <is>
          <t>728</t>
        </is>
      </c>
      <c r="AF85" t="n">
        <v>29.6</v>
      </c>
      <c r="AG85" t="inlineStr">
        <is>
          <t>553</t>
        </is>
      </c>
      <c r="AH85" t="n">
        <v>50.1</v>
      </c>
      <c r="AI85" t="inlineStr">
        <is>
          <t>701=</t>
        </is>
      </c>
      <c r="AJ85" t="inlineStr">
        <is>
          <t>7.2</t>
        </is>
      </c>
      <c r="AK85" t="inlineStr">
        <is>
          <t>601+</t>
        </is>
      </c>
      <c r="AL85" t="inlineStr">
        <is>
          <t>8.5</t>
        </is>
      </c>
      <c r="AM85" t="inlineStr">
        <is>
          <t>601+</t>
        </is>
      </c>
      <c r="AN85" t="inlineStr">
        <is>
          <t>7.4</t>
        </is>
      </c>
      <c r="AO85" t="inlineStr">
        <is>
          <t>701+</t>
        </is>
      </c>
      <c r="AP85" t="inlineStr">
        <is>
          <t>19.0</t>
        </is>
      </c>
      <c r="AQ85" t="inlineStr">
        <is>
          <t>568</t>
        </is>
      </c>
      <c r="AR85" t="inlineStr">
        <is>
          <t>23.9</t>
        </is>
      </c>
      <c r="AS85" t="inlineStr">
        <is>
          <t>551</t>
        </is>
      </c>
      <c r="AT85" t="inlineStr">
        <is>
          <t>7.8</t>
        </is>
      </c>
      <c r="AU85" t="inlineStr">
        <is>
          <t>701+</t>
        </is>
      </c>
      <c r="AV85" t="inlineStr">
        <is>
          <t>14.3</t>
        </is>
      </c>
      <c r="AW85" t="inlineStr">
        <is>
          <t>610</t>
        </is>
      </c>
      <c r="AX85" t="inlineStr">
        <is>
          <t>17.4</t>
        </is>
      </c>
      <c r="AY85" t="inlineStr">
        <is>
          <t>479</t>
        </is>
      </c>
      <c r="AZ85" t="inlineStr">
        <is>
          <t>53.4</t>
        </is>
      </c>
      <c r="BA85" t="inlineStr">
        <is>
          <t>288=</t>
        </is>
      </c>
    </row>
    <row r="86">
      <c r="A86" t="inlineStr">
        <is>
          <t>Auckland University of Technology</t>
        </is>
      </c>
      <c r="B86" t="inlineStr">
        <is>
          <t>New Zealand</t>
        </is>
      </c>
      <c r="C86" t="inlineStr"/>
      <c r="D86" t="inlineStr">
        <is>
          <t>Oceania</t>
        </is>
      </c>
      <c r="E86" t="inlineStr">
        <is>
          <t>L</t>
        </is>
      </c>
      <c r="F86" t="inlineStr">
        <is>
          <t>CO</t>
        </is>
      </c>
      <c r="G86" t="inlineStr">
        <is>
          <t>VH</t>
        </is>
      </c>
      <c r="H86" t="inlineStr"/>
      <c r="I86" t="inlineStr">
        <is>
          <t>Public</t>
        </is>
      </c>
      <c r="J86" t="inlineStr">
        <is>
          <t>410</t>
        </is>
      </c>
      <c r="K86" t="inlineStr">
        <is>
          <t>412</t>
        </is>
      </c>
      <c r="L86" t="inlineStr"/>
      <c r="M86" t="inlineStr"/>
      <c r="N86" t="inlineStr">
        <is>
          <t>36.7</t>
        </is>
      </c>
      <c r="O86" t="inlineStr"/>
      <c r="P86" t="n">
        <v>29.6</v>
      </c>
      <c r="Q86" t="inlineStr">
        <is>
          <t>417</t>
        </is>
      </c>
      <c r="R86" t="n">
        <v>22.5</v>
      </c>
      <c r="S86" t="inlineStr">
        <is>
          <t>587</t>
        </is>
      </c>
      <c r="T86" t="n">
        <v>13.7</v>
      </c>
      <c r="U86" t="inlineStr">
        <is>
          <t>801+</t>
        </is>
      </c>
      <c r="V86" t="n">
        <v>33.2</v>
      </c>
      <c r="W86" t="inlineStr">
        <is>
          <t>549</t>
        </is>
      </c>
      <c r="X86" t="n">
        <v>100</v>
      </c>
      <c r="Y86" t="inlineStr">
        <is>
          <t>76</t>
        </is>
      </c>
      <c r="Z86" t="n">
        <v>100</v>
      </c>
      <c r="AA86" t="inlineStr">
        <is>
          <t>39</t>
        </is>
      </c>
      <c r="AB86" t="n">
        <v>100</v>
      </c>
      <c r="AC86" t="inlineStr">
        <is>
          <t>27</t>
        </is>
      </c>
      <c r="AD86" t="n">
        <v>50.4</v>
      </c>
      <c r="AE86" t="inlineStr">
        <is>
          <t>801+</t>
        </is>
      </c>
      <c r="AF86" t="n">
        <v>23.4</v>
      </c>
      <c r="AG86" t="inlineStr">
        <is>
          <t>663</t>
        </is>
      </c>
      <c r="AH86" t="n">
        <v>74</v>
      </c>
      <c r="AI86" t="inlineStr">
        <is>
          <t>259=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Auckland University of Technology (AUT)</t>
        </is>
      </c>
      <c r="B87" t="inlineStr">
        <is>
          <t>New Zealand</t>
        </is>
      </c>
      <c r="C87" t="inlineStr">
        <is>
          <t>NZ</t>
        </is>
      </c>
      <c r="D87" t="inlineStr"/>
      <c r="E87" t="inlineStr">
        <is>
          <t>L</t>
        </is>
      </c>
      <c r="F87" t="inlineStr">
        <is>
          <t>CO</t>
        </is>
      </c>
      <c r="G87" t="inlineStr">
        <is>
          <t>VH</t>
        </is>
      </c>
      <c r="H87" t="inlineStr">
        <is>
          <t>2</t>
        </is>
      </c>
      <c r="I87" t="inlineStr">
        <is>
          <t>A</t>
        </is>
      </c>
      <c r="J87" t="inlineStr"/>
      <c r="K87" t="inlineStr"/>
      <c r="L87">
        <f>407</f>
        <v/>
      </c>
      <c r="M87" t="inlineStr">
        <is>
          <t>486=</t>
        </is>
      </c>
      <c r="N87" t="inlineStr"/>
      <c r="O87" t="inlineStr">
        <is>
          <t>27.4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19.3</t>
        </is>
      </c>
      <c r="AK87" t="inlineStr">
        <is>
          <t>464</t>
        </is>
      </c>
      <c r="AL87" t="inlineStr">
        <is>
          <t>11.7</t>
        </is>
      </c>
      <c r="AM87" t="inlineStr">
        <is>
          <t>601+</t>
        </is>
      </c>
      <c r="AN87" t="inlineStr">
        <is>
          <t>10.3</t>
        </is>
      </c>
      <c r="AO87" t="inlineStr">
        <is>
          <t>701+</t>
        </is>
      </c>
      <c r="AP87" t="inlineStr">
        <is>
          <t>18.5</t>
        </is>
      </c>
      <c r="AQ87" t="inlineStr">
        <is>
          <t>575</t>
        </is>
      </c>
      <c r="AR87" t="inlineStr">
        <is>
          <t>100.0</t>
        </is>
      </c>
      <c r="AS87" t="inlineStr">
        <is>
          <t>59</t>
        </is>
      </c>
      <c r="AT87" t="inlineStr">
        <is>
          <t>99.3</t>
        </is>
      </c>
      <c r="AU87" t="inlineStr">
        <is>
          <t>48</t>
        </is>
      </c>
      <c r="AV87" t="inlineStr">
        <is>
          <t>12.0</t>
        </is>
      </c>
      <c r="AW87" t="inlineStr">
        <is>
          <t>635</t>
        </is>
      </c>
      <c r="AX87" t="inlineStr">
        <is>
          <t>19.3</t>
        </is>
      </c>
      <c r="AY87" t="inlineStr">
        <is>
          <t>433</t>
        </is>
      </c>
      <c r="AZ87" t="inlineStr">
        <is>
          <t>71.5</t>
        </is>
      </c>
      <c r="BA87" t="inlineStr">
        <is>
          <t>196=</t>
        </is>
      </c>
    </row>
    <row r="88">
      <c r="A88" t="inlineStr">
        <is>
          <t>Auezov South Kazakhstan State University (SKSU)</t>
        </is>
      </c>
      <c r="B88" t="inlineStr">
        <is>
          <t>Kazakhstan</t>
        </is>
      </c>
      <c r="C88" t="inlineStr"/>
      <c r="D88" t="inlineStr">
        <is>
          <t>Asia</t>
        </is>
      </c>
      <c r="E88" t="inlineStr">
        <is>
          <t>L</t>
        </is>
      </c>
      <c r="F88" t="inlineStr">
        <is>
          <t>CO</t>
        </is>
      </c>
      <c r="G88" t="inlineStr">
        <is>
          <t>MD</t>
        </is>
      </c>
      <c r="H88" t="inlineStr"/>
      <c r="I88" t="inlineStr">
        <is>
          <t>Public</t>
        </is>
      </c>
      <c r="J88" t="inlineStr">
        <is>
          <t>731-740</t>
        </is>
      </c>
      <c r="K88" t="inlineStr">
        <is>
          <t>621-630</t>
        </is>
      </c>
      <c r="L88" t="inlineStr"/>
      <c r="M88" t="inlineStr"/>
      <c r="N88" t="inlineStr">
        <is>
          <t>-</t>
        </is>
      </c>
      <c r="O88" t="inlineStr"/>
      <c r="P88" t="n">
        <v>21.2</v>
      </c>
      <c r="Q88" t="inlineStr">
        <is>
          <t>585</t>
        </is>
      </c>
      <c r="R88" t="n">
        <v>33.9</v>
      </c>
      <c r="S88" t="inlineStr">
        <is>
          <t>424</t>
        </is>
      </c>
      <c r="T88" t="n">
        <v>91.59999999999999</v>
      </c>
      <c r="U88" t="inlineStr">
        <is>
          <t>99</t>
        </is>
      </c>
      <c r="V88" t="n">
        <v>1.1</v>
      </c>
      <c r="W88" t="inlineStr">
        <is>
          <t>801+</t>
        </is>
      </c>
      <c r="X88" t="n">
        <v>20.1</v>
      </c>
      <c r="Y88" t="inlineStr">
        <is>
          <t>711</t>
        </is>
      </c>
      <c r="Z88" t="n">
        <v>29.3</v>
      </c>
      <c r="AA88" t="inlineStr">
        <is>
          <t>598</t>
        </is>
      </c>
      <c r="AB88" t="n">
        <v>27.9</v>
      </c>
      <c r="AC88" t="inlineStr">
        <is>
          <t>641</t>
        </is>
      </c>
      <c r="AD88" t="n">
        <v>5</v>
      </c>
      <c r="AE88" t="inlineStr">
        <is>
          <t>801+</t>
        </is>
      </c>
      <c r="AF88" t="n">
        <v>4.1</v>
      </c>
      <c r="AG88" t="inlineStr">
        <is>
          <t>801+</t>
        </is>
      </c>
      <c r="AH88" t="n">
        <v>35.3</v>
      </c>
      <c r="AI88" t="inlineStr">
        <is>
          <t>801+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Auezov South Kazakhstan University (SKU)</t>
        </is>
      </c>
      <c r="B89" t="inlineStr">
        <is>
          <t>Kazakhstan</t>
        </is>
      </c>
      <c r="C89" t="inlineStr">
        <is>
          <t>KZ</t>
        </is>
      </c>
      <c r="D89" t="inlineStr"/>
      <c r="E89" t="inlineStr">
        <is>
          <t>L</t>
        </is>
      </c>
      <c r="F89" t="inlineStr">
        <is>
          <t>CO</t>
        </is>
      </c>
      <c r="G89" t="inlineStr">
        <is>
          <t>MD</t>
        </is>
      </c>
      <c r="H89" t="inlineStr">
        <is>
          <t>4</t>
        </is>
      </c>
      <c r="I89" t="inlineStr">
        <is>
          <t>A</t>
        </is>
      </c>
      <c r="J89" t="inlineStr"/>
      <c r="K89" t="inlineStr"/>
      <c r="L89" t="inlineStr">
        <is>
          <t>611-620</t>
        </is>
      </c>
      <c r="M89" t="inlineStr">
        <is>
          <t>443=</t>
        </is>
      </c>
      <c r="N89" t="inlineStr"/>
      <c r="O89" t="inlineStr">
        <is>
          <t>-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15.2</t>
        </is>
      </c>
      <c r="AK89" t="inlineStr">
        <is>
          <t>574</t>
        </is>
      </c>
      <c r="AL89" t="inlineStr">
        <is>
          <t>21.5</t>
        </is>
      </c>
      <c r="AM89" t="inlineStr">
        <is>
          <t>432</t>
        </is>
      </c>
      <c r="AN89" t="inlineStr">
        <is>
          <t>92.0</t>
        </is>
      </c>
      <c r="AO89" t="inlineStr">
        <is>
          <t>76</t>
        </is>
      </c>
      <c r="AP89" t="inlineStr">
        <is>
          <t>1.0</t>
        </is>
      </c>
      <c r="AQ89" t="inlineStr">
        <is>
          <t>701+</t>
        </is>
      </c>
      <c r="AR89" t="inlineStr">
        <is>
          <t>13.3</t>
        </is>
      </c>
      <c r="AS89" t="inlineStr">
        <is>
          <t>697</t>
        </is>
      </c>
      <c r="AT89" t="inlineStr">
        <is>
          <t>21.3</t>
        </is>
      </c>
      <c r="AU89" t="inlineStr">
        <is>
          <t>526</t>
        </is>
      </c>
      <c r="AV89" t="inlineStr">
        <is>
          <t>1.0</t>
        </is>
      </c>
      <c r="AW89" t="inlineStr">
        <is>
          <t>701+</t>
        </is>
      </c>
      <c r="AX89" t="inlineStr">
        <is>
          <t>11.2</t>
        </is>
      </c>
      <c r="AY89" t="inlineStr">
        <is>
          <t>701+</t>
        </is>
      </c>
      <c r="AZ89" t="inlineStr">
        <is>
          <t>1</t>
        </is>
      </c>
      <c r="BA89" t="inlineStr">
        <is>
          <t>701+</t>
        </is>
      </c>
    </row>
    <row r="90">
      <c r="A90" t="inlineStr">
        <is>
          <t>Australian Catholic University</t>
        </is>
      </c>
      <c r="B90" t="inlineStr">
        <is>
          <t>Australia</t>
        </is>
      </c>
      <c r="C90" t="inlineStr">
        <is>
          <t>AU</t>
        </is>
      </c>
      <c r="D90" t="inlineStr">
        <is>
          <t>Oceania</t>
        </is>
      </c>
      <c r="E90" t="inlineStr">
        <is>
          <t>L</t>
        </is>
      </c>
      <c r="F90" t="inlineStr">
        <is>
          <t>CO</t>
        </is>
      </c>
      <c r="G90" t="inlineStr">
        <is>
          <t>HI</t>
        </is>
      </c>
      <c r="H90" t="inlineStr">
        <is>
          <t>3</t>
        </is>
      </c>
      <c r="I90" t="inlineStr">
        <is>
          <t>Public</t>
        </is>
      </c>
      <c r="J90" t="inlineStr">
        <is>
          <t>851-900</t>
        </is>
      </c>
      <c r="K90" t="inlineStr">
        <is>
          <t>901-950</t>
        </is>
      </c>
      <c r="L90" t="inlineStr">
        <is>
          <t>801-850</t>
        </is>
      </c>
      <c r="M90" t="inlineStr">
        <is>
          <t>801-1000</t>
        </is>
      </c>
      <c r="N90" t="inlineStr">
        <is>
          <t>-</t>
        </is>
      </c>
      <c r="O90" t="inlineStr">
        <is>
          <t>-</t>
        </is>
      </c>
      <c r="P90" t="n">
        <v>12</v>
      </c>
      <c r="Q90" t="inlineStr">
        <is>
          <t>701+</t>
        </is>
      </c>
      <c r="R90" t="n">
        <v>11.8</v>
      </c>
      <c r="S90" t="inlineStr">
        <is>
          <t>701+</t>
        </is>
      </c>
      <c r="T90" t="n">
        <v>8</v>
      </c>
      <c r="U90" t="inlineStr">
        <is>
          <t>801+</t>
        </is>
      </c>
      <c r="V90" t="n">
        <v>19.4</v>
      </c>
      <c r="W90" t="inlineStr">
        <is>
          <t>724</t>
        </is>
      </c>
      <c r="X90" t="n">
        <v>86.40000000000001</v>
      </c>
      <c r="Y90" t="inlineStr">
        <is>
          <t>251</t>
        </is>
      </c>
      <c r="Z90" t="n">
        <v>61.7</v>
      </c>
      <c r="AA90" t="inlineStr">
        <is>
          <t>329</t>
        </is>
      </c>
      <c r="AB90" t="n">
        <v>65.40000000000001</v>
      </c>
      <c r="AC90" t="inlineStr">
        <is>
          <t>301</t>
        </is>
      </c>
      <c r="AD90" t="n">
        <v>35.6</v>
      </c>
      <c r="AE90" t="inlineStr">
        <is>
          <t>801+</t>
        </is>
      </c>
      <c r="AF90" t="n">
        <v>1.7</v>
      </c>
      <c r="AG90" t="inlineStr">
        <is>
          <t>801+</t>
        </is>
      </c>
      <c r="AH90" t="n">
        <v>49.3</v>
      </c>
      <c r="AI90" t="inlineStr">
        <is>
          <t>725=</t>
        </is>
      </c>
      <c r="AJ90" t="inlineStr">
        <is>
          <t>8.3</t>
        </is>
      </c>
      <c r="AK90" t="inlineStr">
        <is>
          <t>601+</t>
        </is>
      </c>
      <c r="AL90" t="inlineStr">
        <is>
          <t>10.5</t>
        </is>
      </c>
      <c r="AM90" t="inlineStr">
        <is>
          <t>601+</t>
        </is>
      </c>
      <c r="AN90" t="inlineStr">
        <is>
          <t>4.7</t>
        </is>
      </c>
      <c r="AO90" t="inlineStr">
        <is>
          <t>701+</t>
        </is>
      </c>
      <c r="AP90" t="inlineStr">
        <is>
          <t>13.5</t>
        </is>
      </c>
      <c r="AQ90" t="inlineStr">
        <is>
          <t>669</t>
        </is>
      </c>
      <c r="AR90" t="inlineStr">
        <is>
          <t>70.2</t>
        </is>
      </c>
      <c r="AS90" t="inlineStr">
        <is>
          <t>277</t>
        </is>
      </c>
      <c r="AT90" t="inlineStr">
        <is>
          <t>43.2</t>
        </is>
      </c>
      <c r="AU90" t="inlineStr">
        <is>
          <t>333</t>
        </is>
      </c>
      <c r="AV90" t="inlineStr">
        <is>
          <t>3.2</t>
        </is>
      </c>
      <c r="AW90" t="inlineStr">
        <is>
          <t>701+</t>
        </is>
      </c>
      <c r="AX90" t="inlineStr">
        <is>
          <t>8.1</t>
        </is>
      </c>
      <c r="AY90" t="inlineStr">
        <is>
          <t>701+</t>
        </is>
      </c>
      <c r="AZ90" t="inlineStr">
        <is>
          <t>4.7</t>
        </is>
      </c>
      <c r="BA90" t="inlineStr">
        <is>
          <t>701+</t>
        </is>
      </c>
    </row>
    <row r="91">
      <c r="A91" t="inlineStr">
        <is>
          <t>Australian National University</t>
        </is>
      </c>
      <c r="B91" t="inlineStr">
        <is>
          <t>Australia</t>
        </is>
      </c>
      <c r="C91" t="inlineStr"/>
      <c r="D91" t="inlineStr">
        <is>
          <t>Oceania</t>
        </is>
      </c>
      <c r="E91" t="inlineStr">
        <is>
          <t>L</t>
        </is>
      </c>
      <c r="F91" t="inlineStr">
        <is>
          <t>FC</t>
        </is>
      </c>
      <c r="G91" t="inlineStr">
        <is>
          <t>VH</t>
        </is>
      </c>
      <c r="H91" t="inlineStr"/>
      <c r="I91" t="inlineStr">
        <is>
          <t>Public</t>
        </is>
      </c>
      <c r="J91" t="inlineStr">
        <is>
          <t>32</t>
        </is>
      </c>
      <c r="K91" t="inlineStr">
        <is>
          <t>30</t>
        </is>
      </c>
      <c r="L91" t="inlineStr"/>
      <c r="M91" t="inlineStr"/>
      <c r="N91" t="inlineStr">
        <is>
          <t>87.4</t>
        </is>
      </c>
      <c r="O91" t="inlineStr"/>
      <c r="P91" t="n">
        <v>97.90000000000001</v>
      </c>
      <c r="Q91" t="inlineStr">
        <is>
          <t>37</t>
        </is>
      </c>
      <c r="R91" t="n">
        <v>82.59999999999999</v>
      </c>
      <c r="S91" t="inlineStr">
        <is>
          <t>96</t>
        </is>
      </c>
      <c r="T91" t="n">
        <v>40.9</v>
      </c>
      <c r="U91" t="inlineStr">
        <is>
          <t>495</t>
        </is>
      </c>
      <c r="V91" t="n">
        <v>91.7</v>
      </c>
      <c r="W91" t="inlineStr">
        <is>
          <t>93</t>
        </is>
      </c>
      <c r="X91" t="n">
        <v>100</v>
      </c>
      <c r="Y91" t="inlineStr">
        <is>
          <t>49</t>
        </is>
      </c>
      <c r="Z91" t="n">
        <v>99</v>
      </c>
      <c r="AA91" t="inlineStr">
        <is>
          <t>68</t>
        </is>
      </c>
      <c r="AB91" t="n">
        <v>99.09999999999999</v>
      </c>
      <c r="AC91" t="inlineStr">
        <is>
          <t>59</t>
        </is>
      </c>
      <c r="AD91" t="n">
        <v>93.09999999999999</v>
      </c>
      <c r="AE91" t="inlineStr">
        <is>
          <t>123</t>
        </is>
      </c>
      <c r="AF91" t="n">
        <v>67.09999999999999</v>
      </c>
      <c r="AG91" t="inlineStr">
        <is>
          <t>232</t>
        </is>
      </c>
      <c r="AH91" t="n">
        <v>91.8</v>
      </c>
      <c r="AI91" t="inlineStr">
        <is>
          <t>48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Azerbaijan State Oil and Industry University</t>
        </is>
      </c>
      <c r="B92" t="inlineStr">
        <is>
          <t>Azerbaijan</t>
        </is>
      </c>
      <c r="C92" t="inlineStr">
        <is>
          <t>AZ</t>
        </is>
      </c>
      <c r="D92" t="inlineStr">
        <is>
          <t>Asia</t>
        </is>
      </c>
      <c r="E92" t="inlineStr">
        <is>
          <t>L</t>
        </is>
      </c>
      <c r="F92" t="inlineStr">
        <is>
          <t>FO</t>
        </is>
      </c>
      <c r="G92" t="inlineStr">
        <is>
          <t>HI</t>
        </is>
      </c>
      <c r="H92" t="inlineStr">
        <is>
          <t>5</t>
        </is>
      </c>
      <c r="I92" t="inlineStr">
        <is>
          <t>Public</t>
        </is>
      </c>
      <c r="J92" t="inlineStr">
        <is>
          <t>851-900</t>
        </is>
      </c>
      <c r="K92" t="inlineStr">
        <is>
          <t>1001-1200</t>
        </is>
      </c>
      <c r="L92" t="inlineStr">
        <is>
          <t>1201-1400</t>
        </is>
      </c>
      <c r="M92" t="inlineStr"/>
      <c r="N92" t="inlineStr">
        <is>
          <t>-</t>
        </is>
      </c>
      <c r="O92" t="inlineStr">
        <is>
          <t>-</t>
        </is>
      </c>
      <c r="P92" t="n">
        <v>13.1</v>
      </c>
      <c r="Q92" t="inlineStr">
        <is>
          <t>701+</t>
        </is>
      </c>
      <c r="R92" t="n">
        <v>19</v>
      </c>
      <c r="S92" t="inlineStr">
        <is>
          <t>685</t>
        </is>
      </c>
      <c r="T92" t="n">
        <v>73.3</v>
      </c>
      <c r="U92" t="inlineStr">
        <is>
          <t>208</t>
        </is>
      </c>
      <c r="V92" t="n">
        <v>1.5</v>
      </c>
      <c r="W92" t="inlineStr">
        <is>
          <t>801+</t>
        </is>
      </c>
      <c r="X92" t="n">
        <v>46.8</v>
      </c>
      <c r="Y92" t="inlineStr">
        <is>
          <t>456</t>
        </is>
      </c>
      <c r="Z92" t="n">
        <v>9.699999999999999</v>
      </c>
      <c r="AA92" t="inlineStr">
        <is>
          <t>801+</t>
        </is>
      </c>
      <c r="AB92" t="n">
        <v>13.9</v>
      </c>
      <c r="AC92" t="inlineStr">
        <is>
          <t>801+</t>
        </is>
      </c>
      <c r="AD92" t="n">
        <v>8.5</v>
      </c>
      <c r="AE92" t="inlineStr">
        <is>
          <t>801+</t>
        </is>
      </c>
      <c r="AF92" t="n">
        <v>45</v>
      </c>
      <c r="AG92" t="inlineStr">
        <is>
          <t>391</t>
        </is>
      </c>
      <c r="AH92" t="n">
        <v>31</v>
      </c>
      <c r="AI92" t="inlineStr">
        <is>
          <t>801+</t>
        </is>
      </c>
      <c r="AJ92" t="inlineStr">
        <is>
          <t>4.9</t>
        </is>
      </c>
      <c r="AK92" t="inlineStr">
        <is>
          <t>601+</t>
        </is>
      </c>
      <c r="AL92" t="inlineStr">
        <is>
          <t>3.0</t>
        </is>
      </c>
      <c r="AM92" t="inlineStr">
        <is>
          <t>601+</t>
        </is>
      </c>
      <c r="AN92" t="inlineStr">
        <is>
          <t>27.3</t>
        </is>
      </c>
      <c r="AO92" t="inlineStr">
        <is>
          <t>556</t>
        </is>
      </c>
      <c r="AP92" t="inlineStr">
        <is>
          <t>1.1</t>
        </is>
      </c>
      <c r="AQ92" t="inlineStr">
        <is>
          <t>701+</t>
        </is>
      </c>
      <c r="AR92" t="inlineStr">
        <is>
          <t>10.1</t>
        </is>
      </c>
      <c r="AS92" t="inlineStr">
        <is>
          <t>701+</t>
        </is>
      </c>
      <c r="AT92" t="inlineStr">
        <is>
          <t>2.7</t>
        </is>
      </c>
      <c r="AU92" t="inlineStr">
        <is>
          <t>701+</t>
        </is>
      </c>
      <c r="AV92" t="inlineStr">
        <is>
          <t>1.0</t>
        </is>
      </c>
      <c r="AW92" t="inlineStr">
        <is>
          <t>701+</t>
        </is>
      </c>
      <c r="AX92" t="inlineStr">
        <is>
          <t>29.5</t>
        </is>
      </c>
      <c r="AY92" t="inlineStr">
        <is>
          <t>271</t>
        </is>
      </c>
      <c r="AZ92" t="inlineStr">
        <is>
          <t>1.3</t>
        </is>
      </c>
      <c r="BA92" t="inlineStr">
        <is>
          <t>701+</t>
        </is>
      </c>
    </row>
    <row r="93">
      <c r="A93" t="inlineStr">
        <is>
          <t>Azerbaijan State University of Economics</t>
        </is>
      </c>
      <c r="B93" t="inlineStr">
        <is>
          <t>Azerbaijan</t>
        </is>
      </c>
      <c r="C93" t="inlineStr">
        <is>
          <t>AZ</t>
        </is>
      </c>
      <c r="D93" t="inlineStr">
        <is>
          <t>Asia</t>
        </is>
      </c>
      <c r="E93" t="inlineStr">
        <is>
          <t>L</t>
        </is>
      </c>
      <c r="F93" t="inlineStr">
        <is>
          <t>FO</t>
        </is>
      </c>
      <c r="G93" t="inlineStr">
        <is>
          <t>HI</t>
        </is>
      </c>
      <c r="H93" t="inlineStr">
        <is>
          <t>4</t>
        </is>
      </c>
      <c r="I93" t="inlineStr">
        <is>
          <t>Public</t>
        </is>
      </c>
      <c r="J93" t="inlineStr">
        <is>
          <t>801-850</t>
        </is>
      </c>
      <c r="K93" t="inlineStr">
        <is>
          <t>1001-1200</t>
        </is>
      </c>
      <c r="L93" t="inlineStr">
        <is>
          <t>1001-1200</t>
        </is>
      </c>
      <c r="M93" t="inlineStr">
        <is>
          <t>1001-1200</t>
        </is>
      </c>
      <c r="N93" t="inlineStr">
        <is>
          <t>-</t>
        </is>
      </c>
      <c r="O93" t="inlineStr">
        <is>
          <t>-</t>
        </is>
      </c>
      <c r="P93" t="n">
        <v>21.2</v>
      </c>
      <c r="Q93" t="inlineStr">
        <is>
          <t>587</t>
        </is>
      </c>
      <c r="R93" t="n">
        <v>37.2</v>
      </c>
      <c r="S93" t="inlineStr">
        <is>
          <t>379</t>
        </is>
      </c>
      <c r="T93" t="n">
        <v>36.7</v>
      </c>
      <c r="U93" t="inlineStr">
        <is>
          <t>548</t>
        </is>
      </c>
      <c r="V93" t="n">
        <v>1.5</v>
      </c>
      <c r="W93" t="inlineStr">
        <is>
          <t>801+</t>
        </is>
      </c>
      <c r="X93" t="n">
        <v>32</v>
      </c>
      <c r="Y93" t="inlineStr">
        <is>
          <t>563</t>
        </is>
      </c>
      <c r="Z93" t="n">
        <v>10.7</v>
      </c>
      <c r="AA93" t="inlineStr">
        <is>
          <t>801+</t>
        </is>
      </c>
      <c r="AB93" t="n">
        <v>13.9</v>
      </c>
      <c r="AC93" t="inlineStr">
        <is>
          <t>801+</t>
        </is>
      </c>
      <c r="AD93" t="n">
        <v>11.7</v>
      </c>
      <c r="AE93" t="inlineStr">
        <is>
          <t>801+</t>
        </is>
      </c>
      <c r="AF93" t="n">
        <v>51.5</v>
      </c>
      <c r="AG93" t="inlineStr">
        <is>
          <t>329</t>
        </is>
      </c>
      <c r="AH93" t="n">
        <v>39.2</v>
      </c>
      <c r="AI93" t="inlineStr">
        <is>
          <t>801+</t>
        </is>
      </c>
      <c r="AJ93" t="inlineStr">
        <is>
          <t>10.1</t>
        </is>
      </c>
      <c r="AK93" t="inlineStr">
        <is>
          <t>601+</t>
        </is>
      </c>
      <c r="AL93" t="inlineStr">
        <is>
          <t>9.4</t>
        </is>
      </c>
      <c r="AM93" t="inlineStr">
        <is>
          <t>601+</t>
        </is>
      </c>
      <c r="AN93" t="inlineStr">
        <is>
          <t>22.0</t>
        </is>
      </c>
      <c r="AO93" t="inlineStr">
        <is>
          <t>631</t>
        </is>
      </c>
      <c r="AP93" t="inlineStr">
        <is>
          <t>1.2</t>
        </is>
      </c>
      <c r="AQ93" t="inlineStr">
        <is>
          <t>701+</t>
        </is>
      </c>
      <c r="AR93" t="inlineStr">
        <is>
          <t>7.0</t>
        </is>
      </c>
      <c r="AS93" t="inlineStr">
        <is>
          <t>701+</t>
        </is>
      </c>
      <c r="AT93" t="inlineStr">
        <is>
          <t>2.6</t>
        </is>
      </c>
      <c r="AU93" t="inlineStr">
        <is>
          <t>701+</t>
        </is>
      </c>
      <c r="AV93" t="inlineStr">
        <is>
          <t>1.0</t>
        </is>
      </c>
      <c r="AW93" t="inlineStr">
        <is>
          <t>701+</t>
        </is>
      </c>
      <c r="AX93" t="inlineStr">
        <is>
          <t>10.4</t>
        </is>
      </c>
      <c r="AY93" t="inlineStr">
        <is>
          <t>701+</t>
        </is>
      </c>
      <c r="AZ93" t="inlineStr">
        <is>
          <t>1.4</t>
        </is>
      </c>
      <c r="BA93" t="inlineStr">
        <is>
          <t>701+</t>
        </is>
      </c>
    </row>
    <row r="94">
      <c r="A94" t="inlineStr">
        <is>
          <t>Azerbaijan Technical University</t>
        </is>
      </c>
      <c r="B94" t="inlineStr">
        <is>
          <t>Azerbaijan</t>
        </is>
      </c>
      <c r="C94" t="inlineStr"/>
      <c r="D94" t="inlineStr">
        <is>
          <t>Asia</t>
        </is>
      </c>
      <c r="E94" t="inlineStr">
        <is>
          <t>M</t>
        </is>
      </c>
      <c r="F94" t="inlineStr">
        <is>
          <t>SP</t>
        </is>
      </c>
      <c r="G94" t="inlineStr">
        <is>
          <t>MD</t>
        </is>
      </c>
      <c r="H94" t="inlineStr"/>
      <c r="I94" t="inlineStr"/>
      <c r="J94" t="inlineStr">
        <is>
          <t>851-900</t>
        </is>
      </c>
      <c r="K94" t="inlineStr"/>
      <c r="L94" t="inlineStr"/>
      <c r="M94" t="inlineStr"/>
      <c r="N94" t="inlineStr">
        <is>
          <t>-</t>
        </is>
      </c>
      <c r="O94" t="inlineStr"/>
      <c r="P94" t="n">
        <v>19.1</v>
      </c>
      <c r="Q94" t="inlineStr">
        <is>
          <t>645</t>
        </is>
      </c>
      <c r="R94" t="n">
        <v>25.5</v>
      </c>
      <c r="S94" t="inlineStr">
        <is>
          <t>532</t>
        </is>
      </c>
      <c r="T94" t="n">
        <v>82.2</v>
      </c>
      <c r="U94" t="inlineStr">
        <is>
          <t>157</t>
        </is>
      </c>
      <c r="V94" t="n">
        <v>1.4</v>
      </c>
      <c r="W94" t="inlineStr">
        <is>
          <t>801+</t>
        </is>
      </c>
      <c r="X94" t="n">
        <v>13.9</v>
      </c>
      <c r="Y94" t="inlineStr">
        <is>
          <t>801+</t>
        </is>
      </c>
      <c r="Z94" t="n">
        <v>13.4</v>
      </c>
      <c r="AA94" t="inlineStr">
        <is>
          <t>801+</t>
        </is>
      </c>
      <c r="AB94" t="n">
        <v>16.5</v>
      </c>
      <c r="AC94" t="inlineStr">
        <is>
          <t>801+</t>
        </is>
      </c>
      <c r="AD94" t="n">
        <v>4.2</v>
      </c>
      <c r="AE94" t="inlineStr">
        <is>
          <t>801+</t>
        </is>
      </c>
      <c r="AF94" t="n">
        <v>11.6</v>
      </c>
      <c r="AG94" t="inlineStr">
        <is>
          <t>801+</t>
        </is>
      </c>
      <c r="AH94" t="n">
        <v>27.9</v>
      </c>
      <c r="AI94" t="inlineStr">
        <is>
          <t>801+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Azerbaijan University of Architecture and Construction</t>
        </is>
      </c>
      <c r="B95" t="inlineStr">
        <is>
          <t>Azerbaijan</t>
        </is>
      </c>
      <c r="C95" t="inlineStr"/>
      <c r="D95" t="inlineStr">
        <is>
          <t>Asia</t>
        </is>
      </c>
      <c r="E95" t="inlineStr">
        <is>
          <t>M</t>
        </is>
      </c>
      <c r="F95" t="inlineStr">
        <is>
          <t>FO</t>
        </is>
      </c>
      <c r="G95" t="inlineStr">
        <is>
          <t>MD</t>
        </is>
      </c>
      <c r="H95" t="inlineStr"/>
      <c r="I95" t="inlineStr">
        <is>
          <t>Public</t>
        </is>
      </c>
      <c r="J95" t="inlineStr">
        <is>
          <t>1001-1200</t>
        </is>
      </c>
      <c r="K95" t="inlineStr"/>
      <c r="L95" t="inlineStr"/>
      <c r="M95" t="inlineStr"/>
      <c r="N95" t="inlineStr">
        <is>
          <t>-</t>
        </is>
      </c>
      <c r="O95" t="inlineStr"/>
      <c r="P95" t="n">
        <v>25.7</v>
      </c>
      <c r="Q95" t="inlineStr">
        <is>
          <t>492</t>
        </is>
      </c>
      <c r="R95" t="n">
        <v>20.7</v>
      </c>
      <c r="S95" t="inlineStr">
        <is>
          <t>638</t>
        </is>
      </c>
      <c r="T95" t="n">
        <v>42.1</v>
      </c>
      <c r="U95" t="inlineStr">
        <is>
          <t>477</t>
        </is>
      </c>
      <c r="V95" t="n">
        <v>1</v>
      </c>
      <c r="W95" t="inlineStr">
        <is>
          <t>801+</t>
        </is>
      </c>
      <c r="X95" t="n">
        <v>9.9</v>
      </c>
      <c r="Y95" t="inlineStr">
        <is>
          <t>801+</t>
        </is>
      </c>
      <c r="Z95" t="n">
        <v>14.5</v>
      </c>
      <c r="AA95" t="inlineStr">
        <is>
          <t>801+</t>
        </is>
      </c>
      <c r="AB95" t="n">
        <v>17.1</v>
      </c>
      <c r="AC95" t="inlineStr">
        <is>
          <t>801+</t>
        </is>
      </c>
      <c r="AD95" t="n">
        <v>1.3</v>
      </c>
      <c r="AE95" t="inlineStr">
        <is>
          <t>801+</t>
        </is>
      </c>
      <c r="AF95" t="n">
        <v>11.8</v>
      </c>
      <c r="AG95" t="inlineStr">
        <is>
          <t>801+</t>
        </is>
      </c>
      <c r="AH95" t="n">
        <v>25.8</v>
      </c>
      <c r="AI95" t="inlineStr">
        <is>
          <t>801+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Babes-Bolyai University</t>
        </is>
      </c>
      <c r="B96" t="inlineStr">
        <is>
          <t>Romania</t>
        </is>
      </c>
      <c r="C96" t="inlineStr">
        <is>
          <t>RO</t>
        </is>
      </c>
      <c r="D96" t="inlineStr">
        <is>
          <t>Europe</t>
        </is>
      </c>
      <c r="E96" t="inlineStr">
        <is>
          <t>XL</t>
        </is>
      </c>
      <c r="F96" t="inlineStr">
        <is>
          <t>CO</t>
        </is>
      </c>
      <c r="G96" t="inlineStr">
        <is>
          <t>VH</t>
        </is>
      </c>
      <c r="H96" t="inlineStr">
        <is>
          <t>5</t>
        </is>
      </c>
      <c r="I96" t="inlineStr">
        <is>
          <t>Public</t>
        </is>
      </c>
      <c r="J96" t="inlineStr">
        <is>
          <t>761-770</t>
        </is>
      </c>
      <c r="K96" t="inlineStr">
        <is>
          <t>781-790</t>
        </is>
      </c>
      <c r="L96" t="inlineStr">
        <is>
          <t>801-850</t>
        </is>
      </c>
      <c r="M96" t="inlineStr">
        <is>
          <t>1001-1200</t>
        </is>
      </c>
      <c r="N96" t="inlineStr">
        <is>
          <t>-</t>
        </is>
      </c>
      <c r="O96" t="inlineStr">
        <is>
          <t>-</t>
        </is>
      </c>
      <c r="P96" t="n">
        <v>21.9</v>
      </c>
      <c r="Q96" t="inlineStr">
        <is>
          <t>569</t>
        </is>
      </c>
      <c r="R96" t="n">
        <v>34.9</v>
      </c>
      <c r="S96" t="inlineStr">
        <is>
          <t>410</t>
        </is>
      </c>
      <c r="T96" t="n">
        <v>8.699999999999999</v>
      </c>
      <c r="U96" t="inlineStr">
        <is>
          <t>801+</t>
        </is>
      </c>
      <c r="V96" t="n">
        <v>8</v>
      </c>
      <c r="W96" t="inlineStr">
        <is>
          <t>801+</t>
        </is>
      </c>
      <c r="X96" t="n">
        <v>18.9</v>
      </c>
      <c r="Y96" t="inlineStr">
        <is>
          <t>729</t>
        </is>
      </c>
      <c r="Z96" t="n">
        <v>7.1</v>
      </c>
      <c r="AA96" t="inlineStr">
        <is>
          <t>801+</t>
        </is>
      </c>
      <c r="AB96" t="n">
        <v>12.6</v>
      </c>
      <c r="AC96" t="inlineStr">
        <is>
          <t>801+</t>
        </is>
      </c>
      <c r="AD96" t="n">
        <v>83.90000000000001</v>
      </c>
      <c r="AE96" t="inlineStr">
        <is>
          <t>278</t>
        </is>
      </c>
      <c r="AF96" t="n">
        <v>35.9</v>
      </c>
      <c r="AG96" t="inlineStr">
        <is>
          <t>477</t>
        </is>
      </c>
      <c r="AH96" t="n">
        <v>65</v>
      </c>
      <c r="AI96" t="inlineStr">
        <is>
          <t>398=</t>
        </is>
      </c>
      <c r="AJ96" t="inlineStr">
        <is>
          <t>16.4</t>
        </is>
      </c>
      <c r="AK96" t="inlineStr">
        <is>
          <t>533</t>
        </is>
      </c>
      <c r="AL96" t="inlineStr">
        <is>
          <t>13.7</t>
        </is>
      </c>
      <c r="AM96" t="inlineStr">
        <is>
          <t>591</t>
        </is>
      </c>
      <c r="AN96" t="inlineStr">
        <is>
          <t>4.7</t>
        </is>
      </c>
      <c r="AO96" t="inlineStr">
        <is>
          <t>701+</t>
        </is>
      </c>
      <c r="AP96" t="inlineStr">
        <is>
          <t>4.2</t>
        </is>
      </c>
      <c r="AQ96" t="inlineStr">
        <is>
          <t>701+</t>
        </is>
      </c>
      <c r="AR96" t="inlineStr">
        <is>
          <t>7.7</t>
        </is>
      </c>
      <c r="AS96" t="inlineStr">
        <is>
          <t>701+</t>
        </is>
      </c>
      <c r="AT96" t="inlineStr">
        <is>
          <t>4.0</t>
        </is>
      </c>
      <c r="AU96" t="inlineStr">
        <is>
          <t>701+</t>
        </is>
      </c>
      <c r="AV96" t="inlineStr">
        <is>
          <t>42.6</t>
        </is>
      </c>
      <c r="AW96" t="inlineStr">
        <is>
          <t>358</t>
        </is>
      </c>
      <c r="AX96" t="inlineStr">
        <is>
          <t>23.1</t>
        </is>
      </c>
      <c r="AY96" t="inlineStr">
        <is>
          <t>362</t>
        </is>
      </c>
      <c r="AZ96" t="inlineStr">
        <is>
          <t>48.4</t>
        </is>
      </c>
      <c r="BA96" t="inlineStr">
        <is>
          <t>316=</t>
        </is>
      </c>
    </row>
    <row r="97">
      <c r="A97" t="inlineStr">
        <is>
          <t>Bahauddin Zakariya University</t>
        </is>
      </c>
      <c r="B97" t="inlineStr">
        <is>
          <t>Pakistan</t>
        </is>
      </c>
      <c r="C97" t="inlineStr">
        <is>
          <t>PK</t>
        </is>
      </c>
      <c r="D97" t="inlineStr">
        <is>
          <t>Asia</t>
        </is>
      </c>
      <c r="E97" t="inlineStr">
        <is>
          <t>L</t>
        </is>
      </c>
      <c r="F97" t="inlineStr">
        <is>
          <t>CO</t>
        </is>
      </c>
      <c r="G97" t="inlineStr">
        <is>
          <t>VH</t>
        </is>
      </c>
      <c r="H97" t="inlineStr">
        <is>
          <t>3</t>
        </is>
      </c>
      <c r="I97" t="inlineStr">
        <is>
          <t>Public</t>
        </is>
      </c>
      <c r="J97" t="inlineStr">
        <is>
          <t>1201-1400</t>
        </is>
      </c>
      <c r="K97" t="inlineStr">
        <is>
          <t>1201-1400</t>
        </is>
      </c>
      <c r="L97" t="inlineStr">
        <is>
          <t>1201-1400</t>
        </is>
      </c>
      <c r="M97" t="inlineStr">
        <is>
          <t>1201-1400</t>
        </is>
      </c>
      <c r="N97" t="inlineStr">
        <is>
          <t>-</t>
        </is>
      </c>
      <c r="O97" t="inlineStr">
        <is>
          <t>-</t>
        </is>
      </c>
      <c r="P97" t="n">
        <v>8.5</v>
      </c>
      <c r="Q97" t="inlineStr">
        <is>
          <t>701+</t>
        </is>
      </c>
      <c r="R97" t="n">
        <v>7.8</v>
      </c>
      <c r="S97" t="inlineStr">
        <is>
          <t>701+</t>
        </is>
      </c>
      <c r="T97" t="n">
        <v>4.1</v>
      </c>
      <c r="U97" t="inlineStr">
        <is>
          <t>801+</t>
        </is>
      </c>
      <c r="V97" t="n">
        <v>30.3</v>
      </c>
      <c r="W97" t="inlineStr">
        <is>
          <t>584</t>
        </is>
      </c>
      <c r="X97" t="inlineStr"/>
      <c r="Y97" t="inlineStr"/>
      <c r="Z97" t="n">
        <v>1</v>
      </c>
      <c r="AA97" t="inlineStr">
        <is>
          <t>801+</t>
        </is>
      </c>
      <c r="AB97" t="n">
        <v>1</v>
      </c>
      <c r="AC97" t="inlineStr">
        <is>
          <t>801+</t>
        </is>
      </c>
      <c r="AD97" t="n">
        <v>50.8</v>
      </c>
      <c r="AE97" t="inlineStr">
        <is>
          <t>801+</t>
        </is>
      </c>
      <c r="AF97" t="n">
        <v>8.300000000000001</v>
      </c>
      <c r="AG97" t="inlineStr">
        <is>
          <t>801+</t>
        </is>
      </c>
      <c r="AH97" t="n">
        <v>25.7</v>
      </c>
      <c r="AI97" t="inlineStr">
        <is>
          <t>801+</t>
        </is>
      </c>
      <c r="AJ97" t="inlineStr">
        <is>
          <t>5.4</t>
        </is>
      </c>
      <c r="AK97" t="inlineStr">
        <is>
          <t>601+</t>
        </is>
      </c>
      <c r="AL97" t="inlineStr">
        <is>
          <t>5.5</t>
        </is>
      </c>
      <c r="AM97" t="inlineStr">
        <is>
          <t>601+</t>
        </is>
      </c>
      <c r="AN97" t="inlineStr">
        <is>
          <t>1.7</t>
        </is>
      </c>
      <c r="AO97" t="inlineStr">
        <is>
          <t>701+</t>
        </is>
      </c>
      <c r="AP97" t="inlineStr">
        <is>
          <t>12.1</t>
        </is>
      </c>
      <c r="AQ97" t="inlineStr">
        <is>
          <t>698</t>
        </is>
      </c>
      <c r="AR97" t="inlineStr"/>
      <c r="AS97" t="inlineStr"/>
      <c r="AT97" t="inlineStr">
        <is>
          <t>1.0</t>
        </is>
      </c>
      <c r="AU97" t="inlineStr">
        <is>
          <t>701+</t>
        </is>
      </c>
      <c r="AV97" t="inlineStr">
        <is>
          <t>2.7</t>
        </is>
      </c>
      <c r="AW97" t="inlineStr">
        <is>
          <t>701+</t>
        </is>
      </c>
      <c r="AX97" t="inlineStr">
        <is>
          <t>5.7</t>
        </is>
      </c>
      <c r="AY97" t="inlineStr">
        <is>
          <t>701+</t>
        </is>
      </c>
      <c r="AZ97" t="inlineStr">
        <is>
          <t>1.1</t>
        </is>
      </c>
      <c r="BA97" t="inlineStr">
        <is>
          <t>701+</t>
        </is>
      </c>
    </row>
    <row r="98">
      <c r="A98" t="inlineStr">
        <is>
          <t>Baku Engineering University</t>
        </is>
      </c>
      <c r="B98" t="inlineStr">
        <is>
          <t>Azerbaijan</t>
        </is>
      </c>
      <c r="C98" t="inlineStr"/>
      <c r="D98" t="inlineStr">
        <is>
          <t>Asia</t>
        </is>
      </c>
      <c r="E98" t="inlineStr">
        <is>
          <t>M</t>
        </is>
      </c>
      <c r="F98" t="inlineStr">
        <is>
          <t>FO</t>
        </is>
      </c>
      <c r="G98" t="inlineStr">
        <is>
          <t>MD</t>
        </is>
      </c>
      <c r="H98" t="inlineStr"/>
      <c r="I98" t="inlineStr">
        <is>
          <t>Public</t>
        </is>
      </c>
      <c r="J98" t="inlineStr">
        <is>
          <t>901-950</t>
        </is>
      </c>
      <c r="K98" t="inlineStr"/>
      <c r="L98" t="inlineStr"/>
      <c r="M98" t="inlineStr"/>
      <c r="N98" t="inlineStr">
        <is>
          <t>-</t>
        </is>
      </c>
      <c r="O98" t="inlineStr"/>
      <c r="P98" t="n">
        <v>24.9</v>
      </c>
      <c r="Q98" t="inlineStr">
        <is>
          <t>511</t>
        </is>
      </c>
      <c r="R98" t="n">
        <v>37.5</v>
      </c>
      <c r="S98" t="inlineStr">
        <is>
          <t>373</t>
        </is>
      </c>
      <c r="T98" t="n">
        <v>37.1</v>
      </c>
      <c r="U98" t="inlineStr">
        <is>
          <t>542</t>
        </is>
      </c>
      <c r="V98" t="n">
        <v>1.5</v>
      </c>
      <c r="W98" t="inlineStr">
        <is>
          <t>801+</t>
        </is>
      </c>
      <c r="X98" t="n">
        <v>21.3</v>
      </c>
      <c r="Y98" t="inlineStr">
        <is>
          <t>693</t>
        </is>
      </c>
      <c r="Z98" t="n">
        <v>8.699999999999999</v>
      </c>
      <c r="AA98" t="inlineStr">
        <is>
          <t>801+</t>
        </is>
      </c>
      <c r="AB98" t="n">
        <v>12.3</v>
      </c>
      <c r="AC98" t="inlineStr">
        <is>
          <t>801+</t>
        </is>
      </c>
      <c r="AD98" t="n">
        <v>3.8</v>
      </c>
      <c r="AE98" t="inlineStr">
        <is>
          <t>801+</t>
        </is>
      </c>
      <c r="AF98" t="n">
        <v>11.7</v>
      </c>
      <c r="AG98" t="inlineStr">
        <is>
          <t>801+</t>
        </is>
      </c>
      <c r="AH98" t="n">
        <v>29.4</v>
      </c>
      <c r="AI98" t="inlineStr">
        <is>
          <t>801+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Baku State University</t>
        </is>
      </c>
      <c r="B99" t="inlineStr">
        <is>
          <t>Azerbaijan</t>
        </is>
      </c>
      <c r="C99" t="inlineStr">
        <is>
          <t>AZ</t>
        </is>
      </c>
      <c r="D99" t="inlineStr">
        <is>
          <t>Asia</t>
        </is>
      </c>
      <c r="E99" t="inlineStr">
        <is>
          <t>L</t>
        </is>
      </c>
      <c r="F99" t="inlineStr">
        <is>
          <t>CO</t>
        </is>
      </c>
      <c r="G99" t="inlineStr">
        <is>
          <t>HI</t>
        </is>
      </c>
      <c r="H99" t="inlineStr">
        <is>
          <t>5</t>
        </is>
      </c>
      <c r="I99" t="inlineStr">
        <is>
          <t>Public</t>
        </is>
      </c>
      <c r="J99" t="inlineStr">
        <is>
          <t>688</t>
        </is>
      </c>
      <c r="K99" t="inlineStr">
        <is>
          <t>951-1000</t>
        </is>
      </c>
      <c r="L99" t="inlineStr">
        <is>
          <t>1001-1200</t>
        </is>
      </c>
      <c r="M99" t="inlineStr">
        <is>
          <t>1001-1200</t>
        </is>
      </c>
      <c r="N99" t="inlineStr">
        <is>
          <t>25.6</t>
        </is>
      </c>
      <c r="O99" t="inlineStr">
        <is>
          <t>-</t>
        </is>
      </c>
      <c r="P99" t="n">
        <v>22</v>
      </c>
      <c r="Q99" t="inlineStr">
        <is>
          <t>566</t>
        </is>
      </c>
      <c r="R99" t="n">
        <v>20.1</v>
      </c>
      <c r="S99" t="inlineStr">
        <is>
          <t>654</t>
        </is>
      </c>
      <c r="T99" t="n">
        <v>94</v>
      </c>
      <c r="U99" t="inlineStr">
        <is>
          <t>85</t>
        </is>
      </c>
      <c r="V99" t="n">
        <v>1.9</v>
      </c>
      <c r="W99" t="inlineStr">
        <is>
          <t>801+</t>
        </is>
      </c>
      <c r="X99" t="n">
        <v>13.4</v>
      </c>
      <c r="Y99" t="inlineStr">
        <is>
          <t>801+</t>
        </is>
      </c>
      <c r="Z99" t="n">
        <v>7</v>
      </c>
      <c r="AA99" t="inlineStr">
        <is>
          <t>801+</t>
        </is>
      </c>
      <c r="AB99" t="n">
        <v>11.2</v>
      </c>
      <c r="AC99" t="inlineStr">
        <is>
          <t>801+</t>
        </is>
      </c>
      <c r="AD99" t="n">
        <v>22.1</v>
      </c>
      <c r="AE99" t="inlineStr">
        <is>
          <t>801+</t>
        </is>
      </c>
      <c r="AF99" t="n">
        <v>64.09999999999999</v>
      </c>
      <c r="AG99" t="inlineStr">
        <is>
          <t>243</t>
        </is>
      </c>
      <c r="AH99" t="n">
        <v>43.3</v>
      </c>
      <c r="AI99" t="inlineStr">
        <is>
          <t>801+</t>
        </is>
      </c>
      <c r="AJ99" t="inlineStr">
        <is>
          <t>9.6</t>
        </is>
      </c>
      <c r="AK99" t="inlineStr">
        <is>
          <t>601+</t>
        </is>
      </c>
      <c r="AL99" t="inlineStr">
        <is>
          <t>3.2</t>
        </is>
      </c>
      <c r="AM99" t="inlineStr">
        <is>
          <t>601+</t>
        </is>
      </c>
      <c r="AN99" t="inlineStr">
        <is>
          <t>33.9</t>
        </is>
      </c>
      <c r="AO99" t="inlineStr">
        <is>
          <t>472</t>
        </is>
      </c>
      <c r="AP99" t="inlineStr">
        <is>
          <t>1.4</t>
        </is>
      </c>
      <c r="AQ99" t="inlineStr">
        <is>
          <t>701+</t>
        </is>
      </c>
      <c r="AR99" t="inlineStr">
        <is>
          <t>2.1</t>
        </is>
      </c>
      <c r="AS99" t="inlineStr">
        <is>
          <t>701+</t>
        </is>
      </c>
      <c r="AT99" t="inlineStr">
        <is>
          <t>1.7</t>
        </is>
      </c>
      <c r="AU99" t="inlineStr">
        <is>
          <t>701+</t>
        </is>
      </c>
      <c r="AV99" t="inlineStr">
        <is>
          <t>1.1</t>
        </is>
      </c>
      <c r="AW99" t="inlineStr">
        <is>
          <t>701+</t>
        </is>
      </c>
      <c r="AX99" t="inlineStr">
        <is>
          <t>9.6</t>
        </is>
      </c>
      <c r="AY99" t="inlineStr">
        <is>
          <t>701+</t>
        </is>
      </c>
      <c r="AZ99" t="inlineStr">
        <is>
          <t>1</t>
        </is>
      </c>
      <c r="BA99" t="inlineStr">
        <is>
          <t>701+</t>
        </is>
      </c>
    </row>
    <row r="100">
      <c r="A100" t="inlineStr">
        <is>
          <t>Banaras Hindu University</t>
        </is>
      </c>
      <c r="B100" t="inlineStr">
        <is>
          <t>India</t>
        </is>
      </c>
      <c r="C100" t="inlineStr">
        <is>
          <t>IN</t>
        </is>
      </c>
      <c r="D100" t="inlineStr">
        <is>
          <t>Asia</t>
        </is>
      </c>
      <c r="E100" t="inlineStr">
        <is>
          <t>L</t>
        </is>
      </c>
      <c r="F100" t="inlineStr">
        <is>
          <t>FC</t>
        </is>
      </c>
      <c r="G100" t="inlineStr">
        <is>
          <t>VH</t>
        </is>
      </c>
      <c r="H100" t="inlineStr">
        <is>
          <t>5</t>
        </is>
      </c>
      <c r="I100" t="inlineStr">
        <is>
          <t>Public</t>
        </is>
      </c>
      <c r="J100" t="inlineStr">
        <is>
          <t>1001-1200</t>
        </is>
      </c>
      <c r="K100" t="inlineStr">
        <is>
          <t>1001-1200</t>
        </is>
      </c>
      <c r="L100" t="inlineStr">
        <is>
          <t>1001-1200</t>
        </is>
      </c>
      <c r="M100" t="inlineStr">
        <is>
          <t>1001-1200</t>
        </is>
      </c>
      <c r="N100" t="inlineStr">
        <is>
          <t>-</t>
        </is>
      </c>
      <c r="O100" t="inlineStr">
        <is>
          <t>-</t>
        </is>
      </c>
      <c r="P100" t="n">
        <v>18.9</v>
      </c>
      <c r="Q100" t="inlineStr">
        <is>
          <t>648</t>
        </is>
      </c>
      <c r="R100" t="n">
        <v>10.6</v>
      </c>
      <c r="S100" t="inlineStr">
        <is>
          <t>701+</t>
        </is>
      </c>
      <c r="T100" t="n">
        <v>14.4</v>
      </c>
      <c r="U100" t="inlineStr">
        <is>
          <t>801+</t>
        </is>
      </c>
      <c r="V100" t="n">
        <v>18.8</v>
      </c>
      <c r="W100" t="inlineStr">
        <is>
          <t>737</t>
        </is>
      </c>
      <c r="X100" t="n">
        <v>1.5</v>
      </c>
      <c r="Y100" t="inlineStr">
        <is>
          <t>801+</t>
        </is>
      </c>
      <c r="Z100" t="n">
        <v>3</v>
      </c>
      <c r="AA100" t="inlineStr">
        <is>
          <t>801+</t>
        </is>
      </c>
      <c r="AB100" t="n">
        <v>7.2</v>
      </c>
      <c r="AC100" t="inlineStr">
        <is>
          <t>801+</t>
        </is>
      </c>
      <c r="AD100" t="n">
        <v>59.3</v>
      </c>
      <c r="AE100" t="inlineStr">
        <is>
          <t>704</t>
        </is>
      </c>
      <c r="AF100" t="n">
        <v>15.6</v>
      </c>
      <c r="AG100" t="inlineStr">
        <is>
          <t>801+</t>
        </is>
      </c>
      <c r="AH100" t="n">
        <v>44.5</v>
      </c>
      <c r="AI100" t="inlineStr">
        <is>
          <t>801+</t>
        </is>
      </c>
      <c r="AJ100" t="inlineStr">
        <is>
          <t>12.1</t>
        </is>
      </c>
      <c r="AK100" t="inlineStr">
        <is>
          <t>601+</t>
        </is>
      </c>
      <c r="AL100" t="inlineStr">
        <is>
          <t>6.5</t>
        </is>
      </c>
      <c r="AM100" t="inlineStr">
        <is>
          <t>601+</t>
        </is>
      </c>
      <c r="AN100" t="inlineStr">
        <is>
          <t>15.9</t>
        </is>
      </c>
      <c r="AO100" t="inlineStr">
        <is>
          <t>701+</t>
        </is>
      </c>
      <c r="AP100" t="inlineStr">
        <is>
          <t>7.8</t>
        </is>
      </c>
      <c r="AQ100" t="inlineStr">
        <is>
          <t>701+</t>
        </is>
      </c>
      <c r="AR100" t="inlineStr">
        <is>
          <t>1.2</t>
        </is>
      </c>
      <c r="AS100" t="inlineStr">
        <is>
          <t>701+</t>
        </is>
      </c>
      <c r="AT100" t="inlineStr">
        <is>
          <t>1.6</t>
        </is>
      </c>
      <c r="AU100" t="inlineStr">
        <is>
          <t>701+</t>
        </is>
      </c>
      <c r="AV100" t="inlineStr">
        <is>
          <t>15.3</t>
        </is>
      </c>
      <c r="AW100" t="inlineStr">
        <is>
          <t>591</t>
        </is>
      </c>
      <c r="AX100" t="inlineStr">
        <is>
          <t>6.3</t>
        </is>
      </c>
      <c r="AY100" t="inlineStr">
        <is>
          <t>701+</t>
        </is>
      </c>
      <c r="AZ100" t="inlineStr">
        <is>
          <t>4.1</t>
        </is>
      </c>
      <c r="BA100" t="inlineStr">
        <is>
          <t>701+</t>
        </is>
      </c>
    </row>
    <row r="101">
      <c r="A101" t="inlineStr">
        <is>
          <t>Bandung Institute of Technology (ITB)</t>
        </is>
      </c>
      <c r="B101" t="inlineStr">
        <is>
          <t>Indonesia</t>
        </is>
      </c>
      <c r="C101" t="inlineStr">
        <is>
          <t>ID</t>
        </is>
      </c>
      <c r="D101" t="inlineStr">
        <is>
          <t>Asia</t>
        </is>
      </c>
      <c r="E101" t="inlineStr">
        <is>
          <t>L</t>
        </is>
      </c>
      <c r="F101" t="inlineStr">
        <is>
          <t>CO</t>
        </is>
      </c>
      <c r="G101" t="inlineStr">
        <is>
          <t>VH</t>
        </is>
      </c>
      <c r="H101" t="inlineStr">
        <is>
          <t>5</t>
        </is>
      </c>
      <c r="I101" t="inlineStr">
        <is>
          <t>Public</t>
        </is>
      </c>
      <c r="J101" t="inlineStr">
        <is>
          <t>255</t>
        </is>
      </c>
      <c r="K101" t="inlineStr">
        <is>
          <t>256</t>
        </is>
      </c>
      <c r="L101">
        <f>281</f>
        <v/>
      </c>
      <c r="M101" t="inlineStr">
        <is>
          <t>235=</t>
        </is>
      </c>
      <c r="N101" t="inlineStr">
        <is>
          <t>49.9</t>
        </is>
      </c>
      <c r="O101" t="inlineStr">
        <is>
          <t>36.6</t>
        </is>
      </c>
      <c r="P101" t="n">
        <v>58.5</v>
      </c>
      <c r="Q101" t="inlineStr">
        <is>
          <t>181</t>
        </is>
      </c>
      <c r="R101" t="n">
        <v>85.3</v>
      </c>
      <c r="S101" t="inlineStr">
        <is>
          <t>90</t>
        </is>
      </c>
      <c r="T101" t="n">
        <v>54.7</v>
      </c>
      <c r="U101" t="inlineStr">
        <is>
          <t>345</t>
        </is>
      </c>
      <c r="V101" t="n">
        <v>5.4</v>
      </c>
      <c r="W101" t="inlineStr">
        <is>
          <t>801+</t>
        </is>
      </c>
      <c r="X101" t="n">
        <v>94.7</v>
      </c>
      <c r="Y101" t="inlineStr">
        <is>
          <t>182</t>
        </is>
      </c>
      <c r="Z101" t="n">
        <v>8</v>
      </c>
      <c r="AA101" t="inlineStr">
        <is>
          <t>801+</t>
        </is>
      </c>
      <c r="AB101" t="n">
        <v>13.7</v>
      </c>
      <c r="AC101" t="inlineStr">
        <is>
          <t>801+</t>
        </is>
      </c>
      <c r="AD101" t="n">
        <v>39.8</v>
      </c>
      <c r="AE101" t="inlineStr">
        <is>
          <t>801+</t>
        </is>
      </c>
      <c r="AF101" t="n">
        <v>68.59999999999999</v>
      </c>
      <c r="AG101" t="inlineStr">
        <is>
          <t>224</t>
        </is>
      </c>
      <c r="AH101" t="n">
        <v>59.2</v>
      </c>
      <c r="AI101" t="inlineStr">
        <is>
          <t>516=</t>
        </is>
      </c>
      <c r="AJ101" t="inlineStr">
        <is>
          <t>41.0</t>
        </is>
      </c>
      <c r="AK101" t="inlineStr">
        <is>
          <t>203</t>
        </is>
      </c>
      <c r="AL101" t="inlineStr">
        <is>
          <t>65.6</t>
        </is>
      </c>
      <c r="AM101" t="inlineStr">
        <is>
          <t>122</t>
        </is>
      </c>
      <c r="AN101" t="inlineStr">
        <is>
          <t>65.6</t>
        </is>
      </c>
      <c r="AO101" t="inlineStr">
        <is>
          <t>208</t>
        </is>
      </c>
      <c r="AP101" t="inlineStr">
        <is>
          <t>2.5</t>
        </is>
      </c>
      <c r="AQ101" t="inlineStr">
        <is>
          <t>701+</t>
        </is>
      </c>
      <c r="AR101" t="inlineStr">
        <is>
          <t>84.4</t>
        </is>
      </c>
      <c r="AS101" t="inlineStr">
        <is>
          <t>213</t>
        </is>
      </c>
      <c r="AT101" t="inlineStr">
        <is>
          <t>2.3</t>
        </is>
      </c>
      <c r="AU101" t="inlineStr">
        <is>
          <t>701+</t>
        </is>
      </c>
      <c r="AV101" t="inlineStr">
        <is>
          <t>1.2</t>
        </is>
      </c>
      <c r="AW101" t="inlineStr">
        <is>
          <t>701+</t>
        </is>
      </c>
      <c r="AX101" t="inlineStr">
        <is>
          <t>35.7</t>
        </is>
      </c>
      <c r="AY101" t="inlineStr">
        <is>
          <t>209</t>
        </is>
      </c>
      <c r="AZ101" t="inlineStr">
        <is>
          <t>21.2</t>
        </is>
      </c>
      <c r="BA101" t="inlineStr">
        <is>
          <t>533=</t>
        </is>
      </c>
    </row>
    <row r="102">
      <c r="A102" t="inlineStr">
        <is>
          <t>Bangladesh University of Engineering and Technology</t>
        </is>
      </c>
      <c r="B102" t="inlineStr">
        <is>
          <t>Bangladesh</t>
        </is>
      </c>
      <c r="C102" t="inlineStr">
        <is>
          <t>BD</t>
        </is>
      </c>
      <c r="D102" t="inlineStr">
        <is>
          <t>Asia</t>
        </is>
      </c>
      <c r="E102" t="inlineStr">
        <is>
          <t>M</t>
        </is>
      </c>
      <c r="F102" t="inlineStr">
        <is>
          <t>SP</t>
        </is>
      </c>
      <c r="G102" t="inlineStr">
        <is>
          <t>VH</t>
        </is>
      </c>
      <c r="H102" t="inlineStr">
        <is>
          <t>4</t>
        </is>
      </c>
      <c r="I102" t="inlineStr">
        <is>
          <t>Public</t>
        </is>
      </c>
      <c r="J102" t="inlineStr">
        <is>
          <t>761-770</t>
        </is>
      </c>
      <c r="K102" t="inlineStr">
        <is>
          <t>761-770</t>
        </is>
      </c>
      <c r="L102" t="inlineStr">
        <is>
          <t>801-850</t>
        </is>
      </c>
      <c r="M102" t="inlineStr">
        <is>
          <t>801-1000</t>
        </is>
      </c>
      <c r="N102" t="inlineStr">
        <is>
          <t>-</t>
        </is>
      </c>
      <c r="O102" t="inlineStr">
        <is>
          <t>-</t>
        </is>
      </c>
      <c r="P102" t="n">
        <v>21.3</v>
      </c>
      <c r="Q102" t="inlineStr">
        <is>
          <t>582</t>
        </is>
      </c>
      <c r="R102" t="n">
        <v>42.5</v>
      </c>
      <c r="S102" t="inlineStr">
        <is>
          <t>316</t>
        </is>
      </c>
      <c r="T102" t="n">
        <v>15.6</v>
      </c>
      <c r="U102" t="inlineStr">
        <is>
          <t>801+</t>
        </is>
      </c>
      <c r="V102" t="n">
        <v>30.8</v>
      </c>
      <c r="W102" t="inlineStr">
        <is>
          <t>578</t>
        </is>
      </c>
      <c r="X102" t="inlineStr"/>
      <c r="Y102" t="inlineStr"/>
      <c r="Z102" t="inlineStr"/>
      <c r="AA102" t="inlineStr"/>
      <c r="AB102" t="inlineStr"/>
      <c r="AC102" t="inlineStr"/>
      <c r="AD102" t="n">
        <v>23</v>
      </c>
      <c r="AE102" t="inlineStr">
        <is>
          <t>801+</t>
        </is>
      </c>
      <c r="AF102" t="n">
        <v>29.9</v>
      </c>
      <c r="AG102" t="inlineStr">
        <is>
          <t>551</t>
        </is>
      </c>
      <c r="AH102" t="n">
        <v>30</v>
      </c>
      <c r="AI102" t="inlineStr">
        <is>
          <t>801+</t>
        </is>
      </c>
      <c r="AJ102" t="inlineStr">
        <is>
          <t>15.6</t>
        </is>
      </c>
      <c r="AK102" t="inlineStr">
        <is>
          <t>561</t>
        </is>
      </c>
      <c r="AL102" t="inlineStr">
        <is>
          <t>34.8</t>
        </is>
      </c>
      <c r="AM102" t="inlineStr">
        <is>
          <t>278</t>
        </is>
      </c>
      <c r="AN102" t="inlineStr">
        <is>
          <t>16.9</t>
        </is>
      </c>
      <c r="AO102" t="inlineStr">
        <is>
          <t>701+</t>
        </is>
      </c>
      <c r="AP102" t="inlineStr">
        <is>
          <t>12.0</t>
        </is>
      </c>
      <c r="AQ102" t="inlineStr">
        <is>
          <t>701+</t>
        </is>
      </c>
      <c r="AR102" t="inlineStr"/>
      <c r="AS102" t="inlineStr"/>
      <c r="AT102" t="inlineStr">
        <is>
          <t>1.0</t>
        </is>
      </c>
      <c r="AU102" t="inlineStr">
        <is>
          <t>701+</t>
        </is>
      </c>
      <c r="AV102" t="inlineStr">
        <is>
          <t>1.2</t>
        </is>
      </c>
      <c r="AW102" t="inlineStr">
        <is>
          <t>701+</t>
        </is>
      </c>
      <c r="AX102" t="inlineStr">
        <is>
          <t>7</t>
        </is>
      </c>
      <c r="AY102" t="inlineStr">
        <is>
          <t>701+</t>
        </is>
      </c>
      <c r="AZ102" t="inlineStr">
        <is>
          <t>3.4</t>
        </is>
      </c>
      <c r="BA102" t="inlineStr">
        <is>
          <t>701+</t>
        </is>
      </c>
    </row>
    <row r="103">
      <c r="A103" t="inlineStr">
        <is>
          <t>Bangor University</t>
        </is>
      </c>
      <c r="B103" t="inlineStr">
        <is>
          <t>United Kingdom</t>
        </is>
      </c>
      <c r="C103" t="inlineStr">
        <is>
          <t>UK</t>
        </is>
      </c>
      <c r="D103" t="inlineStr">
        <is>
          <t>Europe</t>
        </is>
      </c>
      <c r="E103" t="inlineStr">
        <is>
          <t>M</t>
        </is>
      </c>
      <c r="F103" t="inlineStr">
        <is>
          <t>FC</t>
        </is>
      </c>
      <c r="G103" t="inlineStr">
        <is>
          <t>VH</t>
        </is>
      </c>
      <c r="H103" t="inlineStr">
        <is>
          <t>5</t>
        </is>
      </c>
      <c r="I103" t="inlineStr">
        <is>
          <t>Public</t>
        </is>
      </c>
      <c r="J103" t="inlineStr">
        <is>
          <t>566</t>
        </is>
      </c>
      <c r="K103" t="inlineStr">
        <is>
          <t>474</t>
        </is>
      </c>
      <c r="L103">
        <f>481</f>
        <v/>
      </c>
      <c r="M103" t="inlineStr">
        <is>
          <t>601-650</t>
        </is>
      </c>
      <c r="N103" t="inlineStr">
        <is>
          <t>29.3</t>
        </is>
      </c>
      <c r="O103" t="inlineStr">
        <is>
          <t>23.9</t>
        </is>
      </c>
      <c r="P103" t="n">
        <v>12.8</v>
      </c>
      <c r="Q103" t="inlineStr">
        <is>
          <t>701+</t>
        </is>
      </c>
      <c r="R103" t="n">
        <v>10.5</v>
      </c>
      <c r="S103" t="inlineStr">
        <is>
          <t>701+</t>
        </is>
      </c>
      <c r="T103" t="n">
        <v>18.9</v>
      </c>
      <c r="U103" t="inlineStr">
        <is>
          <t>801+</t>
        </is>
      </c>
      <c r="V103" t="n">
        <v>44.4</v>
      </c>
      <c r="W103" t="inlineStr">
        <is>
          <t>422</t>
        </is>
      </c>
      <c r="X103" t="n">
        <v>38.1</v>
      </c>
      <c r="Y103" t="inlineStr">
        <is>
          <t>515</t>
        </is>
      </c>
      <c r="Z103" t="n">
        <v>77.40000000000001</v>
      </c>
      <c r="AA103" t="inlineStr">
        <is>
          <t>239</t>
        </is>
      </c>
      <c r="AB103" t="n">
        <v>79.5</v>
      </c>
      <c r="AC103" t="inlineStr">
        <is>
          <t>210</t>
        </is>
      </c>
      <c r="AD103" t="n">
        <v>74.7</v>
      </c>
      <c r="AE103" t="inlineStr">
        <is>
          <t>447</t>
        </is>
      </c>
      <c r="AF103" t="n">
        <v>16.9</v>
      </c>
      <c r="AG103" t="inlineStr">
        <is>
          <t>787</t>
        </is>
      </c>
      <c r="AH103" t="n">
        <v>78</v>
      </c>
      <c r="AI103" t="inlineStr">
        <is>
          <t>195=</t>
        </is>
      </c>
      <c r="AJ103" t="inlineStr">
        <is>
          <t>8.8</t>
        </is>
      </c>
      <c r="AK103" t="inlineStr">
        <is>
          <t>601+</t>
        </is>
      </c>
      <c r="AL103" t="inlineStr">
        <is>
          <t>5.3</t>
        </is>
      </c>
      <c r="AM103" t="inlineStr">
        <is>
          <t>601+</t>
        </is>
      </c>
      <c r="AN103" t="inlineStr">
        <is>
          <t>14.9</t>
        </is>
      </c>
      <c r="AO103" t="inlineStr">
        <is>
          <t>701+</t>
        </is>
      </c>
      <c r="AP103" t="inlineStr">
        <is>
          <t>39.7</t>
        </is>
      </c>
      <c r="AQ103" t="inlineStr">
        <is>
          <t>346</t>
        </is>
      </c>
      <c r="AR103" t="inlineStr">
        <is>
          <t>42.2</t>
        </is>
      </c>
      <c r="AS103" t="inlineStr">
        <is>
          <t>391</t>
        </is>
      </c>
      <c r="AT103" t="inlineStr">
        <is>
          <t>55.4</t>
        </is>
      </c>
      <c r="AU103" t="inlineStr">
        <is>
          <t>267</t>
        </is>
      </c>
      <c r="AV103" t="inlineStr">
        <is>
          <t>24.6</t>
        </is>
      </c>
      <c r="AW103" t="inlineStr">
        <is>
          <t>503</t>
        </is>
      </c>
      <c r="AX103" t="inlineStr">
        <is>
          <t>13</t>
        </is>
      </c>
      <c r="AY103" t="inlineStr">
        <is>
          <t>661</t>
        </is>
      </c>
      <c r="AZ103" t="inlineStr">
        <is>
          <t>87.4</t>
        </is>
      </c>
      <c r="BA103" t="inlineStr">
        <is>
          <t>108=</t>
        </is>
      </c>
    </row>
    <row r="104">
      <c r="A104" t="inlineStr">
        <is>
          <t>Bar-Ilan University</t>
        </is>
      </c>
      <c r="B104" t="inlineStr">
        <is>
          <t>Israel</t>
        </is>
      </c>
      <c r="C104" t="inlineStr">
        <is>
          <t>IL</t>
        </is>
      </c>
      <c r="D104" t="inlineStr">
        <is>
          <t>Asia</t>
        </is>
      </c>
      <c r="E104" t="inlineStr">
        <is>
          <t>L</t>
        </is>
      </c>
      <c r="F104" t="inlineStr">
        <is>
          <t>FC</t>
        </is>
      </c>
      <c r="G104" t="inlineStr">
        <is>
          <t>VH</t>
        </is>
      </c>
      <c r="H104" t="inlineStr">
        <is>
          <t>4</t>
        </is>
      </c>
      <c r="I104" t="inlineStr">
        <is>
          <t>Public</t>
        </is>
      </c>
      <c r="J104" t="inlineStr">
        <is>
          <t>660</t>
        </is>
      </c>
      <c r="K104" t="inlineStr">
        <is>
          <t>671-680</t>
        </is>
      </c>
      <c r="L104">
        <f>545</f>
        <v/>
      </c>
      <c r="M104" t="inlineStr">
        <is>
          <t>501-510</t>
        </is>
      </c>
      <c r="N104" t="inlineStr">
        <is>
          <t>26.5</t>
        </is>
      </c>
      <c r="O104" t="inlineStr">
        <is>
          <t>21.5</t>
        </is>
      </c>
      <c r="P104" t="n">
        <v>11</v>
      </c>
      <c r="Q104" t="inlineStr">
        <is>
          <t>701+</t>
        </is>
      </c>
      <c r="R104" t="n">
        <v>14.3</v>
      </c>
      <c r="S104" t="inlineStr">
        <is>
          <t>701+</t>
        </is>
      </c>
      <c r="T104" t="n">
        <v>10.4</v>
      </c>
      <c r="U104" t="inlineStr">
        <is>
          <t>801+</t>
        </is>
      </c>
      <c r="V104" t="n">
        <v>59.4</v>
      </c>
      <c r="W104" t="inlineStr">
        <is>
          <t>293</t>
        </is>
      </c>
      <c r="X104" t="n">
        <v>54.4</v>
      </c>
      <c r="Y104" t="inlineStr">
        <is>
          <t>416</t>
        </is>
      </c>
      <c r="Z104" t="n">
        <v>4.9</v>
      </c>
      <c r="AA104" t="inlineStr">
        <is>
          <t>801+</t>
        </is>
      </c>
      <c r="AB104" t="n">
        <v>3.9</v>
      </c>
      <c r="AC104" t="inlineStr">
        <is>
          <t>801+</t>
        </is>
      </c>
      <c r="AD104" t="n">
        <v>53.2</v>
      </c>
      <c r="AE104" t="inlineStr">
        <is>
          <t>792</t>
        </is>
      </c>
      <c r="AF104" t="n">
        <v>33.1</v>
      </c>
      <c r="AG104" t="inlineStr">
        <is>
          <t>511</t>
        </is>
      </c>
      <c r="AH104" t="n">
        <v>41.7</v>
      </c>
      <c r="AI104" t="inlineStr">
        <is>
          <t>801+</t>
        </is>
      </c>
      <c r="AJ104" t="inlineStr">
        <is>
          <t>8.0</t>
        </is>
      </c>
      <c r="AK104" t="inlineStr">
        <is>
          <t>601+</t>
        </is>
      </c>
      <c r="AL104" t="inlineStr">
        <is>
          <t>5.3</t>
        </is>
      </c>
      <c r="AM104" t="inlineStr">
        <is>
          <t>601+</t>
        </is>
      </c>
      <c r="AN104" t="inlineStr">
        <is>
          <t>7.8</t>
        </is>
      </c>
      <c r="AO104" t="inlineStr">
        <is>
          <t>701+</t>
        </is>
      </c>
      <c r="AP104" t="inlineStr">
        <is>
          <t>62.2</t>
        </is>
      </c>
      <c r="AQ104" t="inlineStr">
        <is>
          <t>194</t>
        </is>
      </c>
      <c r="AR104" t="inlineStr">
        <is>
          <t>47.9</t>
        </is>
      </c>
      <c r="AS104" t="inlineStr">
        <is>
          <t>366</t>
        </is>
      </c>
      <c r="AT104" t="inlineStr">
        <is>
          <t>2.9</t>
        </is>
      </c>
      <c r="AU104" t="inlineStr">
        <is>
          <t>701+</t>
        </is>
      </c>
      <c r="AV104" t="inlineStr">
        <is>
          <t>10.2</t>
        </is>
      </c>
      <c r="AW104" t="inlineStr">
        <is>
          <t>667</t>
        </is>
      </c>
      <c r="AX104" t="inlineStr">
        <is>
          <t>15.2</t>
        </is>
      </c>
      <c r="AY104" t="inlineStr">
        <is>
          <t>554</t>
        </is>
      </c>
      <c r="AZ104" t="inlineStr">
        <is>
          <t>28.4</t>
        </is>
      </c>
      <c r="BA104" t="inlineStr">
        <is>
          <t>463=</t>
        </is>
      </c>
    </row>
    <row r="105">
      <c r="A105" t="inlineStr">
        <is>
          <t>Bauman Moscow State Technical University</t>
        </is>
      </c>
      <c r="B105" t="inlineStr">
        <is>
          <t>Russia</t>
        </is>
      </c>
      <c r="C105" t="inlineStr">
        <is>
          <t>RU</t>
        </is>
      </c>
      <c r="D105" t="inlineStr">
        <is>
          <t>Europe</t>
        </is>
      </c>
      <c r="E105" t="inlineStr">
        <is>
          <t>L</t>
        </is>
      </c>
      <c r="F105" t="inlineStr">
        <is>
          <t>CO</t>
        </is>
      </c>
      <c r="G105" t="inlineStr">
        <is>
          <t>VH</t>
        </is>
      </c>
      <c r="H105" t="inlineStr">
        <is>
          <t>5</t>
        </is>
      </c>
      <c r="I105" t="inlineStr">
        <is>
          <t>Public</t>
        </is>
      </c>
      <c r="J105" t="inlineStr">
        <is>
          <t>320</t>
        </is>
      </c>
      <c r="K105" t="inlineStr">
        <is>
          <t>298</t>
        </is>
      </c>
      <c r="L105">
        <f>319</f>
        <v/>
      </c>
      <c r="M105" t="inlineStr">
        <is>
          <t>230</t>
        </is>
      </c>
      <c r="N105" t="inlineStr">
        <is>
          <t>43.5</t>
        </is>
      </c>
      <c r="O105" t="inlineStr">
        <is>
          <t>33.2</t>
        </is>
      </c>
      <c r="P105" t="n">
        <v>41.1</v>
      </c>
      <c r="Q105" t="inlineStr">
        <is>
          <t>289</t>
        </is>
      </c>
      <c r="R105" t="n">
        <v>63.8</v>
      </c>
      <c r="S105" t="inlineStr">
        <is>
          <t>168</t>
        </is>
      </c>
      <c r="T105" t="n">
        <v>99.90000000000001</v>
      </c>
      <c r="U105" t="inlineStr">
        <is>
          <t>25</t>
        </is>
      </c>
      <c r="V105" t="n">
        <v>2</v>
      </c>
      <c r="W105" t="inlineStr">
        <is>
          <t>801+</t>
        </is>
      </c>
      <c r="X105" t="n">
        <v>81</v>
      </c>
      <c r="Y105" t="inlineStr">
        <is>
          <t>287</t>
        </is>
      </c>
      <c r="Z105" t="n">
        <v>85.8</v>
      </c>
      <c r="AA105" t="inlineStr">
        <is>
          <t>190</t>
        </is>
      </c>
      <c r="AB105" t="n">
        <v>87.09999999999999</v>
      </c>
      <c r="AC105" t="inlineStr">
        <is>
          <t>160</t>
        </is>
      </c>
      <c r="AD105" t="n">
        <v>14.2</v>
      </c>
      <c r="AE105" t="inlineStr">
        <is>
          <t>801+</t>
        </is>
      </c>
      <c r="AF105" t="n">
        <v>10.1</v>
      </c>
      <c r="AG105" t="inlineStr">
        <is>
          <t>801+</t>
        </is>
      </c>
      <c r="AH105" t="n">
        <v>47.6</v>
      </c>
      <c r="AI105" t="inlineStr">
        <is>
          <t>770=</t>
        </is>
      </c>
      <c r="AJ105" t="inlineStr">
        <is>
          <t>31.3</t>
        </is>
      </c>
      <c r="AK105" t="inlineStr">
        <is>
          <t>279</t>
        </is>
      </c>
      <c r="AL105" t="inlineStr">
        <is>
          <t>44.4</t>
        </is>
      </c>
      <c r="AM105" t="inlineStr">
        <is>
          <t>202</t>
        </is>
      </c>
      <c r="AN105" t="inlineStr">
        <is>
          <t>100.0</t>
        </is>
      </c>
      <c r="AO105" t="inlineStr">
        <is>
          <t>18</t>
        </is>
      </c>
      <c r="AP105" t="inlineStr">
        <is>
          <t>1.4</t>
        </is>
      </c>
      <c r="AQ105" t="inlineStr">
        <is>
          <t>701+</t>
        </is>
      </c>
      <c r="AR105" t="inlineStr">
        <is>
          <t>53.6</t>
        </is>
      </c>
      <c r="AS105" t="inlineStr">
        <is>
          <t>343</t>
        </is>
      </c>
      <c r="AT105" t="inlineStr">
        <is>
          <t>58.9</t>
        </is>
      </c>
      <c r="AU105" t="inlineStr">
        <is>
          <t>256</t>
        </is>
      </c>
      <c r="AV105" t="inlineStr">
        <is>
          <t>1.0</t>
        </is>
      </c>
      <c r="AW105" t="inlineStr">
        <is>
          <t>701+</t>
        </is>
      </c>
      <c r="AX105" t="inlineStr">
        <is>
          <t>12.2</t>
        </is>
      </c>
      <c r="AY105" t="inlineStr">
        <is>
          <t>701+</t>
        </is>
      </c>
      <c r="AZ105" t="inlineStr">
        <is>
          <t>10.5</t>
        </is>
      </c>
      <c r="BA105" t="inlineStr">
        <is>
          <t>663=</t>
        </is>
      </c>
    </row>
    <row r="106">
      <c r="A106" t="inlineStr">
        <is>
          <t>Baylor University</t>
        </is>
      </c>
      <c r="B106" t="inlineStr">
        <is>
          <t>United States</t>
        </is>
      </c>
      <c r="C106" t="inlineStr">
        <is>
          <t>US</t>
        </is>
      </c>
      <c r="D106" t="inlineStr">
        <is>
          <t>Americas</t>
        </is>
      </c>
      <c r="E106" t="inlineStr">
        <is>
          <t>L</t>
        </is>
      </c>
      <c r="F106" t="inlineStr">
        <is>
          <t>CO</t>
        </is>
      </c>
      <c r="G106" t="inlineStr">
        <is>
          <t>VH</t>
        </is>
      </c>
      <c r="H106" t="inlineStr">
        <is>
          <t>5</t>
        </is>
      </c>
      <c r="I106" t="inlineStr">
        <is>
          <t>Private not for Profit</t>
        </is>
      </c>
      <c r="J106" t="inlineStr">
        <is>
          <t>1001-1200</t>
        </is>
      </c>
      <c r="K106" t="inlineStr">
        <is>
          <t>1001-1200</t>
        </is>
      </c>
      <c r="L106" t="inlineStr">
        <is>
          <t>1001-1200</t>
        </is>
      </c>
      <c r="M106" t="inlineStr">
        <is>
          <t>1001-1200</t>
        </is>
      </c>
      <c r="N106" t="inlineStr">
        <is>
          <t>-</t>
        </is>
      </c>
      <c r="O106" t="inlineStr">
        <is>
          <t>-</t>
        </is>
      </c>
      <c r="P106" t="n">
        <v>8.699999999999999</v>
      </c>
      <c r="Q106" t="inlineStr">
        <is>
          <t>701+</t>
        </is>
      </c>
      <c r="R106" t="n">
        <v>20.9</v>
      </c>
      <c r="S106" t="inlineStr">
        <is>
          <t>628</t>
        </is>
      </c>
      <c r="T106" t="n">
        <v>17.5</v>
      </c>
      <c r="U106" t="inlineStr">
        <is>
          <t>801+</t>
        </is>
      </c>
      <c r="V106" t="n">
        <v>12.8</v>
      </c>
      <c r="W106" t="inlineStr">
        <is>
          <t>801+</t>
        </is>
      </c>
      <c r="X106" t="n">
        <v>3.7</v>
      </c>
      <c r="Y106" t="inlineStr">
        <is>
          <t>801+</t>
        </is>
      </c>
      <c r="Z106" t="n">
        <v>6.6</v>
      </c>
      <c r="AA106" t="inlineStr">
        <is>
          <t>801+</t>
        </is>
      </c>
      <c r="AB106" t="n">
        <v>5.2</v>
      </c>
      <c r="AC106" t="inlineStr">
        <is>
          <t>801+</t>
        </is>
      </c>
      <c r="AD106" t="n">
        <v>46.9</v>
      </c>
      <c r="AE106" t="inlineStr">
        <is>
          <t>801+</t>
        </is>
      </c>
      <c r="AF106" t="n">
        <v>24.5</v>
      </c>
      <c r="AG106" t="inlineStr">
        <is>
          <t>650</t>
        </is>
      </c>
      <c r="AH106" t="n">
        <v>42.9</v>
      </c>
      <c r="AI106" t="inlineStr">
        <is>
          <t>801+</t>
        </is>
      </c>
      <c r="AJ106" t="inlineStr">
        <is>
          <t>6.1</t>
        </is>
      </c>
      <c r="AK106" t="inlineStr">
        <is>
          <t>601+</t>
        </is>
      </c>
      <c r="AL106" t="inlineStr">
        <is>
          <t>16.8</t>
        </is>
      </c>
      <c r="AM106" t="inlineStr">
        <is>
          <t>514</t>
        </is>
      </c>
      <c r="AN106" t="inlineStr">
        <is>
          <t>11.7</t>
        </is>
      </c>
      <c r="AO106" t="inlineStr">
        <is>
          <t>701+</t>
        </is>
      </c>
      <c r="AP106" t="inlineStr">
        <is>
          <t>8.3</t>
        </is>
      </c>
      <c r="AQ106" t="inlineStr">
        <is>
          <t>701+</t>
        </is>
      </c>
      <c r="AR106" t="inlineStr">
        <is>
          <t>2.4</t>
        </is>
      </c>
      <c r="AS106" t="inlineStr">
        <is>
          <t>701+</t>
        </is>
      </c>
      <c r="AT106" t="inlineStr">
        <is>
          <t>3.8</t>
        </is>
      </c>
      <c r="AU106" t="inlineStr">
        <is>
          <t>701+</t>
        </is>
      </c>
      <c r="AV106" t="inlineStr">
        <is>
          <t>3.5</t>
        </is>
      </c>
      <c r="AW106" t="inlineStr">
        <is>
          <t>701+</t>
        </is>
      </c>
      <c r="AX106" t="inlineStr">
        <is>
          <t>12.8</t>
        </is>
      </c>
      <c r="AY106" t="inlineStr">
        <is>
          <t>673</t>
        </is>
      </c>
      <c r="AZ106" t="inlineStr">
        <is>
          <t>3.8</t>
        </is>
      </c>
      <c r="BA106" t="inlineStr">
        <is>
          <t>701+</t>
        </is>
      </c>
    </row>
    <row r="107">
      <c r="A107" t="inlineStr">
        <is>
          <t>Beihang University (former BUAA)</t>
        </is>
      </c>
      <c r="B107" t="inlineStr">
        <is>
          <t>China (Mainland)</t>
        </is>
      </c>
      <c r="C107" t="inlineStr">
        <is>
          <t>CN</t>
        </is>
      </c>
      <c r="D107" t="inlineStr">
        <is>
          <t>Asia</t>
        </is>
      </c>
      <c r="E107" t="inlineStr">
        <is>
          <t>L</t>
        </is>
      </c>
      <c r="F107" t="inlineStr">
        <is>
          <t>CO</t>
        </is>
      </c>
      <c r="G107" t="inlineStr">
        <is>
          <t>VH</t>
        </is>
      </c>
      <c r="H107" t="inlineStr">
        <is>
          <t>2</t>
        </is>
      </c>
      <c r="I107" t="inlineStr">
        <is>
          <t>Public</t>
        </is>
      </c>
      <c r="J107" t="inlineStr">
        <is>
          <t>388</t>
        </is>
      </c>
      <c r="K107" t="inlineStr">
        <is>
          <t>452</t>
        </is>
      </c>
      <c r="L107">
        <f>473</f>
        <v/>
      </c>
      <c r="M107" t="inlineStr">
        <is>
          <t>443=</t>
        </is>
      </c>
      <c r="N107" t="inlineStr">
        <is>
          <t>38.5</t>
        </is>
      </c>
      <c r="O107" t="inlineStr">
        <is>
          <t>24.4</t>
        </is>
      </c>
      <c r="P107" t="n">
        <v>18.3</v>
      </c>
      <c r="Q107" t="inlineStr">
        <is>
          <t>665</t>
        </is>
      </c>
      <c r="R107" t="n">
        <v>23.5</v>
      </c>
      <c r="S107" t="inlineStr">
        <is>
          <t>569</t>
        </is>
      </c>
      <c r="T107" t="n">
        <v>57.8</v>
      </c>
      <c r="U107" t="inlineStr">
        <is>
          <t>313</t>
        </is>
      </c>
      <c r="V107" t="n">
        <v>91.59999999999999</v>
      </c>
      <c r="W107" t="inlineStr">
        <is>
          <t>95</t>
        </is>
      </c>
      <c r="X107" t="n">
        <v>9.5</v>
      </c>
      <c r="Y107" t="inlineStr">
        <is>
          <t>801+</t>
        </is>
      </c>
      <c r="Z107" t="n">
        <v>8.300000000000001</v>
      </c>
      <c r="AA107" t="inlineStr">
        <is>
          <t>801+</t>
        </is>
      </c>
      <c r="AB107" t="n">
        <v>6.4</v>
      </c>
      <c r="AC107" t="inlineStr">
        <is>
          <t>801+</t>
        </is>
      </c>
      <c r="AD107" t="n">
        <v>50.1</v>
      </c>
      <c r="AE107" t="inlineStr">
        <is>
          <t>801+</t>
        </is>
      </c>
      <c r="AF107" t="n">
        <v>20.9</v>
      </c>
      <c r="AG107" t="inlineStr">
        <is>
          <t>711</t>
        </is>
      </c>
      <c r="AH107" t="n">
        <v>36.7</v>
      </c>
      <c r="AI107" t="inlineStr">
        <is>
          <t>801+</t>
        </is>
      </c>
      <c r="AJ107" t="inlineStr">
        <is>
          <t>13.1</t>
        </is>
      </c>
      <c r="AK107" t="inlineStr">
        <is>
          <t>601+</t>
        </is>
      </c>
      <c r="AL107" t="inlineStr">
        <is>
          <t>5.5</t>
        </is>
      </c>
      <c r="AM107" t="inlineStr">
        <is>
          <t>601+</t>
        </is>
      </c>
      <c r="AN107" t="inlineStr">
        <is>
          <t>36.1</t>
        </is>
      </c>
      <c r="AO107" t="inlineStr">
        <is>
          <t>440</t>
        </is>
      </c>
      <c r="AP107" t="inlineStr">
        <is>
          <t>68.7</t>
        </is>
      </c>
      <c r="AQ107" t="inlineStr">
        <is>
          <t>150</t>
        </is>
      </c>
      <c r="AR107" t="inlineStr">
        <is>
          <t>7.5</t>
        </is>
      </c>
      <c r="AS107" t="inlineStr">
        <is>
          <t>701+</t>
        </is>
      </c>
      <c r="AT107" t="inlineStr">
        <is>
          <t>4.9</t>
        </is>
      </c>
      <c r="AU107" t="inlineStr">
        <is>
          <t>701+</t>
        </is>
      </c>
      <c r="AV107" t="inlineStr">
        <is>
          <t>7.0</t>
        </is>
      </c>
      <c r="AW107" t="inlineStr">
        <is>
          <t>701+</t>
        </is>
      </c>
      <c r="AX107" t="inlineStr">
        <is>
          <t>13.1</t>
        </is>
      </c>
      <c r="AY107" t="inlineStr">
        <is>
          <t>656</t>
        </is>
      </c>
      <c r="AZ107" t="inlineStr">
        <is>
          <t>15.2</t>
        </is>
      </c>
      <c r="BA107" t="inlineStr">
        <is>
          <t>608=</t>
        </is>
      </c>
    </row>
    <row r="108">
      <c r="A108" t="inlineStr">
        <is>
          <t>Beijing Foreign Studies University</t>
        </is>
      </c>
      <c r="B108" t="inlineStr">
        <is>
          <t>China (Mainland)</t>
        </is>
      </c>
      <c r="C108" t="inlineStr">
        <is>
          <t>CN</t>
        </is>
      </c>
      <c r="D108" t="inlineStr">
        <is>
          <t>Asia</t>
        </is>
      </c>
      <c r="E108" t="inlineStr">
        <is>
          <t>M</t>
        </is>
      </c>
      <c r="F108" t="inlineStr">
        <is>
          <t>SP</t>
        </is>
      </c>
      <c r="G108" t="inlineStr">
        <is>
          <t>VH</t>
        </is>
      </c>
      <c r="H108" t="inlineStr">
        <is>
          <t>4</t>
        </is>
      </c>
      <c r="I108" t="inlineStr">
        <is>
          <t>Public</t>
        </is>
      </c>
      <c r="J108" t="inlineStr">
        <is>
          <t>1201-1400</t>
        </is>
      </c>
      <c r="K108" t="inlineStr">
        <is>
          <t>1201-1400</t>
        </is>
      </c>
      <c r="L108" t="inlineStr">
        <is>
          <t>1001-1200</t>
        </is>
      </c>
      <c r="M108" t="inlineStr">
        <is>
          <t>801-1000</t>
        </is>
      </c>
      <c r="N108" t="inlineStr">
        <is>
          <t>-</t>
        </is>
      </c>
      <c r="O108" t="inlineStr">
        <is>
          <t>-</t>
        </is>
      </c>
      <c r="P108" t="n">
        <v>8.4</v>
      </c>
      <c r="Q108" t="inlineStr">
        <is>
          <t>701+</t>
        </is>
      </c>
      <c r="R108" t="n">
        <v>7.8</v>
      </c>
      <c r="S108" t="inlineStr">
        <is>
          <t>701+</t>
        </is>
      </c>
      <c r="T108" t="n">
        <v>42.6</v>
      </c>
      <c r="U108" t="inlineStr">
        <is>
          <t>470</t>
        </is>
      </c>
      <c r="V108" t="n">
        <v>2.5</v>
      </c>
      <c r="W108" t="inlineStr">
        <is>
          <t>801+</t>
        </is>
      </c>
      <c r="X108" t="n">
        <v>25.4</v>
      </c>
      <c r="Y108" t="inlineStr">
        <is>
          <t>646</t>
        </is>
      </c>
      <c r="Z108" t="n">
        <v>48.4</v>
      </c>
      <c r="AA108" t="inlineStr">
        <is>
          <t>418</t>
        </is>
      </c>
      <c r="AB108" t="n">
        <v>36.1</v>
      </c>
      <c r="AC108" t="inlineStr">
        <is>
          <t>532</t>
        </is>
      </c>
      <c r="AD108" t="n">
        <v>4.4</v>
      </c>
      <c r="AE108" t="inlineStr">
        <is>
          <t>801+</t>
        </is>
      </c>
      <c r="AF108" t="n">
        <v>15.5</v>
      </c>
      <c r="AG108" t="inlineStr">
        <is>
          <t>801+</t>
        </is>
      </c>
      <c r="AH108" t="n">
        <v>10</v>
      </c>
      <c r="AI108" t="inlineStr">
        <is>
          <t>801+</t>
        </is>
      </c>
      <c r="AJ108" t="inlineStr">
        <is>
          <t>6.6</t>
        </is>
      </c>
      <c r="AK108" t="inlineStr">
        <is>
          <t>601+</t>
        </is>
      </c>
      <c r="AL108" t="inlineStr">
        <is>
          <t>2.5</t>
        </is>
      </c>
      <c r="AM108" t="inlineStr">
        <is>
          <t>601+</t>
        </is>
      </c>
      <c r="AN108" t="inlineStr">
        <is>
          <t>27.3</t>
        </is>
      </c>
      <c r="AO108" t="inlineStr">
        <is>
          <t>557</t>
        </is>
      </c>
      <c r="AP108" t="inlineStr">
        <is>
          <t>1.5</t>
        </is>
      </c>
      <c r="AQ108" t="inlineStr">
        <is>
          <t>701+</t>
        </is>
      </c>
      <c r="AR108" t="inlineStr">
        <is>
          <t>20.7</t>
        </is>
      </c>
      <c r="AS108" t="inlineStr">
        <is>
          <t>585</t>
        </is>
      </c>
      <c r="AT108" t="inlineStr">
        <is>
          <t>28.0</t>
        </is>
      </c>
      <c r="AU108" t="inlineStr">
        <is>
          <t>440</t>
        </is>
      </c>
      <c r="AV108" t="inlineStr">
        <is>
          <t>1.0</t>
        </is>
      </c>
      <c r="AW108" t="inlineStr">
        <is>
          <t>701+</t>
        </is>
      </c>
      <c r="AX108" t="inlineStr">
        <is>
          <t>7.8</t>
        </is>
      </c>
      <c r="AY108" t="inlineStr">
        <is>
          <t>701+</t>
        </is>
      </c>
      <c r="AZ108" t="inlineStr">
        <is>
          <t>1</t>
        </is>
      </c>
      <c r="BA108" t="inlineStr">
        <is>
          <t>701+</t>
        </is>
      </c>
    </row>
    <row r="109">
      <c r="A109" t="inlineStr">
        <is>
          <t>Beijing Institute of Technology</t>
        </is>
      </c>
      <c r="B109" t="inlineStr">
        <is>
          <t>China (Mainland)</t>
        </is>
      </c>
      <c r="C109" t="inlineStr">
        <is>
          <t>CN</t>
        </is>
      </c>
      <c r="D109" t="inlineStr">
        <is>
          <t>Asia</t>
        </is>
      </c>
      <c r="E109" t="inlineStr">
        <is>
          <t>XL</t>
        </is>
      </c>
      <c r="F109" t="inlineStr">
        <is>
          <t>FO</t>
        </is>
      </c>
      <c r="G109" t="inlineStr">
        <is>
          <t>VH</t>
        </is>
      </c>
      <c r="H109" t="inlineStr">
        <is>
          <t>4</t>
        </is>
      </c>
      <c r="I109" t="inlineStr">
        <is>
          <t>Public</t>
        </is>
      </c>
      <c r="J109" t="inlineStr">
        <is>
          <t>259</t>
        </is>
      </c>
      <c r="K109" t="inlineStr">
        <is>
          <t>302</t>
        </is>
      </c>
      <c r="L109">
        <f>340</f>
        <v/>
      </c>
      <c r="M109" t="inlineStr">
        <is>
          <t>355=</t>
        </is>
      </c>
      <c r="N109" t="inlineStr">
        <is>
          <t>49.5</t>
        </is>
      </c>
      <c r="O109" t="inlineStr">
        <is>
          <t>32.1</t>
        </is>
      </c>
      <c r="P109" t="n">
        <v>34.3</v>
      </c>
      <c r="Q109" t="inlineStr">
        <is>
          <t>355</t>
        </is>
      </c>
      <c r="R109" t="n">
        <v>46.7</v>
      </c>
      <c r="S109" t="inlineStr">
        <is>
          <t>282</t>
        </is>
      </c>
      <c r="T109" t="n">
        <v>42.7</v>
      </c>
      <c r="U109" t="inlineStr">
        <is>
          <t>469</t>
        </is>
      </c>
      <c r="V109" t="n">
        <v>96.40000000000001</v>
      </c>
      <c r="W109" t="inlineStr">
        <is>
          <t>62</t>
        </is>
      </c>
      <c r="X109" t="n">
        <v>12.3</v>
      </c>
      <c r="Y109" t="inlineStr">
        <is>
          <t>801+</t>
        </is>
      </c>
      <c r="Z109" t="n">
        <v>15.5</v>
      </c>
      <c r="AA109" t="inlineStr">
        <is>
          <t>801+</t>
        </is>
      </c>
      <c r="AB109" t="n">
        <v>11.8</v>
      </c>
      <c r="AC109" t="inlineStr">
        <is>
          <t>801+</t>
        </is>
      </c>
      <c r="AD109" t="n">
        <v>75.3</v>
      </c>
      <c r="AE109" t="inlineStr">
        <is>
          <t>439</t>
        </is>
      </c>
      <c r="AF109" t="n">
        <v>22.5</v>
      </c>
      <c r="AG109" t="inlineStr">
        <is>
          <t>681</t>
        </is>
      </c>
      <c r="AH109" t="n">
        <v>58.8</v>
      </c>
      <c r="AI109" t="inlineStr">
        <is>
          <t>525=</t>
        </is>
      </c>
      <c r="AJ109" t="inlineStr">
        <is>
          <t>22.7</t>
        </is>
      </c>
      <c r="AK109" t="inlineStr">
        <is>
          <t>385</t>
        </is>
      </c>
      <c r="AL109" t="inlineStr">
        <is>
          <t>18.1</t>
        </is>
      </c>
      <c r="AM109" t="inlineStr">
        <is>
          <t>484</t>
        </is>
      </c>
      <c r="AN109" t="inlineStr">
        <is>
          <t>41.1</t>
        </is>
      </c>
      <c r="AO109" t="inlineStr">
        <is>
          <t>381</t>
        </is>
      </c>
      <c r="AP109" t="inlineStr">
        <is>
          <t>76.4</t>
        </is>
      </c>
      <c r="AQ109" t="inlineStr">
        <is>
          <t>125</t>
        </is>
      </c>
      <c r="AR109" t="inlineStr">
        <is>
          <t>3.1</t>
        </is>
      </c>
      <c r="AS109" t="inlineStr">
        <is>
          <t>701+</t>
        </is>
      </c>
      <c r="AT109" t="inlineStr">
        <is>
          <t>4.2</t>
        </is>
      </c>
      <c r="AU109" t="inlineStr">
        <is>
          <t>701+</t>
        </is>
      </c>
      <c r="AV109" t="inlineStr">
        <is>
          <t>17.1</t>
        </is>
      </c>
      <c r="AW109" t="inlineStr">
        <is>
          <t>572</t>
        </is>
      </c>
      <c r="AX109" t="inlineStr">
        <is>
          <t>14.1</t>
        </is>
      </c>
      <c r="AY109" t="inlineStr">
        <is>
          <t>599</t>
        </is>
      </c>
      <c r="AZ109" t="inlineStr">
        <is>
          <t>23.7</t>
        </is>
      </c>
      <c r="BA109" t="inlineStr">
        <is>
          <t>506=</t>
        </is>
      </c>
    </row>
    <row r="110">
      <c r="A110" t="inlineStr">
        <is>
          <t>Beijing Jiaotong University</t>
        </is>
      </c>
      <c r="B110" t="inlineStr">
        <is>
          <t>China (Mainland)</t>
        </is>
      </c>
      <c r="C110" t="inlineStr">
        <is>
          <t>CN</t>
        </is>
      </c>
      <c r="D110" t="inlineStr">
        <is>
          <t>Asia</t>
        </is>
      </c>
      <c r="E110" t="inlineStr">
        <is>
          <t>L</t>
        </is>
      </c>
      <c r="F110" t="inlineStr">
        <is>
          <t>FO</t>
        </is>
      </c>
      <c r="G110" t="inlineStr">
        <is>
          <t>VH</t>
        </is>
      </c>
      <c r="H110" t="inlineStr">
        <is>
          <t>2</t>
        </is>
      </c>
      <c r="I110" t="inlineStr">
        <is>
          <t>Public</t>
        </is>
      </c>
      <c r="J110" t="inlineStr">
        <is>
          <t>851-900</t>
        </is>
      </c>
      <c r="K110" t="inlineStr">
        <is>
          <t>901-950</t>
        </is>
      </c>
      <c r="L110" t="inlineStr">
        <is>
          <t>901-950</t>
        </is>
      </c>
      <c r="M110" t="inlineStr">
        <is>
          <t>801-1000</t>
        </is>
      </c>
      <c r="N110" t="inlineStr">
        <is>
          <t>-</t>
        </is>
      </c>
      <c r="O110" t="inlineStr">
        <is>
          <t>-</t>
        </is>
      </c>
      <c r="P110" t="n">
        <v>12.3</v>
      </c>
      <c r="Q110" t="inlineStr">
        <is>
          <t>701+</t>
        </is>
      </c>
      <c r="R110" t="n">
        <v>16.8</v>
      </c>
      <c r="S110" t="inlineStr">
        <is>
          <t>701+</t>
        </is>
      </c>
      <c r="T110" t="n">
        <v>31.4</v>
      </c>
      <c r="U110" t="inlineStr">
        <is>
          <t>609</t>
        </is>
      </c>
      <c r="V110" t="n">
        <v>34.4</v>
      </c>
      <c r="W110" t="inlineStr">
        <is>
          <t>529</t>
        </is>
      </c>
      <c r="X110" t="n">
        <v>4.9</v>
      </c>
      <c r="Y110" t="inlineStr">
        <is>
          <t>801+</t>
        </is>
      </c>
      <c r="Z110" t="n">
        <v>17</v>
      </c>
      <c r="AA110" t="inlineStr">
        <is>
          <t>780</t>
        </is>
      </c>
      <c r="AB110" t="n">
        <v>12.9</v>
      </c>
      <c r="AC110" t="inlineStr">
        <is>
          <t>801+</t>
        </is>
      </c>
      <c r="AD110" t="n">
        <v>46.1</v>
      </c>
      <c r="AE110" t="inlineStr">
        <is>
          <t>801+</t>
        </is>
      </c>
      <c r="AF110" t="n">
        <v>13.5</v>
      </c>
      <c r="AG110" t="inlineStr">
        <is>
          <t>801+</t>
        </is>
      </c>
      <c r="AH110" t="n">
        <v>30.8</v>
      </c>
      <c r="AI110" t="inlineStr">
        <is>
          <t>801+</t>
        </is>
      </c>
      <c r="AJ110" t="inlineStr">
        <is>
          <t>10.1</t>
        </is>
      </c>
      <c r="AK110" t="inlineStr">
        <is>
          <t>601+</t>
        </is>
      </c>
      <c r="AL110" t="inlineStr">
        <is>
          <t>4.2</t>
        </is>
      </c>
      <c r="AM110" t="inlineStr">
        <is>
          <t>601+</t>
        </is>
      </c>
      <c r="AN110" t="inlineStr">
        <is>
          <t>16.0</t>
        </is>
      </c>
      <c r="AO110" t="inlineStr">
        <is>
          <t>701+</t>
        </is>
      </c>
      <c r="AP110" t="inlineStr">
        <is>
          <t>28.8</t>
        </is>
      </c>
      <c r="AQ110" t="inlineStr">
        <is>
          <t>446</t>
        </is>
      </c>
      <c r="AR110" t="inlineStr">
        <is>
          <t>5.0</t>
        </is>
      </c>
      <c r="AS110" t="inlineStr">
        <is>
          <t>701+</t>
        </is>
      </c>
      <c r="AT110" t="inlineStr">
        <is>
          <t>10.6</t>
        </is>
      </c>
      <c r="AU110" t="inlineStr">
        <is>
          <t>701+</t>
        </is>
      </c>
      <c r="AV110" t="inlineStr">
        <is>
          <t>2.6</t>
        </is>
      </c>
      <c r="AW110" t="inlineStr">
        <is>
          <t>701+</t>
        </is>
      </c>
      <c r="AX110" t="inlineStr">
        <is>
          <t>8.2</t>
        </is>
      </c>
      <c r="AY110" t="inlineStr">
        <is>
          <t>701+</t>
        </is>
      </c>
      <c r="AZ110" t="inlineStr">
        <is>
          <t>1.7</t>
        </is>
      </c>
      <c r="BA110" t="inlineStr">
        <is>
          <t>701+</t>
        </is>
      </c>
    </row>
    <row r="111">
      <c r="A111" t="inlineStr">
        <is>
          <t>Beijing Normal University</t>
        </is>
      </c>
      <c r="B111" t="inlineStr">
        <is>
          <t>China (Mainland)</t>
        </is>
      </c>
      <c r="C111" t="inlineStr">
        <is>
          <t>CN</t>
        </is>
      </c>
      <c r="D111" t="inlineStr">
        <is>
          <t>Asia</t>
        </is>
      </c>
      <c r="E111" t="inlineStr">
        <is>
          <t>L</t>
        </is>
      </c>
      <c r="F111" t="inlineStr">
        <is>
          <t>CO</t>
        </is>
      </c>
      <c r="G111" t="inlineStr">
        <is>
          <t>VH</t>
        </is>
      </c>
      <c r="H111" t="inlineStr">
        <is>
          <t>5</t>
        </is>
      </c>
      <c r="I111" t="inlineStr">
        <is>
          <t>Public</t>
        </is>
      </c>
      <c r="J111" t="inlineStr">
        <is>
          <t>247</t>
        </is>
      </c>
      <c r="K111" t="inlineStr">
        <is>
          <t>271</t>
        </is>
      </c>
      <c r="L111">
        <f>272</f>
        <v/>
      </c>
      <c r="M111" t="inlineStr">
        <is>
          <t>262=</t>
        </is>
      </c>
      <c r="N111" t="inlineStr">
        <is>
          <t>50.6</t>
        </is>
      </c>
      <c r="O111" t="inlineStr">
        <is>
          <t>37.3</t>
        </is>
      </c>
      <c r="P111" t="n">
        <v>47.6</v>
      </c>
      <c r="Q111" t="inlineStr">
        <is>
          <t>244</t>
        </is>
      </c>
      <c r="R111" t="n">
        <v>29.6</v>
      </c>
      <c r="S111" t="inlineStr">
        <is>
          <t>483</t>
        </is>
      </c>
      <c r="T111" t="n">
        <v>30.3</v>
      </c>
      <c r="U111" t="inlineStr">
        <is>
          <t>626</t>
        </is>
      </c>
      <c r="V111" t="n">
        <v>98.59999999999999</v>
      </c>
      <c r="W111" t="inlineStr">
        <is>
          <t>44</t>
        </is>
      </c>
      <c r="X111" t="n">
        <v>9</v>
      </c>
      <c r="Y111" t="inlineStr">
        <is>
          <t>801+</t>
        </is>
      </c>
      <c r="Z111" t="n">
        <v>32.9</v>
      </c>
      <c r="AA111" t="inlineStr">
        <is>
          <t>559</t>
        </is>
      </c>
      <c r="AB111" t="n">
        <v>24.7</v>
      </c>
      <c r="AC111" t="inlineStr">
        <is>
          <t>690</t>
        </is>
      </c>
      <c r="AD111" t="n">
        <v>77.09999999999999</v>
      </c>
      <c r="AE111" t="inlineStr">
        <is>
          <t>403</t>
        </is>
      </c>
      <c r="AF111" t="n">
        <v>18.2</v>
      </c>
      <c r="AG111" t="inlineStr">
        <is>
          <t>754</t>
        </is>
      </c>
      <c r="AH111" t="n">
        <v>55.5</v>
      </c>
      <c r="AI111" t="inlineStr">
        <is>
          <t>591=</t>
        </is>
      </c>
      <c r="AJ111" t="inlineStr">
        <is>
          <t>38.4</t>
        </is>
      </c>
      <c r="AK111" t="inlineStr">
        <is>
          <t>227</t>
        </is>
      </c>
      <c r="AL111" t="inlineStr">
        <is>
          <t>6.8</t>
        </is>
      </c>
      <c r="AM111" t="inlineStr">
        <is>
          <t>601+</t>
        </is>
      </c>
      <c r="AN111" t="inlineStr">
        <is>
          <t>25.6</t>
        </is>
      </c>
      <c r="AO111" t="inlineStr">
        <is>
          <t>576</t>
        </is>
      </c>
      <c r="AP111" t="inlineStr">
        <is>
          <t>86.4</t>
        </is>
      </c>
      <c r="AQ111" t="inlineStr">
        <is>
          <t>87</t>
        </is>
      </c>
      <c r="AR111" t="inlineStr">
        <is>
          <t>7.1</t>
        </is>
      </c>
      <c r="AS111" t="inlineStr">
        <is>
          <t>701+</t>
        </is>
      </c>
      <c r="AT111" t="inlineStr">
        <is>
          <t>23.3</t>
        </is>
      </c>
      <c r="AU111" t="inlineStr">
        <is>
          <t>496</t>
        </is>
      </c>
      <c r="AV111" t="inlineStr">
        <is>
          <t>22.8</t>
        </is>
      </c>
      <c r="AW111" t="inlineStr">
        <is>
          <t>520</t>
        </is>
      </c>
      <c r="AX111" t="inlineStr">
        <is>
          <t>12.2</t>
        </is>
      </c>
      <c r="AY111" t="inlineStr">
        <is>
          <t>701+</t>
        </is>
      </c>
      <c r="AZ111" t="inlineStr">
        <is>
          <t>30.5</t>
        </is>
      </c>
      <c r="BA111" t="inlineStr">
        <is>
          <t>444=</t>
        </is>
      </c>
    </row>
    <row r="112">
      <c r="A112" t="inlineStr">
        <is>
          <t>Beijing University of Chemical Technology</t>
        </is>
      </c>
      <c r="B112" t="inlineStr">
        <is>
          <t>China (Mainland)</t>
        </is>
      </c>
      <c r="C112" t="inlineStr">
        <is>
          <t>CN</t>
        </is>
      </c>
      <c r="D112" t="inlineStr">
        <is>
          <t>Asia</t>
        </is>
      </c>
      <c r="E112" t="inlineStr">
        <is>
          <t>L</t>
        </is>
      </c>
      <c r="F112" t="inlineStr">
        <is>
          <t>CO</t>
        </is>
      </c>
      <c r="G112" t="inlineStr">
        <is>
          <t>VH</t>
        </is>
      </c>
      <c r="H112" t="inlineStr">
        <is>
          <t>4</t>
        </is>
      </c>
      <c r="I112" t="inlineStr">
        <is>
          <t>Public</t>
        </is>
      </c>
      <c r="J112" t="inlineStr">
        <is>
          <t>697</t>
        </is>
      </c>
      <c r="K112" t="inlineStr">
        <is>
          <t>701-710</t>
        </is>
      </c>
      <c r="L112" t="inlineStr">
        <is>
          <t>721-730</t>
        </is>
      </c>
      <c r="M112" t="inlineStr">
        <is>
          <t>521-530</t>
        </is>
      </c>
      <c r="N112" t="inlineStr">
        <is>
          <t>25.1</t>
        </is>
      </c>
      <c r="O112" t="inlineStr">
        <is>
          <t>-</t>
        </is>
      </c>
      <c r="P112" t="n">
        <v>6.1</v>
      </c>
      <c r="Q112" t="inlineStr">
        <is>
          <t>701+</t>
        </is>
      </c>
      <c r="R112" t="n">
        <v>7.2</v>
      </c>
      <c r="S112" t="inlineStr">
        <is>
          <t>701+</t>
        </is>
      </c>
      <c r="T112" t="n">
        <v>28.6</v>
      </c>
      <c r="U112" t="inlineStr">
        <is>
          <t>668</t>
        </is>
      </c>
      <c r="V112" t="n">
        <v>81.5</v>
      </c>
      <c r="W112" t="inlineStr">
        <is>
          <t>149</t>
        </is>
      </c>
      <c r="X112" t="n">
        <v>3.2</v>
      </c>
      <c r="Y112" t="inlineStr">
        <is>
          <t>801+</t>
        </is>
      </c>
      <c r="Z112" t="n">
        <v>2.5</v>
      </c>
      <c r="AA112" t="inlineStr">
        <is>
          <t>801+</t>
        </is>
      </c>
      <c r="AB112" t="n">
        <v>7.1</v>
      </c>
      <c r="AC112" t="inlineStr">
        <is>
          <t>801+</t>
        </is>
      </c>
      <c r="AD112" t="n">
        <v>36.6</v>
      </c>
      <c r="AE112" t="inlineStr">
        <is>
          <t>801+</t>
        </is>
      </c>
      <c r="AF112" t="n">
        <v>2.8</v>
      </c>
      <c r="AG112" t="inlineStr">
        <is>
          <t>801+</t>
        </is>
      </c>
      <c r="AH112" t="n">
        <v>40.5</v>
      </c>
      <c r="AI112" t="inlineStr">
        <is>
          <t>801+</t>
        </is>
      </c>
      <c r="AJ112" t="inlineStr">
        <is>
          <t>4.8</t>
        </is>
      </c>
      <c r="AK112" t="inlineStr">
        <is>
          <t>601+</t>
        </is>
      </c>
      <c r="AL112" t="inlineStr">
        <is>
          <t>1.8</t>
        </is>
      </c>
      <c r="AM112" t="inlineStr">
        <is>
          <t>601+</t>
        </is>
      </c>
      <c r="AN112" t="inlineStr">
        <is>
          <t>15.6</t>
        </is>
      </c>
      <c r="AO112" t="inlineStr">
        <is>
          <t>701+</t>
        </is>
      </c>
      <c r="AP112" t="inlineStr">
        <is>
          <t>62.7</t>
        </is>
      </c>
      <c r="AQ112" t="inlineStr">
        <is>
          <t>192</t>
        </is>
      </c>
      <c r="AR112" t="inlineStr"/>
      <c r="AS112" t="inlineStr"/>
      <c r="AT112" t="inlineStr"/>
      <c r="AU112" t="inlineStr"/>
      <c r="AV112" t="inlineStr">
        <is>
          <t>2.0</t>
        </is>
      </c>
      <c r="AW112" t="inlineStr">
        <is>
          <t>701+</t>
        </is>
      </c>
      <c r="AX112" t="inlineStr">
        <is>
          <t>5.9</t>
        </is>
      </c>
      <c r="AY112" t="inlineStr">
        <is>
          <t>701+</t>
        </is>
      </c>
      <c r="AZ112" t="inlineStr">
        <is>
          <t>1.4</t>
        </is>
      </c>
      <c r="BA112" t="inlineStr">
        <is>
          <t>701+</t>
        </is>
      </c>
    </row>
    <row r="113">
      <c r="A113" t="inlineStr">
        <is>
          <t>Beijing University of Chinese Medicine</t>
        </is>
      </c>
      <c r="B113" t="inlineStr">
        <is>
          <t>China (Mainland)</t>
        </is>
      </c>
      <c r="C113" t="inlineStr">
        <is>
          <t>CN</t>
        </is>
      </c>
      <c r="D113" t="inlineStr">
        <is>
          <t>Asia</t>
        </is>
      </c>
      <c r="E113" t="inlineStr">
        <is>
          <t>L</t>
        </is>
      </c>
      <c r="F113" t="inlineStr">
        <is>
          <t>FO</t>
        </is>
      </c>
      <c r="G113" t="inlineStr">
        <is>
          <t>VH</t>
        </is>
      </c>
      <c r="H113" t="inlineStr">
        <is>
          <t>2</t>
        </is>
      </c>
      <c r="I113" t="inlineStr">
        <is>
          <t>Public</t>
        </is>
      </c>
      <c r="J113" t="inlineStr">
        <is>
          <t>1201-1400</t>
        </is>
      </c>
      <c r="K113" t="inlineStr">
        <is>
          <t>1201-1400</t>
        </is>
      </c>
      <c r="L113" t="inlineStr">
        <is>
          <t>1001-1200</t>
        </is>
      </c>
      <c r="M113" t="inlineStr">
        <is>
          <t>801-1000</t>
        </is>
      </c>
      <c r="N113" t="inlineStr">
        <is>
          <t>-</t>
        </is>
      </c>
      <c r="O113" t="inlineStr">
        <is>
          <t>-</t>
        </is>
      </c>
      <c r="P113" t="n">
        <v>5.7</v>
      </c>
      <c r="Q113" t="inlineStr">
        <is>
          <t>701+</t>
        </is>
      </c>
      <c r="R113" t="n">
        <v>6.4</v>
      </c>
      <c r="S113" t="inlineStr">
        <is>
          <t>701+</t>
        </is>
      </c>
      <c r="T113" t="n">
        <v>44.2</v>
      </c>
      <c r="U113" t="inlineStr">
        <is>
          <t>448</t>
        </is>
      </c>
      <c r="V113" t="n">
        <v>14.7</v>
      </c>
      <c r="W113" t="inlineStr">
        <is>
          <t>801+</t>
        </is>
      </c>
      <c r="X113" t="inlineStr"/>
      <c r="Y113" t="inlineStr"/>
      <c r="Z113" t="n">
        <v>13.3</v>
      </c>
      <c r="AA113" t="inlineStr">
        <is>
          <t>801+</t>
        </is>
      </c>
      <c r="AB113" t="n">
        <v>10.1</v>
      </c>
      <c r="AC113" t="inlineStr">
        <is>
          <t>801+</t>
        </is>
      </c>
      <c r="AD113" t="n">
        <v>7.6</v>
      </c>
      <c r="AE113" t="inlineStr">
        <is>
          <t>801+</t>
        </is>
      </c>
      <c r="AF113" t="n">
        <v>4.1</v>
      </c>
      <c r="AG113" t="inlineStr">
        <is>
          <t>801+</t>
        </is>
      </c>
      <c r="AH113" t="n">
        <v>8.4</v>
      </c>
      <c r="AI113" t="inlineStr">
        <is>
          <t>801+</t>
        </is>
      </c>
      <c r="AJ113" t="inlineStr">
        <is>
          <t>4.9</t>
        </is>
      </c>
      <c r="AK113" t="inlineStr">
        <is>
          <t>601+</t>
        </is>
      </c>
      <c r="AL113" t="inlineStr">
        <is>
          <t>1.4</t>
        </is>
      </c>
      <c r="AM113" t="inlineStr">
        <is>
          <t>601+</t>
        </is>
      </c>
      <c r="AN113" t="inlineStr">
        <is>
          <t>35.8</t>
        </is>
      </c>
      <c r="AO113" t="inlineStr">
        <is>
          <t>444</t>
        </is>
      </c>
      <c r="AP113" t="inlineStr">
        <is>
          <t>8.2</t>
        </is>
      </c>
      <c r="AQ113" t="inlineStr">
        <is>
          <t>701+</t>
        </is>
      </c>
      <c r="AR113" t="inlineStr"/>
      <c r="AS113" t="inlineStr"/>
      <c r="AT113" t="inlineStr">
        <is>
          <t>9.2</t>
        </is>
      </c>
      <c r="AU113" t="inlineStr">
        <is>
          <t>701+</t>
        </is>
      </c>
      <c r="AV113" t="inlineStr">
        <is>
          <t>1.0</t>
        </is>
      </c>
      <c r="AW113" t="inlineStr">
        <is>
          <t>701+</t>
        </is>
      </c>
      <c r="AX113" t="inlineStr">
        <is>
          <t>5.3</t>
        </is>
      </c>
      <c r="AY113" t="inlineStr">
        <is>
          <t>701+</t>
        </is>
      </c>
      <c r="AZ113" t="inlineStr">
        <is>
          <t>1</t>
        </is>
      </c>
      <c r="BA113" t="inlineStr">
        <is>
          <t>701+</t>
        </is>
      </c>
    </row>
    <row r="114">
      <c r="A114" t="inlineStr">
        <is>
          <t>Beijing University of Posts and Telecommunications</t>
        </is>
      </c>
      <c r="B114" t="inlineStr">
        <is>
          <t>China (Mainland)</t>
        </is>
      </c>
      <c r="C114" t="inlineStr">
        <is>
          <t>CN</t>
        </is>
      </c>
      <c r="D114" t="inlineStr">
        <is>
          <t>Asia</t>
        </is>
      </c>
      <c r="E114" t="inlineStr">
        <is>
          <t>L</t>
        </is>
      </c>
      <c r="F114" t="inlineStr">
        <is>
          <t>FO</t>
        </is>
      </c>
      <c r="G114" t="inlineStr">
        <is>
          <t>VH</t>
        </is>
      </c>
      <c r="H114" t="inlineStr">
        <is>
          <t>3</t>
        </is>
      </c>
      <c r="I114" t="inlineStr">
        <is>
          <t>Public</t>
        </is>
      </c>
      <c r="J114" t="inlineStr">
        <is>
          <t>1001-1200</t>
        </is>
      </c>
      <c r="K114" t="inlineStr">
        <is>
          <t>901-950</t>
        </is>
      </c>
      <c r="L114" t="inlineStr">
        <is>
          <t>851-900</t>
        </is>
      </c>
      <c r="M114" t="inlineStr">
        <is>
          <t>801-1000</t>
        </is>
      </c>
      <c r="N114" t="inlineStr">
        <is>
          <t>-</t>
        </is>
      </c>
      <c r="O114" t="inlineStr">
        <is>
          <t>-</t>
        </is>
      </c>
      <c r="P114" t="n">
        <v>4.3</v>
      </c>
      <c r="Q114" t="inlineStr">
        <is>
          <t>701+</t>
        </is>
      </c>
      <c r="R114" t="n">
        <v>9.199999999999999</v>
      </c>
      <c r="S114" t="inlineStr">
        <is>
          <t>701+</t>
        </is>
      </c>
      <c r="T114" t="n">
        <v>19.8</v>
      </c>
      <c r="U114" t="inlineStr">
        <is>
          <t>801+</t>
        </is>
      </c>
      <c r="V114" t="n">
        <v>45.2</v>
      </c>
      <c r="W114" t="inlineStr">
        <is>
          <t>411</t>
        </is>
      </c>
      <c r="X114" t="n">
        <v>6.4</v>
      </c>
      <c r="Y114" t="inlineStr">
        <is>
          <t>801+</t>
        </is>
      </c>
      <c r="Z114" t="n">
        <v>2.8</v>
      </c>
      <c r="AA114" t="inlineStr">
        <is>
          <t>801+</t>
        </is>
      </c>
      <c r="AB114" t="n">
        <v>2.3</v>
      </c>
      <c r="AC114" t="inlineStr">
        <is>
          <t>801+</t>
        </is>
      </c>
      <c r="AD114" t="n">
        <v>22.1</v>
      </c>
      <c r="AE114" t="inlineStr">
        <is>
          <t>801+</t>
        </is>
      </c>
      <c r="AF114" t="n">
        <v>22.4</v>
      </c>
      <c r="AG114" t="inlineStr">
        <is>
          <t>686</t>
        </is>
      </c>
      <c r="AH114" t="n">
        <v>27.3</v>
      </c>
      <c r="AI114" t="inlineStr">
        <is>
          <t>801+</t>
        </is>
      </c>
      <c r="AJ114" t="inlineStr">
        <is>
          <t>3.9</t>
        </is>
      </c>
      <c r="AK114" t="inlineStr">
        <is>
          <t>601+</t>
        </is>
      </c>
      <c r="AL114" t="inlineStr">
        <is>
          <t>2.2</t>
        </is>
      </c>
      <c r="AM114" t="inlineStr">
        <is>
          <t>601+</t>
        </is>
      </c>
      <c r="AN114" t="inlineStr">
        <is>
          <t>10.0</t>
        </is>
      </c>
      <c r="AO114" t="inlineStr">
        <is>
          <t>701+</t>
        </is>
      </c>
      <c r="AP114" t="inlineStr">
        <is>
          <t>49.2</t>
        </is>
      </c>
      <c r="AQ114" t="inlineStr">
        <is>
          <t>271</t>
        </is>
      </c>
      <c r="AR114" t="inlineStr">
        <is>
          <t>5.0</t>
        </is>
      </c>
      <c r="AS114" t="inlineStr">
        <is>
          <t>701+</t>
        </is>
      </c>
      <c r="AT114" t="inlineStr">
        <is>
          <t>1.8</t>
        </is>
      </c>
      <c r="AU114" t="inlineStr">
        <is>
          <t>701+</t>
        </is>
      </c>
      <c r="AV114" t="inlineStr">
        <is>
          <t>1.1</t>
        </is>
      </c>
      <c r="AW114" t="inlineStr">
        <is>
          <t>701+</t>
        </is>
      </c>
      <c r="AX114" t="inlineStr">
        <is>
          <t>10.4</t>
        </is>
      </c>
      <c r="AY114" t="inlineStr">
        <is>
          <t>701+</t>
        </is>
      </c>
      <c r="AZ114" t="inlineStr">
        <is>
          <t>1.2</t>
        </is>
      </c>
      <c r="BA114" t="inlineStr">
        <is>
          <t>701+</t>
        </is>
      </c>
    </row>
    <row r="115">
      <c r="A115" t="inlineStr">
        <is>
          <t>Beijing University of Technology</t>
        </is>
      </c>
      <c r="B115" t="inlineStr">
        <is>
          <t>China (Mainland)</t>
        </is>
      </c>
      <c r="C115" t="inlineStr">
        <is>
          <t>CN</t>
        </is>
      </c>
      <c r="D115" t="inlineStr">
        <is>
          <t>Asia</t>
        </is>
      </c>
      <c r="E115" t="inlineStr">
        <is>
          <t>L</t>
        </is>
      </c>
      <c r="F115" t="inlineStr">
        <is>
          <t>CO</t>
        </is>
      </c>
      <c r="G115" t="inlineStr">
        <is>
          <t>VH</t>
        </is>
      </c>
      <c r="H115" t="inlineStr">
        <is>
          <t>4</t>
        </is>
      </c>
      <c r="I115" t="inlineStr">
        <is>
          <t>Public</t>
        </is>
      </c>
      <c r="J115" t="inlineStr">
        <is>
          <t>791-800</t>
        </is>
      </c>
      <c r="K115" t="inlineStr">
        <is>
          <t>801-850</t>
        </is>
      </c>
      <c r="L115" t="inlineStr">
        <is>
          <t>801-850</t>
        </is>
      </c>
      <c r="M115" t="inlineStr">
        <is>
          <t>751-800</t>
        </is>
      </c>
      <c r="N115" t="inlineStr">
        <is>
          <t>-</t>
        </is>
      </c>
      <c r="O115" t="inlineStr">
        <is>
          <t>-</t>
        </is>
      </c>
      <c r="P115" t="n">
        <v>9</v>
      </c>
      <c r="Q115" t="inlineStr">
        <is>
          <t>701+</t>
        </is>
      </c>
      <c r="R115" t="n">
        <v>10.8</v>
      </c>
      <c r="S115" t="inlineStr">
        <is>
          <t>701+</t>
        </is>
      </c>
      <c r="T115" t="n">
        <v>41.9</v>
      </c>
      <c r="U115" t="inlineStr">
        <is>
          <t>481</t>
        </is>
      </c>
      <c r="V115" t="n">
        <v>55.4</v>
      </c>
      <c r="W115" t="inlineStr">
        <is>
          <t>325</t>
        </is>
      </c>
      <c r="X115" t="n">
        <v>5.3</v>
      </c>
      <c r="Y115" t="inlineStr">
        <is>
          <t>801+</t>
        </is>
      </c>
      <c r="Z115" t="n">
        <v>2.7</v>
      </c>
      <c r="AA115" t="inlineStr">
        <is>
          <t>801+</t>
        </is>
      </c>
      <c r="AB115" t="n">
        <v>7.5</v>
      </c>
      <c r="AC115" t="inlineStr">
        <is>
          <t>801+</t>
        </is>
      </c>
      <c r="AD115" t="n">
        <v>38.4</v>
      </c>
      <c r="AE115" t="inlineStr">
        <is>
          <t>801+</t>
        </is>
      </c>
      <c r="AF115" t="n">
        <v>7.6</v>
      </c>
      <c r="AG115" t="inlineStr">
        <is>
          <t>801+</t>
        </is>
      </c>
      <c r="AH115" t="n">
        <v>33.4</v>
      </c>
      <c r="AI115" t="inlineStr">
        <is>
          <t>801+</t>
        </is>
      </c>
      <c r="AJ115" t="inlineStr">
        <is>
          <t>8.3</t>
        </is>
      </c>
      <c r="AK115" t="inlineStr">
        <is>
          <t>601+</t>
        </is>
      </c>
      <c r="AL115" t="inlineStr">
        <is>
          <t>3.5</t>
        </is>
      </c>
      <c r="AM115" t="inlineStr">
        <is>
          <t>601+</t>
        </is>
      </c>
      <c r="AN115" t="inlineStr">
        <is>
          <t>42.9</t>
        </is>
      </c>
      <c r="AO115" t="inlineStr">
        <is>
          <t>367</t>
        </is>
      </c>
      <c r="AP115" t="inlineStr">
        <is>
          <t>26.6</t>
        </is>
      </c>
      <c r="AQ115" t="inlineStr">
        <is>
          <t>466</t>
        </is>
      </c>
      <c r="AR115" t="inlineStr">
        <is>
          <t>4.8</t>
        </is>
      </c>
      <c r="AS115" t="inlineStr">
        <is>
          <t>701+</t>
        </is>
      </c>
      <c r="AT115" t="inlineStr">
        <is>
          <t>2.9</t>
        </is>
      </c>
      <c r="AU115" t="inlineStr">
        <is>
          <t>701+</t>
        </is>
      </c>
      <c r="AV115" t="inlineStr">
        <is>
          <t>1.7</t>
        </is>
      </c>
      <c r="AW115" t="inlineStr">
        <is>
          <t>701+</t>
        </is>
      </c>
      <c r="AX115" t="inlineStr">
        <is>
          <t>8.9</t>
        </is>
      </c>
      <c r="AY115" t="inlineStr">
        <is>
          <t>701+</t>
        </is>
      </c>
      <c r="AZ115" t="inlineStr">
        <is>
          <t>2.9</t>
        </is>
      </c>
      <c r="BA115" t="inlineStr">
        <is>
          <t>701+</t>
        </is>
      </c>
    </row>
    <row r="116">
      <c r="A116" t="inlineStr">
        <is>
          <t>Beirut Arab University</t>
        </is>
      </c>
      <c r="B116" t="inlineStr">
        <is>
          <t>Lebanon</t>
        </is>
      </c>
      <c r="C116" t="inlineStr">
        <is>
          <t>LB</t>
        </is>
      </c>
      <c r="D116" t="inlineStr">
        <is>
          <t>Asia</t>
        </is>
      </c>
      <c r="E116" t="inlineStr">
        <is>
          <t>S</t>
        </is>
      </c>
      <c r="F116" t="inlineStr">
        <is>
          <t>FC</t>
        </is>
      </c>
      <c r="G116" t="inlineStr">
        <is>
          <t>HI</t>
        </is>
      </c>
      <c r="H116" t="inlineStr">
        <is>
          <t>4</t>
        </is>
      </c>
      <c r="I116" t="inlineStr">
        <is>
          <t>Private not for Profit</t>
        </is>
      </c>
      <c r="J116" t="inlineStr">
        <is>
          <t>676</t>
        </is>
      </c>
      <c r="K116" t="inlineStr">
        <is>
          <t>641-650</t>
        </is>
      </c>
      <c r="L116" t="inlineStr">
        <is>
          <t>711-720</t>
        </is>
      </c>
      <c r="M116" t="inlineStr">
        <is>
          <t>801-1000</t>
        </is>
      </c>
      <c r="N116" t="inlineStr">
        <is>
          <t>26.1</t>
        </is>
      </c>
      <c r="O116" t="inlineStr">
        <is>
          <t>-</t>
        </is>
      </c>
      <c r="P116" t="n">
        <v>20</v>
      </c>
      <c r="Q116" t="inlineStr">
        <is>
          <t>614</t>
        </is>
      </c>
      <c r="R116" t="n">
        <v>22.2</v>
      </c>
      <c r="S116" t="inlineStr">
        <is>
          <t>597</t>
        </is>
      </c>
      <c r="T116" t="n">
        <v>28.8</v>
      </c>
      <c r="U116" t="inlineStr">
        <is>
          <t>661</t>
        </is>
      </c>
      <c r="V116" t="n">
        <v>7.6</v>
      </c>
      <c r="W116" t="inlineStr">
        <is>
          <t>801+</t>
        </is>
      </c>
      <c r="X116" t="n">
        <v>94.8</v>
      </c>
      <c r="Y116" t="inlineStr">
        <is>
          <t>180</t>
        </is>
      </c>
      <c r="Z116" t="n">
        <v>61.1</v>
      </c>
      <c r="AA116" t="inlineStr">
        <is>
          <t>334</t>
        </is>
      </c>
      <c r="AB116" t="n">
        <v>56.5</v>
      </c>
      <c r="AC116" t="inlineStr">
        <is>
          <t>362</t>
        </is>
      </c>
      <c r="AD116" t="n">
        <v>29.6</v>
      </c>
      <c r="AE116" t="inlineStr">
        <is>
          <t>801+</t>
        </is>
      </c>
      <c r="AF116" t="n">
        <v>44.1</v>
      </c>
      <c r="AG116" t="inlineStr">
        <is>
          <t>401</t>
        </is>
      </c>
      <c r="AH116" t="n">
        <v>42.1</v>
      </c>
      <c r="AI116" t="inlineStr">
        <is>
          <t>801+</t>
        </is>
      </c>
      <c r="AJ116" t="inlineStr">
        <is>
          <t>13.4</t>
        </is>
      </c>
      <c r="AK116" t="inlineStr">
        <is>
          <t>601+</t>
        </is>
      </c>
      <c r="AL116" t="inlineStr">
        <is>
          <t>18.8</t>
        </is>
      </c>
      <c r="AM116" t="inlineStr">
        <is>
          <t>474</t>
        </is>
      </c>
      <c r="AN116" t="inlineStr">
        <is>
          <t>16.5</t>
        </is>
      </c>
      <c r="AO116" t="inlineStr">
        <is>
          <t>701+</t>
        </is>
      </c>
      <c r="AP116" t="inlineStr">
        <is>
          <t>2.7</t>
        </is>
      </c>
      <c r="AQ116" t="inlineStr">
        <is>
          <t>701+</t>
        </is>
      </c>
      <c r="AR116" t="inlineStr">
        <is>
          <t>80.1</t>
        </is>
      </c>
      <c r="AS116" t="inlineStr">
        <is>
          <t>228</t>
        </is>
      </c>
      <c r="AT116" t="inlineStr">
        <is>
          <t>51.3</t>
        </is>
      </c>
      <c r="AU116" t="inlineStr">
        <is>
          <t>281</t>
        </is>
      </c>
      <c r="AV116" t="inlineStr">
        <is>
          <t>1.1</t>
        </is>
      </c>
      <c r="AW116" t="inlineStr">
        <is>
          <t>701+</t>
        </is>
      </c>
      <c r="AX116" t="inlineStr">
        <is>
          <t>18.2</t>
        </is>
      </c>
      <c r="AY116" t="inlineStr">
        <is>
          <t>460</t>
        </is>
      </c>
      <c r="AZ116" t="inlineStr">
        <is>
          <t>1.1</t>
        </is>
      </c>
      <c r="BA116" t="inlineStr">
        <is>
          <t>701+</t>
        </is>
      </c>
    </row>
    <row r="117">
      <c r="A117" t="inlineStr">
        <is>
          <t>Belarusian National Technical University</t>
        </is>
      </c>
      <c r="B117" t="inlineStr">
        <is>
          <t>Belarus</t>
        </is>
      </c>
      <c r="C117" t="inlineStr"/>
      <c r="D117" t="inlineStr">
        <is>
          <t>Europe</t>
        </is>
      </c>
      <c r="E117" t="inlineStr">
        <is>
          <t>L</t>
        </is>
      </c>
      <c r="F117" t="inlineStr">
        <is>
          <t>SP</t>
        </is>
      </c>
      <c r="G117" t="inlineStr">
        <is>
          <t>LO</t>
        </is>
      </c>
      <c r="H117" t="inlineStr"/>
      <c r="I117" t="inlineStr">
        <is>
          <t>Public</t>
        </is>
      </c>
      <c r="J117" t="inlineStr">
        <is>
          <t>851-900</t>
        </is>
      </c>
      <c r="K117" t="inlineStr">
        <is>
          <t>801-850</t>
        </is>
      </c>
      <c r="L117" t="inlineStr"/>
      <c r="M117" t="inlineStr"/>
      <c r="N117" t="inlineStr">
        <is>
          <t>-</t>
        </is>
      </c>
      <c r="O117" t="inlineStr"/>
      <c r="P117" t="n">
        <v>16.6</v>
      </c>
      <c r="Q117" t="inlineStr">
        <is>
          <t>701+</t>
        </is>
      </c>
      <c r="R117" t="n">
        <v>41.3</v>
      </c>
      <c r="S117" t="inlineStr">
        <is>
          <t>329</t>
        </is>
      </c>
      <c r="T117" t="n">
        <v>64.59999999999999</v>
      </c>
      <c r="U117" t="inlineStr">
        <is>
          <t>273</t>
        </is>
      </c>
      <c r="V117" t="n">
        <v>1</v>
      </c>
      <c r="W117" t="inlineStr">
        <is>
          <t>801+</t>
        </is>
      </c>
      <c r="X117" t="n">
        <v>2.6</v>
      </c>
      <c r="Y117" t="inlineStr">
        <is>
          <t>801+</t>
        </is>
      </c>
      <c r="Z117" t="n">
        <v>66.90000000000001</v>
      </c>
      <c r="AA117" t="inlineStr">
        <is>
          <t>299</t>
        </is>
      </c>
      <c r="AB117" t="n">
        <v>62</v>
      </c>
      <c r="AC117" t="inlineStr">
        <is>
          <t>323</t>
        </is>
      </c>
      <c r="AD117" t="n">
        <v>3.2</v>
      </c>
      <c r="AE117" t="inlineStr">
        <is>
          <t>801+</t>
        </is>
      </c>
      <c r="AF117" t="n">
        <v>7.5</v>
      </c>
      <c r="AG117" t="inlineStr">
        <is>
          <t>801+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inlineStr">
        <is>
          <t>Belarusian National Technical University (BNTU)</t>
        </is>
      </c>
      <c r="B118" t="inlineStr">
        <is>
          <t>Belarus</t>
        </is>
      </c>
      <c r="C118" t="inlineStr">
        <is>
          <t>BY</t>
        </is>
      </c>
      <c r="D118" t="inlineStr"/>
      <c r="E118" t="inlineStr">
        <is>
          <t>L</t>
        </is>
      </c>
      <c r="F118" t="inlineStr">
        <is>
          <t>SP</t>
        </is>
      </c>
      <c r="G118" t="inlineStr"/>
      <c r="H118" t="inlineStr">
        <is>
          <t>5</t>
        </is>
      </c>
      <c r="I118" t="inlineStr">
        <is>
          <t>A</t>
        </is>
      </c>
      <c r="J118" t="inlineStr"/>
      <c r="K118" t="inlineStr"/>
      <c r="L118" t="inlineStr">
        <is>
          <t>801-850</t>
        </is>
      </c>
      <c r="M118" t="inlineStr">
        <is>
          <t>751-800</t>
        </is>
      </c>
      <c r="N118" t="inlineStr"/>
      <c r="O118" t="inlineStr">
        <is>
          <t>-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13.1</t>
        </is>
      </c>
      <c r="AK118" t="inlineStr">
        <is>
          <t>601+</t>
        </is>
      </c>
      <c r="AL118" t="inlineStr">
        <is>
          <t>29.8</t>
        </is>
      </c>
      <c r="AM118" t="inlineStr">
        <is>
          <t>327</t>
        </is>
      </c>
      <c r="AN118" t="inlineStr">
        <is>
          <t>45.6</t>
        </is>
      </c>
      <c r="AO118" t="inlineStr">
        <is>
          <t>345</t>
        </is>
      </c>
      <c r="AP118" t="inlineStr">
        <is>
          <t>1.0</t>
        </is>
      </c>
      <c r="AQ118" t="inlineStr">
        <is>
          <t>701+</t>
        </is>
      </c>
      <c r="AR118" t="inlineStr">
        <is>
          <t>2.2</t>
        </is>
      </c>
      <c r="AS118" t="inlineStr">
        <is>
          <t>701+</t>
        </is>
      </c>
      <c r="AT118" t="inlineStr">
        <is>
          <t>12.6</t>
        </is>
      </c>
      <c r="AU118" t="inlineStr">
        <is>
          <t>670</t>
        </is>
      </c>
      <c r="AV118" t="inlineStr">
        <is>
          <t>1.0</t>
        </is>
      </c>
      <c r="AW118" t="inlineStr">
        <is>
          <t>701+</t>
        </is>
      </c>
      <c r="AX118" t="inlineStr">
        <is>
          <t>7.1</t>
        </is>
      </c>
      <c r="AY118" t="inlineStr">
        <is>
          <t>701+</t>
        </is>
      </c>
      <c r="AZ118" t="inlineStr"/>
      <c r="BA118" t="inlineStr"/>
    </row>
    <row r="119">
      <c r="A119" t="inlineStr">
        <is>
          <t>Belarusian State University</t>
        </is>
      </c>
      <c r="B119" t="inlineStr">
        <is>
          <t>Belarus</t>
        </is>
      </c>
      <c r="C119" t="inlineStr">
        <is>
          <t>BY</t>
        </is>
      </c>
      <c r="D119" t="inlineStr">
        <is>
          <t>Europe</t>
        </is>
      </c>
      <c r="E119" t="inlineStr">
        <is>
          <t>L</t>
        </is>
      </c>
      <c r="F119" t="inlineStr">
        <is>
          <t>CO</t>
        </is>
      </c>
      <c r="G119" t="inlineStr">
        <is>
          <t>HI</t>
        </is>
      </c>
      <c r="H119" t="inlineStr">
        <is>
          <t>5</t>
        </is>
      </c>
      <c r="I119" t="inlineStr">
        <is>
          <t>Public</t>
        </is>
      </c>
      <c r="J119" t="inlineStr">
        <is>
          <t>447</t>
        </is>
      </c>
      <c r="K119" t="inlineStr">
        <is>
          <t>387</t>
        </is>
      </c>
      <c r="L119">
        <f>387</f>
        <v/>
      </c>
      <c r="M119" t="inlineStr">
        <is>
          <t>288=</t>
        </is>
      </c>
      <c r="N119" t="inlineStr">
        <is>
          <t>34.6</t>
        </is>
      </c>
      <c r="O119" t="inlineStr">
        <is>
          <t>28.3</t>
        </is>
      </c>
      <c r="P119" t="n">
        <v>32.5</v>
      </c>
      <c r="Q119" t="inlineStr">
        <is>
          <t>377</t>
        </is>
      </c>
      <c r="R119" t="n">
        <v>51.5</v>
      </c>
      <c r="S119" t="inlineStr">
        <is>
          <t>239</t>
        </is>
      </c>
      <c r="T119" t="n">
        <v>91.8</v>
      </c>
      <c r="U119" t="inlineStr">
        <is>
          <t>98</t>
        </is>
      </c>
      <c r="V119" t="n">
        <v>1.7</v>
      </c>
      <c r="W119" t="inlineStr">
        <is>
          <t>801+</t>
        </is>
      </c>
      <c r="X119" t="n">
        <v>4.9</v>
      </c>
      <c r="Y119" t="inlineStr">
        <is>
          <t>801+</t>
        </is>
      </c>
      <c r="Z119" t="n">
        <v>71.09999999999999</v>
      </c>
      <c r="AA119" t="inlineStr">
        <is>
          <t>268</t>
        </is>
      </c>
      <c r="AB119" t="n">
        <v>67.5</v>
      </c>
      <c r="AC119" t="inlineStr">
        <is>
          <t>286</t>
        </is>
      </c>
      <c r="AD119" t="n">
        <v>34.4</v>
      </c>
      <c r="AE119" t="inlineStr">
        <is>
          <t>801+</t>
        </is>
      </c>
      <c r="AF119" t="n">
        <v>61.3</v>
      </c>
      <c r="AG119" t="inlineStr">
        <is>
          <t>258</t>
        </is>
      </c>
      <c r="AH119" t="inlineStr"/>
      <c r="AI119" t="inlineStr"/>
      <c r="AJ119" t="inlineStr">
        <is>
          <t>26.6</t>
        </is>
      </c>
      <c r="AK119" t="inlineStr">
        <is>
          <t>327</t>
        </is>
      </c>
      <c r="AL119" t="inlineStr">
        <is>
          <t>42.5</t>
        </is>
      </c>
      <c r="AM119" t="inlineStr">
        <is>
          <t>219</t>
        </is>
      </c>
      <c r="AN119" t="inlineStr">
        <is>
          <t>95.3</t>
        </is>
      </c>
      <c r="AO119" t="inlineStr">
        <is>
          <t>61</t>
        </is>
      </c>
      <c r="AP119" t="inlineStr">
        <is>
          <t>1.3</t>
        </is>
      </c>
      <c r="AQ119" t="inlineStr">
        <is>
          <t>701+</t>
        </is>
      </c>
      <c r="AR119" t="inlineStr">
        <is>
          <t>4.1</t>
        </is>
      </c>
      <c r="AS119" t="inlineStr">
        <is>
          <t>701+</t>
        </is>
      </c>
      <c r="AT119" t="inlineStr">
        <is>
          <t>49.9</t>
        </is>
      </c>
      <c r="AU119" t="inlineStr">
        <is>
          <t>294</t>
        </is>
      </c>
      <c r="AV119" t="inlineStr">
        <is>
          <t>3.4</t>
        </is>
      </c>
      <c r="AW119" t="inlineStr">
        <is>
          <t>701+</t>
        </is>
      </c>
      <c r="AX119" t="inlineStr">
        <is>
          <t>24.5</t>
        </is>
      </c>
      <c r="AY119" t="inlineStr">
        <is>
          <t>341</t>
        </is>
      </c>
      <c r="AZ119" t="inlineStr">
        <is>
          <t>1.4</t>
        </is>
      </c>
      <c r="BA119" t="inlineStr">
        <is>
          <t>701+</t>
        </is>
      </c>
    </row>
    <row r="120">
      <c r="A120" t="inlineStr">
        <is>
          <t>Belarusian State University of Informatics and Radioelectronics</t>
        </is>
      </c>
      <c r="B120" t="inlineStr">
        <is>
          <t>Belarus</t>
        </is>
      </c>
      <c r="C120" t="inlineStr">
        <is>
          <t>BY</t>
        </is>
      </c>
      <c r="D120" t="inlineStr">
        <is>
          <t>Europe</t>
        </is>
      </c>
      <c r="E120" t="inlineStr">
        <is>
          <t>M</t>
        </is>
      </c>
      <c r="F120" t="inlineStr">
        <is>
          <t>CO</t>
        </is>
      </c>
      <c r="G120" t="inlineStr">
        <is>
          <t>HI</t>
        </is>
      </c>
      <c r="H120" t="inlineStr">
        <is>
          <t>4</t>
        </is>
      </c>
      <c r="I120" t="inlineStr">
        <is>
          <t>Public</t>
        </is>
      </c>
      <c r="J120" t="inlineStr">
        <is>
          <t>1401+</t>
        </is>
      </c>
      <c r="K120" t="inlineStr">
        <is>
          <t>1201-1400</t>
        </is>
      </c>
      <c r="L120" t="inlineStr">
        <is>
          <t>1201-1400</t>
        </is>
      </c>
      <c r="M120" t="inlineStr">
        <is>
          <t>1001-1200</t>
        </is>
      </c>
      <c r="N120" t="inlineStr">
        <is>
          <t>-</t>
        </is>
      </c>
      <c r="O120" t="inlineStr">
        <is>
          <t>-</t>
        </is>
      </c>
      <c r="P120" t="n">
        <v>6.7</v>
      </c>
      <c r="Q120" t="inlineStr">
        <is>
          <t>701+</t>
        </is>
      </c>
      <c r="R120" t="n">
        <v>23.4</v>
      </c>
      <c r="S120" t="inlineStr">
        <is>
          <t>573</t>
        </is>
      </c>
      <c r="T120" t="n">
        <v>26.1</v>
      </c>
      <c r="U120" t="inlineStr">
        <is>
          <t>716</t>
        </is>
      </c>
      <c r="V120" t="n">
        <v>1.4</v>
      </c>
      <c r="W120" t="inlineStr">
        <is>
          <t>801+</t>
        </is>
      </c>
      <c r="X120" t="n">
        <v>2.6</v>
      </c>
      <c r="Y120" t="inlineStr">
        <is>
          <t>801+</t>
        </is>
      </c>
      <c r="Z120" t="n">
        <v>17.6</v>
      </c>
      <c r="AA120" t="inlineStr">
        <is>
          <t>772</t>
        </is>
      </c>
      <c r="AB120" t="n">
        <v>20.4</v>
      </c>
      <c r="AC120" t="inlineStr">
        <is>
          <t>754</t>
        </is>
      </c>
      <c r="AD120" t="n">
        <v>7.2</v>
      </c>
      <c r="AE120" t="inlineStr">
        <is>
          <t>801+</t>
        </is>
      </c>
      <c r="AF120" t="n">
        <v>7.5</v>
      </c>
      <c r="AG120" t="inlineStr">
        <is>
          <t>801+</t>
        </is>
      </c>
      <c r="AH120" t="inlineStr"/>
      <c r="AI120" t="inlineStr"/>
      <c r="AJ120" t="inlineStr">
        <is>
          <t>7.4</t>
        </is>
      </c>
      <c r="AK120" t="inlineStr">
        <is>
          <t>601+</t>
        </is>
      </c>
      <c r="AL120" t="inlineStr">
        <is>
          <t>18.3</t>
        </is>
      </c>
      <c r="AM120" t="inlineStr">
        <is>
          <t>478</t>
        </is>
      </c>
      <c r="AN120" t="inlineStr">
        <is>
          <t>12.0</t>
        </is>
      </c>
      <c r="AO120" t="inlineStr">
        <is>
          <t>701+</t>
        </is>
      </c>
      <c r="AP120" t="inlineStr">
        <is>
          <t>1.3</t>
        </is>
      </c>
      <c r="AQ120" t="inlineStr">
        <is>
          <t>701+</t>
        </is>
      </c>
      <c r="AR120" t="inlineStr">
        <is>
          <t>1.2</t>
        </is>
      </c>
      <c r="AS120" t="inlineStr">
        <is>
          <t>701+</t>
        </is>
      </c>
      <c r="AT120" t="inlineStr">
        <is>
          <t>5.6</t>
        </is>
      </c>
      <c r="AU120" t="inlineStr">
        <is>
          <t>701+</t>
        </is>
      </c>
      <c r="AV120" t="inlineStr">
        <is>
          <t>1.0</t>
        </is>
      </c>
      <c r="AW120" t="inlineStr">
        <is>
          <t>701+</t>
        </is>
      </c>
      <c r="AX120" t="inlineStr">
        <is>
          <t>10.9</t>
        </is>
      </c>
      <c r="AY120" t="inlineStr">
        <is>
          <t>701+</t>
        </is>
      </c>
      <c r="AZ120" t="inlineStr"/>
      <c r="BA120" t="inlineStr"/>
    </row>
    <row r="121">
      <c r="A121" t="inlineStr">
        <is>
          <t>Belgorod State University</t>
        </is>
      </c>
      <c r="B121" t="inlineStr">
        <is>
          <t>Russia</t>
        </is>
      </c>
      <c r="C121" t="inlineStr"/>
      <c r="D121" t="inlineStr">
        <is>
          <t>Europe</t>
        </is>
      </c>
      <c r="E121" t="inlineStr">
        <is>
          <t>L</t>
        </is>
      </c>
      <c r="F121" t="inlineStr">
        <is>
          <t>FC</t>
        </is>
      </c>
      <c r="G121" t="inlineStr">
        <is>
          <t>HI</t>
        </is>
      </c>
      <c r="H121" t="inlineStr"/>
      <c r="I121" t="inlineStr">
        <is>
          <t>Public</t>
        </is>
      </c>
      <c r="J121" t="inlineStr">
        <is>
          <t>1401+</t>
        </is>
      </c>
      <c r="K121" t="inlineStr">
        <is>
          <t>1201-1400</t>
        </is>
      </c>
      <c r="L121" t="inlineStr"/>
      <c r="M121" t="inlineStr"/>
      <c r="N121" t="inlineStr">
        <is>
          <t>-</t>
        </is>
      </c>
      <c r="O121" t="inlineStr"/>
      <c r="P121" t="n">
        <v>3.1</v>
      </c>
      <c r="Q121" t="inlineStr">
        <is>
          <t>701+</t>
        </is>
      </c>
      <c r="R121" t="n">
        <v>1.9</v>
      </c>
      <c r="S121" t="inlineStr">
        <is>
          <t>701+</t>
        </is>
      </c>
      <c r="T121" t="n">
        <v>17.5</v>
      </c>
      <c r="U121" t="inlineStr">
        <is>
          <t>801+</t>
        </is>
      </c>
      <c r="V121" t="n">
        <v>2.8</v>
      </c>
      <c r="W121" t="inlineStr">
        <is>
          <t>801+</t>
        </is>
      </c>
      <c r="X121" t="n">
        <v>1.9</v>
      </c>
      <c r="Y121" t="inlineStr">
        <is>
          <t>801+</t>
        </is>
      </c>
      <c r="Z121" t="n">
        <v>70.3</v>
      </c>
      <c r="AA121" t="inlineStr">
        <is>
          <t>276</t>
        </is>
      </c>
      <c r="AB121" t="n">
        <v>73.2</v>
      </c>
      <c r="AC121" t="inlineStr">
        <is>
          <t>247</t>
        </is>
      </c>
      <c r="AD121" t="n">
        <v>14.1</v>
      </c>
      <c r="AE121" t="inlineStr">
        <is>
          <t>801+</t>
        </is>
      </c>
      <c r="AF121" t="n">
        <v>2.1</v>
      </c>
      <c r="AG121" t="inlineStr">
        <is>
          <t>801+</t>
        </is>
      </c>
      <c r="AH121" t="n">
        <v>22.7</v>
      </c>
      <c r="AI121" t="inlineStr">
        <is>
          <t>801+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inlineStr">
        <is>
          <t>Ben Gurion University of The Negev</t>
        </is>
      </c>
      <c r="B122" t="inlineStr">
        <is>
          <t>Israel</t>
        </is>
      </c>
      <c r="C122" t="inlineStr">
        <is>
          <t>IL</t>
        </is>
      </c>
      <c r="D122" t="inlineStr">
        <is>
          <t>Asia</t>
        </is>
      </c>
      <c r="E122" t="inlineStr">
        <is>
          <t>L</t>
        </is>
      </c>
      <c r="F122" t="inlineStr">
        <is>
          <t>FC</t>
        </is>
      </c>
      <c r="G122" t="inlineStr">
        <is>
          <t>VH</t>
        </is>
      </c>
      <c r="H122" t="inlineStr">
        <is>
          <t>4</t>
        </is>
      </c>
      <c r="I122" t="inlineStr">
        <is>
          <t>Public</t>
        </is>
      </c>
      <c r="J122" t="inlineStr">
        <is>
          <t>469</t>
        </is>
      </c>
      <c r="K122" t="inlineStr">
        <is>
          <t>471</t>
        </is>
      </c>
      <c r="L122">
        <f>469</f>
        <v/>
      </c>
      <c r="M122" t="inlineStr">
        <is>
          <t>490=</t>
        </is>
      </c>
      <c r="N122" t="inlineStr">
        <is>
          <t>33.7</t>
        </is>
      </c>
      <c r="O122" t="inlineStr">
        <is>
          <t>24.6</t>
        </is>
      </c>
      <c r="P122" t="n">
        <v>19.5</v>
      </c>
      <c r="Q122" t="inlineStr">
        <is>
          <t>631</t>
        </is>
      </c>
      <c r="R122" t="n">
        <v>26.9</v>
      </c>
      <c r="S122" t="inlineStr">
        <is>
          <t>510</t>
        </is>
      </c>
      <c r="T122" t="n">
        <v>15</v>
      </c>
      <c r="U122" t="inlineStr">
        <is>
          <t>801+</t>
        </is>
      </c>
      <c r="V122" t="n">
        <v>58.7</v>
      </c>
      <c r="W122" t="inlineStr">
        <is>
          <t>295</t>
        </is>
      </c>
      <c r="X122" t="n">
        <v>71.2</v>
      </c>
      <c r="Y122" t="inlineStr">
        <is>
          <t>332</t>
        </is>
      </c>
      <c r="Z122" t="n">
        <v>23.8</v>
      </c>
      <c r="AA122" t="inlineStr">
        <is>
          <t>679</t>
        </is>
      </c>
      <c r="AB122" t="n">
        <v>17.9</v>
      </c>
      <c r="AC122" t="inlineStr">
        <is>
          <t>798</t>
        </is>
      </c>
      <c r="AD122" t="n">
        <v>63.4</v>
      </c>
      <c r="AE122" t="inlineStr">
        <is>
          <t>643</t>
        </is>
      </c>
      <c r="AF122" t="n">
        <v>24.5</v>
      </c>
      <c r="AG122" t="inlineStr">
        <is>
          <t>649</t>
        </is>
      </c>
      <c r="AH122" t="n">
        <v>48.8</v>
      </c>
      <c r="AI122" t="inlineStr">
        <is>
          <t>734=</t>
        </is>
      </c>
      <c r="AJ122" t="inlineStr">
        <is>
          <t>14.6</t>
        </is>
      </c>
      <c r="AK122" t="inlineStr">
        <is>
          <t>592</t>
        </is>
      </c>
      <c r="AL122" t="inlineStr">
        <is>
          <t>14.2</t>
        </is>
      </c>
      <c r="AM122" t="inlineStr">
        <is>
          <t>577</t>
        </is>
      </c>
      <c r="AN122" t="inlineStr">
        <is>
          <t>11.7</t>
        </is>
      </c>
      <c r="AO122" t="inlineStr">
        <is>
          <t>701+</t>
        </is>
      </c>
      <c r="AP122" t="inlineStr">
        <is>
          <t>52.7</t>
        </is>
      </c>
      <c r="AQ122" t="inlineStr">
        <is>
          <t>245</t>
        </is>
      </c>
      <c r="AR122" t="inlineStr">
        <is>
          <t>65.3</t>
        </is>
      </c>
      <c r="AS122" t="inlineStr">
        <is>
          <t>294</t>
        </is>
      </c>
      <c r="AT122" t="inlineStr">
        <is>
          <t>15.7</t>
        </is>
      </c>
      <c r="AU122" t="inlineStr">
        <is>
          <t>607</t>
        </is>
      </c>
      <c r="AV122" t="inlineStr">
        <is>
          <t>20.1</t>
        </is>
      </c>
      <c r="AW122" t="inlineStr">
        <is>
          <t>544</t>
        </is>
      </c>
      <c r="AX122" t="inlineStr">
        <is>
          <t>10.5</t>
        </is>
      </c>
      <c r="AY122" t="inlineStr">
        <is>
          <t>701+</t>
        </is>
      </c>
      <c r="AZ122" t="inlineStr">
        <is>
          <t>18.2</t>
        </is>
      </c>
      <c r="BA122" t="inlineStr">
        <is>
          <t>564=</t>
        </is>
      </c>
    </row>
    <row r="123">
      <c r="A123" t="inlineStr">
        <is>
          <t>Benemérita Universidad Autónoma de Puebla</t>
        </is>
      </c>
      <c r="B123" t="inlineStr">
        <is>
          <t>Mexico</t>
        </is>
      </c>
      <c r="C123" t="inlineStr">
        <is>
          <t>MX</t>
        </is>
      </c>
      <c r="D123" t="inlineStr">
        <is>
          <t>Americas</t>
        </is>
      </c>
      <c r="E123" t="inlineStr">
        <is>
          <t>XL</t>
        </is>
      </c>
      <c r="F123" t="inlineStr">
        <is>
          <t>FC</t>
        </is>
      </c>
      <c r="G123" t="inlineStr">
        <is>
          <t>HI</t>
        </is>
      </c>
      <c r="H123" t="inlineStr">
        <is>
          <t>5</t>
        </is>
      </c>
      <c r="I123" t="inlineStr">
        <is>
          <t>Public</t>
        </is>
      </c>
      <c r="J123" t="inlineStr">
        <is>
          <t>1201-1400</t>
        </is>
      </c>
      <c r="K123" t="inlineStr">
        <is>
          <t>1201-1400</t>
        </is>
      </c>
      <c r="L123" t="inlineStr">
        <is>
          <t>1201-1400</t>
        </is>
      </c>
      <c r="M123" t="inlineStr">
        <is>
          <t>1001-1200</t>
        </is>
      </c>
      <c r="N123" t="inlineStr">
        <is>
          <t>-</t>
        </is>
      </c>
      <c r="O123" t="inlineStr">
        <is>
          <t>-</t>
        </is>
      </c>
      <c r="P123" t="n">
        <v>19.9</v>
      </c>
      <c r="Q123" t="inlineStr">
        <is>
          <t>616</t>
        </is>
      </c>
      <c r="R123" t="n">
        <v>8</v>
      </c>
      <c r="S123" t="inlineStr">
        <is>
          <t>701+</t>
        </is>
      </c>
      <c r="T123" t="n">
        <v>2.4</v>
      </c>
      <c r="U123" t="inlineStr">
        <is>
          <t>801+</t>
        </is>
      </c>
      <c r="V123" t="n">
        <v>2.9</v>
      </c>
      <c r="W123" t="inlineStr">
        <is>
          <t>801+</t>
        </is>
      </c>
      <c r="X123" t="n">
        <v>3.6</v>
      </c>
      <c r="Y123" t="inlineStr">
        <is>
          <t>801+</t>
        </is>
      </c>
      <c r="Z123" t="n">
        <v>1.7</v>
      </c>
      <c r="AA123" t="inlineStr">
        <is>
          <t>801+</t>
        </is>
      </c>
      <c r="AB123" t="n">
        <v>6.1</v>
      </c>
      <c r="AC123" t="inlineStr">
        <is>
          <t>801+</t>
        </is>
      </c>
      <c r="AD123" t="n">
        <v>29.1</v>
      </c>
      <c r="AE123" t="inlineStr">
        <is>
          <t>801+</t>
        </is>
      </c>
      <c r="AF123" t="n">
        <v>2.3</v>
      </c>
      <c r="AG123" t="inlineStr">
        <is>
          <t>801+</t>
        </is>
      </c>
      <c r="AH123" t="n">
        <v>28.9</v>
      </c>
      <c r="AI123" t="inlineStr">
        <is>
          <t>801+</t>
        </is>
      </c>
      <c r="AJ123" t="inlineStr">
        <is>
          <t>15.3</t>
        </is>
      </c>
      <c r="AK123" t="inlineStr">
        <is>
          <t>569</t>
        </is>
      </c>
      <c r="AL123" t="inlineStr">
        <is>
          <t>6.5</t>
        </is>
      </c>
      <c r="AM123" t="inlineStr">
        <is>
          <t>601+</t>
        </is>
      </c>
      <c r="AN123" t="inlineStr">
        <is>
          <t>3.2</t>
        </is>
      </c>
      <c r="AO123" t="inlineStr">
        <is>
          <t>701+</t>
        </is>
      </c>
      <c r="AP123" t="inlineStr">
        <is>
          <t>2.0</t>
        </is>
      </c>
      <c r="AQ123" t="inlineStr">
        <is>
          <t>701+</t>
        </is>
      </c>
      <c r="AR123" t="inlineStr">
        <is>
          <t>2.9</t>
        </is>
      </c>
      <c r="AS123" t="inlineStr">
        <is>
          <t>701+</t>
        </is>
      </c>
      <c r="AT123" t="inlineStr">
        <is>
          <t>1.3</t>
        </is>
      </c>
      <c r="AU123" t="inlineStr">
        <is>
          <t>701+</t>
        </is>
      </c>
      <c r="AV123" t="inlineStr">
        <is>
          <t>1.3</t>
        </is>
      </c>
      <c r="AW123" t="inlineStr">
        <is>
          <t>701+</t>
        </is>
      </c>
      <c r="AX123" t="inlineStr">
        <is>
          <t>6.5</t>
        </is>
      </c>
      <c r="AY123" t="inlineStr">
        <is>
          <t>701+</t>
        </is>
      </c>
      <c r="AZ123" t="inlineStr">
        <is>
          <t>3</t>
        </is>
      </c>
      <c r="BA123" t="inlineStr">
        <is>
          <t>701+</t>
        </is>
      </c>
    </row>
    <row r="124">
      <c r="A124" t="inlineStr">
        <is>
          <t>Benha University</t>
        </is>
      </c>
      <c r="B124" t="inlineStr">
        <is>
          <t>Egypt</t>
        </is>
      </c>
      <c r="C124" t="inlineStr"/>
      <c r="D124" t="inlineStr">
        <is>
          <t>Africa</t>
        </is>
      </c>
      <c r="E124" t="inlineStr">
        <is>
          <t>XL</t>
        </is>
      </c>
      <c r="F124" t="inlineStr">
        <is>
          <t>FC</t>
        </is>
      </c>
      <c r="G124" t="inlineStr">
        <is>
          <t>HI</t>
        </is>
      </c>
      <c r="H124" t="inlineStr"/>
      <c r="I124" t="inlineStr">
        <is>
          <t>Public</t>
        </is>
      </c>
      <c r="J124" t="inlineStr">
        <is>
          <t>1401+</t>
        </is>
      </c>
      <c r="K124" t="inlineStr"/>
      <c r="L124" t="inlineStr"/>
      <c r="M124" t="inlineStr"/>
      <c r="N124" t="inlineStr">
        <is>
          <t>-</t>
        </is>
      </c>
      <c r="O124" t="inlineStr"/>
      <c r="P124" t="n">
        <v>6.2</v>
      </c>
      <c r="Q124" t="inlineStr">
        <is>
          <t>701+</t>
        </is>
      </c>
      <c r="R124" t="n">
        <v>4.4</v>
      </c>
      <c r="S124" t="inlineStr">
        <is>
          <t>701+</t>
        </is>
      </c>
      <c r="T124" t="n">
        <v>8.199999999999999</v>
      </c>
      <c r="U124" t="inlineStr">
        <is>
          <t>801+</t>
        </is>
      </c>
      <c r="V124" t="n">
        <v>4.2</v>
      </c>
      <c r="W124" t="inlineStr">
        <is>
          <t>801+</t>
        </is>
      </c>
      <c r="X124" t="n">
        <v>1</v>
      </c>
      <c r="Y124" t="inlineStr">
        <is>
          <t>801+</t>
        </is>
      </c>
      <c r="Z124" t="n">
        <v>2.4</v>
      </c>
      <c r="AA124" t="inlineStr">
        <is>
          <t>801+</t>
        </is>
      </c>
      <c r="AB124" t="n">
        <v>6.7</v>
      </c>
      <c r="AC124" t="inlineStr">
        <is>
          <t>801+</t>
        </is>
      </c>
      <c r="AD124" t="n">
        <v>59.7</v>
      </c>
      <c r="AE124" t="inlineStr">
        <is>
          <t>699</t>
        </is>
      </c>
      <c r="AF124" t="n">
        <v>2.9</v>
      </c>
      <c r="AG124" t="inlineStr">
        <is>
          <t>801+</t>
        </is>
      </c>
      <c r="AH124" t="n">
        <v>36.1</v>
      </c>
      <c r="AI124" t="inlineStr">
        <is>
          <t>801+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inlineStr">
        <is>
          <t>Beni-Suef University</t>
        </is>
      </c>
      <c r="B125" t="inlineStr">
        <is>
          <t>Egypt</t>
        </is>
      </c>
      <c r="C125" t="inlineStr"/>
      <c r="D125" t="inlineStr">
        <is>
          <t>Africa</t>
        </is>
      </c>
      <c r="E125" t="inlineStr">
        <is>
          <t>XL</t>
        </is>
      </c>
      <c r="F125" t="inlineStr">
        <is>
          <t>FC</t>
        </is>
      </c>
      <c r="G125" t="inlineStr">
        <is>
          <t>HI</t>
        </is>
      </c>
      <c r="H125" t="inlineStr"/>
      <c r="I125" t="inlineStr">
        <is>
          <t>Public</t>
        </is>
      </c>
      <c r="J125" t="inlineStr">
        <is>
          <t>1201-1400</t>
        </is>
      </c>
      <c r="K125" t="inlineStr"/>
      <c r="L125" t="inlineStr"/>
      <c r="M125" t="inlineStr"/>
      <c r="N125" t="inlineStr">
        <is>
          <t>-</t>
        </is>
      </c>
      <c r="O125" t="inlineStr"/>
      <c r="P125" t="n">
        <v>8.699999999999999</v>
      </c>
      <c r="Q125" t="inlineStr">
        <is>
          <t>701+</t>
        </is>
      </c>
      <c r="R125" t="n">
        <v>4.1</v>
      </c>
      <c r="S125" t="inlineStr">
        <is>
          <t>701+</t>
        </is>
      </c>
      <c r="T125" t="n">
        <v>2.1</v>
      </c>
      <c r="U125" t="inlineStr">
        <is>
          <t>801+</t>
        </is>
      </c>
      <c r="V125" t="n">
        <v>11.1</v>
      </c>
      <c r="W125" t="inlineStr">
        <is>
          <t>801+</t>
        </is>
      </c>
      <c r="X125" t="n">
        <v>13.7</v>
      </c>
      <c r="Y125" t="inlineStr">
        <is>
          <t>801+</t>
        </is>
      </c>
      <c r="Z125" t="n">
        <v>1.6</v>
      </c>
      <c r="AA125" t="inlineStr">
        <is>
          <t>801+</t>
        </is>
      </c>
      <c r="AB125" t="n">
        <v>6</v>
      </c>
      <c r="AC125" t="inlineStr">
        <is>
          <t>801+</t>
        </is>
      </c>
      <c r="AD125" t="n">
        <v>51.5</v>
      </c>
      <c r="AE125" t="inlineStr">
        <is>
          <t>801+</t>
        </is>
      </c>
      <c r="AF125" t="n">
        <v>2.8</v>
      </c>
      <c r="AG125" t="inlineStr">
        <is>
          <t>801+</t>
        </is>
      </c>
      <c r="AH125" t="n">
        <v>39.8</v>
      </c>
      <c r="AI125" t="inlineStr">
        <is>
          <t>801+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inlineStr">
        <is>
          <t>Bielefeld University</t>
        </is>
      </c>
      <c r="B126" t="inlineStr">
        <is>
          <t>Germany</t>
        </is>
      </c>
      <c r="C126" t="inlineStr">
        <is>
          <t>DE</t>
        </is>
      </c>
      <c r="D126" t="inlineStr"/>
      <c r="E126" t="inlineStr">
        <is>
          <t>L</t>
        </is>
      </c>
      <c r="F126" t="inlineStr">
        <is>
          <t>CO</t>
        </is>
      </c>
      <c r="G126" t="inlineStr">
        <is>
          <t>VH</t>
        </is>
      </c>
      <c r="H126" t="inlineStr">
        <is>
          <t>4</t>
        </is>
      </c>
      <c r="I126" t="inlineStr">
        <is>
          <t>A</t>
        </is>
      </c>
      <c r="J126" t="inlineStr"/>
      <c r="K126" t="inlineStr"/>
      <c r="L126" t="inlineStr">
        <is>
          <t>951-1000</t>
        </is>
      </c>
      <c r="M126" t="inlineStr">
        <is>
          <t>1001-1200</t>
        </is>
      </c>
      <c r="N126" t="inlineStr"/>
      <c r="O126" t="inlineStr">
        <is>
          <t>-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14.6</t>
        </is>
      </c>
      <c r="AK126" t="inlineStr">
        <is>
          <t>594</t>
        </is>
      </c>
      <c r="AL126" t="inlineStr">
        <is>
          <t>3.8</t>
        </is>
      </c>
      <c r="AM126" t="inlineStr">
        <is>
          <t>601+</t>
        </is>
      </c>
      <c r="AN126" t="inlineStr">
        <is>
          <t>8.4</t>
        </is>
      </c>
      <c r="AO126" t="inlineStr">
        <is>
          <t>701+</t>
        </is>
      </c>
      <c r="AP126" t="inlineStr">
        <is>
          <t>8.2</t>
        </is>
      </c>
      <c r="AQ126" t="inlineStr">
        <is>
          <t>701+</t>
        </is>
      </c>
      <c r="AR126" t="inlineStr">
        <is>
          <t>21.2</t>
        </is>
      </c>
      <c r="AS126" t="inlineStr">
        <is>
          <t>580</t>
        </is>
      </c>
      <c r="AT126" t="inlineStr">
        <is>
          <t>7.7</t>
        </is>
      </c>
      <c r="AU126" t="inlineStr">
        <is>
          <t>701+</t>
        </is>
      </c>
      <c r="AV126" t="inlineStr">
        <is>
          <t>32.8</t>
        </is>
      </c>
      <c r="AW126" t="inlineStr">
        <is>
          <t>437</t>
        </is>
      </c>
      <c r="AX126" t="inlineStr">
        <is>
          <t>8.1</t>
        </is>
      </c>
      <c r="AY126" t="inlineStr">
        <is>
          <t>701+</t>
        </is>
      </c>
      <c r="AZ126" t="inlineStr">
        <is>
          <t>6.5</t>
        </is>
      </c>
      <c r="BA126" t="inlineStr">
        <is>
          <t>701+</t>
        </is>
      </c>
    </row>
    <row r="127">
      <c r="A127" t="inlineStr">
        <is>
          <t>Bilkent University</t>
        </is>
      </c>
      <c r="B127" t="inlineStr">
        <is>
          <t>Turkey</t>
        </is>
      </c>
      <c r="C127" t="inlineStr">
        <is>
          <t>TR</t>
        </is>
      </c>
      <c r="D127" t="inlineStr">
        <is>
          <t>Asia</t>
        </is>
      </c>
      <c r="E127" t="inlineStr">
        <is>
          <t>M</t>
        </is>
      </c>
      <c r="F127" t="inlineStr">
        <is>
          <t>CO</t>
        </is>
      </c>
      <c r="G127" t="inlineStr">
        <is>
          <t>VH</t>
        </is>
      </c>
      <c r="H127" t="inlineStr">
        <is>
          <t>3</t>
        </is>
      </c>
      <c r="I127" t="inlineStr">
        <is>
          <t>Private not for Profit</t>
        </is>
      </c>
      <c r="J127" t="inlineStr">
        <is>
          <t>415</t>
        </is>
      </c>
      <c r="K127" t="inlineStr">
        <is>
          <t>477</t>
        </is>
      </c>
      <c r="L127">
        <f>502</f>
        <v/>
      </c>
      <c r="M127" t="inlineStr">
        <is>
          <t>561-570</t>
        </is>
      </c>
      <c r="N127" t="inlineStr">
        <is>
          <t>36.6</t>
        </is>
      </c>
      <c r="O127" t="inlineStr">
        <is>
          <t>23.1</t>
        </is>
      </c>
      <c r="P127" t="n">
        <v>33.8</v>
      </c>
      <c r="Q127" t="inlineStr">
        <is>
          <t>361</t>
        </is>
      </c>
      <c r="R127" t="n">
        <v>73.3</v>
      </c>
      <c r="S127" t="inlineStr">
        <is>
          <t>134</t>
        </is>
      </c>
      <c r="T127" t="n">
        <v>14.5</v>
      </c>
      <c r="U127" t="inlineStr">
        <is>
          <t>801+</t>
        </is>
      </c>
      <c r="V127" t="n">
        <v>27.7</v>
      </c>
      <c r="W127" t="inlineStr">
        <is>
          <t>610</t>
        </is>
      </c>
      <c r="X127" t="n">
        <v>61.6</v>
      </c>
      <c r="Y127" t="inlineStr">
        <is>
          <t>379</t>
        </is>
      </c>
      <c r="Z127" t="n">
        <v>7.6</v>
      </c>
      <c r="AA127" t="inlineStr">
        <is>
          <t>801+</t>
        </is>
      </c>
      <c r="AB127" t="n">
        <v>12.1</v>
      </c>
      <c r="AC127" t="inlineStr">
        <is>
          <t>801+</t>
        </is>
      </c>
      <c r="AD127" t="n">
        <v>40.5</v>
      </c>
      <c r="AE127" t="inlineStr">
        <is>
          <t>801+</t>
        </is>
      </c>
      <c r="AF127" t="n">
        <v>27</v>
      </c>
      <c r="AG127" t="inlineStr">
        <is>
          <t>609</t>
        </is>
      </c>
      <c r="AH127" t="n">
        <v>51.7</v>
      </c>
      <c r="AI127" t="inlineStr">
        <is>
          <t>667=</t>
        </is>
      </c>
      <c r="AJ127" t="inlineStr">
        <is>
          <t>22.2</t>
        </is>
      </c>
      <c r="AK127" t="inlineStr">
        <is>
          <t>396</t>
        </is>
      </c>
      <c r="AL127" t="inlineStr">
        <is>
          <t>44.9</t>
        </is>
      </c>
      <c r="AM127" t="inlineStr">
        <is>
          <t>196</t>
        </is>
      </c>
      <c r="AN127" t="inlineStr">
        <is>
          <t>17.2</t>
        </is>
      </c>
      <c r="AO127" t="inlineStr">
        <is>
          <t>701+</t>
        </is>
      </c>
      <c r="AP127" t="inlineStr">
        <is>
          <t>12.9</t>
        </is>
      </c>
      <c r="AQ127" t="inlineStr">
        <is>
          <t>679</t>
        </is>
      </c>
      <c r="AR127" t="inlineStr">
        <is>
          <t>72.0</t>
        </is>
      </c>
      <c r="AS127" t="inlineStr">
        <is>
          <t>264</t>
        </is>
      </c>
      <c r="AT127" t="inlineStr">
        <is>
          <t>5.7</t>
        </is>
      </c>
      <c r="AU127" t="inlineStr">
        <is>
          <t>701+</t>
        </is>
      </c>
      <c r="AV127" t="inlineStr">
        <is>
          <t>4.1</t>
        </is>
      </c>
      <c r="AW127" t="inlineStr">
        <is>
          <t>701+</t>
        </is>
      </c>
      <c r="AX127" t="inlineStr">
        <is>
          <t>14.3</t>
        </is>
      </c>
      <c r="AY127" t="inlineStr">
        <is>
          <t>588</t>
        </is>
      </c>
      <c r="AZ127" t="inlineStr">
        <is>
          <t>14.2</t>
        </is>
      </c>
      <c r="BA127" t="inlineStr">
        <is>
          <t>621=</t>
        </is>
      </c>
    </row>
    <row r="128">
      <c r="A128" t="inlineStr">
        <is>
          <t>Bina Nusantara University (BINUS)</t>
        </is>
      </c>
      <c r="B128" t="inlineStr">
        <is>
          <t>Indonesia</t>
        </is>
      </c>
      <c r="C128" t="inlineStr">
        <is>
          <t>ID</t>
        </is>
      </c>
      <c r="D128" t="inlineStr"/>
      <c r="E128" t="inlineStr">
        <is>
          <t>L</t>
        </is>
      </c>
      <c r="F128" t="inlineStr">
        <is>
          <t>CO</t>
        </is>
      </c>
      <c r="G128" t="inlineStr">
        <is>
          <t>VH</t>
        </is>
      </c>
      <c r="H128" t="inlineStr">
        <is>
          <t>3</t>
        </is>
      </c>
      <c r="I128" t="inlineStr">
        <is>
          <t>C</t>
        </is>
      </c>
      <c r="J128" t="inlineStr"/>
      <c r="K128" t="inlineStr"/>
      <c r="L128" t="inlineStr">
        <is>
          <t>1001-1200</t>
        </is>
      </c>
      <c r="M128" t="inlineStr">
        <is>
          <t>1001-1200</t>
        </is>
      </c>
      <c r="N128" t="inlineStr"/>
      <c r="O128" t="inlineStr">
        <is>
          <t>-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11.0</t>
        </is>
      </c>
      <c r="AK128" t="inlineStr">
        <is>
          <t>601+</t>
        </is>
      </c>
      <c r="AL128" t="inlineStr">
        <is>
          <t>16.1</t>
        </is>
      </c>
      <c r="AM128" t="inlineStr">
        <is>
          <t>527</t>
        </is>
      </c>
      <c r="AN128" t="inlineStr">
        <is>
          <t>20.6</t>
        </is>
      </c>
      <c r="AO128" t="inlineStr">
        <is>
          <t>655</t>
        </is>
      </c>
      <c r="AP128" t="inlineStr">
        <is>
          <t>1.9</t>
        </is>
      </c>
      <c r="AQ128" t="inlineStr">
        <is>
          <t>701+</t>
        </is>
      </c>
      <c r="AR128" t="inlineStr">
        <is>
          <t>25.6</t>
        </is>
      </c>
      <c r="AS128" t="inlineStr">
        <is>
          <t>525</t>
        </is>
      </c>
      <c r="AT128" t="inlineStr">
        <is>
          <t>4.5</t>
        </is>
      </c>
      <c r="AU128" t="inlineStr">
        <is>
          <t>701+</t>
        </is>
      </c>
      <c r="AV128" t="inlineStr">
        <is>
          <t>1.0</t>
        </is>
      </c>
      <c r="AW128" t="inlineStr">
        <is>
          <t>701+</t>
        </is>
      </c>
      <c r="AX128" t="inlineStr">
        <is>
          <t>13.8</t>
        </is>
      </c>
      <c r="AY128" t="inlineStr">
        <is>
          <t>617</t>
        </is>
      </c>
      <c r="AZ128" t="inlineStr">
        <is>
          <t>1.1</t>
        </is>
      </c>
      <c r="BA128" t="inlineStr">
        <is>
          <t>701+</t>
        </is>
      </c>
    </row>
    <row r="129">
      <c r="A129" t="inlineStr">
        <is>
          <t>Binghamton University SUNY</t>
        </is>
      </c>
      <c r="B129" t="inlineStr">
        <is>
          <t>United States</t>
        </is>
      </c>
      <c r="C129" t="inlineStr">
        <is>
          <t>US</t>
        </is>
      </c>
      <c r="D129" t="inlineStr">
        <is>
          <t>Americas</t>
        </is>
      </c>
      <c r="E129" t="inlineStr">
        <is>
          <t>L</t>
        </is>
      </c>
      <c r="F129" t="inlineStr">
        <is>
          <t>CO</t>
        </is>
      </c>
      <c r="G129" t="inlineStr">
        <is>
          <t>VH</t>
        </is>
      </c>
      <c r="H129" t="inlineStr">
        <is>
          <t>4</t>
        </is>
      </c>
      <c r="I129" t="inlineStr">
        <is>
          <t>Public</t>
        </is>
      </c>
      <c r="J129" t="inlineStr">
        <is>
          <t>1001-1200</t>
        </is>
      </c>
      <c r="K129" t="inlineStr">
        <is>
          <t>1001-1200</t>
        </is>
      </c>
      <c r="L129" t="inlineStr">
        <is>
          <t>1001-1200</t>
        </is>
      </c>
      <c r="M129" t="inlineStr">
        <is>
          <t>1001-1200</t>
        </is>
      </c>
      <c r="N129" t="inlineStr">
        <is>
          <t>-</t>
        </is>
      </c>
      <c r="O129" t="inlineStr">
        <is>
          <t>-</t>
        </is>
      </c>
      <c r="P129" t="n">
        <v>10.1</v>
      </c>
      <c r="Q129" t="inlineStr">
        <is>
          <t>701+</t>
        </is>
      </c>
      <c r="R129" t="n">
        <v>14.1</v>
      </c>
      <c r="S129" t="inlineStr">
        <is>
          <t>701+</t>
        </is>
      </c>
      <c r="T129" t="n">
        <v>9.300000000000001</v>
      </c>
      <c r="U129" t="inlineStr">
        <is>
          <t>801+</t>
        </is>
      </c>
      <c r="V129" t="n">
        <v>19.5</v>
      </c>
      <c r="W129" t="inlineStr">
        <is>
          <t>723</t>
        </is>
      </c>
      <c r="X129" t="n">
        <v>17.3</v>
      </c>
      <c r="Y129" t="inlineStr">
        <is>
          <t>760</t>
        </is>
      </c>
      <c r="Z129" t="n">
        <v>15.5</v>
      </c>
      <c r="AA129" t="inlineStr">
        <is>
          <t>801+</t>
        </is>
      </c>
      <c r="AB129" t="n">
        <v>21.6</v>
      </c>
      <c r="AC129" t="inlineStr">
        <is>
          <t>739</t>
        </is>
      </c>
      <c r="AD129" t="n">
        <v>26.2</v>
      </c>
      <c r="AE129" t="inlineStr">
        <is>
          <t>801+</t>
        </is>
      </c>
      <c r="AF129" t="n">
        <v>11.3</v>
      </c>
      <c r="AG129" t="inlineStr">
        <is>
          <t>801+</t>
        </is>
      </c>
      <c r="AH129" t="n">
        <v>44.8</v>
      </c>
      <c r="AI129" t="inlineStr">
        <is>
          <t>801+</t>
        </is>
      </c>
      <c r="AJ129" t="inlineStr">
        <is>
          <t>6.8</t>
        </is>
      </c>
      <c r="AK129" t="inlineStr">
        <is>
          <t>601+</t>
        </is>
      </c>
      <c r="AL129" t="inlineStr">
        <is>
          <t>4.8</t>
        </is>
      </c>
      <c r="AM129" t="inlineStr">
        <is>
          <t>601+</t>
        </is>
      </c>
      <c r="AN129" t="inlineStr">
        <is>
          <t>6.2</t>
        </is>
      </c>
      <c r="AO129" t="inlineStr">
        <is>
          <t>701+</t>
        </is>
      </c>
      <c r="AP129" t="inlineStr">
        <is>
          <t>16.9</t>
        </is>
      </c>
      <c r="AQ129" t="inlineStr">
        <is>
          <t>604</t>
        </is>
      </c>
      <c r="AR129" t="inlineStr">
        <is>
          <t>8.0</t>
        </is>
      </c>
      <c r="AS129" t="inlineStr">
        <is>
          <t>701+</t>
        </is>
      </c>
      <c r="AT129" t="inlineStr">
        <is>
          <t>9.9</t>
        </is>
      </c>
      <c r="AU129" t="inlineStr">
        <is>
          <t>701+</t>
        </is>
      </c>
      <c r="AV129" t="inlineStr">
        <is>
          <t>1.6</t>
        </is>
      </c>
      <c r="AW129" t="inlineStr">
        <is>
          <t>701+</t>
        </is>
      </c>
      <c r="AX129" t="inlineStr">
        <is>
          <t>10.8</t>
        </is>
      </c>
      <c r="AY129" t="inlineStr">
        <is>
          <t>701+</t>
        </is>
      </c>
      <c r="AZ129" t="inlineStr">
        <is>
          <t>3.9</t>
        </is>
      </c>
      <c r="BA129" t="inlineStr">
        <is>
          <t>701+</t>
        </is>
      </c>
    </row>
    <row r="130">
      <c r="A130" t="inlineStr">
        <is>
          <t>BINUS UNIVERSITY (Bina Nusantara University)</t>
        </is>
      </c>
      <c r="B130" t="inlineStr">
        <is>
          <t>Indonesia</t>
        </is>
      </c>
      <c r="C130" t="inlineStr"/>
      <c r="D130" t="inlineStr">
        <is>
          <t>Asia</t>
        </is>
      </c>
      <c r="E130" t="inlineStr">
        <is>
          <t>L</t>
        </is>
      </c>
      <c r="F130" t="inlineStr">
        <is>
          <t>CO</t>
        </is>
      </c>
      <c r="G130" t="inlineStr">
        <is>
          <t>VH</t>
        </is>
      </c>
      <c r="H130" t="inlineStr"/>
      <c r="I130" t="inlineStr">
        <is>
          <t>Private for Profit</t>
        </is>
      </c>
      <c r="J130" t="inlineStr">
        <is>
          <t>851-900</t>
        </is>
      </c>
      <c r="K130" t="inlineStr">
        <is>
          <t>951-1000</t>
        </is>
      </c>
      <c r="L130" t="inlineStr"/>
      <c r="M130" t="inlineStr"/>
      <c r="N130" t="inlineStr">
        <is>
          <t>-</t>
        </is>
      </c>
      <c r="O130" t="inlineStr"/>
      <c r="P130" t="n">
        <v>20.1</v>
      </c>
      <c r="Q130" t="inlineStr">
        <is>
          <t>611</t>
        </is>
      </c>
      <c r="R130" t="n">
        <v>33.3</v>
      </c>
      <c r="S130" t="inlineStr">
        <is>
          <t>432</t>
        </is>
      </c>
      <c r="T130" t="n">
        <v>28.5</v>
      </c>
      <c r="U130" t="inlineStr">
        <is>
          <t>670</t>
        </is>
      </c>
      <c r="V130" t="n">
        <v>4.3</v>
      </c>
      <c r="W130" t="inlineStr">
        <is>
          <t>801+</t>
        </is>
      </c>
      <c r="X130" t="n">
        <v>51.5</v>
      </c>
      <c r="Y130" t="inlineStr">
        <is>
          <t>429</t>
        </is>
      </c>
      <c r="Z130" t="n">
        <v>8.699999999999999</v>
      </c>
      <c r="AA130" t="inlineStr">
        <is>
          <t>801+</t>
        </is>
      </c>
      <c r="AB130" t="n">
        <v>13.5</v>
      </c>
      <c r="AC130" t="inlineStr">
        <is>
          <t>801+</t>
        </is>
      </c>
      <c r="AD130" t="n">
        <v>14.4</v>
      </c>
      <c r="AE130" t="inlineStr">
        <is>
          <t>801+</t>
        </is>
      </c>
      <c r="AF130" t="n">
        <v>20.6</v>
      </c>
      <c r="AG130" t="inlineStr">
        <is>
          <t>714</t>
        </is>
      </c>
      <c r="AH130" t="n">
        <v>41.1</v>
      </c>
      <c r="AI130" t="inlineStr">
        <is>
          <t>801+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Birkbeck College, University of London</t>
        </is>
      </c>
      <c r="B131" t="inlineStr">
        <is>
          <t>United Kingdom</t>
        </is>
      </c>
      <c r="C131" t="inlineStr"/>
      <c r="D131" t="inlineStr">
        <is>
          <t>Europe</t>
        </is>
      </c>
      <c r="E131" t="inlineStr">
        <is>
          <t>M</t>
        </is>
      </c>
      <c r="F131" t="inlineStr">
        <is>
          <t>CO</t>
        </is>
      </c>
      <c r="G131" t="inlineStr">
        <is>
          <t>VH</t>
        </is>
      </c>
      <c r="H131" t="inlineStr"/>
      <c r="I131" t="inlineStr">
        <is>
          <t>Public</t>
        </is>
      </c>
      <c r="J131" t="inlineStr">
        <is>
          <t>388</t>
        </is>
      </c>
      <c r="K131" t="inlineStr">
        <is>
          <t>408</t>
        </is>
      </c>
      <c r="L131" t="inlineStr"/>
      <c r="M131" t="inlineStr"/>
      <c r="N131" t="inlineStr">
        <is>
          <t>38.5</t>
        </is>
      </c>
      <c r="O131" t="inlineStr"/>
      <c r="P131" t="n">
        <v>15.5</v>
      </c>
      <c r="Q131" t="inlineStr">
        <is>
          <t>701+</t>
        </is>
      </c>
      <c r="R131" t="n">
        <v>5.9</v>
      </c>
      <c r="S131" t="inlineStr">
        <is>
          <t>701+</t>
        </is>
      </c>
      <c r="T131" t="n">
        <v>19.1</v>
      </c>
      <c r="U131" t="inlineStr">
        <is>
          <t>801+</t>
        </is>
      </c>
      <c r="V131" t="n">
        <v>79.59999999999999</v>
      </c>
      <c r="W131" t="inlineStr">
        <is>
          <t>159</t>
        </is>
      </c>
      <c r="X131" t="n">
        <v>98.90000000000001</v>
      </c>
      <c r="Y131" t="inlineStr">
        <is>
          <t>130</t>
        </is>
      </c>
      <c r="Z131" t="n">
        <v>98.7</v>
      </c>
      <c r="AA131" t="inlineStr">
        <is>
          <t>78</t>
        </is>
      </c>
      <c r="AB131" t="n">
        <v>98.7</v>
      </c>
      <c r="AC131" t="inlineStr">
        <is>
          <t>66</t>
        </is>
      </c>
      <c r="AD131" t="n">
        <v>60.1</v>
      </c>
      <c r="AE131" t="inlineStr">
        <is>
          <t>690</t>
        </is>
      </c>
      <c r="AF131" t="n">
        <v>17.7</v>
      </c>
      <c r="AG131" t="inlineStr">
        <is>
          <t>766</t>
        </is>
      </c>
      <c r="AH131" t="n">
        <v>45.6</v>
      </c>
      <c r="AI131" t="inlineStr">
        <is>
          <t>801+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Birkbeck, University of London</t>
        </is>
      </c>
      <c r="B132" t="inlineStr">
        <is>
          <t>United Kingdom</t>
        </is>
      </c>
      <c r="C132" t="inlineStr">
        <is>
          <t>UK</t>
        </is>
      </c>
      <c r="D132" t="inlineStr"/>
      <c r="E132" t="inlineStr">
        <is>
          <t>M</t>
        </is>
      </c>
      <c r="F132" t="inlineStr">
        <is>
          <t>FO</t>
        </is>
      </c>
      <c r="G132" t="inlineStr">
        <is>
          <t>VH</t>
        </is>
      </c>
      <c r="H132" t="inlineStr">
        <is>
          <t>5</t>
        </is>
      </c>
      <c r="I132" t="inlineStr">
        <is>
          <t>A</t>
        </is>
      </c>
      <c r="J132" t="inlineStr"/>
      <c r="K132" t="inlineStr"/>
      <c r="L132" t="inlineStr">
        <is>
          <t>374</t>
        </is>
      </c>
      <c r="M132" t="inlineStr">
        <is>
          <t>343=</t>
        </is>
      </c>
      <c r="N132" t="inlineStr"/>
      <c r="O132" t="inlineStr">
        <is>
          <t>29.7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10.8</t>
        </is>
      </c>
      <c r="AK132" t="inlineStr">
        <is>
          <t>601+</t>
        </is>
      </c>
      <c r="AL132" t="inlineStr">
        <is>
          <t>3.5</t>
        </is>
      </c>
      <c r="AM132" t="inlineStr">
        <is>
          <t>601+</t>
        </is>
      </c>
      <c r="AN132" t="inlineStr">
        <is>
          <t>14.1</t>
        </is>
      </c>
      <c r="AO132" t="inlineStr">
        <is>
          <t>701+</t>
        </is>
      </c>
      <c r="AP132" t="inlineStr">
        <is>
          <t>65.1</t>
        </is>
      </c>
      <c r="AQ132" t="inlineStr">
        <is>
          <t>172</t>
        </is>
      </c>
      <c r="AR132" t="inlineStr">
        <is>
          <t>97.5</t>
        </is>
      </c>
      <c r="AS132" t="inlineStr">
        <is>
          <t>123</t>
        </is>
      </c>
      <c r="AT132" t="inlineStr">
        <is>
          <t>98.0</t>
        </is>
      </c>
      <c r="AU132" t="inlineStr">
        <is>
          <t>62</t>
        </is>
      </c>
      <c r="AV132" t="inlineStr">
        <is>
          <t>9.1</t>
        </is>
      </c>
      <c r="AW132" t="inlineStr">
        <is>
          <t>692</t>
        </is>
      </c>
      <c r="AX132" t="inlineStr">
        <is>
          <t>12.3</t>
        </is>
      </c>
      <c r="AY132" t="inlineStr">
        <is>
          <t>701+</t>
        </is>
      </c>
      <c r="AZ132" t="inlineStr">
        <is>
          <t>12</t>
        </is>
      </c>
      <c r="BA132" t="inlineStr">
        <is>
          <t>642=</t>
        </is>
      </c>
    </row>
    <row r="133">
      <c r="A133" t="inlineStr">
        <is>
          <t>Birla Institute of Technology and Science</t>
        </is>
      </c>
      <c r="B133" t="inlineStr">
        <is>
          <t>India</t>
        </is>
      </c>
      <c r="C133" t="inlineStr"/>
      <c r="D133" t="inlineStr">
        <is>
          <t>Asia</t>
        </is>
      </c>
      <c r="E133" t="inlineStr">
        <is>
          <t>L</t>
        </is>
      </c>
      <c r="F133" t="inlineStr">
        <is>
          <t>CO</t>
        </is>
      </c>
      <c r="G133" t="inlineStr">
        <is>
          <t>VH</t>
        </is>
      </c>
      <c r="H133" t="inlineStr"/>
      <c r="I133" t="inlineStr">
        <is>
          <t>Private not for Profit</t>
        </is>
      </c>
      <c r="J133" t="inlineStr">
        <is>
          <t>668</t>
        </is>
      </c>
      <c r="K133" t="inlineStr">
        <is>
          <t>801-850</t>
        </is>
      </c>
      <c r="L133" t="inlineStr"/>
      <c r="M133" t="inlineStr"/>
      <c r="N133" t="inlineStr">
        <is>
          <t>26.3</t>
        </is>
      </c>
      <c r="O133" t="inlineStr"/>
      <c r="P133" t="n">
        <v>18</v>
      </c>
      <c r="Q133" t="inlineStr">
        <is>
          <t>678</t>
        </is>
      </c>
      <c r="R133" t="n">
        <v>32.6</v>
      </c>
      <c r="S133" t="inlineStr">
        <is>
          <t>441</t>
        </is>
      </c>
      <c r="T133" t="n">
        <v>12.4</v>
      </c>
      <c r="U133" t="inlineStr">
        <is>
          <t>801+</t>
        </is>
      </c>
      <c r="V133" t="n">
        <v>39.3</v>
      </c>
      <c r="W133" t="inlineStr">
        <is>
          <t>480</t>
        </is>
      </c>
      <c r="X133" t="n">
        <v>2.9</v>
      </c>
      <c r="Y133" t="inlineStr">
        <is>
          <t>801+</t>
        </is>
      </c>
      <c r="Z133" t="n">
        <v>4</v>
      </c>
      <c r="AA133" t="inlineStr">
        <is>
          <t>801+</t>
        </is>
      </c>
      <c r="AB133" t="n">
        <v>7.9</v>
      </c>
      <c r="AC133" t="inlineStr">
        <is>
          <t>801+</t>
        </is>
      </c>
      <c r="AD133" t="n">
        <v>41.8</v>
      </c>
      <c r="AE133" t="inlineStr">
        <is>
          <t>801+</t>
        </is>
      </c>
      <c r="AF133" t="n">
        <v>55</v>
      </c>
      <c r="AG133" t="inlineStr">
        <is>
          <t>302</t>
        </is>
      </c>
      <c r="AH133" t="n">
        <v>58.8</v>
      </c>
      <c r="AI133" t="inlineStr">
        <is>
          <t>525=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Birla Institute of Technology and Science, Pilani</t>
        </is>
      </c>
      <c r="B134" t="inlineStr">
        <is>
          <t>India</t>
        </is>
      </c>
      <c r="C134" t="inlineStr">
        <is>
          <t>IN</t>
        </is>
      </c>
      <c r="D134" t="inlineStr"/>
      <c r="E134" t="inlineStr">
        <is>
          <t>L</t>
        </is>
      </c>
      <c r="F134" t="inlineStr">
        <is>
          <t>CO</t>
        </is>
      </c>
      <c r="G134" t="inlineStr">
        <is>
          <t>VH</t>
        </is>
      </c>
      <c r="H134" t="inlineStr">
        <is>
          <t>5</t>
        </is>
      </c>
      <c r="I134" t="inlineStr">
        <is>
          <t>B</t>
        </is>
      </c>
      <c r="J134" t="inlineStr"/>
      <c r="K134" t="inlineStr"/>
      <c r="L134" t="inlineStr">
        <is>
          <t>951-1000</t>
        </is>
      </c>
      <c r="M134" t="inlineStr">
        <is>
          <t>1001-1200</t>
        </is>
      </c>
      <c r="N134" t="inlineStr"/>
      <c r="O134" t="inlineStr">
        <is>
          <t>-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9.1</t>
        </is>
      </c>
      <c r="AK134" t="inlineStr">
        <is>
          <t>601+</t>
        </is>
      </c>
      <c r="AL134" t="inlineStr">
        <is>
          <t>14.4</t>
        </is>
      </c>
      <c r="AM134" t="inlineStr">
        <is>
          <t>571</t>
        </is>
      </c>
      <c r="AN134" t="inlineStr">
        <is>
          <t>7.3</t>
        </is>
      </c>
      <c r="AO134" t="inlineStr">
        <is>
          <t>701+</t>
        </is>
      </c>
      <c r="AP134" t="inlineStr">
        <is>
          <t>17.3</t>
        </is>
      </c>
      <c r="AQ134" t="inlineStr">
        <is>
          <t>596</t>
        </is>
      </c>
      <c r="AR134" t="inlineStr">
        <is>
          <t>1.8</t>
        </is>
      </c>
      <c r="AS134" t="inlineStr">
        <is>
          <t>701+</t>
        </is>
      </c>
      <c r="AT134" t="inlineStr">
        <is>
          <t>2.6</t>
        </is>
      </c>
      <c r="AU134" t="inlineStr">
        <is>
          <t>701+</t>
        </is>
      </c>
      <c r="AV134" t="inlineStr">
        <is>
          <t>2.2</t>
        </is>
      </c>
      <c r="AW134" t="inlineStr">
        <is>
          <t>701+</t>
        </is>
      </c>
      <c r="AX134" t="inlineStr">
        <is>
          <t>24</t>
        </is>
      </c>
      <c r="AY134" t="inlineStr">
        <is>
          <t>352</t>
        </is>
      </c>
      <c r="AZ134" t="inlineStr">
        <is>
          <t>7.9</t>
        </is>
      </c>
      <c r="BA134" t="inlineStr">
        <is>
          <t>701+</t>
        </is>
      </c>
    </row>
    <row r="135">
      <c r="A135" t="inlineStr">
        <is>
          <t>Birmingham City University</t>
        </is>
      </c>
      <c r="B135" t="inlineStr">
        <is>
          <t>United Kingdom</t>
        </is>
      </c>
      <c r="C135" t="inlineStr">
        <is>
          <t>UK</t>
        </is>
      </c>
      <c r="D135" t="inlineStr">
        <is>
          <t>Europe</t>
        </is>
      </c>
      <c r="E135" t="inlineStr">
        <is>
          <t>XL</t>
        </is>
      </c>
      <c r="F135" t="inlineStr">
        <is>
          <t>FO</t>
        </is>
      </c>
      <c r="G135" t="inlineStr">
        <is>
          <t>HI</t>
        </is>
      </c>
      <c r="H135" t="inlineStr">
        <is>
          <t>3</t>
        </is>
      </c>
      <c r="I135" t="inlineStr">
        <is>
          <t>Public</t>
        </is>
      </c>
      <c r="J135" t="inlineStr">
        <is>
          <t>1001-1200</t>
        </is>
      </c>
      <c r="K135" t="inlineStr">
        <is>
          <t>1001-1200</t>
        </is>
      </c>
      <c r="L135" t="inlineStr">
        <is>
          <t>1001-1200</t>
        </is>
      </c>
      <c r="M135" t="inlineStr">
        <is>
          <t>1001-1200</t>
        </is>
      </c>
      <c r="N135" t="inlineStr">
        <is>
          <t>-</t>
        </is>
      </c>
      <c r="O135" t="inlineStr">
        <is>
          <t>-</t>
        </is>
      </c>
      <c r="P135" t="n">
        <v>8.199999999999999</v>
      </c>
      <c r="Q135" t="inlineStr">
        <is>
          <t>701+</t>
        </is>
      </c>
      <c r="R135" t="n">
        <v>8</v>
      </c>
      <c r="S135" t="inlineStr">
        <is>
          <t>701+</t>
        </is>
      </c>
      <c r="T135" t="n">
        <v>8.699999999999999</v>
      </c>
      <c r="U135" t="inlineStr">
        <is>
          <t>801+</t>
        </is>
      </c>
      <c r="V135" t="n">
        <v>6.5</v>
      </c>
      <c r="W135" t="inlineStr">
        <is>
          <t>801+</t>
        </is>
      </c>
      <c r="X135" t="n">
        <v>54.9</v>
      </c>
      <c r="Y135" t="inlineStr">
        <is>
          <t>412</t>
        </is>
      </c>
      <c r="Z135" t="n">
        <v>65.5</v>
      </c>
      <c r="AA135" t="inlineStr">
        <is>
          <t>304</t>
        </is>
      </c>
      <c r="AB135" t="n">
        <v>68.8</v>
      </c>
      <c r="AC135" t="inlineStr">
        <is>
          <t>278</t>
        </is>
      </c>
      <c r="AD135" t="n">
        <v>44.5</v>
      </c>
      <c r="AE135" t="inlineStr">
        <is>
          <t>801+</t>
        </is>
      </c>
      <c r="AF135" t="n">
        <v>12.1</v>
      </c>
      <c r="AG135" t="inlineStr">
        <is>
          <t>801+</t>
        </is>
      </c>
      <c r="AH135" t="n">
        <v>37.9</v>
      </c>
      <c r="AI135" t="inlineStr">
        <is>
          <t>801+</t>
        </is>
      </c>
      <c r="AJ135" t="inlineStr">
        <is>
          <t>5.8</t>
        </is>
      </c>
      <c r="AK135" t="inlineStr">
        <is>
          <t>601+</t>
        </is>
      </c>
      <c r="AL135" t="inlineStr">
        <is>
          <t>4.6</t>
        </is>
      </c>
      <c r="AM135" t="inlineStr">
        <is>
          <t>601+</t>
        </is>
      </c>
      <c r="AN135" t="inlineStr">
        <is>
          <t>7.6</t>
        </is>
      </c>
      <c r="AO135" t="inlineStr">
        <is>
          <t>701+</t>
        </is>
      </c>
      <c r="AP135" t="inlineStr">
        <is>
          <t>3.1</t>
        </is>
      </c>
      <c r="AQ135" t="inlineStr">
        <is>
          <t>701+</t>
        </is>
      </c>
      <c r="AR135" t="inlineStr">
        <is>
          <t>43.5</t>
        </is>
      </c>
      <c r="AS135" t="inlineStr">
        <is>
          <t>385</t>
        </is>
      </c>
      <c r="AT135" t="inlineStr">
        <is>
          <t>76.5</t>
        </is>
      </c>
      <c r="AU135" t="inlineStr">
        <is>
          <t>179</t>
        </is>
      </c>
      <c r="AV135" t="inlineStr">
        <is>
          <t>1.4</t>
        </is>
      </c>
      <c r="AW135" t="inlineStr">
        <is>
          <t>701+</t>
        </is>
      </c>
      <c r="AX135" t="inlineStr">
        <is>
          <t>11.3</t>
        </is>
      </c>
      <c r="AY135" t="inlineStr">
        <is>
          <t>701+</t>
        </is>
      </c>
      <c r="AZ135" t="inlineStr">
        <is>
          <t>1.3</t>
        </is>
      </c>
      <c r="BA135" t="inlineStr">
        <is>
          <t>701+</t>
        </is>
      </c>
    </row>
    <row r="136">
      <c r="A136" t="inlineStr">
        <is>
          <t>Birzeit university</t>
        </is>
      </c>
      <c r="B136" t="inlineStr">
        <is>
          <t>Palestine</t>
        </is>
      </c>
      <c r="C136" t="inlineStr"/>
      <c r="D136" t="inlineStr">
        <is>
          <t>Asia</t>
        </is>
      </c>
      <c r="E136" t="inlineStr">
        <is>
          <t>M</t>
        </is>
      </c>
      <c r="F136" t="inlineStr">
        <is>
          <t>CO</t>
        </is>
      </c>
      <c r="G136" t="inlineStr">
        <is>
          <t>HI</t>
        </is>
      </c>
      <c r="H136" t="inlineStr"/>
      <c r="I136" t="inlineStr">
        <is>
          <t>Private not for Profit</t>
        </is>
      </c>
      <c r="J136" t="inlineStr">
        <is>
          <t>1201-1400</t>
        </is>
      </c>
      <c r="K136" t="inlineStr">
        <is>
          <t>1201-1400</t>
        </is>
      </c>
      <c r="L136" t="inlineStr"/>
      <c r="M136" t="inlineStr"/>
      <c r="N136" t="inlineStr">
        <is>
          <t>-</t>
        </is>
      </c>
      <c r="O136" t="inlineStr"/>
      <c r="P136" t="n">
        <v>12.5</v>
      </c>
      <c r="Q136" t="inlineStr">
        <is>
          <t>701+</t>
        </is>
      </c>
      <c r="R136" t="n">
        <v>8.5</v>
      </c>
      <c r="S136" t="inlineStr">
        <is>
          <t>701+</t>
        </is>
      </c>
      <c r="T136" t="n">
        <v>6.7</v>
      </c>
      <c r="U136" t="inlineStr">
        <is>
          <t>801+</t>
        </is>
      </c>
      <c r="V136" t="n">
        <v>5.1</v>
      </c>
      <c r="W136" t="inlineStr">
        <is>
          <t>801+</t>
        </is>
      </c>
      <c r="X136" t="n">
        <v>17.9</v>
      </c>
      <c r="Y136" t="inlineStr">
        <is>
          <t>748</t>
        </is>
      </c>
      <c r="Z136" t="n">
        <v>7.4</v>
      </c>
      <c r="AA136" t="inlineStr">
        <is>
          <t>801+</t>
        </is>
      </c>
      <c r="AB136" t="n">
        <v>5.7</v>
      </c>
      <c r="AC136" t="inlineStr">
        <is>
          <t>801+</t>
        </is>
      </c>
      <c r="AD136" t="n">
        <v>20</v>
      </c>
      <c r="AE136" t="inlineStr">
        <is>
          <t>801+</t>
        </is>
      </c>
      <c r="AF136" t="n">
        <v>38.3</v>
      </c>
      <c r="AG136" t="inlineStr">
        <is>
          <t>451</t>
        </is>
      </c>
      <c r="AH136" t="n">
        <v>12.3</v>
      </c>
      <c r="AI136" t="inlineStr">
        <is>
          <t>801+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Birzeit university</t>
        </is>
      </c>
      <c r="B137" t="inlineStr">
        <is>
          <t>Palestinian Territory, Occupied</t>
        </is>
      </c>
      <c r="C137" t="inlineStr">
        <is>
          <t>PS</t>
        </is>
      </c>
      <c r="D137" t="inlineStr"/>
      <c r="E137" t="inlineStr">
        <is>
          <t>M</t>
        </is>
      </c>
      <c r="F137" t="inlineStr">
        <is>
          <t>CO</t>
        </is>
      </c>
      <c r="G137" t="inlineStr">
        <is>
          <t>MD</t>
        </is>
      </c>
      <c r="H137" t="inlineStr">
        <is>
          <t>4</t>
        </is>
      </c>
      <c r="I137" t="inlineStr">
        <is>
          <t>B</t>
        </is>
      </c>
      <c r="J137" t="inlineStr"/>
      <c r="K137" t="inlineStr"/>
      <c r="L137" t="inlineStr">
        <is>
          <t>1201-1400</t>
        </is>
      </c>
      <c r="M137" t="inlineStr">
        <is>
          <t>1201-1400</t>
        </is>
      </c>
      <c r="N137" t="inlineStr"/>
      <c r="O137" t="inlineStr">
        <is>
          <t>-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6.3</t>
        </is>
      </c>
      <c r="AK137" t="inlineStr">
        <is>
          <t>601+</t>
        </is>
      </c>
      <c r="AL137" t="inlineStr">
        <is>
          <t>9.4</t>
        </is>
      </c>
      <c r="AM137" t="inlineStr">
        <is>
          <t>601+</t>
        </is>
      </c>
      <c r="AN137" t="inlineStr">
        <is>
          <t>4.9</t>
        </is>
      </c>
      <c r="AO137" t="inlineStr">
        <is>
          <t>701+</t>
        </is>
      </c>
      <c r="AP137" t="inlineStr">
        <is>
          <t>2.7</t>
        </is>
      </c>
      <c r="AQ137" t="inlineStr">
        <is>
          <t>701+</t>
        </is>
      </c>
      <c r="AR137" t="inlineStr">
        <is>
          <t>14.3</t>
        </is>
      </c>
      <c r="AS137" t="inlineStr">
        <is>
          <t>678</t>
        </is>
      </c>
      <c r="AT137" t="inlineStr">
        <is>
          <t>4.3</t>
        </is>
      </c>
      <c r="AU137" t="inlineStr">
        <is>
          <t>701+</t>
        </is>
      </c>
      <c r="AV137" t="inlineStr">
        <is>
          <t>1.2</t>
        </is>
      </c>
      <c r="AW137" t="inlineStr">
        <is>
          <t>701+</t>
        </is>
      </c>
      <c r="AX137" t="inlineStr">
        <is>
          <t>16.8</t>
        </is>
      </c>
      <c r="AY137" t="inlineStr">
        <is>
          <t>505</t>
        </is>
      </c>
      <c r="AZ137" t="inlineStr">
        <is>
          <t>1</t>
        </is>
      </c>
      <c r="BA137" t="inlineStr">
        <is>
          <t>701+</t>
        </is>
      </c>
    </row>
    <row r="138">
      <c r="A138" t="inlineStr">
        <is>
          <t>Bogazici University</t>
        </is>
      </c>
      <c r="B138" t="inlineStr">
        <is>
          <t>Turkey</t>
        </is>
      </c>
      <c r="C138" t="inlineStr"/>
      <c r="D138" t="inlineStr">
        <is>
          <t>Asia</t>
        </is>
      </c>
      <c r="E138" t="inlineStr">
        <is>
          <t>M</t>
        </is>
      </c>
      <c r="F138" t="inlineStr">
        <is>
          <t>CO</t>
        </is>
      </c>
      <c r="G138" t="inlineStr">
        <is>
          <t>VH</t>
        </is>
      </c>
      <c r="H138" t="inlineStr"/>
      <c r="I138" t="inlineStr">
        <is>
          <t>Public</t>
        </is>
      </c>
      <c r="J138" t="inlineStr">
        <is>
          <t>371</t>
        </is>
      </c>
      <c r="K138" t="inlineStr">
        <is>
          <t>418</t>
        </is>
      </c>
      <c r="L138" t="inlineStr"/>
      <c r="M138" t="inlineStr"/>
      <c r="N138" t="inlineStr">
        <is>
          <t>40.3</t>
        </is>
      </c>
      <c r="O138" t="inlineStr"/>
      <c r="P138" t="n">
        <v>36.2</v>
      </c>
      <c r="Q138" t="inlineStr">
        <is>
          <t>335</t>
        </is>
      </c>
      <c r="R138" t="n">
        <v>85.8</v>
      </c>
      <c r="S138" t="inlineStr">
        <is>
          <t>88</t>
        </is>
      </c>
      <c r="T138" t="n">
        <v>5.1</v>
      </c>
      <c r="U138" t="inlineStr">
        <is>
          <t>801+</t>
        </is>
      </c>
      <c r="V138" t="n">
        <v>23.7</v>
      </c>
      <c r="W138" t="inlineStr">
        <is>
          <t>662</t>
        </is>
      </c>
      <c r="X138" t="n">
        <v>28.2</v>
      </c>
      <c r="Y138" t="inlineStr">
        <is>
          <t>603</t>
        </is>
      </c>
      <c r="Z138" t="n">
        <v>7.5</v>
      </c>
      <c r="AA138" t="inlineStr">
        <is>
          <t>801+</t>
        </is>
      </c>
      <c r="AB138" t="n">
        <v>12.6</v>
      </c>
      <c r="AC138" t="inlineStr">
        <is>
          <t>801+</t>
        </is>
      </c>
      <c r="AD138" t="n">
        <v>49</v>
      </c>
      <c r="AE138" t="inlineStr">
        <is>
          <t>801+</t>
        </is>
      </c>
      <c r="AF138" t="n">
        <v>88.7</v>
      </c>
      <c r="AG138" t="inlineStr">
        <is>
          <t>116</t>
        </is>
      </c>
      <c r="AH138" t="n">
        <v>68.5</v>
      </c>
      <c r="AI138" t="inlineStr">
        <is>
          <t>342=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Bond University</t>
        </is>
      </c>
      <c r="B139" t="inlineStr">
        <is>
          <t>Australia</t>
        </is>
      </c>
      <c r="C139" t="inlineStr">
        <is>
          <t>AU</t>
        </is>
      </c>
      <c r="D139" t="inlineStr">
        <is>
          <t>Oceania</t>
        </is>
      </c>
      <c r="E139" t="inlineStr">
        <is>
          <t>S</t>
        </is>
      </c>
      <c r="F139" t="inlineStr">
        <is>
          <t>FO</t>
        </is>
      </c>
      <c r="G139" t="inlineStr">
        <is>
          <t>VH</t>
        </is>
      </c>
      <c r="H139" t="inlineStr">
        <is>
          <t>3</t>
        </is>
      </c>
      <c r="I139" t="inlineStr">
        <is>
          <t>Private not for Profit</t>
        </is>
      </c>
      <c r="J139" t="inlineStr">
        <is>
          <t>591</t>
        </is>
      </c>
      <c r="K139" t="inlineStr">
        <is>
          <t>587</t>
        </is>
      </c>
      <c r="L139">
        <f>567</f>
        <v/>
      </c>
      <c r="M139" t="inlineStr">
        <is>
          <t>481=</t>
        </is>
      </c>
      <c r="N139" t="inlineStr">
        <is>
          <t>28.5</t>
        </is>
      </c>
      <c r="O139" t="inlineStr">
        <is>
          <t>20.8</t>
        </is>
      </c>
      <c r="P139" t="n">
        <v>5.9</v>
      </c>
      <c r="Q139" t="inlineStr">
        <is>
          <t>701+</t>
        </is>
      </c>
      <c r="R139" t="n">
        <v>8.300000000000001</v>
      </c>
      <c r="S139" t="inlineStr">
        <is>
          <t>701+</t>
        </is>
      </c>
      <c r="T139" t="n">
        <v>52.1</v>
      </c>
      <c r="U139" t="inlineStr">
        <is>
          <t>362</t>
        </is>
      </c>
      <c r="V139" t="n">
        <v>53.8</v>
      </c>
      <c r="W139" t="inlineStr">
        <is>
          <t>346</t>
        </is>
      </c>
      <c r="X139" t="n">
        <v>63.5</v>
      </c>
      <c r="Y139" t="inlineStr">
        <is>
          <t>366</t>
        </is>
      </c>
      <c r="Z139" t="n">
        <v>90.40000000000001</v>
      </c>
      <c r="AA139" t="inlineStr">
        <is>
          <t>164</t>
        </is>
      </c>
      <c r="AB139" t="n">
        <v>91.2</v>
      </c>
      <c r="AC139" t="inlineStr">
        <is>
          <t>139</t>
        </is>
      </c>
      <c r="AD139" t="n">
        <v>24.6</v>
      </c>
      <c r="AE139" t="inlineStr">
        <is>
          <t>801+</t>
        </is>
      </c>
      <c r="AF139" t="n">
        <v>11.6</v>
      </c>
      <c r="AG139" t="inlineStr">
        <is>
          <t>801+</t>
        </is>
      </c>
      <c r="AH139" t="n">
        <v>23.5</v>
      </c>
      <c r="AI139" t="inlineStr">
        <is>
          <t>801+</t>
        </is>
      </c>
      <c r="AJ139" t="inlineStr">
        <is>
          <t>4.7</t>
        </is>
      </c>
      <c r="AK139" t="inlineStr">
        <is>
          <t>601+</t>
        </is>
      </c>
      <c r="AL139" t="inlineStr">
        <is>
          <t>5.2</t>
        </is>
      </c>
      <c r="AM139" t="inlineStr">
        <is>
          <t>601+</t>
        </is>
      </c>
      <c r="AN139" t="inlineStr">
        <is>
          <t>44.1</t>
        </is>
      </c>
      <c r="AO139" t="inlineStr">
        <is>
          <t>356</t>
        </is>
      </c>
      <c r="AP139" t="inlineStr">
        <is>
          <t>22.8</t>
        </is>
      </c>
      <c r="AQ139" t="inlineStr">
        <is>
          <t>518</t>
        </is>
      </c>
      <c r="AR139" t="inlineStr">
        <is>
          <t>87.7</t>
        </is>
      </c>
      <c r="AS139" t="inlineStr">
        <is>
          <t>195</t>
        </is>
      </c>
      <c r="AT139" t="inlineStr">
        <is>
          <t>93.6</t>
        </is>
      </c>
      <c r="AU139" t="inlineStr">
        <is>
          <t>96</t>
        </is>
      </c>
      <c r="AV139" t="inlineStr">
        <is>
          <t>1.1</t>
        </is>
      </c>
      <c r="AW139" t="inlineStr">
        <is>
          <t>701+</t>
        </is>
      </c>
      <c r="AX139" t="inlineStr">
        <is>
          <t>11.7</t>
        </is>
      </c>
      <c r="AY139" t="inlineStr">
        <is>
          <t>701+</t>
        </is>
      </c>
      <c r="AZ139" t="inlineStr">
        <is>
          <t>1.1</t>
        </is>
      </c>
      <c r="BA139" t="inlineStr">
        <is>
          <t>701+</t>
        </is>
      </c>
    </row>
    <row r="140">
      <c r="A140" t="inlineStr">
        <is>
          <t>Boston College</t>
        </is>
      </c>
      <c r="B140" t="inlineStr">
        <is>
          <t>United States</t>
        </is>
      </c>
      <c r="C140" t="inlineStr">
        <is>
          <t>US</t>
        </is>
      </c>
      <c r="D140" t="inlineStr">
        <is>
          <t>Americas</t>
        </is>
      </c>
      <c r="E140" t="inlineStr">
        <is>
          <t>L</t>
        </is>
      </c>
      <c r="F140" t="inlineStr">
        <is>
          <t>CO</t>
        </is>
      </c>
      <c r="G140" t="inlineStr">
        <is>
          <t>VH</t>
        </is>
      </c>
      <c r="H140" t="inlineStr">
        <is>
          <t>5</t>
        </is>
      </c>
      <c r="I140" t="inlineStr">
        <is>
          <t>Private not for Profit</t>
        </is>
      </c>
      <c r="J140" t="inlineStr">
        <is>
          <t>526</t>
        </is>
      </c>
      <c r="K140" t="inlineStr">
        <is>
          <t>631-640</t>
        </is>
      </c>
      <c r="L140" t="inlineStr">
        <is>
          <t>631-640</t>
        </is>
      </c>
      <c r="M140" t="inlineStr">
        <is>
          <t>561-570</t>
        </is>
      </c>
      <c r="N140" t="inlineStr">
        <is>
          <t>30.9</t>
        </is>
      </c>
      <c r="O140" t="inlineStr">
        <is>
          <t>-</t>
        </is>
      </c>
      <c r="P140" t="n">
        <v>29.9</v>
      </c>
      <c r="Q140" t="inlineStr">
        <is>
          <t>407</t>
        </is>
      </c>
      <c r="R140" t="n">
        <v>30.2</v>
      </c>
      <c r="S140" t="inlineStr">
        <is>
          <t>471</t>
        </is>
      </c>
      <c r="T140" t="n">
        <v>28</v>
      </c>
      <c r="U140" t="inlineStr">
        <is>
          <t>681</t>
        </is>
      </c>
      <c r="V140" t="n">
        <v>26.8</v>
      </c>
      <c r="W140" t="inlineStr">
        <is>
          <t>618</t>
        </is>
      </c>
      <c r="X140" t="n">
        <v>9.800000000000001</v>
      </c>
      <c r="Y140" t="inlineStr">
        <is>
          <t>801+</t>
        </is>
      </c>
      <c r="Z140" t="n">
        <v>28.5</v>
      </c>
      <c r="AA140" t="inlineStr">
        <is>
          <t>608</t>
        </is>
      </c>
      <c r="AB140" t="n">
        <v>34.5</v>
      </c>
      <c r="AC140" t="inlineStr">
        <is>
          <t>556</t>
        </is>
      </c>
      <c r="AD140" t="n">
        <v>47.7</v>
      </c>
      <c r="AE140" t="inlineStr">
        <is>
          <t>801+</t>
        </is>
      </c>
      <c r="AF140" t="n">
        <v>64.8</v>
      </c>
      <c r="AG140" t="inlineStr">
        <is>
          <t>240</t>
        </is>
      </c>
      <c r="AH140" t="n">
        <v>56</v>
      </c>
      <c r="AI140" t="inlineStr">
        <is>
          <t>579=</t>
        </is>
      </c>
      <c r="AJ140" t="inlineStr">
        <is>
          <t>20.5</t>
        </is>
      </c>
      <c r="AK140" t="inlineStr">
        <is>
          <t>426</t>
        </is>
      </c>
      <c r="AL140" t="inlineStr">
        <is>
          <t>12.9</t>
        </is>
      </c>
      <c r="AM140" t="inlineStr">
        <is>
          <t>601+</t>
        </is>
      </c>
      <c r="AN140" t="inlineStr">
        <is>
          <t>19.3</t>
        </is>
      </c>
      <c r="AO140" t="inlineStr">
        <is>
          <t>684</t>
        </is>
      </c>
      <c r="AP140" t="inlineStr">
        <is>
          <t>21.5</t>
        </is>
      </c>
      <c r="AQ140" t="inlineStr">
        <is>
          <t>535</t>
        </is>
      </c>
      <c r="AR140" t="inlineStr">
        <is>
          <t>12.0</t>
        </is>
      </c>
      <c r="AS140" t="inlineStr">
        <is>
          <t>701+</t>
        </is>
      </c>
      <c r="AT140" t="inlineStr">
        <is>
          <t>18.3</t>
        </is>
      </c>
      <c r="AU140" t="inlineStr">
        <is>
          <t>568</t>
        </is>
      </c>
      <c r="AV140" t="inlineStr">
        <is>
          <t>9.1</t>
        </is>
      </c>
      <c r="AW140" t="inlineStr">
        <is>
          <t>694</t>
        </is>
      </c>
      <c r="AX140" t="inlineStr">
        <is>
          <t>38.4</t>
        </is>
      </c>
      <c r="AY140" t="inlineStr">
        <is>
          <t>189</t>
        </is>
      </c>
      <c r="AZ140" t="inlineStr">
        <is>
          <t>15.9</t>
        </is>
      </c>
      <c r="BA140" t="inlineStr">
        <is>
          <t>596=</t>
        </is>
      </c>
    </row>
    <row r="141">
      <c r="A141" t="inlineStr">
        <is>
          <t>Boston University</t>
        </is>
      </c>
      <c r="B141" t="inlineStr">
        <is>
          <t>United States</t>
        </is>
      </c>
      <c r="C141" t="inlineStr">
        <is>
          <t>US</t>
        </is>
      </c>
      <c r="D141" t="inlineStr">
        <is>
          <t>Americas</t>
        </is>
      </c>
      <c r="E141" t="inlineStr">
        <is>
          <t>L</t>
        </is>
      </c>
      <c r="F141" t="inlineStr">
        <is>
          <t>FC</t>
        </is>
      </c>
      <c r="G141" t="inlineStr">
        <is>
          <t>VH</t>
        </is>
      </c>
      <c r="H141" t="inlineStr">
        <is>
          <t>5</t>
        </is>
      </c>
      <c r="I141" t="inlineStr">
        <is>
          <t>Private not for Profit</t>
        </is>
      </c>
      <c r="J141" t="inlineStr">
        <is>
          <t>88</t>
        </is>
      </c>
      <c r="K141" t="inlineStr">
        <is>
          <t>108</t>
        </is>
      </c>
      <c r="L141">
        <f>93</f>
        <v/>
      </c>
      <c r="M141" t="inlineStr">
        <is>
          <t>108</t>
        </is>
      </c>
      <c r="N141" t="inlineStr">
        <is>
          <t>71.1</t>
        </is>
      </c>
      <c r="O141" t="inlineStr">
        <is>
          <t>61.4</t>
        </is>
      </c>
      <c r="P141" t="n">
        <v>75.3</v>
      </c>
      <c r="Q141" t="inlineStr">
        <is>
          <t>111</t>
        </is>
      </c>
      <c r="R141" t="n">
        <v>86.7</v>
      </c>
      <c r="S141" t="inlineStr">
        <is>
          <t>83</t>
        </is>
      </c>
      <c r="T141" t="n">
        <v>40.6</v>
      </c>
      <c r="U141" t="inlineStr">
        <is>
          <t>497</t>
        </is>
      </c>
      <c r="V141" t="n">
        <v>61.9</v>
      </c>
      <c r="W141" t="inlineStr">
        <is>
          <t>273</t>
        </is>
      </c>
      <c r="X141" t="n">
        <v>40</v>
      </c>
      <c r="Y141" t="inlineStr">
        <is>
          <t>500</t>
        </is>
      </c>
      <c r="Z141" t="n">
        <v>92.8</v>
      </c>
      <c r="AA141" t="inlineStr">
        <is>
          <t>150</t>
        </is>
      </c>
      <c r="AB141" t="n">
        <v>93.3</v>
      </c>
      <c r="AC141" t="inlineStr">
        <is>
          <t>124</t>
        </is>
      </c>
      <c r="AD141" t="n">
        <v>84.90000000000001</v>
      </c>
      <c r="AE141" t="inlineStr">
        <is>
          <t>256</t>
        </is>
      </c>
      <c r="AF141" t="n">
        <v>86.90000000000001</v>
      </c>
      <c r="AG141" t="inlineStr">
        <is>
          <t>127</t>
        </is>
      </c>
      <c r="AH141" t="n">
        <v>73.7</v>
      </c>
      <c r="AI141" t="inlineStr">
        <is>
          <t>264</t>
        </is>
      </c>
      <c r="AJ141" t="inlineStr">
        <is>
          <t>61.7</t>
        </is>
      </c>
      <c r="AK141" t="inlineStr">
        <is>
          <t>113</t>
        </is>
      </c>
      <c r="AL141" t="inlineStr">
        <is>
          <t>68.3</t>
        </is>
      </c>
      <c r="AM141" t="inlineStr">
        <is>
          <t>109</t>
        </is>
      </c>
      <c r="AN141" t="inlineStr">
        <is>
          <t>32.7</t>
        </is>
      </c>
      <c r="AO141" t="inlineStr">
        <is>
          <t>485</t>
        </is>
      </c>
      <c r="AP141" t="inlineStr">
        <is>
          <t>60.1</t>
        </is>
      </c>
      <c r="AQ141" t="inlineStr">
        <is>
          <t>204</t>
        </is>
      </c>
      <c r="AR141" t="inlineStr">
        <is>
          <t>21.6</t>
        </is>
      </c>
      <c r="AS141" t="inlineStr">
        <is>
          <t>576</t>
        </is>
      </c>
      <c r="AT141" t="inlineStr">
        <is>
          <t>87.5</t>
        </is>
      </c>
      <c r="AU141" t="inlineStr">
        <is>
          <t>132</t>
        </is>
      </c>
      <c r="AV141" t="inlineStr">
        <is>
          <t>72.6</t>
        </is>
      </c>
      <c r="AW141" t="inlineStr">
        <is>
          <t>187</t>
        </is>
      </c>
      <c r="AX141" t="inlineStr">
        <is>
          <t>68.6</t>
        </is>
      </c>
      <c r="AY141" t="inlineStr">
        <is>
          <t>76</t>
        </is>
      </c>
      <c r="AZ141" t="inlineStr">
        <is>
          <t>85.9</t>
        </is>
      </c>
      <c r="BA141" t="inlineStr">
        <is>
          <t>113=</t>
        </is>
      </c>
    </row>
    <row r="142">
      <c r="A142" t="inlineStr">
        <is>
          <t>Bournemouth University</t>
        </is>
      </c>
      <c r="B142" t="inlineStr">
        <is>
          <t>United Kingdom</t>
        </is>
      </c>
      <c r="C142" t="inlineStr">
        <is>
          <t>UK</t>
        </is>
      </c>
      <c r="D142" t="inlineStr">
        <is>
          <t>Europe</t>
        </is>
      </c>
      <c r="E142" t="inlineStr">
        <is>
          <t>L</t>
        </is>
      </c>
      <c r="F142" t="inlineStr">
        <is>
          <t>CO</t>
        </is>
      </c>
      <c r="G142" t="inlineStr">
        <is>
          <t>VH</t>
        </is>
      </c>
      <c r="H142" t="inlineStr">
        <is>
          <t>3</t>
        </is>
      </c>
      <c r="I142" t="inlineStr">
        <is>
          <t>Public</t>
        </is>
      </c>
      <c r="J142" t="inlineStr">
        <is>
          <t>801-850</t>
        </is>
      </c>
      <c r="K142" t="inlineStr">
        <is>
          <t>771-780</t>
        </is>
      </c>
      <c r="L142" t="inlineStr">
        <is>
          <t>731-740</t>
        </is>
      </c>
      <c r="M142" t="inlineStr">
        <is>
          <t>801-1000</t>
        </is>
      </c>
      <c r="N142" t="inlineStr">
        <is>
          <t>-</t>
        </is>
      </c>
      <c r="O142" t="inlineStr">
        <is>
          <t>-</t>
        </is>
      </c>
      <c r="P142" t="n">
        <v>8</v>
      </c>
      <c r="Q142" t="inlineStr">
        <is>
          <t>701+</t>
        </is>
      </c>
      <c r="R142" t="n">
        <v>11</v>
      </c>
      <c r="S142" t="inlineStr">
        <is>
          <t>701+</t>
        </is>
      </c>
      <c r="T142" t="n">
        <v>8.1</v>
      </c>
      <c r="U142" t="inlineStr">
        <is>
          <t>801+</t>
        </is>
      </c>
      <c r="V142" t="n">
        <v>29.4</v>
      </c>
      <c r="W142" t="inlineStr">
        <is>
          <t>594</t>
        </is>
      </c>
      <c r="X142" t="n">
        <v>84.7</v>
      </c>
      <c r="Y142" t="inlineStr">
        <is>
          <t>261</t>
        </is>
      </c>
      <c r="Z142" t="n">
        <v>47.7</v>
      </c>
      <c r="AA142" t="inlineStr">
        <is>
          <t>422</t>
        </is>
      </c>
      <c r="AB142" t="n">
        <v>52.6</v>
      </c>
      <c r="AC142" t="inlineStr">
        <is>
          <t>391</t>
        </is>
      </c>
      <c r="AD142" t="n">
        <v>76.3</v>
      </c>
      <c r="AE142" t="inlineStr">
        <is>
          <t>418</t>
        </is>
      </c>
      <c r="AF142" t="n">
        <v>7.7</v>
      </c>
      <c r="AG142" t="inlineStr">
        <is>
          <t>801+</t>
        </is>
      </c>
      <c r="AH142" t="n">
        <v>43.4</v>
      </c>
      <c r="AI142" t="inlineStr">
        <is>
          <t>801+</t>
        </is>
      </c>
      <c r="AJ142" t="inlineStr">
        <is>
          <t>5.7</t>
        </is>
      </c>
      <c r="AK142" t="inlineStr">
        <is>
          <t>601+</t>
        </is>
      </c>
      <c r="AL142" t="inlineStr">
        <is>
          <t>8.3</t>
        </is>
      </c>
      <c r="AM142" t="inlineStr">
        <is>
          <t>601+</t>
        </is>
      </c>
      <c r="AN142" t="inlineStr">
        <is>
          <t>6.1</t>
        </is>
      </c>
      <c r="AO142" t="inlineStr">
        <is>
          <t>701+</t>
        </is>
      </c>
      <c r="AP142" t="inlineStr">
        <is>
          <t>17.4</t>
        </is>
      </c>
      <c r="AQ142" t="inlineStr">
        <is>
          <t>594</t>
        </is>
      </c>
      <c r="AR142" t="inlineStr">
        <is>
          <t>81.2</t>
        </is>
      </c>
      <c r="AS142" t="inlineStr">
        <is>
          <t>224</t>
        </is>
      </c>
      <c r="AT142" t="inlineStr">
        <is>
          <t>50.1</t>
        </is>
      </c>
      <c r="AU142" t="inlineStr">
        <is>
          <t>293</t>
        </is>
      </c>
      <c r="AV142" t="inlineStr">
        <is>
          <t>23.3</t>
        </is>
      </c>
      <c r="AW142" t="inlineStr">
        <is>
          <t>515</t>
        </is>
      </c>
      <c r="AX142" t="inlineStr">
        <is>
          <t>10</t>
        </is>
      </c>
      <c r="AY142" t="inlineStr">
        <is>
          <t>701+</t>
        </is>
      </c>
      <c r="AZ142" t="inlineStr">
        <is>
          <t>18.4</t>
        </is>
      </c>
      <c r="BA142" t="inlineStr">
        <is>
          <t>560=</t>
        </is>
      </c>
    </row>
    <row r="143">
      <c r="A143" t="inlineStr">
        <is>
          <t>Boğaziçi University</t>
        </is>
      </c>
      <c r="B143" t="inlineStr">
        <is>
          <t>Turkey</t>
        </is>
      </c>
      <c r="C143" t="inlineStr">
        <is>
          <t>TR</t>
        </is>
      </c>
      <c r="D143" t="inlineStr"/>
      <c r="E143" t="inlineStr">
        <is>
          <t>L</t>
        </is>
      </c>
      <c r="F143" t="inlineStr">
        <is>
          <t>CO</t>
        </is>
      </c>
      <c r="G143" t="inlineStr">
        <is>
          <t>HI</t>
        </is>
      </c>
      <c r="H143" t="inlineStr">
        <is>
          <t>5</t>
        </is>
      </c>
      <c r="I143" t="inlineStr">
        <is>
          <t>A</t>
        </is>
      </c>
      <c r="J143" t="inlineStr"/>
      <c r="K143" t="inlineStr"/>
      <c r="L143">
        <f>514</f>
        <v/>
      </c>
      <c r="M143" t="inlineStr">
        <is>
          <t>701-750</t>
        </is>
      </c>
      <c r="N143" t="inlineStr"/>
      <c r="O143" t="inlineStr">
        <is>
          <t>22.7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23.0</t>
        </is>
      </c>
      <c r="AK143" t="inlineStr">
        <is>
          <t>378</t>
        </is>
      </c>
      <c r="AL143" t="inlineStr">
        <is>
          <t>58.4</t>
        </is>
      </c>
      <c r="AM143" t="inlineStr">
        <is>
          <t>138</t>
        </is>
      </c>
      <c r="AN143" t="inlineStr">
        <is>
          <t>4.0</t>
        </is>
      </c>
      <c r="AO143" t="inlineStr">
        <is>
          <t>701+</t>
        </is>
      </c>
      <c r="AP143" t="inlineStr">
        <is>
          <t>14.3</t>
        </is>
      </c>
      <c r="AQ143" t="inlineStr">
        <is>
          <t>649</t>
        </is>
      </c>
      <c r="AR143" t="inlineStr">
        <is>
          <t>11.1</t>
        </is>
      </c>
      <c r="AS143" t="inlineStr">
        <is>
          <t>701+</t>
        </is>
      </c>
      <c r="AT143" t="inlineStr">
        <is>
          <t>2.6</t>
        </is>
      </c>
      <c r="AU143" t="inlineStr">
        <is>
          <t>701+</t>
        </is>
      </c>
      <c r="AV143" t="inlineStr">
        <is>
          <t>4.9</t>
        </is>
      </c>
      <c r="AW143" t="inlineStr">
        <is>
          <t>701+</t>
        </is>
      </c>
      <c r="AX143" t="inlineStr">
        <is>
          <t>52.7</t>
        </is>
      </c>
      <c r="AY143" t="inlineStr">
        <is>
          <t>121</t>
        </is>
      </c>
      <c r="AZ143" t="inlineStr">
        <is>
          <t>6.2</t>
        </is>
      </c>
      <c r="BA143" t="inlineStr">
        <is>
          <t>701+</t>
        </is>
      </c>
    </row>
    <row r="144">
      <c r="A144" t="inlineStr">
        <is>
          <t>BRAC University</t>
        </is>
      </c>
      <c r="B144" t="inlineStr">
        <is>
          <t>Bangladesh</t>
        </is>
      </c>
      <c r="C144" t="inlineStr">
        <is>
          <t>BD</t>
        </is>
      </c>
      <c r="D144" t="inlineStr">
        <is>
          <t>Asia</t>
        </is>
      </c>
      <c r="E144" t="inlineStr">
        <is>
          <t>L</t>
        </is>
      </c>
      <c r="F144" t="inlineStr">
        <is>
          <t>CO</t>
        </is>
      </c>
      <c r="G144" t="inlineStr">
        <is>
          <t>HI</t>
        </is>
      </c>
      <c r="H144" t="inlineStr">
        <is>
          <t>2</t>
        </is>
      </c>
      <c r="I144" t="inlineStr">
        <is>
          <t>Private not for Profit</t>
        </is>
      </c>
      <c r="J144" t="inlineStr">
        <is>
          <t>1201-1400</t>
        </is>
      </c>
      <c r="K144" t="inlineStr">
        <is>
          <t>1001-1200</t>
        </is>
      </c>
      <c r="L144" t="inlineStr">
        <is>
          <t>1001-1200</t>
        </is>
      </c>
      <c r="M144" t="inlineStr">
        <is>
          <t>1001-1200</t>
        </is>
      </c>
      <c r="N144" t="inlineStr">
        <is>
          <t>-</t>
        </is>
      </c>
      <c r="O144" t="inlineStr">
        <is>
          <t>-</t>
        </is>
      </c>
      <c r="P144" t="n">
        <v>14.9</v>
      </c>
      <c r="Q144" t="inlineStr">
        <is>
          <t>701+</t>
        </is>
      </c>
      <c r="R144" t="n">
        <v>33.4</v>
      </c>
      <c r="S144" t="inlineStr">
        <is>
          <t>429</t>
        </is>
      </c>
      <c r="T144" t="n">
        <v>11.6</v>
      </c>
      <c r="U144" t="inlineStr">
        <is>
          <t>801+</t>
        </is>
      </c>
      <c r="V144" t="n">
        <v>3.6</v>
      </c>
      <c r="W144" t="inlineStr">
        <is>
          <t>801+</t>
        </is>
      </c>
      <c r="X144" t="n">
        <v>1.7</v>
      </c>
      <c r="Y144" t="inlineStr">
        <is>
          <t>801+</t>
        </is>
      </c>
      <c r="Z144" t="n">
        <v>1.8</v>
      </c>
      <c r="AA144" t="inlineStr">
        <is>
          <t>801+</t>
        </is>
      </c>
      <c r="AB144" t="n">
        <v>6.2</v>
      </c>
      <c r="AC144" t="inlineStr">
        <is>
          <t>801+</t>
        </is>
      </c>
      <c r="AD144" t="n">
        <v>30.4</v>
      </c>
      <c r="AE144" t="inlineStr">
        <is>
          <t>801+</t>
        </is>
      </c>
      <c r="AF144" t="n">
        <v>4.5</v>
      </c>
      <c r="AG144" t="inlineStr">
        <is>
          <t>801+</t>
        </is>
      </c>
      <c r="AH144" t="n">
        <v>30</v>
      </c>
      <c r="AI144" t="inlineStr">
        <is>
          <t>801+</t>
        </is>
      </c>
      <c r="AJ144" t="inlineStr">
        <is>
          <t>10.6</t>
        </is>
      </c>
      <c r="AK144" t="inlineStr">
        <is>
          <t>601+</t>
        </is>
      </c>
      <c r="AL144" t="inlineStr">
        <is>
          <t>29.1</t>
        </is>
      </c>
      <c r="AM144" t="inlineStr">
        <is>
          <t>336</t>
        </is>
      </c>
      <c r="AN144" t="inlineStr">
        <is>
          <t>12.4</t>
        </is>
      </c>
      <c r="AO144" t="inlineStr">
        <is>
          <t>701+</t>
        </is>
      </c>
      <c r="AP144" t="inlineStr">
        <is>
          <t>1.9</t>
        </is>
      </c>
      <c r="AQ144" t="inlineStr">
        <is>
          <t>701+</t>
        </is>
      </c>
      <c r="AR144" t="inlineStr">
        <is>
          <t>2.5</t>
        </is>
      </c>
      <c r="AS144" t="inlineStr">
        <is>
          <t>701+</t>
        </is>
      </c>
      <c r="AT144" t="inlineStr">
        <is>
          <t>1.4</t>
        </is>
      </c>
      <c r="AU144" t="inlineStr">
        <is>
          <t>701+</t>
        </is>
      </c>
      <c r="AV144" t="inlineStr">
        <is>
          <t>1.1</t>
        </is>
      </c>
      <c r="AW144" t="inlineStr">
        <is>
          <t>701+</t>
        </is>
      </c>
      <c r="AX144" t="inlineStr">
        <is>
          <t>9.6</t>
        </is>
      </c>
      <c r="AY144" t="inlineStr">
        <is>
          <t>701+</t>
        </is>
      </c>
      <c r="AZ144" t="inlineStr">
        <is>
          <t>1.1</t>
        </is>
      </c>
      <c r="BA144" t="inlineStr">
        <is>
          <t>701+</t>
        </is>
      </c>
    </row>
    <row r="145">
      <c r="A145" t="inlineStr">
        <is>
          <t>Brandeis University</t>
        </is>
      </c>
      <c r="B145" t="inlineStr">
        <is>
          <t>United States</t>
        </is>
      </c>
      <c r="C145" t="inlineStr">
        <is>
          <t>US</t>
        </is>
      </c>
      <c r="D145" t="inlineStr">
        <is>
          <t>Americas</t>
        </is>
      </c>
      <c r="E145" t="inlineStr">
        <is>
          <t>M</t>
        </is>
      </c>
      <c r="F145" t="inlineStr">
        <is>
          <t>CO</t>
        </is>
      </c>
      <c r="G145" t="inlineStr">
        <is>
          <t>VH</t>
        </is>
      </c>
      <c r="H145" t="inlineStr">
        <is>
          <t>4</t>
        </is>
      </c>
      <c r="I145" t="inlineStr">
        <is>
          <t>Private not for Profit</t>
        </is>
      </c>
      <c r="J145" t="inlineStr">
        <is>
          <t>741-750</t>
        </is>
      </c>
      <c r="K145" t="inlineStr">
        <is>
          <t>721-730</t>
        </is>
      </c>
      <c r="L145" t="inlineStr">
        <is>
          <t>661-670</t>
        </is>
      </c>
      <c r="M145" t="inlineStr">
        <is>
          <t>497=</t>
        </is>
      </c>
      <c r="N145" t="inlineStr">
        <is>
          <t>-</t>
        </is>
      </c>
      <c r="O145" t="inlineStr">
        <is>
          <t>-</t>
        </is>
      </c>
      <c r="P145" t="n">
        <v>12.8</v>
      </c>
      <c r="Q145" t="inlineStr">
        <is>
          <t>701+</t>
        </is>
      </c>
      <c r="R145" t="n">
        <v>9.699999999999999</v>
      </c>
      <c r="S145" t="inlineStr">
        <is>
          <t>701+</t>
        </is>
      </c>
      <c r="T145" t="n">
        <v>50.2</v>
      </c>
      <c r="U145" t="inlineStr">
        <is>
          <t>381</t>
        </is>
      </c>
      <c r="V145" t="n">
        <v>25</v>
      </c>
      <c r="W145" t="inlineStr">
        <is>
          <t>638</t>
        </is>
      </c>
      <c r="X145" t="n">
        <v>33</v>
      </c>
      <c r="Y145" t="inlineStr">
        <is>
          <t>554</t>
        </is>
      </c>
      <c r="Z145" t="n">
        <v>83.40000000000001</v>
      </c>
      <c r="AA145" t="inlineStr">
        <is>
          <t>201</t>
        </is>
      </c>
      <c r="AB145" t="n">
        <v>62.1</v>
      </c>
      <c r="AC145" t="inlineStr">
        <is>
          <t>322</t>
        </is>
      </c>
      <c r="AD145" t="n">
        <v>24.7</v>
      </c>
      <c r="AE145" t="inlineStr">
        <is>
          <t>801+</t>
        </is>
      </c>
      <c r="AF145" t="n">
        <v>30.5</v>
      </c>
      <c r="AG145" t="inlineStr">
        <is>
          <t>544</t>
        </is>
      </c>
      <c r="AH145" t="n">
        <v>28.8</v>
      </c>
      <c r="AI145" t="inlineStr">
        <is>
          <t>801+</t>
        </is>
      </c>
      <c r="AJ145" t="inlineStr">
        <is>
          <t>9.8</t>
        </is>
      </c>
      <c r="AK145" t="inlineStr">
        <is>
          <t>601+</t>
        </is>
      </c>
      <c r="AL145" t="inlineStr">
        <is>
          <t>4.3</t>
        </is>
      </c>
      <c r="AM145" t="inlineStr">
        <is>
          <t>601+</t>
        </is>
      </c>
      <c r="AN145" t="inlineStr">
        <is>
          <t>49.9</t>
        </is>
      </c>
      <c r="AO145" t="inlineStr">
        <is>
          <t>311</t>
        </is>
      </c>
      <c r="AP145" t="inlineStr">
        <is>
          <t>16.3</t>
        </is>
      </c>
      <c r="AQ145" t="inlineStr">
        <is>
          <t>609</t>
        </is>
      </c>
      <c r="AR145" t="inlineStr">
        <is>
          <t>26.2</t>
        </is>
      </c>
      <c r="AS145" t="inlineStr">
        <is>
          <t>521</t>
        </is>
      </c>
      <c r="AT145" t="inlineStr">
        <is>
          <t>70.6</t>
        </is>
      </c>
      <c r="AU145" t="inlineStr">
        <is>
          <t>207</t>
        </is>
      </c>
      <c r="AV145" t="inlineStr">
        <is>
          <t>1.4</t>
        </is>
      </c>
      <c r="AW145" t="inlineStr">
        <is>
          <t>701+</t>
        </is>
      </c>
      <c r="AX145" t="inlineStr">
        <is>
          <t>17.4</t>
        </is>
      </c>
      <c r="AY145" t="inlineStr">
        <is>
          <t>477</t>
        </is>
      </c>
      <c r="AZ145" t="inlineStr">
        <is>
          <t>1.5</t>
        </is>
      </c>
      <c r="BA145" t="inlineStr">
        <is>
          <t>701+</t>
        </is>
      </c>
    </row>
    <row r="146">
      <c r="A146" t="inlineStr">
        <is>
          <t>Brigham Young University</t>
        </is>
      </c>
      <c r="B146" t="inlineStr">
        <is>
          <t>United States</t>
        </is>
      </c>
      <c r="C146" t="inlineStr">
        <is>
          <t>US</t>
        </is>
      </c>
      <c r="D146" t="inlineStr">
        <is>
          <t>Americas</t>
        </is>
      </c>
      <c r="E146" t="inlineStr">
        <is>
          <t>XL</t>
        </is>
      </c>
      <c r="F146" t="inlineStr">
        <is>
          <t>CO</t>
        </is>
      </c>
      <c r="G146" t="inlineStr">
        <is>
          <t>VH</t>
        </is>
      </c>
      <c r="H146" t="inlineStr">
        <is>
          <t>5</t>
        </is>
      </c>
      <c r="I146" t="inlineStr">
        <is>
          <t>Private not for Profit</t>
        </is>
      </c>
      <c r="J146" t="inlineStr">
        <is>
          <t>1001-1200</t>
        </is>
      </c>
      <c r="K146" t="inlineStr">
        <is>
          <t>1001-1200</t>
        </is>
      </c>
      <c r="L146" t="inlineStr">
        <is>
          <t>1001-1200</t>
        </is>
      </c>
      <c r="M146" t="inlineStr">
        <is>
          <t>1001-1200</t>
        </is>
      </c>
      <c r="N146" t="inlineStr">
        <is>
          <t>-</t>
        </is>
      </c>
      <c r="O146" t="inlineStr">
        <is>
          <t>-</t>
        </is>
      </c>
      <c r="P146" t="n">
        <v>7.7</v>
      </c>
      <c r="Q146" t="inlineStr">
        <is>
          <t>701+</t>
        </is>
      </c>
      <c r="R146" t="n">
        <v>13.5</v>
      </c>
      <c r="S146" t="inlineStr">
        <is>
          <t>701+</t>
        </is>
      </c>
      <c r="T146" t="n">
        <v>6.7</v>
      </c>
      <c r="U146" t="inlineStr">
        <is>
          <t>801+</t>
        </is>
      </c>
      <c r="V146" t="n">
        <v>15.8</v>
      </c>
      <c r="W146" t="inlineStr">
        <is>
          <t>787</t>
        </is>
      </c>
      <c r="X146" t="n">
        <v>1.3</v>
      </c>
      <c r="Y146" t="inlineStr">
        <is>
          <t>801+</t>
        </is>
      </c>
      <c r="Z146" t="n">
        <v>5.3</v>
      </c>
      <c r="AA146" t="inlineStr">
        <is>
          <t>801+</t>
        </is>
      </c>
      <c r="AB146" t="n">
        <v>4.2</v>
      </c>
      <c r="AC146" t="inlineStr">
        <is>
          <t>801+</t>
        </is>
      </c>
      <c r="AD146" t="n">
        <v>51.9</v>
      </c>
      <c r="AE146" t="inlineStr">
        <is>
          <t>801+</t>
        </is>
      </c>
      <c r="AF146" t="n">
        <v>36.9</v>
      </c>
      <c r="AG146" t="inlineStr">
        <is>
          <t>469</t>
        </is>
      </c>
      <c r="AH146" t="n">
        <v>44.6</v>
      </c>
      <c r="AI146" t="inlineStr">
        <is>
          <t>801+</t>
        </is>
      </c>
      <c r="AJ146" t="inlineStr">
        <is>
          <t>7.0</t>
        </is>
      </c>
      <c r="AK146" t="inlineStr">
        <is>
          <t>601+</t>
        </is>
      </c>
      <c r="AL146" t="inlineStr">
        <is>
          <t>5.3</t>
        </is>
      </c>
      <c r="AM146" t="inlineStr">
        <is>
          <t>601+</t>
        </is>
      </c>
      <c r="AN146" t="inlineStr">
        <is>
          <t>4.6</t>
        </is>
      </c>
      <c r="AO146" t="inlineStr">
        <is>
          <t>701+</t>
        </is>
      </c>
      <c r="AP146" t="inlineStr">
        <is>
          <t>13.3</t>
        </is>
      </c>
      <c r="AQ146" t="inlineStr">
        <is>
          <t>673</t>
        </is>
      </c>
      <c r="AR146" t="inlineStr">
        <is>
          <t>1.3</t>
        </is>
      </c>
      <c r="AS146" t="inlineStr">
        <is>
          <t>701+</t>
        </is>
      </c>
      <c r="AT146" t="inlineStr">
        <is>
          <t>3.3</t>
        </is>
      </c>
      <c r="AU146" t="inlineStr">
        <is>
          <t>701+</t>
        </is>
      </c>
      <c r="AV146" t="inlineStr">
        <is>
          <t>8.2</t>
        </is>
      </c>
      <c r="AW146" t="inlineStr">
        <is>
          <t>701+</t>
        </is>
      </c>
      <c r="AX146" t="inlineStr">
        <is>
          <t>22</t>
        </is>
      </c>
      <c r="AY146" t="inlineStr">
        <is>
          <t>377</t>
        </is>
      </c>
      <c r="AZ146" t="inlineStr">
        <is>
          <t>7</t>
        </is>
      </c>
      <c r="BA146" t="inlineStr">
        <is>
          <t>701+</t>
        </is>
      </c>
    </row>
    <row r="147">
      <c r="A147" t="inlineStr">
        <is>
          <t>British University in Egypt</t>
        </is>
      </c>
      <c r="B147" t="inlineStr">
        <is>
          <t>Egypt</t>
        </is>
      </c>
      <c r="C147" t="inlineStr">
        <is>
          <t>EG</t>
        </is>
      </c>
      <c r="D147" t="inlineStr">
        <is>
          <t>Africa</t>
        </is>
      </c>
      <c r="E147" t="inlineStr">
        <is>
          <t>M</t>
        </is>
      </c>
      <c r="F147" t="inlineStr">
        <is>
          <t>FO</t>
        </is>
      </c>
      <c r="G147" t="inlineStr">
        <is>
          <t>VH</t>
        </is>
      </c>
      <c r="H147" t="inlineStr">
        <is>
          <t>2</t>
        </is>
      </c>
      <c r="I147" t="inlineStr">
        <is>
          <t>Private for Profit</t>
        </is>
      </c>
      <c r="J147" t="inlineStr">
        <is>
          <t>1201-1400</t>
        </is>
      </c>
      <c r="K147" t="inlineStr">
        <is>
          <t>1201-1400</t>
        </is>
      </c>
      <c r="L147" t="inlineStr">
        <is>
          <t>1201-1400</t>
        </is>
      </c>
      <c r="M147" t="inlineStr">
        <is>
          <t>1201-1400</t>
        </is>
      </c>
      <c r="N147" t="inlineStr">
        <is>
          <t>-</t>
        </is>
      </c>
      <c r="O147" t="inlineStr">
        <is>
          <t>-</t>
        </is>
      </c>
      <c r="P147" t="n">
        <v>8.4</v>
      </c>
      <c r="Q147" t="inlineStr">
        <is>
          <t>701+</t>
        </is>
      </c>
      <c r="R147" t="n">
        <v>10.8</v>
      </c>
      <c r="S147" t="inlineStr">
        <is>
          <t>701+</t>
        </is>
      </c>
      <c r="T147" t="n">
        <v>36.7</v>
      </c>
      <c r="U147" t="inlineStr">
        <is>
          <t>549</t>
        </is>
      </c>
      <c r="V147" t="n">
        <v>4.6</v>
      </c>
      <c r="W147" t="inlineStr">
        <is>
          <t>801+</t>
        </is>
      </c>
      <c r="X147" t="n">
        <v>1.8</v>
      </c>
      <c r="Y147" t="inlineStr">
        <is>
          <t>801+</t>
        </is>
      </c>
      <c r="Z147" t="n">
        <v>6.1</v>
      </c>
      <c r="AA147" t="inlineStr">
        <is>
          <t>801+</t>
        </is>
      </c>
      <c r="AB147" t="n">
        <v>10.1</v>
      </c>
      <c r="AC147" t="inlineStr">
        <is>
          <t>801+</t>
        </is>
      </c>
      <c r="AD147" t="n">
        <v>18.4</v>
      </c>
      <c r="AE147" t="inlineStr">
        <is>
          <t>801+</t>
        </is>
      </c>
      <c r="AF147" t="n">
        <v>3</v>
      </c>
      <c r="AG147" t="inlineStr">
        <is>
          <t>801+</t>
        </is>
      </c>
      <c r="AH147" t="n">
        <v>20.6</v>
      </c>
      <c r="AI147" t="inlineStr">
        <is>
          <t>801+</t>
        </is>
      </c>
      <c r="AJ147" t="inlineStr">
        <is>
          <t>5.7</t>
        </is>
      </c>
      <c r="AK147" t="inlineStr">
        <is>
          <t>601+</t>
        </is>
      </c>
      <c r="AL147" t="inlineStr">
        <is>
          <t>4.5</t>
        </is>
      </c>
      <c r="AM147" t="inlineStr">
        <is>
          <t>601+</t>
        </is>
      </c>
      <c r="AN147" t="inlineStr">
        <is>
          <t>23.1</t>
        </is>
      </c>
      <c r="AO147" t="inlineStr">
        <is>
          <t>614</t>
        </is>
      </c>
      <c r="AP147" t="inlineStr">
        <is>
          <t>2.2</t>
        </is>
      </c>
      <c r="AQ147" t="inlineStr">
        <is>
          <t>701+</t>
        </is>
      </c>
      <c r="AR147" t="inlineStr">
        <is>
          <t>2.8</t>
        </is>
      </c>
      <c r="AS147" t="inlineStr">
        <is>
          <t>701+</t>
        </is>
      </c>
      <c r="AT147" t="inlineStr">
        <is>
          <t>2.6</t>
        </is>
      </c>
      <c r="AU147" t="inlineStr">
        <is>
          <t>701+</t>
        </is>
      </c>
      <c r="AV147" t="inlineStr">
        <is>
          <t>1.0</t>
        </is>
      </c>
      <c r="AW147" t="inlineStr">
        <is>
          <t>701+</t>
        </is>
      </c>
      <c r="AX147" t="inlineStr">
        <is>
          <t>6.8</t>
        </is>
      </c>
      <c r="AY147" t="inlineStr">
        <is>
          <t>701+</t>
        </is>
      </c>
      <c r="AZ147" t="inlineStr">
        <is>
          <t>1.4</t>
        </is>
      </c>
      <c r="BA147" t="inlineStr">
        <is>
          <t>701+</t>
        </is>
      </c>
    </row>
    <row r="148">
      <c r="A148" t="inlineStr">
        <is>
          <t>Brno University of Technology</t>
        </is>
      </c>
      <c r="B148" t="inlineStr">
        <is>
          <t>Czech Republic</t>
        </is>
      </c>
      <c r="C148" t="inlineStr">
        <is>
          <t>CZ</t>
        </is>
      </c>
      <c r="D148" t="inlineStr">
        <is>
          <t>Europe</t>
        </is>
      </c>
      <c r="E148" t="inlineStr">
        <is>
          <t>L</t>
        </is>
      </c>
      <c r="F148" t="inlineStr">
        <is>
          <t>FO</t>
        </is>
      </c>
      <c r="G148" t="inlineStr">
        <is>
          <t>VH</t>
        </is>
      </c>
      <c r="H148" t="inlineStr">
        <is>
          <t>5</t>
        </is>
      </c>
      <c r="I148" t="inlineStr">
        <is>
          <t>Public</t>
        </is>
      </c>
      <c r="J148" t="inlineStr">
        <is>
          <t>575</t>
        </is>
      </c>
      <c r="K148" t="inlineStr">
        <is>
          <t>611-620</t>
        </is>
      </c>
      <c r="L148" t="inlineStr">
        <is>
          <t>611-620</t>
        </is>
      </c>
      <c r="M148" t="inlineStr">
        <is>
          <t>701-750</t>
        </is>
      </c>
      <c r="N148" t="inlineStr">
        <is>
          <t>29.1</t>
        </is>
      </c>
      <c r="O148" t="inlineStr">
        <is>
          <t>-</t>
        </is>
      </c>
      <c r="P148" t="n">
        <v>17.7</v>
      </c>
      <c r="Q148" t="inlineStr">
        <is>
          <t>691</t>
        </is>
      </c>
      <c r="R148" t="n">
        <v>36.4</v>
      </c>
      <c r="S148" t="inlineStr">
        <is>
          <t>393</t>
        </is>
      </c>
      <c r="T148" t="n">
        <v>37</v>
      </c>
      <c r="U148" t="inlineStr">
        <is>
          <t>544</t>
        </is>
      </c>
      <c r="V148" t="n">
        <v>13.7</v>
      </c>
      <c r="W148" t="inlineStr">
        <is>
          <t>801+</t>
        </is>
      </c>
      <c r="X148" t="n">
        <v>26.7</v>
      </c>
      <c r="Y148" t="inlineStr">
        <is>
          <t>631</t>
        </is>
      </c>
      <c r="Z148" t="n">
        <v>77.3</v>
      </c>
      <c r="AA148" t="inlineStr">
        <is>
          <t>241</t>
        </is>
      </c>
      <c r="AB148" t="n">
        <v>79.2</v>
      </c>
      <c r="AC148" t="inlineStr">
        <is>
          <t>215</t>
        </is>
      </c>
      <c r="AD148" t="n">
        <v>80.7</v>
      </c>
      <c r="AE148" t="inlineStr">
        <is>
          <t>339</t>
        </is>
      </c>
      <c r="AF148" t="n">
        <v>15.7</v>
      </c>
      <c r="AG148" t="inlineStr">
        <is>
          <t>801+</t>
        </is>
      </c>
      <c r="AH148" t="n">
        <v>61.3</v>
      </c>
      <c r="AI148" t="inlineStr">
        <is>
          <t>471=</t>
        </is>
      </c>
      <c r="AJ148" t="inlineStr">
        <is>
          <t>13.1</t>
        </is>
      </c>
      <c r="AK148" t="inlineStr">
        <is>
          <t>601+</t>
        </is>
      </c>
      <c r="AL148" t="inlineStr">
        <is>
          <t>34.7</t>
        </is>
      </c>
      <c r="AM148" t="inlineStr">
        <is>
          <t>280</t>
        </is>
      </c>
      <c r="AN148" t="inlineStr">
        <is>
          <t>22.7</t>
        </is>
      </c>
      <c r="AO148" t="inlineStr">
        <is>
          <t>623</t>
        </is>
      </c>
      <c r="AP148" t="inlineStr">
        <is>
          <t>6.7</t>
        </is>
      </c>
      <c r="AQ148" t="inlineStr">
        <is>
          <t>701+</t>
        </is>
      </c>
      <c r="AR148" t="inlineStr">
        <is>
          <t>9.0</t>
        </is>
      </c>
      <c r="AS148" t="inlineStr">
        <is>
          <t>701+</t>
        </is>
      </c>
      <c r="AT148" t="inlineStr">
        <is>
          <t>70.9</t>
        </is>
      </c>
      <c r="AU148" t="inlineStr">
        <is>
          <t>204</t>
        </is>
      </c>
      <c r="AV148" t="inlineStr">
        <is>
          <t>38.6</t>
        </is>
      </c>
      <c r="AW148" t="inlineStr">
        <is>
          <t>387</t>
        </is>
      </c>
      <c r="AX148" t="inlineStr">
        <is>
          <t>14.2</t>
        </is>
      </c>
      <c r="AY148" t="inlineStr">
        <is>
          <t>597</t>
        </is>
      </c>
      <c r="AZ148" t="inlineStr">
        <is>
          <t>2.7</t>
        </is>
      </c>
      <c r="BA148" t="inlineStr">
        <is>
          <t>701+</t>
        </is>
      </c>
    </row>
    <row r="149">
      <c r="A149" t="inlineStr">
        <is>
          <t>Brock University</t>
        </is>
      </c>
      <c r="B149" t="inlineStr">
        <is>
          <t>Canada</t>
        </is>
      </c>
      <c r="C149" t="inlineStr">
        <is>
          <t>CA</t>
        </is>
      </c>
      <c r="D149" t="inlineStr">
        <is>
          <t>Americas</t>
        </is>
      </c>
      <c r="E149" t="inlineStr">
        <is>
          <t>L</t>
        </is>
      </c>
      <c r="F149" t="inlineStr">
        <is>
          <t>CO</t>
        </is>
      </c>
      <c r="G149" t="inlineStr">
        <is>
          <t>HI</t>
        </is>
      </c>
      <c r="H149" t="inlineStr">
        <is>
          <t>4</t>
        </is>
      </c>
      <c r="I149" t="inlineStr">
        <is>
          <t>Public</t>
        </is>
      </c>
      <c r="J149" t="inlineStr">
        <is>
          <t>1201-1400</t>
        </is>
      </c>
      <c r="K149" t="inlineStr">
        <is>
          <t>1201-1400</t>
        </is>
      </c>
      <c r="L149" t="inlineStr">
        <is>
          <t>1201-1400</t>
        </is>
      </c>
      <c r="M149" t="inlineStr">
        <is>
          <t>1001-1200</t>
        </is>
      </c>
      <c r="N149" t="inlineStr">
        <is>
          <t>-</t>
        </is>
      </c>
      <c r="O149" t="inlineStr">
        <is>
          <t>-</t>
        </is>
      </c>
      <c r="P149" t="n">
        <v>6.7</v>
      </c>
      <c r="Q149" t="inlineStr">
        <is>
          <t>701+</t>
        </is>
      </c>
      <c r="R149" t="n">
        <v>10.9</v>
      </c>
      <c r="S149" t="inlineStr">
        <is>
          <t>701+</t>
        </is>
      </c>
      <c r="T149" t="n">
        <v>4.7</v>
      </c>
      <c r="U149" t="inlineStr">
        <is>
          <t>801+</t>
        </is>
      </c>
      <c r="V149" t="n">
        <v>16.6</v>
      </c>
      <c r="W149" t="inlineStr">
        <is>
          <t>772</t>
        </is>
      </c>
      <c r="X149" t="n">
        <v>4.2</v>
      </c>
      <c r="Y149" t="inlineStr">
        <is>
          <t>801+</t>
        </is>
      </c>
      <c r="Z149" t="n">
        <v>27.5</v>
      </c>
      <c r="AA149" t="inlineStr">
        <is>
          <t>621</t>
        </is>
      </c>
      <c r="AB149" t="n">
        <v>33.5</v>
      </c>
      <c r="AC149" t="inlineStr">
        <is>
          <t>570</t>
        </is>
      </c>
      <c r="AD149" t="n">
        <v>29.2</v>
      </c>
      <c r="AE149" t="inlineStr">
        <is>
          <t>801+</t>
        </is>
      </c>
      <c r="AF149" t="n">
        <v>6.7</v>
      </c>
      <c r="AG149" t="inlineStr">
        <is>
          <t>801+</t>
        </is>
      </c>
      <c r="AH149" t="n">
        <v>41.5</v>
      </c>
      <c r="AI149" t="inlineStr">
        <is>
          <t>801+</t>
        </is>
      </c>
      <c r="AJ149" t="inlineStr">
        <is>
          <t>4.1</t>
        </is>
      </c>
      <c r="AK149" t="inlineStr">
        <is>
          <t>601+</t>
        </is>
      </c>
      <c r="AL149" t="inlineStr">
        <is>
          <t>6.8</t>
        </is>
      </c>
      <c r="AM149" t="inlineStr">
        <is>
          <t>601+</t>
        </is>
      </c>
      <c r="AN149" t="inlineStr">
        <is>
          <t>2.4</t>
        </is>
      </c>
      <c r="AO149" t="inlineStr">
        <is>
          <t>701+</t>
        </is>
      </c>
      <c r="AP149" t="inlineStr">
        <is>
          <t>15.1</t>
        </is>
      </c>
      <c r="AQ149" t="inlineStr">
        <is>
          <t>632</t>
        </is>
      </c>
      <c r="AR149" t="inlineStr">
        <is>
          <t>2.2</t>
        </is>
      </c>
      <c r="AS149" t="inlineStr">
        <is>
          <t>701+</t>
        </is>
      </c>
      <c r="AT149" t="inlineStr">
        <is>
          <t>18.8</t>
        </is>
      </c>
      <c r="AU149" t="inlineStr">
        <is>
          <t>563</t>
        </is>
      </c>
      <c r="AV149" t="inlineStr">
        <is>
          <t>2.5</t>
        </is>
      </c>
      <c r="AW149" t="inlineStr">
        <is>
          <t>701+</t>
        </is>
      </c>
      <c r="AX149" t="inlineStr">
        <is>
          <t>8.7</t>
        </is>
      </c>
      <c r="AY149" t="inlineStr">
        <is>
          <t>701+</t>
        </is>
      </c>
      <c r="AZ149" t="inlineStr">
        <is>
          <t>2</t>
        </is>
      </c>
      <c r="BA149" t="inlineStr">
        <is>
          <t>701+</t>
        </is>
      </c>
    </row>
    <row r="150">
      <c r="A150" t="inlineStr">
        <is>
          <t>Brown University</t>
        </is>
      </c>
      <c r="B150" t="inlineStr">
        <is>
          <t>United States</t>
        </is>
      </c>
      <c r="C150" t="inlineStr">
        <is>
          <t>US</t>
        </is>
      </c>
      <c r="D150" t="inlineStr">
        <is>
          <t>Americas</t>
        </is>
      </c>
      <c r="E150" t="inlineStr">
        <is>
          <t>M</t>
        </is>
      </c>
      <c r="F150" t="inlineStr">
        <is>
          <t>FC</t>
        </is>
      </c>
      <c r="G150" t="inlineStr">
        <is>
          <t>VH</t>
        </is>
      </c>
      <c r="H150" t="inlineStr">
        <is>
          <t>5</t>
        </is>
      </c>
      <c r="I150" t="inlineStr">
        <is>
          <t>Private not for Profit</t>
        </is>
      </c>
      <c r="J150" t="inlineStr">
        <is>
          <t>69</t>
        </is>
      </c>
      <c r="K150" t="inlineStr">
        <is>
          <t>79</t>
        </is>
      </c>
      <c r="L150">
        <f>73</f>
        <v/>
      </c>
      <c r="M150" t="inlineStr">
        <is>
          <t>63</t>
        </is>
      </c>
      <c r="N150" t="inlineStr">
        <is>
          <t>76.2</t>
        </is>
      </c>
      <c r="O150" t="inlineStr">
        <is>
          <t>66.4</t>
        </is>
      </c>
      <c r="P150" t="n">
        <v>72.40000000000001</v>
      </c>
      <c r="Q150" t="inlineStr">
        <is>
          <t>126</t>
        </is>
      </c>
      <c r="R150" t="n">
        <v>64.3</v>
      </c>
      <c r="S150" t="inlineStr">
        <is>
          <t>166</t>
        </is>
      </c>
      <c r="T150" t="n">
        <v>84.5</v>
      </c>
      <c r="U150" t="inlineStr">
        <is>
          <t>139</t>
        </is>
      </c>
      <c r="V150" t="n">
        <v>82.2</v>
      </c>
      <c r="W150" t="inlineStr">
        <is>
          <t>143</t>
        </is>
      </c>
      <c r="X150" t="n">
        <v>91</v>
      </c>
      <c r="Y150" t="inlineStr">
        <is>
          <t>218</t>
        </is>
      </c>
      <c r="Z150" t="n">
        <v>67</v>
      </c>
      <c r="AA150" t="inlineStr">
        <is>
          <t>297</t>
        </is>
      </c>
      <c r="AB150" t="n">
        <v>70.2</v>
      </c>
      <c r="AC150" t="inlineStr">
        <is>
          <t>269</t>
        </is>
      </c>
      <c r="AD150" t="n">
        <v>80.09999999999999</v>
      </c>
      <c r="AE150" t="inlineStr">
        <is>
          <t>352</t>
        </is>
      </c>
      <c r="AF150" t="n">
        <v>81.90000000000001</v>
      </c>
      <c r="AG150" t="inlineStr">
        <is>
          <t>151</t>
        </is>
      </c>
      <c r="AH150" t="n">
        <v>72.59999999999999</v>
      </c>
      <c r="AI150" t="inlineStr">
        <is>
          <t>280</t>
        </is>
      </c>
      <c r="AJ150" t="inlineStr">
        <is>
          <t>58.3</t>
        </is>
      </c>
      <c r="AK150" t="inlineStr">
        <is>
          <t>131</t>
        </is>
      </c>
      <c r="AL150" t="inlineStr">
        <is>
          <t>42.4</t>
        </is>
      </c>
      <c r="AM150" t="inlineStr">
        <is>
          <t>221</t>
        </is>
      </c>
      <c r="AN150" t="inlineStr">
        <is>
          <t>77.8</t>
        </is>
      </c>
      <c r="AO150" t="inlineStr">
        <is>
          <t>145</t>
        </is>
      </c>
      <c r="AP150" t="inlineStr">
        <is>
          <t>85.9</t>
        </is>
      </c>
      <c r="AQ150" t="inlineStr">
        <is>
          <t>89</t>
        </is>
      </c>
      <c r="AR150" t="inlineStr">
        <is>
          <t>84.5</t>
        </is>
      </c>
      <c r="AS150" t="inlineStr">
        <is>
          <t>212</t>
        </is>
      </c>
      <c r="AT150" t="inlineStr">
        <is>
          <t>52.0</t>
        </is>
      </c>
      <c r="AU150" t="inlineStr">
        <is>
          <t>279</t>
        </is>
      </c>
      <c r="AV150" t="inlineStr">
        <is>
          <t>58.3</t>
        </is>
      </c>
      <c r="AW150" t="inlineStr">
        <is>
          <t>258</t>
        </is>
      </c>
      <c r="AX150" t="inlineStr">
        <is>
          <t>74.8</t>
        </is>
      </c>
      <c r="AY150" t="inlineStr">
        <is>
          <t>59</t>
        </is>
      </c>
      <c r="AZ150" t="inlineStr">
        <is>
          <t>70.4</t>
        </is>
      </c>
      <c r="BA150" t="inlineStr">
        <is>
          <t>201=</t>
        </is>
      </c>
    </row>
    <row r="151">
      <c r="A151" t="inlineStr">
        <is>
          <t>Brunel University London</t>
        </is>
      </c>
      <c r="B151" t="inlineStr">
        <is>
          <t>United Kingdom</t>
        </is>
      </c>
      <c r="C151" t="inlineStr">
        <is>
          <t>UK</t>
        </is>
      </c>
      <c r="D151" t="inlineStr"/>
      <c r="E151" t="inlineStr">
        <is>
          <t>L</t>
        </is>
      </c>
      <c r="F151" t="inlineStr">
        <is>
          <t>CO</t>
        </is>
      </c>
      <c r="G151" t="inlineStr">
        <is>
          <t>VH</t>
        </is>
      </c>
      <c r="H151" t="inlineStr">
        <is>
          <t>4</t>
        </is>
      </c>
      <c r="I151" t="inlineStr">
        <is>
          <t>A</t>
        </is>
      </c>
      <c r="J151" t="inlineStr"/>
      <c r="K151" t="inlineStr"/>
      <c r="L151" t="inlineStr">
        <is>
          <t>343</t>
        </is>
      </c>
      <c r="M151" t="inlineStr">
        <is>
          <t>412=</t>
        </is>
      </c>
      <c r="N151" t="inlineStr"/>
      <c r="O151" t="inlineStr">
        <is>
          <t>31.9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11.3</t>
        </is>
      </c>
      <c r="AK151" t="inlineStr">
        <is>
          <t>601+</t>
        </is>
      </c>
      <c r="AL151" t="inlineStr">
        <is>
          <t>13.3</t>
        </is>
      </c>
      <c r="AM151" t="inlineStr">
        <is>
          <t>601+</t>
        </is>
      </c>
      <c r="AN151" t="inlineStr">
        <is>
          <t>7.9</t>
        </is>
      </c>
      <c r="AO151" t="inlineStr">
        <is>
          <t>701+</t>
        </is>
      </c>
      <c r="AP151" t="inlineStr">
        <is>
          <t>44.2</t>
        </is>
      </c>
      <c r="AQ151" t="inlineStr">
        <is>
          <t>303</t>
        </is>
      </c>
      <c r="AR151" t="inlineStr">
        <is>
          <t>99.7</t>
        </is>
      </c>
      <c r="AS151" t="inlineStr">
        <is>
          <t>84</t>
        </is>
      </c>
      <c r="AT151" t="inlineStr">
        <is>
          <t>99.6</t>
        </is>
      </c>
      <c r="AU151" t="inlineStr">
        <is>
          <t>39</t>
        </is>
      </c>
      <c r="AV151" t="inlineStr">
        <is>
          <t>56.9</t>
        </is>
      </c>
      <c r="AW151" t="inlineStr">
        <is>
          <t>269</t>
        </is>
      </c>
      <c r="AX151" t="inlineStr">
        <is>
          <t>18.5</t>
        </is>
      </c>
      <c r="AY151" t="inlineStr">
        <is>
          <t>450</t>
        </is>
      </c>
      <c r="AZ151" t="inlineStr">
        <is>
          <t>62.8</t>
        </is>
      </c>
      <c r="BA151" t="inlineStr">
        <is>
          <t>235=</t>
        </is>
      </c>
    </row>
    <row r="152">
      <c r="A152" t="inlineStr">
        <is>
          <t>Brunel University of London</t>
        </is>
      </c>
      <c r="B152" t="inlineStr">
        <is>
          <t>United Kingdom</t>
        </is>
      </c>
      <c r="C152" t="inlineStr"/>
      <c r="D152" t="inlineStr">
        <is>
          <t>Europe</t>
        </is>
      </c>
      <c r="E152" t="inlineStr">
        <is>
          <t>L</t>
        </is>
      </c>
      <c r="F152" t="inlineStr">
        <is>
          <t>CO</t>
        </is>
      </c>
      <c r="G152" t="inlineStr">
        <is>
          <t>VH</t>
        </is>
      </c>
      <c r="H152" t="inlineStr"/>
      <c r="I152" t="inlineStr">
        <is>
          <t>Public</t>
        </is>
      </c>
      <c r="J152" t="inlineStr">
        <is>
          <t>385</t>
        </is>
      </c>
      <c r="K152" t="inlineStr">
        <is>
          <t>342</t>
        </is>
      </c>
      <c r="L152" t="inlineStr"/>
      <c r="M152" t="inlineStr"/>
      <c r="N152" t="inlineStr">
        <is>
          <t>39.1</t>
        </is>
      </c>
      <c r="O152" t="inlineStr"/>
      <c r="P152" t="n">
        <v>17.6</v>
      </c>
      <c r="Q152" t="inlineStr">
        <is>
          <t>694</t>
        </is>
      </c>
      <c r="R152" t="n">
        <v>25.2</v>
      </c>
      <c r="S152" t="inlineStr">
        <is>
          <t>536</t>
        </is>
      </c>
      <c r="T152" t="n">
        <v>12.2</v>
      </c>
      <c r="U152" t="inlineStr">
        <is>
          <t>801+</t>
        </is>
      </c>
      <c r="V152" t="n">
        <v>51.8</v>
      </c>
      <c r="W152" t="inlineStr">
        <is>
          <t>364</t>
        </is>
      </c>
      <c r="X152" t="n">
        <v>99.5</v>
      </c>
      <c r="Y152" t="inlineStr">
        <is>
          <t>114</t>
        </is>
      </c>
      <c r="Z152" t="n">
        <v>100</v>
      </c>
      <c r="AA152" t="inlineStr">
        <is>
          <t>32</t>
        </is>
      </c>
      <c r="AB152" t="n">
        <v>100</v>
      </c>
      <c r="AC152" t="inlineStr">
        <is>
          <t>20</t>
        </is>
      </c>
      <c r="AD152" t="n">
        <v>76.7</v>
      </c>
      <c r="AE152" t="inlineStr">
        <is>
          <t>410</t>
        </is>
      </c>
      <c r="AF152" t="n">
        <v>28.8</v>
      </c>
      <c r="AG152" t="inlineStr">
        <is>
          <t>578</t>
        </is>
      </c>
      <c r="AH152" t="n">
        <v>80.40000000000001</v>
      </c>
      <c r="AI152" t="inlineStr">
        <is>
          <t>163=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Budapest University of Technology and Economics</t>
        </is>
      </c>
      <c r="B153" t="inlineStr">
        <is>
          <t>Hungary</t>
        </is>
      </c>
      <c r="C153" t="inlineStr">
        <is>
          <t>HU</t>
        </is>
      </c>
      <c r="D153" t="inlineStr">
        <is>
          <t>Europe</t>
        </is>
      </c>
      <c r="E153" t="inlineStr">
        <is>
          <t>L</t>
        </is>
      </c>
      <c r="F153" t="inlineStr">
        <is>
          <t>FO</t>
        </is>
      </c>
      <c r="G153" t="inlineStr">
        <is>
          <t>VH</t>
        </is>
      </c>
      <c r="H153" t="inlineStr">
        <is>
          <t>5</t>
        </is>
      </c>
      <c r="I153" t="inlineStr">
        <is>
          <t>Public</t>
        </is>
      </c>
      <c r="J153" t="inlineStr">
        <is>
          <t>711-720</t>
        </is>
      </c>
      <c r="K153" t="inlineStr">
        <is>
          <t>721-730</t>
        </is>
      </c>
      <c r="L153" t="inlineStr">
        <is>
          <t>741-750</t>
        </is>
      </c>
      <c r="M153" t="inlineStr">
        <is>
          <t>801-1000</t>
        </is>
      </c>
      <c r="N153" t="inlineStr">
        <is>
          <t>-</t>
        </is>
      </c>
      <c r="O153" t="inlineStr">
        <is>
          <t>-</t>
        </is>
      </c>
      <c r="P153" t="n">
        <v>20.8</v>
      </c>
      <c r="Q153" t="inlineStr">
        <is>
          <t>595</t>
        </is>
      </c>
      <c r="R153" t="n">
        <v>37.5</v>
      </c>
      <c r="S153" t="inlineStr">
        <is>
          <t>375</t>
        </is>
      </c>
      <c r="T153" t="n">
        <v>18.6</v>
      </c>
      <c r="U153" t="inlineStr">
        <is>
          <t>801+</t>
        </is>
      </c>
      <c r="V153" t="n">
        <v>15.3</v>
      </c>
      <c r="W153" t="inlineStr">
        <is>
          <t>800</t>
        </is>
      </c>
      <c r="X153" t="n">
        <v>4.6</v>
      </c>
      <c r="Y153" t="inlineStr">
        <is>
          <t>801+</t>
        </is>
      </c>
      <c r="Z153" t="n">
        <v>22.7</v>
      </c>
      <c r="AA153" t="inlineStr">
        <is>
          <t>691</t>
        </is>
      </c>
      <c r="AB153" t="n">
        <v>28.8</v>
      </c>
      <c r="AC153" t="inlineStr">
        <is>
          <t>629</t>
        </is>
      </c>
      <c r="AD153" t="n">
        <v>60</v>
      </c>
      <c r="AE153" t="inlineStr">
        <is>
          <t>691</t>
        </is>
      </c>
      <c r="AF153" t="n">
        <v>37.8</v>
      </c>
      <c r="AG153" t="inlineStr">
        <is>
          <t>460</t>
        </is>
      </c>
      <c r="AH153" t="n">
        <v>57.9</v>
      </c>
      <c r="AI153" t="inlineStr">
        <is>
          <t>545</t>
        </is>
      </c>
      <c r="AJ153" t="inlineStr">
        <is>
          <t>14.3</t>
        </is>
      </c>
      <c r="AK153" t="inlineStr">
        <is>
          <t>601+</t>
        </is>
      </c>
      <c r="AL153" t="inlineStr">
        <is>
          <t>19.4</t>
        </is>
      </c>
      <c r="AM153" t="inlineStr">
        <is>
          <t>464</t>
        </is>
      </c>
      <c r="AN153" t="inlineStr">
        <is>
          <t>15.2</t>
        </is>
      </c>
      <c r="AO153" t="inlineStr">
        <is>
          <t>701+</t>
        </is>
      </c>
      <c r="AP153" t="inlineStr">
        <is>
          <t>8.9</t>
        </is>
      </c>
      <c r="AQ153" t="inlineStr">
        <is>
          <t>701+</t>
        </is>
      </c>
      <c r="AR153" t="inlineStr">
        <is>
          <t>2.5</t>
        </is>
      </c>
      <c r="AS153" t="inlineStr">
        <is>
          <t>701+</t>
        </is>
      </c>
      <c r="AT153" t="inlineStr">
        <is>
          <t>18.8</t>
        </is>
      </c>
      <c r="AU153" t="inlineStr">
        <is>
          <t>562</t>
        </is>
      </c>
      <c r="AV153" t="inlineStr">
        <is>
          <t>25.4</t>
        </is>
      </c>
      <c r="AW153" t="inlineStr">
        <is>
          <t>493</t>
        </is>
      </c>
      <c r="AX153" t="inlineStr">
        <is>
          <t>25</t>
        </is>
      </c>
      <c r="AY153" t="inlineStr">
        <is>
          <t>329</t>
        </is>
      </c>
      <c r="AZ153" t="inlineStr">
        <is>
          <t>40.8</t>
        </is>
      </c>
      <c r="BA153" t="inlineStr">
        <is>
          <t>360=</t>
        </is>
      </c>
    </row>
    <row r="154">
      <c r="A154" t="inlineStr">
        <is>
          <t>Ca' Foscari University of Venice</t>
        </is>
      </c>
      <c r="B154" t="inlineStr">
        <is>
          <t>Italy</t>
        </is>
      </c>
      <c r="C154" t="inlineStr">
        <is>
          <t>IT</t>
        </is>
      </c>
      <c r="D154" t="inlineStr">
        <is>
          <t>Europe</t>
        </is>
      </c>
      <c r="E154" t="inlineStr">
        <is>
          <t>M</t>
        </is>
      </c>
      <c r="F154" t="inlineStr">
        <is>
          <t>CO</t>
        </is>
      </c>
      <c r="G154" t="inlineStr">
        <is>
          <t>VH</t>
        </is>
      </c>
      <c r="H154" t="inlineStr">
        <is>
          <t>5</t>
        </is>
      </c>
      <c r="I154" t="inlineStr">
        <is>
          <t>Public</t>
        </is>
      </c>
      <c r="J154" t="inlineStr">
        <is>
          <t>660</t>
        </is>
      </c>
      <c r="K154" t="inlineStr">
        <is>
          <t>601-610</t>
        </is>
      </c>
      <c r="L154" t="inlineStr">
        <is>
          <t>661-670</t>
        </is>
      </c>
      <c r="M154" t="inlineStr">
        <is>
          <t>801-1000</t>
        </is>
      </c>
      <c r="N154" t="inlineStr">
        <is>
          <t>26.5</t>
        </is>
      </c>
      <c r="O154" t="inlineStr">
        <is>
          <t>-</t>
        </is>
      </c>
      <c r="P154" t="n">
        <v>27.1</v>
      </c>
      <c r="Q154" t="inlineStr">
        <is>
          <t>462</t>
        </is>
      </c>
      <c r="R154" t="n">
        <v>21.7</v>
      </c>
      <c r="S154" t="inlineStr">
        <is>
          <t>609</t>
        </is>
      </c>
      <c r="T154" t="n">
        <v>10.1</v>
      </c>
      <c r="U154" t="inlineStr">
        <is>
          <t>801+</t>
        </is>
      </c>
      <c r="V154" t="n">
        <v>20.7</v>
      </c>
      <c r="W154" t="inlineStr">
        <is>
          <t>703</t>
        </is>
      </c>
      <c r="X154" t="n">
        <v>44</v>
      </c>
      <c r="Y154" t="inlineStr">
        <is>
          <t>471</t>
        </is>
      </c>
      <c r="Z154" t="n">
        <v>18.6</v>
      </c>
      <c r="AA154" t="inlineStr">
        <is>
          <t>749</t>
        </is>
      </c>
      <c r="AB154" t="n">
        <v>24.7</v>
      </c>
      <c r="AC154" t="inlineStr">
        <is>
          <t>688</t>
        </is>
      </c>
      <c r="AD154" t="n">
        <v>68.2</v>
      </c>
      <c r="AE154" t="inlineStr">
        <is>
          <t>564</t>
        </is>
      </c>
      <c r="AF154" t="n">
        <v>20</v>
      </c>
      <c r="AG154" t="inlineStr">
        <is>
          <t>729</t>
        </is>
      </c>
      <c r="AH154" t="n">
        <v>74</v>
      </c>
      <c r="AI154" t="inlineStr">
        <is>
          <t>259=</t>
        </is>
      </c>
      <c r="AJ154" t="inlineStr">
        <is>
          <t>18.8</t>
        </is>
      </c>
      <c r="AK154" t="inlineStr">
        <is>
          <t>474</t>
        </is>
      </c>
      <c r="AL154" t="inlineStr">
        <is>
          <t>14.8</t>
        </is>
      </c>
      <c r="AM154" t="inlineStr">
        <is>
          <t>554</t>
        </is>
      </c>
      <c r="AN154" t="inlineStr">
        <is>
          <t>4.9</t>
        </is>
      </c>
      <c r="AO154" t="inlineStr">
        <is>
          <t>701+</t>
        </is>
      </c>
      <c r="AP154" t="inlineStr">
        <is>
          <t>14.2</t>
        </is>
      </c>
      <c r="AQ154" t="inlineStr">
        <is>
          <t>653</t>
        </is>
      </c>
      <c r="AR154" t="inlineStr">
        <is>
          <t>35.1</t>
        </is>
      </c>
      <c r="AS154" t="inlineStr">
        <is>
          <t>454</t>
        </is>
      </c>
      <c r="AT154" t="inlineStr">
        <is>
          <t>8.2</t>
        </is>
      </c>
      <c r="AU154" t="inlineStr">
        <is>
          <t>701+</t>
        </is>
      </c>
      <c r="AV154" t="inlineStr">
        <is>
          <t>15.5</t>
        </is>
      </c>
      <c r="AW154" t="inlineStr">
        <is>
          <t>590</t>
        </is>
      </c>
      <c r="AX154" t="inlineStr">
        <is>
          <t>10.8</t>
        </is>
      </c>
      <c r="AY154" t="inlineStr">
        <is>
          <t>701+</t>
        </is>
      </c>
      <c r="AZ154" t="inlineStr">
        <is>
          <t>62.8</t>
        </is>
      </c>
      <c r="BA154" t="inlineStr">
        <is>
          <t>235=</t>
        </is>
      </c>
    </row>
    <row r="155">
      <c r="A155" t="inlineStr">
        <is>
          <t>Cairo University</t>
        </is>
      </c>
      <c r="B155" t="inlineStr">
        <is>
          <t>Egypt</t>
        </is>
      </c>
      <c r="C155" t="inlineStr">
        <is>
          <t>EG</t>
        </is>
      </c>
      <c r="D155" t="inlineStr">
        <is>
          <t>Africa</t>
        </is>
      </c>
      <c r="E155" t="inlineStr">
        <is>
          <t>XL</t>
        </is>
      </c>
      <c r="F155" t="inlineStr">
        <is>
          <t>FC</t>
        </is>
      </c>
      <c r="G155" t="inlineStr">
        <is>
          <t>VH</t>
        </is>
      </c>
      <c r="H155" t="inlineStr">
        <is>
          <t>5</t>
        </is>
      </c>
      <c r="I155" t="inlineStr">
        <is>
          <t>Public</t>
        </is>
      </c>
      <c r="J155" t="inlineStr">
        <is>
          <t>347</t>
        </is>
      </c>
      <c r="K155" t="inlineStr">
        <is>
          <t>350</t>
        </is>
      </c>
      <c r="L155">
        <f>371</f>
        <v/>
      </c>
      <c r="M155" t="inlineStr">
        <is>
          <t>551-560</t>
        </is>
      </c>
      <c r="N155" t="inlineStr">
        <is>
          <t>41.6</t>
        </is>
      </c>
      <c r="O155" t="inlineStr">
        <is>
          <t>29.9</t>
        </is>
      </c>
      <c r="P155" t="n">
        <v>60.8</v>
      </c>
      <c r="Q155" t="inlineStr">
        <is>
          <t>170</t>
        </is>
      </c>
      <c r="R155" t="n">
        <v>52.7</v>
      </c>
      <c r="S155" t="inlineStr">
        <is>
          <t>232</t>
        </is>
      </c>
      <c r="T155" t="n">
        <v>13.8</v>
      </c>
      <c r="U155" t="inlineStr">
        <is>
          <t>801+</t>
        </is>
      </c>
      <c r="V155" t="n">
        <v>6</v>
      </c>
      <c r="W155" t="inlineStr">
        <is>
          <t>801+</t>
        </is>
      </c>
      <c r="X155" t="n">
        <v>4.2</v>
      </c>
      <c r="Y155" t="inlineStr">
        <is>
          <t>801+</t>
        </is>
      </c>
      <c r="Z155" t="n">
        <v>14.4</v>
      </c>
      <c r="AA155" t="inlineStr">
        <is>
          <t>801+</t>
        </is>
      </c>
      <c r="AB155" t="n">
        <v>10.9</v>
      </c>
      <c r="AC155" t="inlineStr">
        <is>
          <t>801+</t>
        </is>
      </c>
      <c r="AD155" t="n">
        <v>88.90000000000001</v>
      </c>
      <c r="AE155" t="inlineStr">
        <is>
          <t>190</t>
        </is>
      </c>
      <c r="AF155" t="n">
        <v>98</v>
      </c>
      <c r="AG155" t="inlineStr">
        <is>
          <t>43</t>
        </is>
      </c>
      <c r="AH155" t="n">
        <v>66.59999999999999</v>
      </c>
      <c r="AI155" t="inlineStr">
        <is>
          <t>368=</t>
        </is>
      </c>
      <c r="AJ155" t="inlineStr">
        <is>
          <t>43.7</t>
        </is>
      </c>
      <c r="AK155" t="inlineStr">
        <is>
          <t>193</t>
        </is>
      </c>
      <c r="AL155" t="inlineStr">
        <is>
          <t>33.2</t>
        </is>
      </c>
      <c r="AM155" t="inlineStr">
        <is>
          <t>297</t>
        </is>
      </c>
      <c r="AN155" t="inlineStr">
        <is>
          <t>8.0</t>
        </is>
      </c>
      <c r="AO155" t="inlineStr">
        <is>
          <t>701+</t>
        </is>
      </c>
      <c r="AP155" t="inlineStr">
        <is>
          <t>2.8</t>
        </is>
      </c>
      <c r="AQ155" t="inlineStr">
        <is>
          <t>701+</t>
        </is>
      </c>
      <c r="AR155" t="inlineStr">
        <is>
          <t>2.7</t>
        </is>
      </c>
      <c r="AS155" t="inlineStr">
        <is>
          <t>701+</t>
        </is>
      </c>
      <c r="AT155" t="inlineStr">
        <is>
          <t>6.2</t>
        </is>
      </c>
      <c r="AU155" t="inlineStr">
        <is>
          <t>701+</t>
        </is>
      </c>
      <c r="AV155" t="inlineStr">
        <is>
          <t>48.7</t>
        </is>
      </c>
      <c r="AW155" t="inlineStr">
        <is>
          <t>321</t>
        </is>
      </c>
      <c r="AX155" t="inlineStr">
        <is>
          <t>72.5</t>
        </is>
      </c>
      <c r="AY155" t="inlineStr">
        <is>
          <t>63</t>
        </is>
      </c>
      <c r="AZ155" t="inlineStr">
        <is>
          <t>78.6</t>
        </is>
      </c>
      <c r="BA155" t="inlineStr">
        <is>
          <t>157</t>
        </is>
      </c>
    </row>
    <row r="156">
      <c r="A156" t="inlineStr">
        <is>
          <t>California Institute of Technology (Caltech)</t>
        </is>
      </c>
      <c r="B156" t="inlineStr">
        <is>
          <t>United States</t>
        </is>
      </c>
      <c r="C156" t="inlineStr">
        <is>
          <t>US</t>
        </is>
      </c>
      <c r="D156" t="inlineStr">
        <is>
          <t>Americas</t>
        </is>
      </c>
      <c r="E156" t="inlineStr">
        <is>
          <t>S</t>
        </is>
      </c>
      <c r="F156" t="inlineStr">
        <is>
          <t>FO</t>
        </is>
      </c>
      <c r="G156" t="inlineStr">
        <is>
          <t>VH</t>
        </is>
      </c>
      <c r="H156" t="inlineStr">
        <is>
          <t>5</t>
        </is>
      </c>
      <c r="I156" t="inlineStr">
        <is>
          <t>Private not for Profit</t>
        </is>
      </c>
      <c r="J156" t="inlineStr">
        <is>
          <t>10</t>
        </is>
      </c>
      <c r="K156" t="inlineStr">
        <is>
          <t>10</t>
        </is>
      </c>
      <c r="L156" t="inlineStr">
        <is>
          <t>15</t>
        </is>
      </c>
      <c r="M156" t="inlineStr">
        <is>
          <t>6=</t>
        </is>
      </c>
      <c r="N156" t="inlineStr">
        <is>
          <t>94.3</t>
        </is>
      </c>
      <c r="O156" t="inlineStr">
        <is>
          <t>87.8</t>
        </is>
      </c>
      <c r="P156" t="n">
        <v>98.3</v>
      </c>
      <c r="Q156" t="inlineStr">
        <is>
          <t>33</t>
        </is>
      </c>
      <c r="R156" t="n">
        <v>99.2</v>
      </c>
      <c r="S156" t="inlineStr">
        <is>
          <t>23</t>
        </is>
      </c>
      <c r="T156" t="n">
        <v>100</v>
      </c>
      <c r="U156" t="inlineStr">
        <is>
          <t>5</t>
        </is>
      </c>
      <c r="V156" t="n">
        <v>100</v>
      </c>
      <c r="W156" t="inlineStr">
        <is>
          <t>3</t>
        </is>
      </c>
      <c r="X156" t="n">
        <v>100</v>
      </c>
      <c r="Y156" t="inlineStr">
        <is>
          <t>65</t>
        </is>
      </c>
      <c r="Z156" t="n">
        <v>90.7</v>
      </c>
      <c r="AA156" t="inlineStr">
        <is>
          <t>161</t>
        </is>
      </c>
      <c r="AB156" t="n">
        <v>91.40000000000001</v>
      </c>
      <c r="AC156" t="inlineStr">
        <is>
          <t>136</t>
        </is>
      </c>
      <c r="AD156" t="n">
        <v>61.8</v>
      </c>
      <c r="AE156" t="inlineStr">
        <is>
          <t>665</t>
        </is>
      </c>
      <c r="AF156" t="n">
        <v>49.1</v>
      </c>
      <c r="AG156" t="inlineStr">
        <is>
          <t>352</t>
        </is>
      </c>
      <c r="AH156" t="n">
        <v>79.2</v>
      </c>
      <c r="AI156" t="inlineStr">
        <is>
          <t>185</t>
        </is>
      </c>
      <c r="AJ156" t="inlineStr">
        <is>
          <t>96.1</t>
        </is>
      </c>
      <c r="AK156" t="inlineStr">
        <is>
          <t>30</t>
        </is>
      </c>
      <c r="AL156" t="inlineStr">
        <is>
          <t>93.7</t>
        </is>
      </c>
      <c r="AM156" t="inlineStr">
        <is>
          <t>41</t>
        </is>
      </c>
      <c r="AN156" t="inlineStr">
        <is>
          <t>100.0</t>
        </is>
      </c>
      <c r="AO156" t="inlineStr">
        <is>
          <t>5</t>
        </is>
      </c>
      <c r="AP156" t="inlineStr">
        <is>
          <t>100.0</t>
        </is>
      </c>
      <c r="AQ156" t="inlineStr">
        <is>
          <t>3</t>
        </is>
      </c>
      <c r="AR156" t="inlineStr">
        <is>
          <t>100.0</t>
        </is>
      </c>
      <c r="AS156" t="inlineStr">
        <is>
          <t>63</t>
        </is>
      </c>
      <c r="AT156" t="inlineStr">
        <is>
          <t>81.0</t>
        </is>
      </c>
      <c r="AU156" t="inlineStr">
        <is>
          <t>159</t>
        </is>
      </c>
      <c r="AV156" t="inlineStr">
        <is>
          <t>22.8</t>
        </is>
      </c>
      <c r="AW156" t="inlineStr">
        <is>
          <t>521</t>
        </is>
      </c>
      <c r="AX156" t="inlineStr">
        <is>
          <t>34.2</t>
        </is>
      </c>
      <c r="AY156" t="inlineStr">
        <is>
          <t>225</t>
        </is>
      </c>
      <c r="AZ156" t="inlineStr">
        <is>
          <t>41.4</t>
        </is>
      </c>
      <c r="BA156" t="inlineStr">
        <is>
          <t>357</t>
        </is>
      </c>
    </row>
    <row r="157">
      <c r="A157" t="inlineStr">
        <is>
          <t>California Polytechnic State University</t>
        </is>
      </c>
      <c r="B157" t="inlineStr">
        <is>
          <t>United States</t>
        </is>
      </c>
      <c r="C157" t="inlineStr">
        <is>
          <t>US</t>
        </is>
      </c>
      <c r="D157" t="inlineStr">
        <is>
          <t>Americas</t>
        </is>
      </c>
      <c r="E157" t="inlineStr">
        <is>
          <t>L</t>
        </is>
      </c>
      <c r="F157" t="inlineStr">
        <is>
          <t>CO</t>
        </is>
      </c>
      <c r="G157" t="inlineStr">
        <is>
          <t>HI</t>
        </is>
      </c>
      <c r="H157" t="inlineStr"/>
      <c r="I157" t="inlineStr">
        <is>
          <t>Public</t>
        </is>
      </c>
      <c r="J157" t="inlineStr">
        <is>
          <t>1201-1400</t>
        </is>
      </c>
      <c r="K157" t="inlineStr">
        <is>
          <t>1401+</t>
        </is>
      </c>
      <c r="L157" t="inlineStr">
        <is>
          <t>1201-1400</t>
        </is>
      </c>
      <c r="M157" t="inlineStr">
        <is>
          <t>1201-1400</t>
        </is>
      </c>
      <c r="N157" t="inlineStr">
        <is>
          <t>-</t>
        </is>
      </c>
      <c r="O157" t="inlineStr">
        <is>
          <t>-</t>
        </is>
      </c>
      <c r="P157" t="n">
        <v>5.6</v>
      </c>
      <c r="Q157" t="inlineStr">
        <is>
          <t>701+</t>
        </is>
      </c>
      <c r="R157" t="n">
        <v>20</v>
      </c>
      <c r="S157" t="inlineStr">
        <is>
          <t>655</t>
        </is>
      </c>
      <c r="T157" t="n">
        <v>9.4</v>
      </c>
      <c r="U157" t="inlineStr">
        <is>
          <t>801+</t>
        </is>
      </c>
      <c r="V157" t="n">
        <v>4.9</v>
      </c>
      <c r="W157" t="inlineStr">
        <is>
          <t>801+</t>
        </is>
      </c>
      <c r="X157" t="inlineStr"/>
      <c r="Y157" t="inlineStr"/>
      <c r="Z157" t="inlineStr"/>
      <c r="AA157" t="inlineStr"/>
      <c r="AB157" t="inlineStr"/>
      <c r="AC157" t="inlineStr"/>
      <c r="AD157" t="n">
        <v>43.6</v>
      </c>
      <c r="AE157" t="inlineStr">
        <is>
          <t>801+</t>
        </is>
      </c>
      <c r="AF157" t="n">
        <v>19.4</v>
      </c>
      <c r="AG157" t="inlineStr">
        <is>
          <t>736</t>
        </is>
      </c>
      <c r="AH157" t="n">
        <v>32.8</v>
      </c>
      <c r="AI157" t="inlineStr">
        <is>
          <t>801+</t>
        </is>
      </c>
      <c r="AJ157" t="inlineStr">
        <is>
          <t>3.7</t>
        </is>
      </c>
      <c r="AK157" t="inlineStr">
        <is>
          <t>601+</t>
        </is>
      </c>
      <c r="AL157" t="inlineStr">
        <is>
          <t>9.3</t>
        </is>
      </c>
      <c r="AM157" t="inlineStr">
        <is>
          <t>601+</t>
        </is>
      </c>
      <c r="AN157" t="inlineStr">
        <is>
          <t>7.0</t>
        </is>
      </c>
      <c r="AO157" t="inlineStr">
        <is>
          <t>701+</t>
        </is>
      </c>
      <c r="AP157" t="inlineStr">
        <is>
          <t>3.4</t>
        </is>
      </c>
      <c r="AQ157" t="inlineStr">
        <is>
          <t>701+</t>
        </is>
      </c>
      <c r="AR157" t="inlineStr"/>
      <c r="AS157" t="inlineStr"/>
      <c r="AT157" t="inlineStr"/>
      <c r="AU157" t="inlineStr"/>
      <c r="AV157" t="inlineStr">
        <is>
          <t>1.5</t>
        </is>
      </c>
      <c r="AW157" t="inlineStr">
        <is>
          <t>701+</t>
        </is>
      </c>
      <c r="AX157" t="inlineStr">
        <is>
          <t>13.2</t>
        </is>
      </c>
      <c r="AY157" t="inlineStr">
        <is>
          <t>647</t>
        </is>
      </c>
      <c r="AZ157" t="inlineStr"/>
      <c r="BA157" t="inlineStr"/>
    </row>
    <row r="158">
      <c r="A158" t="inlineStr">
        <is>
          <t>California State University Long Beach</t>
        </is>
      </c>
      <c r="B158" t="inlineStr">
        <is>
          <t>United States</t>
        </is>
      </c>
      <c r="C158" t="inlineStr">
        <is>
          <t>US</t>
        </is>
      </c>
      <c r="D158" t="inlineStr"/>
      <c r="E158" t="inlineStr">
        <is>
          <t>XL</t>
        </is>
      </c>
      <c r="F158" t="inlineStr">
        <is>
          <t>CO</t>
        </is>
      </c>
      <c r="G158" t="inlineStr">
        <is>
          <t>VH</t>
        </is>
      </c>
      <c r="H158" t="inlineStr">
        <is>
          <t>4</t>
        </is>
      </c>
      <c r="I158" t="inlineStr">
        <is>
          <t>A</t>
        </is>
      </c>
      <c r="J158" t="inlineStr"/>
      <c r="K158" t="inlineStr"/>
      <c r="L158" t="inlineStr">
        <is>
          <t>1401+</t>
        </is>
      </c>
      <c r="M158" t="inlineStr">
        <is>
          <t>1401+</t>
        </is>
      </c>
      <c r="N158" t="inlineStr"/>
      <c r="O158" t="inlineStr">
        <is>
          <t>-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4.0</t>
        </is>
      </c>
      <c r="AK158" t="inlineStr">
        <is>
          <t>601+</t>
        </is>
      </c>
      <c r="AL158" t="inlineStr">
        <is>
          <t>2.8</t>
        </is>
      </c>
      <c r="AM158" t="inlineStr">
        <is>
          <t>601+</t>
        </is>
      </c>
      <c r="AN158" t="inlineStr">
        <is>
          <t>8.1</t>
        </is>
      </c>
      <c r="AO158" t="inlineStr">
        <is>
          <t>701+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9.6</t>
        </is>
      </c>
      <c r="AY158" t="inlineStr">
        <is>
          <t>701+</t>
        </is>
      </c>
      <c r="AZ158" t="inlineStr"/>
      <c r="BA158" t="inlineStr"/>
    </row>
    <row r="159">
      <c r="A159" t="inlineStr">
        <is>
          <t>California State University - Los Angeles</t>
        </is>
      </c>
      <c r="B159" t="inlineStr">
        <is>
          <t>United States</t>
        </is>
      </c>
      <c r="C159" t="inlineStr">
        <is>
          <t>US</t>
        </is>
      </c>
      <c r="D159" t="inlineStr"/>
      <c r="E159" t="inlineStr">
        <is>
          <t>L</t>
        </is>
      </c>
      <c r="F159" t="inlineStr">
        <is>
          <t>CO</t>
        </is>
      </c>
      <c r="G159" t="inlineStr">
        <is>
          <t>HI</t>
        </is>
      </c>
      <c r="H159" t="inlineStr">
        <is>
          <t>4</t>
        </is>
      </c>
      <c r="I159" t="inlineStr">
        <is>
          <t>A</t>
        </is>
      </c>
      <c r="J159" t="inlineStr"/>
      <c r="K159" t="inlineStr"/>
      <c r="L159" t="inlineStr">
        <is>
          <t>1401+</t>
        </is>
      </c>
      <c r="M159" t="inlineStr">
        <is>
          <t>1201-1400</t>
        </is>
      </c>
      <c r="N159" t="inlineStr"/>
      <c r="O159" t="inlineStr">
        <is>
          <t>-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5.4</t>
        </is>
      </c>
      <c r="AK159" t="inlineStr">
        <is>
          <t>601+</t>
        </is>
      </c>
      <c r="AL159" t="inlineStr">
        <is>
          <t>2.5</t>
        </is>
      </c>
      <c r="AM159" t="inlineStr">
        <is>
          <t>601+</t>
        </is>
      </c>
      <c r="AN159" t="inlineStr">
        <is>
          <t>3.5</t>
        </is>
      </c>
      <c r="AO159" t="inlineStr">
        <is>
          <t>701+</t>
        </is>
      </c>
      <c r="AP159" t="inlineStr">
        <is>
          <t>3.2</t>
        </is>
      </c>
      <c r="AQ159" t="inlineStr">
        <is>
          <t>701+</t>
        </is>
      </c>
      <c r="AR159" t="inlineStr">
        <is>
          <t>4.0</t>
        </is>
      </c>
      <c r="AS159" t="inlineStr">
        <is>
          <t>701+</t>
        </is>
      </c>
      <c r="AT159" t="inlineStr">
        <is>
          <t>5.6</t>
        </is>
      </c>
      <c r="AU159" t="inlineStr">
        <is>
          <t>701+</t>
        </is>
      </c>
      <c r="AV159" t="inlineStr">
        <is>
          <t>1.1</t>
        </is>
      </c>
      <c r="AW159" t="inlineStr">
        <is>
          <t>701+</t>
        </is>
      </c>
      <c r="AX159" t="inlineStr">
        <is>
          <t>9.5</t>
        </is>
      </c>
      <c r="AY159" t="inlineStr">
        <is>
          <t>701+</t>
        </is>
      </c>
      <c r="AZ159" t="inlineStr"/>
      <c r="BA159" t="inlineStr"/>
    </row>
    <row r="160">
      <c r="A160" t="inlineStr">
        <is>
          <t>Can Tho University</t>
        </is>
      </c>
      <c r="B160" t="inlineStr">
        <is>
          <t>Viet Nam</t>
        </is>
      </c>
      <c r="C160" t="inlineStr"/>
      <c r="D160" t="inlineStr">
        <is>
          <t>Asia</t>
        </is>
      </c>
      <c r="E160" t="inlineStr">
        <is>
          <t>XL</t>
        </is>
      </c>
      <c r="F160" t="inlineStr">
        <is>
          <t>CO</t>
        </is>
      </c>
      <c r="G160" t="inlineStr">
        <is>
          <t>HI</t>
        </is>
      </c>
      <c r="H160" t="inlineStr"/>
      <c r="I160" t="inlineStr">
        <is>
          <t>Public</t>
        </is>
      </c>
      <c r="J160" t="inlineStr">
        <is>
          <t>1201-1400</t>
        </is>
      </c>
      <c r="K160" t="inlineStr"/>
      <c r="L160" t="inlineStr"/>
      <c r="M160" t="inlineStr"/>
      <c r="N160" t="inlineStr">
        <is>
          <t>-</t>
        </is>
      </c>
      <c r="O160" t="inlineStr"/>
      <c r="P160" t="n">
        <v>10.2</v>
      </c>
      <c r="Q160" t="inlineStr">
        <is>
          <t>701+</t>
        </is>
      </c>
      <c r="R160" t="n">
        <v>6.2</v>
      </c>
      <c r="S160" t="inlineStr">
        <is>
          <t>701+</t>
        </is>
      </c>
      <c r="T160" t="n">
        <v>3.1</v>
      </c>
      <c r="U160" t="inlineStr">
        <is>
          <t>801+</t>
        </is>
      </c>
      <c r="V160" t="n">
        <v>4.6</v>
      </c>
      <c r="W160" t="inlineStr">
        <is>
          <t>801+</t>
        </is>
      </c>
      <c r="X160" t="n">
        <v>65.2</v>
      </c>
      <c r="Y160" t="inlineStr">
        <is>
          <t>357</t>
        </is>
      </c>
      <c r="Z160" t="n">
        <v>1</v>
      </c>
      <c r="AA160" t="inlineStr">
        <is>
          <t>801+</t>
        </is>
      </c>
      <c r="AB160" t="n">
        <v>5.5</v>
      </c>
      <c r="AC160" t="inlineStr">
        <is>
          <t>801+</t>
        </is>
      </c>
      <c r="AD160" t="n">
        <v>36.8</v>
      </c>
      <c r="AE160" t="inlineStr">
        <is>
          <t>801+</t>
        </is>
      </c>
      <c r="AF160" t="n">
        <v>6.6</v>
      </c>
      <c r="AG160" t="inlineStr">
        <is>
          <t>801+</t>
        </is>
      </c>
      <c r="AH160" t="n">
        <v>39.7</v>
      </c>
      <c r="AI160" t="inlineStr">
        <is>
          <t>801+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Canadian University Dubai</t>
        </is>
      </c>
      <c r="B161" t="inlineStr">
        <is>
          <t>United Arab Emirates</t>
        </is>
      </c>
      <c r="C161" t="inlineStr">
        <is>
          <t>AE</t>
        </is>
      </c>
      <c r="D161" t="inlineStr"/>
      <c r="E161" t="inlineStr">
        <is>
          <t>S</t>
        </is>
      </c>
      <c r="F161" t="inlineStr">
        <is>
          <t>FO</t>
        </is>
      </c>
      <c r="G161" t="inlineStr">
        <is>
          <t>HI</t>
        </is>
      </c>
      <c r="H161" t="inlineStr">
        <is>
          <t>2</t>
        </is>
      </c>
      <c r="I161" t="inlineStr">
        <is>
          <t>C</t>
        </is>
      </c>
      <c r="J161" t="inlineStr"/>
      <c r="K161" t="inlineStr"/>
      <c r="L161">
        <f>551</f>
        <v/>
      </c>
      <c r="M161" t="inlineStr">
        <is>
          <t>541-550</t>
        </is>
      </c>
      <c r="N161" t="inlineStr"/>
      <c r="O161" t="inlineStr">
        <is>
          <t>21.3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14.7</t>
        </is>
      </c>
      <c r="AK161" t="inlineStr">
        <is>
          <t>591</t>
        </is>
      </c>
      <c r="AL161" t="inlineStr">
        <is>
          <t>14.4</t>
        </is>
      </c>
      <c r="AM161" t="inlineStr">
        <is>
          <t>567</t>
        </is>
      </c>
      <c r="AN161" t="inlineStr">
        <is>
          <t>31.3</t>
        </is>
      </c>
      <c r="AO161" t="inlineStr">
        <is>
          <t>505</t>
        </is>
      </c>
      <c r="AP161" t="inlineStr">
        <is>
          <t>2.3</t>
        </is>
      </c>
      <c r="AQ161" t="inlineStr">
        <is>
          <t>701+</t>
        </is>
      </c>
      <c r="AR161" t="inlineStr">
        <is>
          <t>100.0</t>
        </is>
      </c>
      <c r="AS161" t="inlineStr">
        <is>
          <t>4</t>
        </is>
      </c>
      <c r="AT161" t="inlineStr">
        <is>
          <t>100.0</t>
        </is>
      </c>
      <c r="AU161" t="inlineStr">
        <is>
          <t>5</t>
        </is>
      </c>
      <c r="AV161" t="inlineStr">
        <is>
          <t>1.0</t>
        </is>
      </c>
      <c r="AW161" t="inlineStr">
        <is>
          <t>701+</t>
        </is>
      </c>
      <c r="AX161" t="inlineStr">
        <is>
          <t>22.3</t>
        </is>
      </c>
      <c r="AY161" t="inlineStr">
        <is>
          <t>371</t>
        </is>
      </c>
      <c r="AZ161" t="inlineStr">
        <is>
          <t>1</t>
        </is>
      </c>
      <c r="BA161" t="inlineStr">
        <is>
          <t>701+</t>
        </is>
      </c>
    </row>
    <row r="162">
      <c r="A162" t="inlineStr">
        <is>
          <t>Canadian University of Dubai</t>
        </is>
      </c>
      <c r="B162" t="inlineStr">
        <is>
          <t>United Arab Emirates</t>
        </is>
      </c>
      <c r="C162" t="inlineStr"/>
      <c r="D162" t="inlineStr">
        <is>
          <t>Asia</t>
        </is>
      </c>
      <c r="E162" t="inlineStr">
        <is>
          <t>S</t>
        </is>
      </c>
      <c r="F162" t="inlineStr">
        <is>
          <t>FO</t>
        </is>
      </c>
      <c r="G162" t="inlineStr">
        <is>
          <t>HI</t>
        </is>
      </c>
      <c r="H162" t="inlineStr"/>
      <c r="I162" t="inlineStr">
        <is>
          <t>Private for Profit</t>
        </is>
      </c>
      <c r="J162" t="inlineStr">
        <is>
          <t>604</t>
        </is>
      </c>
      <c r="K162" t="inlineStr">
        <is>
          <t>523</t>
        </is>
      </c>
      <c r="L162" t="inlineStr"/>
      <c r="M162" t="inlineStr"/>
      <c r="N162" t="inlineStr">
        <is>
          <t>28.2</t>
        </is>
      </c>
      <c r="O162" t="inlineStr"/>
      <c r="P162" t="n">
        <v>22.7</v>
      </c>
      <c r="Q162" t="inlineStr">
        <is>
          <t>553</t>
        </is>
      </c>
      <c r="R162" t="n">
        <v>29.7</v>
      </c>
      <c r="S162" t="inlineStr">
        <is>
          <t>478</t>
        </is>
      </c>
      <c r="T162" t="n">
        <v>40.3</v>
      </c>
      <c r="U162" t="inlineStr">
        <is>
          <t>499</t>
        </is>
      </c>
      <c r="V162" t="n">
        <v>7</v>
      </c>
      <c r="W162" t="inlineStr">
        <is>
          <t>801+</t>
        </is>
      </c>
      <c r="X162" t="n">
        <v>100</v>
      </c>
      <c r="Y162" t="inlineStr">
        <is>
          <t>4</t>
        </is>
      </c>
      <c r="Z162" t="n">
        <v>100</v>
      </c>
      <c r="AA162" t="inlineStr">
        <is>
          <t>7</t>
        </is>
      </c>
      <c r="AB162" t="n">
        <v>74.40000000000001</v>
      </c>
      <c r="AC162" t="inlineStr">
        <is>
          <t>237</t>
        </is>
      </c>
      <c r="AD162" t="n">
        <v>18.8</v>
      </c>
      <c r="AE162" t="inlineStr">
        <is>
          <t>801+</t>
        </is>
      </c>
      <c r="AF162" t="n">
        <v>18.1</v>
      </c>
      <c r="AG162" t="inlineStr">
        <is>
          <t>758</t>
        </is>
      </c>
      <c r="AH162" t="n">
        <v>17.6</v>
      </c>
      <c r="AI162" t="inlineStr">
        <is>
          <t>801+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Canterbury Christ Church University</t>
        </is>
      </c>
      <c r="B163" t="inlineStr">
        <is>
          <t>United Kingdom</t>
        </is>
      </c>
      <c r="C163" t="inlineStr">
        <is>
          <t>UK</t>
        </is>
      </c>
      <c r="D163" t="inlineStr">
        <is>
          <t>Europe</t>
        </is>
      </c>
      <c r="E163" t="inlineStr">
        <is>
          <t>XL</t>
        </is>
      </c>
      <c r="F163" t="inlineStr">
        <is>
          <t>CO</t>
        </is>
      </c>
      <c r="G163" t="inlineStr">
        <is>
          <t>MD</t>
        </is>
      </c>
      <c r="H163" t="inlineStr">
        <is>
          <t>4</t>
        </is>
      </c>
      <c r="I163" t="inlineStr">
        <is>
          <t>Public</t>
        </is>
      </c>
      <c r="J163" t="inlineStr">
        <is>
          <t>1201-1400</t>
        </is>
      </c>
      <c r="K163" t="inlineStr">
        <is>
          <t>1001-1200</t>
        </is>
      </c>
      <c r="L163" t="inlineStr">
        <is>
          <t>1001-1200</t>
        </is>
      </c>
      <c r="M163" t="inlineStr">
        <is>
          <t>1001-1200</t>
        </is>
      </c>
      <c r="N163" t="inlineStr">
        <is>
          <t>-</t>
        </is>
      </c>
      <c r="O163" t="inlineStr">
        <is>
          <t>-</t>
        </is>
      </c>
      <c r="P163" t="n">
        <v>6.8</v>
      </c>
      <c r="Q163" t="inlineStr">
        <is>
          <t>701+</t>
        </is>
      </c>
      <c r="R163" t="n">
        <v>4.7</v>
      </c>
      <c r="S163" t="inlineStr">
        <is>
          <t>701+</t>
        </is>
      </c>
      <c r="T163" t="n">
        <v>5.3</v>
      </c>
      <c r="U163" t="inlineStr">
        <is>
          <t>801+</t>
        </is>
      </c>
      <c r="V163" t="n">
        <v>6.8</v>
      </c>
      <c r="W163" t="inlineStr">
        <is>
          <t>801+</t>
        </is>
      </c>
      <c r="X163" t="n">
        <v>41.5</v>
      </c>
      <c r="Y163" t="inlineStr">
        <is>
          <t>487</t>
        </is>
      </c>
      <c r="Z163" t="n">
        <v>60.4</v>
      </c>
      <c r="AA163" t="inlineStr">
        <is>
          <t>340</t>
        </is>
      </c>
      <c r="AB163" t="n">
        <v>64.2</v>
      </c>
      <c r="AC163" t="inlineStr">
        <is>
          <t>309</t>
        </is>
      </c>
      <c r="AD163" t="n">
        <v>21.9</v>
      </c>
      <c r="AE163" t="inlineStr">
        <is>
          <t>801+</t>
        </is>
      </c>
      <c r="AF163" t="n">
        <v>2.2</v>
      </c>
      <c r="AG163" t="inlineStr">
        <is>
          <t>801+</t>
        </is>
      </c>
      <c r="AH163" t="n">
        <v>21.7</v>
      </c>
      <c r="AI163" t="inlineStr">
        <is>
          <t>801+</t>
        </is>
      </c>
      <c r="AJ163" t="inlineStr">
        <is>
          <t>5.7</t>
        </is>
      </c>
      <c r="AK163" t="inlineStr">
        <is>
          <t>601+</t>
        </is>
      </c>
      <c r="AL163" t="inlineStr">
        <is>
          <t>2.1</t>
        </is>
      </c>
      <c r="AM163" t="inlineStr">
        <is>
          <t>601+</t>
        </is>
      </c>
      <c r="AN163" t="inlineStr">
        <is>
          <t>5.8</t>
        </is>
      </c>
      <c r="AO163" t="inlineStr">
        <is>
          <t>701+</t>
        </is>
      </c>
      <c r="AP163" t="inlineStr">
        <is>
          <t>4.1</t>
        </is>
      </c>
      <c r="AQ163" t="inlineStr">
        <is>
          <t>701+</t>
        </is>
      </c>
      <c r="AR163" t="inlineStr">
        <is>
          <t>35.9</t>
        </is>
      </c>
      <c r="AS163" t="inlineStr">
        <is>
          <t>447</t>
        </is>
      </c>
      <c r="AT163" t="inlineStr">
        <is>
          <t>72.8</t>
        </is>
      </c>
      <c r="AU163" t="inlineStr">
        <is>
          <t>194</t>
        </is>
      </c>
      <c r="AV163" t="inlineStr">
        <is>
          <t>1.0</t>
        </is>
      </c>
      <c r="AW163" t="inlineStr">
        <is>
          <t>701+</t>
        </is>
      </c>
      <c r="AX163" t="inlineStr">
        <is>
          <t>8.6</t>
        </is>
      </c>
      <c r="AY163" t="inlineStr">
        <is>
          <t>701+</t>
        </is>
      </c>
      <c r="AZ163" t="inlineStr">
        <is>
          <t>1</t>
        </is>
      </c>
      <c r="BA163" t="inlineStr">
        <is>
          <t>701+</t>
        </is>
      </c>
    </row>
    <row r="164">
      <c r="A164" t="inlineStr">
        <is>
          <t>Cardiff University</t>
        </is>
      </c>
      <c r="B164" t="inlineStr">
        <is>
          <t>United Kingdom</t>
        </is>
      </c>
      <c r="C164" t="inlineStr">
        <is>
          <t>UK</t>
        </is>
      </c>
      <c r="D164" t="inlineStr">
        <is>
          <t>Europe</t>
        </is>
      </c>
      <c r="E164" t="inlineStr">
        <is>
          <t>L</t>
        </is>
      </c>
      <c r="F164" t="inlineStr">
        <is>
          <t>FC</t>
        </is>
      </c>
      <c r="G164" t="inlineStr">
        <is>
          <t>VH</t>
        </is>
      </c>
      <c r="H164" t="inlineStr">
        <is>
          <t>5</t>
        </is>
      </c>
      <c r="I164" t="inlineStr">
        <is>
          <t>Public</t>
        </is>
      </c>
      <c r="J164" t="inlineStr">
        <is>
          <t>181</t>
        </is>
      </c>
      <c r="K164" t="inlineStr">
        <is>
          <t>186</t>
        </is>
      </c>
      <c r="L164">
        <f>154</f>
        <v/>
      </c>
      <c r="M164" t="inlineStr">
        <is>
          <t>166</t>
        </is>
      </c>
      <c r="N164" t="inlineStr">
        <is>
          <t>57.8</t>
        </is>
      </c>
      <c r="O164" t="inlineStr">
        <is>
          <t>50.5</t>
        </is>
      </c>
      <c r="P164" t="n">
        <v>60.1</v>
      </c>
      <c r="Q164" t="inlineStr">
        <is>
          <t>175</t>
        </is>
      </c>
      <c r="R164" t="n">
        <v>54.4</v>
      </c>
      <c r="S164" t="inlineStr">
        <is>
          <t>223</t>
        </is>
      </c>
      <c r="T164" t="n">
        <v>48.2</v>
      </c>
      <c r="U164" t="inlineStr">
        <is>
          <t>403</t>
        </is>
      </c>
      <c r="V164" t="n">
        <v>42.2</v>
      </c>
      <c r="W164" t="inlineStr">
        <is>
          <t>451</t>
        </is>
      </c>
      <c r="X164" t="n">
        <v>87.2</v>
      </c>
      <c r="Y164" t="inlineStr">
        <is>
          <t>243</t>
        </is>
      </c>
      <c r="Z164" t="n">
        <v>70.09999999999999</v>
      </c>
      <c r="AA164" t="inlineStr">
        <is>
          <t>278</t>
        </is>
      </c>
      <c r="AB164" t="n">
        <v>73</v>
      </c>
      <c r="AC164" t="inlineStr">
        <is>
          <t>248</t>
        </is>
      </c>
      <c r="AD164" t="n">
        <v>93.40000000000001</v>
      </c>
      <c r="AE164" t="inlineStr">
        <is>
          <t>120</t>
        </is>
      </c>
      <c r="AF164" t="n">
        <v>33.5</v>
      </c>
      <c r="AG164" t="inlineStr">
        <is>
          <t>502</t>
        </is>
      </c>
      <c r="AH164" t="n">
        <v>88.90000000000001</v>
      </c>
      <c r="AI164" t="inlineStr">
        <is>
          <t>71=</t>
        </is>
      </c>
      <c r="AJ164" t="inlineStr">
        <is>
          <t>46.5</t>
        </is>
      </c>
      <c r="AK164" t="inlineStr">
        <is>
          <t>176</t>
        </is>
      </c>
      <c r="AL164" t="inlineStr">
        <is>
          <t>48.3</t>
        </is>
      </c>
      <c r="AM164" t="inlineStr">
        <is>
          <t>181</t>
        </is>
      </c>
      <c r="AN164" t="inlineStr">
        <is>
          <t>33.7</t>
        </is>
      </c>
      <c r="AO164" t="inlineStr">
        <is>
          <t>474</t>
        </is>
      </c>
      <c r="AP164" t="inlineStr">
        <is>
          <t>39.6</t>
        </is>
      </c>
      <c r="AQ164" t="inlineStr">
        <is>
          <t>347</t>
        </is>
      </c>
      <c r="AR164" t="inlineStr">
        <is>
          <t>84.0</t>
        </is>
      </c>
      <c r="AS164" t="inlineStr">
        <is>
          <t>217</t>
        </is>
      </c>
      <c r="AT164" t="inlineStr">
        <is>
          <t>70.6</t>
        </is>
      </c>
      <c r="AU164" t="inlineStr">
        <is>
          <t>206</t>
        </is>
      </c>
      <c r="AV164" t="inlineStr">
        <is>
          <t>81.6</t>
        </is>
      </c>
      <c r="AW164" t="inlineStr">
        <is>
          <t>138</t>
        </is>
      </c>
      <c r="AX164" t="inlineStr">
        <is>
          <t>18.9</t>
        </is>
      </c>
      <c r="AY164" t="inlineStr">
        <is>
          <t>442</t>
        </is>
      </c>
      <c r="AZ164" t="inlineStr">
        <is>
          <t>97.9</t>
        </is>
      </c>
      <c r="BA164" t="inlineStr">
        <is>
          <t>25</t>
        </is>
      </c>
    </row>
    <row r="165">
      <c r="A165" t="inlineStr">
        <is>
          <t>Carleton University</t>
        </is>
      </c>
      <c r="B165" t="inlineStr">
        <is>
          <t>Canada</t>
        </is>
      </c>
      <c r="C165" t="inlineStr">
        <is>
          <t>CA</t>
        </is>
      </c>
      <c r="D165" t="inlineStr">
        <is>
          <t>Americas</t>
        </is>
      </c>
      <c r="E165" t="inlineStr">
        <is>
          <t>L</t>
        </is>
      </c>
      <c r="F165" t="inlineStr">
        <is>
          <t>CO</t>
        </is>
      </c>
      <c r="G165" t="inlineStr">
        <is>
          <t>VH</t>
        </is>
      </c>
      <c r="H165" t="inlineStr">
        <is>
          <t>4</t>
        </is>
      </c>
      <c r="I165" t="inlineStr">
        <is>
          <t>Public</t>
        </is>
      </c>
      <c r="J165" t="inlineStr">
        <is>
          <t>781-790</t>
        </is>
      </c>
      <c r="K165" t="inlineStr">
        <is>
          <t>741-750</t>
        </is>
      </c>
      <c r="L165" t="inlineStr">
        <is>
          <t>671-680</t>
        </is>
      </c>
      <c r="M165" t="inlineStr">
        <is>
          <t>601-650</t>
        </is>
      </c>
      <c r="N165" t="inlineStr">
        <is>
          <t>-</t>
        </is>
      </c>
      <c r="O165" t="inlineStr">
        <is>
          <t>-</t>
        </is>
      </c>
      <c r="P165" t="n">
        <v>15.6</v>
      </c>
      <c r="Q165" t="inlineStr">
        <is>
          <t>701+</t>
        </is>
      </c>
      <c r="R165" t="n">
        <v>16.8</v>
      </c>
      <c r="S165" t="inlineStr">
        <is>
          <t>701+</t>
        </is>
      </c>
      <c r="T165" t="n">
        <v>7.3</v>
      </c>
      <c r="U165" t="inlineStr">
        <is>
          <t>801+</t>
        </is>
      </c>
      <c r="V165" t="n">
        <v>18.6</v>
      </c>
      <c r="W165" t="inlineStr">
        <is>
          <t>743</t>
        </is>
      </c>
      <c r="X165" t="n">
        <v>17.6</v>
      </c>
      <c r="Y165" t="inlineStr">
        <is>
          <t>756</t>
        </is>
      </c>
      <c r="Z165" t="n">
        <v>56.9</v>
      </c>
      <c r="AA165" t="inlineStr">
        <is>
          <t>364</t>
        </is>
      </c>
      <c r="AB165" t="n">
        <v>42.4</v>
      </c>
      <c r="AC165" t="inlineStr">
        <is>
          <t>489</t>
        </is>
      </c>
      <c r="AD165" t="n">
        <v>74.90000000000001</v>
      </c>
      <c r="AE165" t="inlineStr">
        <is>
          <t>443</t>
        </is>
      </c>
      <c r="AF165" t="n">
        <v>43.1</v>
      </c>
      <c r="AG165" t="inlineStr">
        <is>
          <t>407</t>
        </is>
      </c>
      <c r="AH165" t="n">
        <v>61.1</v>
      </c>
      <c r="AI165" t="inlineStr">
        <is>
          <t>477=</t>
        </is>
      </c>
      <c r="AJ165" t="inlineStr">
        <is>
          <t>10.9</t>
        </is>
      </c>
      <c r="AK165" t="inlineStr">
        <is>
          <t>601+</t>
        </is>
      </c>
      <c r="AL165" t="inlineStr">
        <is>
          <t>13.9</t>
        </is>
      </c>
      <c r="AM165" t="inlineStr">
        <is>
          <t>584</t>
        </is>
      </c>
      <c r="AN165" t="inlineStr">
        <is>
          <t>3.1</t>
        </is>
      </c>
      <c r="AO165" t="inlineStr">
        <is>
          <t>701+</t>
        </is>
      </c>
      <c r="AP165" t="inlineStr">
        <is>
          <t>21.8</t>
        </is>
      </c>
      <c r="AQ165" t="inlineStr">
        <is>
          <t>531</t>
        </is>
      </c>
      <c r="AR165" t="inlineStr">
        <is>
          <t>21.6</t>
        </is>
      </c>
      <c r="AS165" t="inlineStr">
        <is>
          <t>575</t>
        </is>
      </c>
      <c r="AT165" t="inlineStr">
        <is>
          <t>46.0</t>
        </is>
      </c>
      <c r="AU165" t="inlineStr">
        <is>
          <t>316</t>
        </is>
      </c>
      <c r="AV165" t="inlineStr">
        <is>
          <t>16.8</t>
        </is>
      </c>
      <c r="AW165" t="inlineStr">
        <is>
          <t>576</t>
        </is>
      </c>
      <c r="AX165" t="inlineStr">
        <is>
          <t>28.5</t>
        </is>
      </c>
      <c r="AY165" t="inlineStr">
        <is>
          <t>281</t>
        </is>
      </c>
      <c r="AZ165" t="inlineStr">
        <is>
          <t>35.8</t>
        </is>
      </c>
      <c r="BA165" t="inlineStr">
        <is>
          <t>393=</t>
        </is>
      </c>
    </row>
    <row r="166">
      <c r="A166" t="inlineStr">
        <is>
          <t>Carnegie Mellon University</t>
        </is>
      </c>
      <c r="B166" t="inlineStr">
        <is>
          <t>United States</t>
        </is>
      </c>
      <c r="C166" t="inlineStr">
        <is>
          <t>US</t>
        </is>
      </c>
      <c r="D166" t="inlineStr">
        <is>
          <t>Americas</t>
        </is>
      </c>
      <c r="E166" t="inlineStr">
        <is>
          <t>L</t>
        </is>
      </c>
      <c r="F166" t="inlineStr">
        <is>
          <t>FC</t>
        </is>
      </c>
      <c r="G166" t="inlineStr">
        <is>
          <t>VH</t>
        </is>
      </c>
      <c r="H166" t="inlineStr">
        <is>
          <t>5</t>
        </is>
      </c>
      <c r="I166" t="inlineStr">
        <is>
          <t>Private not for Profit</t>
        </is>
      </c>
      <c r="J166" t="inlineStr">
        <is>
          <t>52</t>
        </is>
      </c>
      <c r="K166" t="inlineStr">
        <is>
          <t>58</t>
        </is>
      </c>
      <c r="L166" t="inlineStr">
        <is>
          <t>52</t>
        </is>
      </c>
      <c r="M166" t="inlineStr">
        <is>
          <t>52</t>
        </is>
      </c>
      <c r="N166" t="inlineStr">
        <is>
          <t>82.3</t>
        </is>
      </c>
      <c r="O166" t="inlineStr">
        <is>
          <t>73.7</t>
        </is>
      </c>
      <c r="P166" t="n">
        <v>80.09999999999999</v>
      </c>
      <c r="Q166" t="inlineStr">
        <is>
          <t>98</t>
        </is>
      </c>
      <c r="R166" t="n">
        <v>94.40000000000001</v>
      </c>
      <c r="S166" t="inlineStr">
        <is>
          <t>52</t>
        </is>
      </c>
      <c r="T166" t="n">
        <v>51.1</v>
      </c>
      <c r="U166" t="inlineStr">
        <is>
          <t>370</t>
        </is>
      </c>
      <c r="V166" t="n">
        <v>98.59999999999999</v>
      </c>
      <c r="W166" t="inlineStr">
        <is>
          <t>43</t>
        </is>
      </c>
      <c r="X166" t="n">
        <v>52.4</v>
      </c>
      <c r="Y166" t="inlineStr">
        <is>
          <t>426</t>
        </is>
      </c>
      <c r="Z166" t="n">
        <v>98.7</v>
      </c>
      <c r="AA166" t="inlineStr">
        <is>
          <t>77</t>
        </is>
      </c>
      <c r="AB166" t="n">
        <v>73.40000000000001</v>
      </c>
      <c r="AC166" t="inlineStr">
        <is>
          <t>245</t>
        </is>
      </c>
      <c r="AD166" t="n">
        <v>79.2</v>
      </c>
      <c r="AE166" t="inlineStr">
        <is>
          <t>364</t>
        </is>
      </c>
      <c r="AF166" t="n">
        <v>79.90000000000001</v>
      </c>
      <c r="AG166" t="inlineStr">
        <is>
          <t>161</t>
        </is>
      </c>
      <c r="AH166" t="n">
        <v>66.2</v>
      </c>
      <c r="AI166" t="inlineStr">
        <is>
          <t>375</t>
        </is>
      </c>
      <c r="AJ166" t="inlineStr">
        <is>
          <t>71.2</t>
        </is>
      </c>
      <c r="AK166" t="inlineStr">
        <is>
          <t>87</t>
        </is>
      </c>
      <c r="AL166" t="inlineStr">
        <is>
          <t>75.3</t>
        </is>
      </c>
      <c r="AM166" t="inlineStr">
        <is>
          <t>83</t>
        </is>
      </c>
      <c r="AN166" t="inlineStr">
        <is>
          <t>49.1</t>
        </is>
      </c>
      <c r="AO166" t="inlineStr">
        <is>
          <t>319</t>
        </is>
      </c>
      <c r="AP166" t="inlineStr">
        <is>
          <t>99.9</t>
        </is>
      </c>
      <c r="AQ166" t="inlineStr">
        <is>
          <t>10</t>
        </is>
      </c>
      <c r="AR166" t="inlineStr">
        <is>
          <t>46.6</t>
        </is>
      </c>
      <c r="AS166" t="inlineStr">
        <is>
          <t>371</t>
        </is>
      </c>
      <c r="AT166" t="inlineStr">
        <is>
          <t>98.2</t>
        </is>
      </c>
      <c r="AU166" t="inlineStr">
        <is>
          <t>59</t>
        </is>
      </c>
      <c r="AV166" t="inlineStr">
        <is>
          <t>57.4</t>
        </is>
      </c>
      <c r="AW166" t="inlineStr">
        <is>
          <t>264</t>
        </is>
      </c>
      <c r="AX166" t="inlineStr">
        <is>
          <t>60</t>
        </is>
      </c>
      <c r="AY166" t="inlineStr">
        <is>
          <t>100</t>
        </is>
      </c>
      <c r="AZ166" t="inlineStr">
        <is>
          <t>47.2</t>
        </is>
      </c>
      <c r="BA166" t="inlineStr">
        <is>
          <t>323=</t>
        </is>
      </c>
    </row>
    <row r="167">
      <c r="A167" t="inlineStr">
        <is>
          <t>Case Western Reserve University</t>
        </is>
      </c>
      <c r="B167" t="inlineStr">
        <is>
          <t>United States</t>
        </is>
      </c>
      <c r="C167" t="inlineStr">
        <is>
          <t>US</t>
        </is>
      </c>
      <c r="D167" t="inlineStr">
        <is>
          <t>Americas</t>
        </is>
      </c>
      <c r="E167" t="inlineStr">
        <is>
          <t>M</t>
        </is>
      </c>
      <c r="F167" t="inlineStr">
        <is>
          <t>FC</t>
        </is>
      </c>
      <c r="G167" t="inlineStr">
        <is>
          <t>VH</t>
        </is>
      </c>
      <c r="H167" t="inlineStr">
        <is>
          <t>4</t>
        </is>
      </c>
      <c r="I167" t="inlineStr">
        <is>
          <t>Private not for Profit</t>
        </is>
      </c>
      <c r="J167" t="inlineStr">
        <is>
          <t>294</t>
        </is>
      </c>
      <c r="K167" t="inlineStr">
        <is>
          <t>259</t>
        </is>
      </c>
      <c r="L167" t="inlineStr">
        <is>
          <t>255</t>
        </is>
      </c>
      <c r="M167" t="inlineStr">
        <is>
          <t>176</t>
        </is>
      </c>
      <c r="N167" t="inlineStr">
        <is>
          <t>46</t>
        </is>
      </c>
      <c r="O167" t="inlineStr">
        <is>
          <t>38.8</t>
        </is>
      </c>
      <c r="P167" t="n">
        <v>22.4</v>
      </c>
      <c r="Q167" t="inlineStr">
        <is>
          <t>560</t>
        </is>
      </c>
      <c r="R167" t="n">
        <v>20.5</v>
      </c>
      <c r="S167" t="inlineStr">
        <is>
          <t>642</t>
        </is>
      </c>
      <c r="T167" t="n">
        <v>88.59999999999999</v>
      </c>
      <c r="U167" t="inlineStr">
        <is>
          <t>111</t>
        </is>
      </c>
      <c r="V167" t="n">
        <v>66.3</v>
      </c>
      <c r="W167" t="inlineStr">
        <is>
          <t>239</t>
        </is>
      </c>
      <c r="X167" t="n">
        <v>47.6</v>
      </c>
      <c r="Y167" t="inlineStr">
        <is>
          <t>449</t>
        </is>
      </c>
      <c r="Z167" t="n">
        <v>76.7</v>
      </c>
      <c r="AA167" t="inlineStr">
        <is>
          <t>246</t>
        </is>
      </c>
      <c r="AB167" t="n">
        <v>79</v>
      </c>
      <c r="AC167" t="inlineStr">
        <is>
          <t>218</t>
        </is>
      </c>
      <c r="AD167" t="n">
        <v>58.3</v>
      </c>
      <c r="AE167" t="inlineStr">
        <is>
          <t>715</t>
        </is>
      </c>
      <c r="AF167" t="n">
        <v>40.9</v>
      </c>
      <c r="AG167" t="inlineStr">
        <is>
          <t>429</t>
        </is>
      </c>
      <c r="AH167" t="n">
        <v>70.8</v>
      </c>
      <c r="AI167" t="inlineStr">
        <is>
          <t>303=</t>
        </is>
      </c>
      <c r="AJ167" t="inlineStr">
        <is>
          <t>18.4</t>
        </is>
      </c>
      <c r="AK167" t="inlineStr">
        <is>
          <t>486</t>
        </is>
      </c>
      <c r="AL167" t="inlineStr">
        <is>
          <t>17.1</t>
        </is>
      </c>
      <c r="AM167" t="inlineStr">
        <is>
          <t>507</t>
        </is>
      </c>
      <c r="AN167" t="inlineStr">
        <is>
          <t>83.0</t>
        </is>
      </c>
      <c r="AO167" t="inlineStr">
        <is>
          <t>118</t>
        </is>
      </c>
      <c r="AP167" t="inlineStr">
        <is>
          <t>63.9</t>
        </is>
      </c>
      <c r="AQ167" t="inlineStr">
        <is>
          <t>185</t>
        </is>
      </c>
      <c r="AR167" t="inlineStr">
        <is>
          <t>38.2</t>
        </is>
      </c>
      <c r="AS167" t="inlineStr">
        <is>
          <t>420</t>
        </is>
      </c>
      <c r="AT167" t="inlineStr">
        <is>
          <t>68.3</t>
        </is>
      </c>
      <c r="AU167" t="inlineStr">
        <is>
          <t>216</t>
        </is>
      </c>
      <c r="AV167" t="inlineStr">
        <is>
          <t>21.0</t>
        </is>
      </c>
      <c r="AW167" t="inlineStr">
        <is>
          <t>537</t>
        </is>
      </c>
      <c r="AX167" t="inlineStr">
        <is>
          <t>27</t>
        </is>
      </c>
      <c r="AY167" t="inlineStr">
        <is>
          <t>301</t>
        </is>
      </c>
      <c r="AZ167" t="inlineStr">
        <is>
          <t>34.6</t>
        </is>
      </c>
      <c r="BA167" t="inlineStr">
        <is>
          <t>403=</t>
        </is>
      </c>
    </row>
    <row r="168">
      <c r="A168" t="inlineStr">
        <is>
          <t>Catania University</t>
        </is>
      </c>
      <c r="B168" t="inlineStr">
        <is>
          <t>Italy</t>
        </is>
      </c>
      <c r="C168" t="inlineStr">
        <is>
          <t>IT</t>
        </is>
      </c>
      <c r="D168" t="inlineStr">
        <is>
          <t>Europe</t>
        </is>
      </c>
      <c r="E168" t="inlineStr">
        <is>
          <t>L</t>
        </is>
      </c>
      <c r="F168" t="inlineStr">
        <is>
          <t>FC</t>
        </is>
      </c>
      <c r="G168" t="inlineStr">
        <is>
          <t>VH</t>
        </is>
      </c>
      <c r="H168" t="inlineStr">
        <is>
          <t>5</t>
        </is>
      </c>
      <c r="I168" t="inlineStr">
        <is>
          <t>Public</t>
        </is>
      </c>
      <c r="J168" t="inlineStr">
        <is>
          <t>851-900</t>
        </is>
      </c>
      <c r="K168" t="inlineStr">
        <is>
          <t>901-950</t>
        </is>
      </c>
      <c r="L168" t="inlineStr">
        <is>
          <t>851-900</t>
        </is>
      </c>
      <c r="M168" t="inlineStr">
        <is>
          <t>801-1000</t>
        </is>
      </c>
      <c r="N168" t="inlineStr">
        <is>
          <t>-</t>
        </is>
      </c>
      <c r="O168" t="inlineStr">
        <is>
          <t>-</t>
        </is>
      </c>
      <c r="P168" t="n">
        <v>17.5</v>
      </c>
      <c r="Q168" t="inlineStr">
        <is>
          <t>701+</t>
        </is>
      </c>
      <c r="R168" t="n">
        <v>6.2</v>
      </c>
      <c r="S168" t="inlineStr">
        <is>
          <t>701+</t>
        </is>
      </c>
      <c r="T168" t="n">
        <v>8.699999999999999</v>
      </c>
      <c r="U168" t="inlineStr">
        <is>
          <t>801+</t>
        </is>
      </c>
      <c r="V168" t="n">
        <v>35.9</v>
      </c>
      <c r="W168" t="inlineStr">
        <is>
          <t>517</t>
        </is>
      </c>
      <c r="X168" t="n">
        <v>15.4</v>
      </c>
      <c r="Y168" t="inlineStr">
        <is>
          <t>798</t>
        </is>
      </c>
      <c r="Z168" t="n">
        <v>8.199999999999999</v>
      </c>
      <c r="AA168" t="inlineStr">
        <is>
          <t>801+</t>
        </is>
      </c>
      <c r="AB168" t="n">
        <v>12.6</v>
      </c>
      <c r="AC168" t="inlineStr">
        <is>
          <t>801+</t>
        </is>
      </c>
      <c r="AD168" t="n">
        <v>74.40000000000001</v>
      </c>
      <c r="AE168" t="inlineStr">
        <is>
          <t>456</t>
        </is>
      </c>
      <c r="AF168" t="n">
        <v>9.4</v>
      </c>
      <c r="AG168" t="inlineStr">
        <is>
          <t>801+</t>
        </is>
      </c>
      <c r="AH168" t="n">
        <v>46.3</v>
      </c>
      <c r="AI168" t="inlineStr">
        <is>
          <t>801+</t>
        </is>
      </c>
      <c r="AJ168" t="inlineStr">
        <is>
          <t>11.7</t>
        </is>
      </c>
      <c r="AK168" t="inlineStr">
        <is>
          <t>601+</t>
        </is>
      </c>
      <c r="AL168" t="inlineStr">
        <is>
          <t>3.1</t>
        </is>
      </c>
      <c r="AM168" t="inlineStr">
        <is>
          <t>601+</t>
        </is>
      </c>
      <c r="AN168" t="inlineStr">
        <is>
          <t>4.8</t>
        </is>
      </c>
      <c r="AO168" t="inlineStr">
        <is>
          <t>701+</t>
        </is>
      </c>
      <c r="AP168" t="inlineStr">
        <is>
          <t>27.4</t>
        </is>
      </c>
      <c r="AQ168" t="inlineStr">
        <is>
          <t>459</t>
        </is>
      </c>
      <c r="AR168" t="inlineStr">
        <is>
          <t>2.8</t>
        </is>
      </c>
      <c r="AS168" t="inlineStr">
        <is>
          <t>701+</t>
        </is>
      </c>
      <c r="AT168" t="inlineStr">
        <is>
          <t>2.6</t>
        </is>
      </c>
      <c r="AU168" t="inlineStr">
        <is>
          <t>701+</t>
        </is>
      </c>
      <c r="AV168" t="inlineStr">
        <is>
          <t>30.4</t>
        </is>
      </c>
      <c r="AW168" t="inlineStr">
        <is>
          <t>456</t>
        </is>
      </c>
      <c r="AX168" t="inlineStr">
        <is>
          <t>6.1</t>
        </is>
      </c>
      <c r="AY168" t="inlineStr">
        <is>
          <t>701+</t>
        </is>
      </c>
      <c r="AZ168" t="inlineStr">
        <is>
          <t>25.1</t>
        </is>
      </c>
      <c r="BA168" t="inlineStr">
        <is>
          <t>489</t>
        </is>
      </c>
    </row>
    <row r="169">
      <c r="A169" t="inlineStr">
        <is>
          <t>Católica de Córdoba</t>
        </is>
      </c>
      <c r="B169" t="inlineStr">
        <is>
          <t>Argentina</t>
        </is>
      </c>
      <c r="C169" t="inlineStr">
        <is>
          <t>AR</t>
        </is>
      </c>
      <c r="D169" t="inlineStr"/>
      <c r="E169" t="inlineStr">
        <is>
          <t>M</t>
        </is>
      </c>
      <c r="F169" t="inlineStr">
        <is>
          <t>FC</t>
        </is>
      </c>
      <c r="G169" t="inlineStr">
        <is>
          <t>MD</t>
        </is>
      </c>
      <c r="H169" t="inlineStr">
        <is>
          <t>4</t>
        </is>
      </c>
      <c r="I169" t="inlineStr">
        <is>
          <t>B</t>
        </is>
      </c>
      <c r="J169" t="inlineStr"/>
      <c r="K169" t="inlineStr"/>
      <c r="L169" t="inlineStr">
        <is>
          <t>1201-1400</t>
        </is>
      </c>
      <c r="M169" t="inlineStr">
        <is>
          <t>1201-1400</t>
        </is>
      </c>
      <c r="N169" t="inlineStr"/>
      <c r="O169" t="inlineStr">
        <is>
          <t>-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4.7</t>
        </is>
      </c>
      <c r="AK169" t="inlineStr">
        <is>
          <t>601+</t>
        </is>
      </c>
      <c r="AL169" t="inlineStr">
        <is>
          <t>2.7</t>
        </is>
      </c>
      <c r="AM169" t="inlineStr">
        <is>
          <t>601+</t>
        </is>
      </c>
      <c r="AN169" t="inlineStr">
        <is>
          <t>18.1</t>
        </is>
      </c>
      <c r="AO169" t="inlineStr">
        <is>
          <t>701+</t>
        </is>
      </c>
      <c r="AP169" t="inlineStr">
        <is>
          <t>1.2</t>
        </is>
      </c>
      <c r="AQ169" t="inlineStr">
        <is>
          <t>701+</t>
        </is>
      </c>
      <c r="AR169" t="inlineStr">
        <is>
          <t>4.2</t>
        </is>
      </c>
      <c r="AS169" t="inlineStr">
        <is>
          <t>701+</t>
        </is>
      </c>
      <c r="AT169" t="inlineStr">
        <is>
          <t>4.8</t>
        </is>
      </c>
      <c r="AU169" t="inlineStr">
        <is>
          <t>701+</t>
        </is>
      </c>
      <c r="AV169" t="inlineStr">
        <is>
          <t>1.0</t>
        </is>
      </c>
      <c r="AW169" t="inlineStr">
        <is>
          <t>701+</t>
        </is>
      </c>
      <c r="AX169" t="inlineStr">
        <is>
          <t>9.1</t>
        </is>
      </c>
      <c r="AY169" t="inlineStr">
        <is>
          <t>701+</t>
        </is>
      </c>
      <c r="AZ169" t="inlineStr">
        <is>
          <t>1</t>
        </is>
      </c>
      <c r="BA169" t="inlineStr">
        <is>
          <t>701+</t>
        </is>
      </c>
    </row>
    <row r="170">
      <c r="A170" t="inlineStr">
        <is>
          <t>Central Michigan University</t>
        </is>
      </c>
      <c r="B170" t="inlineStr">
        <is>
          <t>United States</t>
        </is>
      </c>
      <c r="C170" t="inlineStr">
        <is>
          <t>US</t>
        </is>
      </c>
      <c r="D170" t="inlineStr">
        <is>
          <t>Americas</t>
        </is>
      </c>
      <c r="E170" t="inlineStr">
        <is>
          <t>L</t>
        </is>
      </c>
      <c r="F170" t="inlineStr">
        <is>
          <t>FC</t>
        </is>
      </c>
      <c r="G170" t="inlineStr">
        <is>
          <t>HI</t>
        </is>
      </c>
      <c r="H170" t="inlineStr">
        <is>
          <t>4</t>
        </is>
      </c>
      <c r="I170" t="inlineStr">
        <is>
          <t>Public</t>
        </is>
      </c>
      <c r="J170" t="inlineStr">
        <is>
          <t>1401+</t>
        </is>
      </c>
      <c r="K170" t="inlineStr">
        <is>
          <t>1201-1400</t>
        </is>
      </c>
      <c r="L170" t="inlineStr">
        <is>
          <t>1201-1400</t>
        </is>
      </c>
      <c r="M170" t="inlineStr">
        <is>
          <t>1201-1400</t>
        </is>
      </c>
      <c r="N170" t="inlineStr">
        <is>
          <t>-</t>
        </is>
      </c>
      <c r="O170" t="inlineStr">
        <is>
          <t>-</t>
        </is>
      </c>
      <c r="P170" t="n">
        <v>3.6</v>
      </c>
      <c r="Q170" t="inlineStr">
        <is>
          <t>701+</t>
        </is>
      </c>
      <c r="R170" t="n">
        <v>5</v>
      </c>
      <c r="S170" t="inlineStr">
        <is>
          <t>701+</t>
        </is>
      </c>
      <c r="T170" t="n">
        <v>11.5</v>
      </c>
      <c r="U170" t="inlineStr">
        <is>
          <t>801+</t>
        </is>
      </c>
      <c r="V170" t="n">
        <v>11.2</v>
      </c>
      <c r="W170" t="inlineStr">
        <is>
          <t>801+</t>
        </is>
      </c>
      <c r="X170" t="n">
        <v>4.8</v>
      </c>
      <c r="Y170" t="inlineStr">
        <is>
          <t>801+</t>
        </is>
      </c>
      <c r="Z170" t="n">
        <v>23.4</v>
      </c>
      <c r="AA170" t="inlineStr">
        <is>
          <t>684</t>
        </is>
      </c>
      <c r="AB170" t="n">
        <v>17.6</v>
      </c>
      <c r="AC170" t="inlineStr">
        <is>
          <t>801+</t>
        </is>
      </c>
      <c r="AD170" t="n">
        <v>26.2</v>
      </c>
      <c r="AE170" t="inlineStr">
        <is>
          <t>801+</t>
        </is>
      </c>
      <c r="AF170" t="n">
        <v>15</v>
      </c>
      <c r="AG170" t="inlineStr">
        <is>
          <t>801+</t>
        </is>
      </c>
      <c r="AH170" t="n">
        <v>29.2</v>
      </c>
      <c r="AI170" t="inlineStr">
        <is>
          <t>801+</t>
        </is>
      </c>
      <c r="AJ170" t="inlineStr">
        <is>
          <t>3.6</t>
        </is>
      </c>
      <c r="AK170" t="inlineStr">
        <is>
          <t>601+</t>
        </is>
      </c>
      <c r="AL170" t="inlineStr">
        <is>
          <t>4.2</t>
        </is>
      </c>
      <c r="AM170" t="inlineStr">
        <is>
          <t>601+</t>
        </is>
      </c>
      <c r="AN170" t="inlineStr">
        <is>
          <t>7.8</t>
        </is>
      </c>
      <c r="AO170" t="inlineStr">
        <is>
          <t>701+</t>
        </is>
      </c>
      <c r="AP170" t="inlineStr">
        <is>
          <t>8.1</t>
        </is>
      </c>
      <c r="AQ170" t="inlineStr">
        <is>
          <t>701+</t>
        </is>
      </c>
      <c r="AR170" t="inlineStr">
        <is>
          <t>3.5</t>
        </is>
      </c>
      <c r="AS170" t="inlineStr">
        <is>
          <t>701+</t>
        </is>
      </c>
      <c r="AT170" t="inlineStr">
        <is>
          <t>3.1</t>
        </is>
      </c>
      <c r="AU170" t="inlineStr">
        <is>
          <t>701+</t>
        </is>
      </c>
      <c r="AV170" t="inlineStr">
        <is>
          <t>2.1</t>
        </is>
      </c>
      <c r="AW170" t="inlineStr">
        <is>
          <t>701+</t>
        </is>
      </c>
      <c r="AX170" t="inlineStr">
        <is>
          <t>10.8</t>
        </is>
      </c>
      <c r="AY170" t="inlineStr">
        <is>
          <t>701+</t>
        </is>
      </c>
      <c r="AZ170" t="inlineStr"/>
      <c r="BA170" t="inlineStr"/>
    </row>
    <row r="171">
      <c r="A171" t="inlineStr">
        <is>
          <t>Central Queensland University Australia (CQUniversity)</t>
        </is>
      </c>
      <c r="B171" t="inlineStr">
        <is>
          <t>Australia</t>
        </is>
      </c>
      <c r="C171" t="inlineStr"/>
      <c r="D171" t="inlineStr">
        <is>
          <t>Oceania</t>
        </is>
      </c>
      <c r="E171" t="inlineStr">
        <is>
          <t>S</t>
        </is>
      </c>
      <c r="F171" t="inlineStr">
        <is>
          <t>CO</t>
        </is>
      </c>
      <c r="G171" t="inlineStr">
        <is>
          <t>VH</t>
        </is>
      </c>
      <c r="H171" t="inlineStr"/>
      <c r="I171" t="inlineStr">
        <is>
          <t>Public</t>
        </is>
      </c>
      <c r="J171" t="inlineStr">
        <is>
          <t>499</t>
        </is>
      </c>
      <c r="K171" t="inlineStr">
        <is>
          <t>495</t>
        </is>
      </c>
      <c r="L171" t="inlineStr"/>
      <c r="M171" t="inlineStr"/>
      <c r="N171" t="inlineStr">
        <is>
          <t>32.2</t>
        </is>
      </c>
      <c r="O171" t="inlineStr"/>
      <c r="P171" t="n">
        <v>13.6</v>
      </c>
      <c r="Q171" t="inlineStr">
        <is>
          <t>701+</t>
        </is>
      </c>
      <c r="R171" t="n">
        <v>8.5</v>
      </c>
      <c r="S171" t="inlineStr">
        <is>
          <t>701+</t>
        </is>
      </c>
      <c r="T171" t="n">
        <v>42.2</v>
      </c>
      <c r="U171" t="inlineStr">
        <is>
          <t>474</t>
        </is>
      </c>
      <c r="V171" t="n">
        <v>39.7</v>
      </c>
      <c r="W171" t="inlineStr">
        <is>
          <t>473</t>
        </is>
      </c>
      <c r="X171" t="n">
        <v>97.59999999999999</v>
      </c>
      <c r="Y171" t="inlineStr">
        <is>
          <t>145</t>
        </is>
      </c>
      <c r="Z171" t="n">
        <v>99.90000000000001</v>
      </c>
      <c r="AA171" t="inlineStr">
        <is>
          <t>43</t>
        </is>
      </c>
      <c r="AB171" t="n">
        <v>99.40000000000001</v>
      </c>
      <c r="AC171" t="inlineStr">
        <is>
          <t>47</t>
        </is>
      </c>
      <c r="AD171" t="n">
        <v>47.5</v>
      </c>
      <c r="AE171" t="inlineStr">
        <is>
          <t>801+</t>
        </is>
      </c>
      <c r="AF171" t="n">
        <v>5</v>
      </c>
      <c r="AG171" t="inlineStr">
        <is>
          <t>801+</t>
        </is>
      </c>
      <c r="AH171" t="n">
        <v>64.2</v>
      </c>
      <c r="AI171" t="inlineStr">
        <is>
          <t>417=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Central Queensland University (CQUniversity Australia)</t>
        </is>
      </c>
      <c r="B172" t="inlineStr">
        <is>
          <t>Australia</t>
        </is>
      </c>
      <c r="C172" t="inlineStr">
        <is>
          <t>AU</t>
        </is>
      </c>
      <c r="D172" t="inlineStr"/>
      <c r="E172" t="inlineStr">
        <is>
          <t>S</t>
        </is>
      </c>
      <c r="F172" t="inlineStr">
        <is>
          <t>CO</t>
        </is>
      </c>
      <c r="G172" t="inlineStr">
        <is>
          <t>VH</t>
        </is>
      </c>
      <c r="H172" t="inlineStr">
        <is>
          <t>3</t>
        </is>
      </c>
      <c r="I172" t="inlineStr">
        <is>
          <t>A</t>
        </is>
      </c>
      <c r="J172" t="inlineStr"/>
      <c r="K172" t="inlineStr"/>
      <c r="L172">
        <f>590</f>
        <v/>
      </c>
      <c r="M172" t="inlineStr">
        <is>
          <t>651-700</t>
        </is>
      </c>
      <c r="N172" t="inlineStr"/>
      <c r="O172" t="inlineStr">
        <is>
          <t>20.1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8.7</t>
        </is>
      </c>
      <c r="AK172" t="inlineStr">
        <is>
          <t>601+</t>
        </is>
      </c>
      <c r="AL172" t="inlineStr">
        <is>
          <t>9.5</t>
        </is>
      </c>
      <c r="AM172" t="inlineStr">
        <is>
          <t>601+</t>
        </is>
      </c>
      <c r="AN172" t="inlineStr">
        <is>
          <t>24.0</t>
        </is>
      </c>
      <c r="AO172" t="inlineStr">
        <is>
          <t>592</t>
        </is>
      </c>
      <c r="AP172" t="inlineStr">
        <is>
          <t>16.0</t>
        </is>
      </c>
      <c r="AQ172" t="inlineStr">
        <is>
          <t>619</t>
        </is>
      </c>
      <c r="AR172" t="inlineStr">
        <is>
          <t>98.0</t>
        </is>
      </c>
      <c r="AS172" t="inlineStr">
        <is>
          <t>113</t>
        </is>
      </c>
      <c r="AT172" t="inlineStr">
        <is>
          <t>98.1</t>
        </is>
      </c>
      <c r="AU172" t="inlineStr">
        <is>
          <t>61</t>
        </is>
      </c>
      <c r="AV172" t="inlineStr">
        <is>
          <t>1.2</t>
        </is>
      </c>
      <c r="AW172" t="inlineStr">
        <is>
          <t>701+</t>
        </is>
      </c>
      <c r="AX172" t="inlineStr">
        <is>
          <t>8.3</t>
        </is>
      </c>
      <c r="AY172" t="inlineStr">
        <is>
          <t>701+</t>
        </is>
      </c>
      <c r="AZ172" t="inlineStr">
        <is>
          <t>5.6</t>
        </is>
      </c>
      <c r="BA172" t="inlineStr">
        <is>
          <t>701+</t>
        </is>
      </c>
    </row>
    <row r="173">
      <c r="A173" t="inlineStr">
        <is>
          <t>Central South University</t>
        </is>
      </c>
      <c r="B173" t="inlineStr">
        <is>
          <t>China (Mainland)</t>
        </is>
      </c>
      <c r="C173" t="inlineStr">
        <is>
          <t>CN</t>
        </is>
      </c>
      <c r="D173" t="inlineStr">
        <is>
          <t>Asia</t>
        </is>
      </c>
      <c r="E173" t="inlineStr">
        <is>
          <t>XL</t>
        </is>
      </c>
      <c r="F173" t="inlineStr">
        <is>
          <t>FO</t>
        </is>
      </c>
      <c r="G173" t="inlineStr">
        <is>
          <t>VH</t>
        </is>
      </c>
      <c r="H173" t="inlineStr">
        <is>
          <t>2</t>
        </is>
      </c>
      <c r="I173" t="inlineStr">
        <is>
          <t>Public</t>
        </is>
      </c>
      <c r="J173" t="inlineStr">
        <is>
          <t>491</t>
        </is>
      </c>
      <c r="K173" t="inlineStr">
        <is>
          <t>431</t>
        </is>
      </c>
      <c r="L173">
        <f>452</f>
        <v/>
      </c>
      <c r="M173" t="inlineStr">
        <is>
          <t>499=</t>
        </is>
      </c>
      <c r="N173" t="inlineStr">
        <is>
          <t>32.6</t>
        </is>
      </c>
      <c r="O173" t="inlineStr">
        <is>
          <t>25.5</t>
        </is>
      </c>
      <c r="P173" t="n">
        <v>12.1</v>
      </c>
      <c r="Q173" t="inlineStr">
        <is>
          <t>701+</t>
        </is>
      </c>
      <c r="R173" t="n">
        <v>10.2</v>
      </c>
      <c r="S173" t="inlineStr">
        <is>
          <t>701+</t>
        </is>
      </c>
      <c r="T173" t="n">
        <v>7.3</v>
      </c>
      <c r="U173" t="inlineStr">
        <is>
          <t>801+</t>
        </is>
      </c>
      <c r="V173" t="n">
        <v>100</v>
      </c>
      <c r="W173" t="inlineStr">
        <is>
          <t>8</t>
        </is>
      </c>
      <c r="X173" t="n">
        <v>9</v>
      </c>
      <c r="Y173" t="inlineStr">
        <is>
          <t>801+</t>
        </is>
      </c>
      <c r="Z173" t="n">
        <v>7</v>
      </c>
      <c r="AA173" t="inlineStr">
        <is>
          <t>801+</t>
        </is>
      </c>
      <c r="AB173" t="n">
        <v>5.4</v>
      </c>
      <c r="AC173" t="inlineStr">
        <is>
          <t>801+</t>
        </is>
      </c>
      <c r="AD173" t="n">
        <v>73.8</v>
      </c>
      <c r="AE173" t="inlineStr">
        <is>
          <t>472</t>
        </is>
      </c>
      <c r="AF173" t="n">
        <v>23.2</v>
      </c>
      <c r="AG173" t="inlineStr">
        <is>
          <t>667</t>
        </is>
      </c>
      <c r="AH173" t="n">
        <v>42.7</v>
      </c>
      <c r="AI173" t="inlineStr">
        <is>
          <t>801+</t>
        </is>
      </c>
      <c r="AJ173" t="inlineStr">
        <is>
          <t>8.8</t>
        </is>
      </c>
      <c r="AK173" t="inlineStr">
        <is>
          <t>601+</t>
        </is>
      </c>
      <c r="AL173" t="inlineStr">
        <is>
          <t>3.4</t>
        </is>
      </c>
      <c r="AM173" t="inlineStr">
        <is>
          <t>601+</t>
        </is>
      </c>
      <c r="AN173" t="inlineStr">
        <is>
          <t>5.6</t>
        </is>
      </c>
      <c r="AO173" t="inlineStr">
        <is>
          <t>701+</t>
        </is>
      </c>
      <c r="AP173" t="inlineStr">
        <is>
          <t>98.4</t>
        </is>
      </c>
      <c r="AQ173" t="inlineStr">
        <is>
          <t>28</t>
        </is>
      </c>
      <c r="AR173" t="inlineStr">
        <is>
          <t>6.6</t>
        </is>
      </c>
      <c r="AS173" t="inlineStr">
        <is>
          <t>701+</t>
        </is>
      </c>
      <c r="AT173" t="inlineStr">
        <is>
          <t>3.6</t>
        </is>
      </c>
      <c r="AU173" t="inlineStr">
        <is>
          <t>701+</t>
        </is>
      </c>
      <c r="AV173" t="inlineStr">
        <is>
          <t>13.5</t>
        </is>
      </c>
      <c r="AW173" t="inlineStr">
        <is>
          <t>616</t>
        </is>
      </c>
      <c r="AX173" t="inlineStr">
        <is>
          <t>9.9</t>
        </is>
      </c>
      <c r="AY173" t="inlineStr">
        <is>
          <t>701+</t>
        </is>
      </c>
      <c r="AZ173" t="inlineStr">
        <is>
          <t>8.9</t>
        </is>
      </c>
      <c r="BA173" t="inlineStr">
        <is>
          <t>689=</t>
        </is>
      </c>
    </row>
    <row r="174">
      <c r="A174" t="inlineStr">
        <is>
          <t>CEU University</t>
        </is>
      </c>
      <c r="B174" t="inlineStr">
        <is>
          <t>Spain</t>
        </is>
      </c>
      <c r="C174" t="inlineStr"/>
      <c r="D174" t="inlineStr">
        <is>
          <t>Europe</t>
        </is>
      </c>
      <c r="E174" t="inlineStr">
        <is>
          <t>L</t>
        </is>
      </c>
      <c r="F174" t="inlineStr">
        <is>
          <t>FO</t>
        </is>
      </c>
      <c r="G174" t="inlineStr">
        <is>
          <t>VH</t>
        </is>
      </c>
      <c r="H174" t="inlineStr"/>
      <c r="I174" t="inlineStr"/>
      <c r="J174" t="inlineStr">
        <is>
          <t>1001-1200</t>
        </is>
      </c>
      <c r="K174" t="inlineStr">
        <is>
          <t>1201-1400</t>
        </is>
      </c>
      <c r="L174" t="inlineStr"/>
      <c r="M174" t="inlineStr"/>
      <c r="N174" t="inlineStr">
        <is>
          <t>-</t>
        </is>
      </c>
      <c r="O174" t="inlineStr"/>
      <c r="P174" t="n">
        <v>7.3</v>
      </c>
      <c r="Q174" t="inlineStr">
        <is>
          <t>701+</t>
        </is>
      </c>
      <c r="R174" t="n">
        <v>20.8</v>
      </c>
      <c r="S174" t="inlineStr">
        <is>
          <t>634</t>
        </is>
      </c>
      <c r="T174" t="n">
        <v>26.5</v>
      </c>
      <c r="U174" t="inlineStr">
        <is>
          <t>703</t>
        </is>
      </c>
      <c r="V174" t="n">
        <v>3.1</v>
      </c>
      <c r="W174" t="inlineStr">
        <is>
          <t>801+</t>
        </is>
      </c>
      <c r="X174" t="n">
        <v>8.4</v>
      </c>
      <c r="Y174" t="inlineStr">
        <is>
          <t>801+</t>
        </is>
      </c>
      <c r="Z174" t="n">
        <v>58.4</v>
      </c>
      <c r="AA174" t="inlineStr">
        <is>
          <t>352</t>
        </is>
      </c>
      <c r="AB174" t="n">
        <v>62.4</v>
      </c>
      <c r="AC174" t="inlineStr">
        <is>
          <t>319</t>
        </is>
      </c>
      <c r="AD174" t="n">
        <v>18.5</v>
      </c>
      <c r="AE174" t="inlineStr">
        <is>
          <t>801+</t>
        </is>
      </c>
      <c r="AF174" t="n">
        <v>16.6</v>
      </c>
      <c r="AG174" t="inlineStr">
        <is>
          <t>793</t>
        </is>
      </c>
      <c r="AH174" t="n">
        <v>35.6</v>
      </c>
      <c r="AI174" t="inlineStr">
        <is>
          <t>801+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Chalmers University of Technology</t>
        </is>
      </c>
      <c r="B175" t="inlineStr">
        <is>
          <t>Sweden</t>
        </is>
      </c>
      <c r="C175" t="inlineStr">
        <is>
          <t>SE</t>
        </is>
      </c>
      <c r="D175" t="inlineStr">
        <is>
          <t>Europe</t>
        </is>
      </c>
      <c r="E175" t="inlineStr">
        <is>
          <t>M</t>
        </is>
      </c>
      <c r="F175" t="inlineStr">
        <is>
          <t>FO</t>
        </is>
      </c>
      <c r="G175" t="inlineStr">
        <is>
          <t>VH</t>
        </is>
      </c>
      <c r="H175" t="inlineStr">
        <is>
          <t>5</t>
        </is>
      </c>
      <c r="I175" t="inlineStr">
        <is>
          <t>Private not for Profit</t>
        </is>
      </c>
      <c r="J175" t="inlineStr">
        <is>
          <t>165</t>
        </is>
      </c>
      <c r="K175" t="inlineStr">
        <is>
          <t>139</t>
        </is>
      </c>
      <c r="L175" t="inlineStr">
        <is>
          <t>129</t>
        </is>
      </c>
      <c r="M175" t="inlineStr">
        <is>
          <t>125=</t>
        </is>
      </c>
      <c r="N175" t="inlineStr">
        <is>
          <t>60.2</t>
        </is>
      </c>
      <c r="O175" t="inlineStr">
        <is>
          <t>54.0</t>
        </is>
      </c>
      <c r="P175" t="n">
        <v>34.6</v>
      </c>
      <c r="Q175" t="inlineStr">
        <is>
          <t>350</t>
        </is>
      </c>
      <c r="R175" t="n">
        <v>56.6</v>
      </c>
      <c r="S175" t="inlineStr">
        <is>
          <t>207</t>
        </is>
      </c>
      <c r="T175" t="n">
        <v>59.5</v>
      </c>
      <c r="U175" t="inlineStr">
        <is>
          <t>303</t>
        </is>
      </c>
      <c r="V175" t="n">
        <v>80.90000000000001</v>
      </c>
      <c r="W175" t="inlineStr">
        <is>
          <t>152</t>
        </is>
      </c>
      <c r="X175" t="n">
        <v>100</v>
      </c>
      <c r="Y175" t="inlineStr">
        <is>
          <t>56</t>
        </is>
      </c>
      <c r="Z175" t="n">
        <v>74.3</v>
      </c>
      <c r="AA175" t="inlineStr">
        <is>
          <t>257</t>
        </is>
      </c>
      <c r="AB175" t="n">
        <v>76.8</v>
      </c>
      <c r="AC175" t="inlineStr">
        <is>
          <t>226</t>
        </is>
      </c>
      <c r="AD175" t="n">
        <v>77</v>
      </c>
      <c r="AE175" t="inlineStr">
        <is>
          <t>405</t>
        </is>
      </c>
      <c r="AF175" t="n">
        <v>53.3</v>
      </c>
      <c r="AG175" t="inlineStr">
        <is>
          <t>319</t>
        </is>
      </c>
      <c r="AH175" t="n">
        <v>82.7</v>
      </c>
      <c r="AI175" t="inlineStr">
        <is>
          <t>138=</t>
        </is>
      </c>
      <c r="AJ175" t="inlineStr">
        <is>
          <t>26.6</t>
        </is>
      </c>
      <c r="AK175" t="inlineStr">
        <is>
          <t>326</t>
        </is>
      </c>
      <c r="AL175" t="inlineStr">
        <is>
          <t>51.5</t>
        </is>
      </c>
      <c r="AM175" t="inlineStr">
        <is>
          <t>158</t>
        </is>
      </c>
      <c r="AN175" t="inlineStr">
        <is>
          <t>51.1</t>
        </is>
      </c>
      <c r="AO175" t="inlineStr">
        <is>
          <t>306</t>
        </is>
      </c>
      <c r="AP175" t="inlineStr">
        <is>
          <t>80.9</t>
        </is>
      </c>
      <c r="AQ175" t="inlineStr">
        <is>
          <t>107</t>
        </is>
      </c>
      <c r="AR175" t="inlineStr">
        <is>
          <t>100.0</t>
        </is>
      </c>
      <c r="AS175" t="inlineStr">
        <is>
          <t>49</t>
        </is>
      </c>
      <c r="AT175" t="inlineStr">
        <is>
          <t>67.4</t>
        </is>
      </c>
      <c r="AU175" t="inlineStr">
        <is>
          <t>220</t>
        </is>
      </c>
      <c r="AV175" t="inlineStr">
        <is>
          <t>52.2</t>
        </is>
      </c>
      <c r="AW175" t="inlineStr">
        <is>
          <t>299</t>
        </is>
      </c>
      <c r="AX175" t="inlineStr">
        <is>
          <t>28.7</t>
        </is>
      </c>
      <c r="AY175" t="inlineStr">
        <is>
          <t>278</t>
        </is>
      </c>
      <c r="AZ175" t="inlineStr">
        <is>
          <t>82.9</t>
        </is>
      </c>
      <c r="BA175" t="inlineStr">
        <is>
          <t>132</t>
        </is>
      </c>
    </row>
    <row r="176">
      <c r="A176" t="inlineStr">
        <is>
          <t>Chandigarh University</t>
        </is>
      </c>
      <c r="B176" t="inlineStr">
        <is>
          <t>India</t>
        </is>
      </c>
      <c r="C176" t="inlineStr">
        <is>
          <t>IN</t>
        </is>
      </c>
      <c r="D176" t="inlineStr">
        <is>
          <t>Asia</t>
        </is>
      </c>
      <c r="E176" t="inlineStr">
        <is>
          <t>XL</t>
        </is>
      </c>
      <c r="F176" t="inlineStr">
        <is>
          <t>FC</t>
        </is>
      </c>
      <c r="G176" t="inlineStr">
        <is>
          <t>HI</t>
        </is>
      </c>
      <c r="H176" t="inlineStr">
        <is>
          <t>2</t>
        </is>
      </c>
      <c r="I176" t="inlineStr">
        <is>
          <t>Private not for Profit</t>
        </is>
      </c>
      <c r="J176" t="inlineStr">
        <is>
          <t>575</t>
        </is>
      </c>
      <c r="K176" t="inlineStr">
        <is>
          <t>691-700</t>
        </is>
      </c>
      <c r="L176" t="inlineStr">
        <is>
          <t>771-780</t>
        </is>
      </c>
      <c r="M176" t="inlineStr">
        <is>
          <t>801-1000</t>
        </is>
      </c>
      <c r="N176" t="inlineStr">
        <is>
          <t>29.1</t>
        </is>
      </c>
      <c r="O176" t="inlineStr">
        <is>
          <t>-</t>
        </is>
      </c>
      <c r="P176" t="n">
        <v>22.4</v>
      </c>
      <c r="Q176" t="inlineStr">
        <is>
          <t>561</t>
        </is>
      </c>
      <c r="R176" t="n">
        <v>70</v>
      </c>
      <c r="S176" t="inlineStr">
        <is>
          <t>147</t>
        </is>
      </c>
      <c r="T176" t="n">
        <v>34.2</v>
      </c>
      <c r="U176" t="inlineStr">
        <is>
          <t>573</t>
        </is>
      </c>
      <c r="V176" t="n">
        <v>2.8</v>
      </c>
      <c r="W176" t="inlineStr">
        <is>
          <t>801+</t>
        </is>
      </c>
      <c r="X176" t="n">
        <v>44.5</v>
      </c>
      <c r="Y176" t="inlineStr">
        <is>
          <t>469</t>
        </is>
      </c>
      <c r="Z176" t="n">
        <v>25.1</v>
      </c>
      <c r="AA176" t="inlineStr">
        <is>
          <t>662</t>
        </is>
      </c>
      <c r="AB176" t="n">
        <v>29.4</v>
      </c>
      <c r="AC176" t="inlineStr">
        <is>
          <t>621</t>
        </is>
      </c>
      <c r="AD176" t="n">
        <v>66.3</v>
      </c>
      <c r="AE176" t="inlineStr">
        <is>
          <t>603</t>
        </is>
      </c>
      <c r="AF176" t="n">
        <v>1.7</v>
      </c>
      <c r="AG176" t="inlineStr">
        <is>
          <t>801+</t>
        </is>
      </c>
      <c r="AH176" t="n">
        <v>44</v>
      </c>
      <c r="AI176" t="inlineStr">
        <is>
          <t>801+</t>
        </is>
      </c>
      <c r="AJ176" t="inlineStr">
        <is>
          <t>11.5</t>
        </is>
      </c>
      <c r="AK176" t="inlineStr">
        <is>
          <t>601+</t>
        </is>
      </c>
      <c r="AL176" t="inlineStr">
        <is>
          <t>43.4</t>
        </is>
      </c>
      <c r="AM176" t="inlineStr">
        <is>
          <t>212</t>
        </is>
      </c>
      <c r="AN176" t="inlineStr">
        <is>
          <t>21.1</t>
        </is>
      </c>
      <c r="AO176" t="inlineStr">
        <is>
          <t>642</t>
        </is>
      </c>
      <c r="AP176" t="inlineStr">
        <is>
          <t>1.3</t>
        </is>
      </c>
      <c r="AQ176" t="inlineStr">
        <is>
          <t>701+</t>
        </is>
      </c>
      <c r="AR176" t="inlineStr">
        <is>
          <t>34.1</t>
        </is>
      </c>
      <c r="AS176" t="inlineStr">
        <is>
          <t>463</t>
        </is>
      </c>
      <c r="AT176" t="inlineStr">
        <is>
          <t>15.1</t>
        </is>
      </c>
      <c r="AU176" t="inlineStr">
        <is>
          <t>619</t>
        </is>
      </c>
      <c r="AV176" t="inlineStr">
        <is>
          <t>1.1</t>
        </is>
      </c>
      <c r="AW176" t="inlineStr">
        <is>
          <t>701+</t>
        </is>
      </c>
      <c r="AX176" t="inlineStr">
        <is>
          <t>8.1</t>
        </is>
      </c>
      <c r="AY176" t="inlineStr">
        <is>
          <t>701+</t>
        </is>
      </c>
      <c r="AZ176" t="inlineStr">
        <is>
          <t>2.8</t>
        </is>
      </c>
      <c r="BA176" t="inlineStr">
        <is>
          <t>701+</t>
        </is>
      </c>
    </row>
    <row r="177">
      <c r="A177" t="inlineStr">
        <is>
          <t>Chang Gung University</t>
        </is>
      </c>
      <c r="B177" t="inlineStr">
        <is>
          <t>Taiwan</t>
        </is>
      </c>
      <c r="C177" t="inlineStr">
        <is>
          <t>TW</t>
        </is>
      </c>
      <c r="D177" t="inlineStr">
        <is>
          <t>Asia</t>
        </is>
      </c>
      <c r="E177" t="inlineStr">
        <is>
          <t>M</t>
        </is>
      </c>
      <c r="F177" t="inlineStr">
        <is>
          <t>FO</t>
        </is>
      </c>
      <c r="G177" t="inlineStr">
        <is>
          <t>VH</t>
        </is>
      </c>
      <c r="H177" t="inlineStr">
        <is>
          <t>3</t>
        </is>
      </c>
      <c r="I177" t="inlineStr">
        <is>
          <t>Private not for Profit</t>
        </is>
      </c>
      <c r="J177" t="inlineStr">
        <is>
          <t>668</t>
        </is>
      </c>
      <c r="K177" t="inlineStr">
        <is>
          <t>631-640</t>
        </is>
      </c>
      <c r="L177" t="inlineStr">
        <is>
          <t>621-630</t>
        </is>
      </c>
      <c r="M177" t="inlineStr">
        <is>
          <t>475=</t>
        </is>
      </c>
      <c r="N177" t="inlineStr">
        <is>
          <t>26.3</t>
        </is>
      </c>
      <c r="O177" t="inlineStr">
        <is>
          <t>-</t>
        </is>
      </c>
      <c r="P177" t="n">
        <v>9.300000000000001</v>
      </c>
      <c r="Q177" t="inlineStr">
        <is>
          <t>701+</t>
        </is>
      </c>
      <c r="R177" t="n">
        <v>6.6</v>
      </c>
      <c r="S177" t="inlineStr">
        <is>
          <t>701+</t>
        </is>
      </c>
      <c r="T177" t="n">
        <v>74.59999999999999</v>
      </c>
      <c r="U177" t="inlineStr">
        <is>
          <t>200</t>
        </is>
      </c>
      <c r="V177" t="n">
        <v>58.2</v>
      </c>
      <c r="W177" t="inlineStr">
        <is>
          <t>298</t>
        </is>
      </c>
      <c r="X177" t="n">
        <v>7.9</v>
      </c>
      <c r="Y177" t="inlineStr">
        <is>
          <t>801+</t>
        </is>
      </c>
      <c r="Z177" t="n">
        <v>9.5</v>
      </c>
      <c r="AA177" t="inlineStr">
        <is>
          <t>801+</t>
        </is>
      </c>
      <c r="AB177" t="n">
        <v>13.2</v>
      </c>
      <c r="AC177" t="inlineStr">
        <is>
          <t>801+</t>
        </is>
      </c>
      <c r="AD177" t="n">
        <v>25.5</v>
      </c>
      <c r="AE177" t="inlineStr">
        <is>
          <t>801+</t>
        </is>
      </c>
      <c r="AF177" t="n">
        <v>2.1</v>
      </c>
      <c r="AG177" t="inlineStr">
        <is>
          <t>801+</t>
        </is>
      </c>
      <c r="AH177" t="n">
        <v>48.8</v>
      </c>
      <c r="AI177" t="inlineStr">
        <is>
          <t>734=</t>
        </is>
      </c>
      <c r="AJ177" t="inlineStr">
        <is>
          <t>5.7</t>
        </is>
      </c>
      <c r="AK177" t="inlineStr">
        <is>
          <t>601+</t>
        </is>
      </c>
      <c r="AL177" t="inlineStr">
        <is>
          <t>4.6</t>
        </is>
      </c>
      <c r="AM177" t="inlineStr">
        <is>
          <t>601+</t>
        </is>
      </c>
      <c r="AN177" t="inlineStr">
        <is>
          <t>70.0</t>
        </is>
      </c>
      <c r="AO177" t="inlineStr">
        <is>
          <t>184</t>
        </is>
      </c>
      <c r="AP177" t="inlineStr">
        <is>
          <t>43.0</t>
        </is>
      </c>
      <c r="AQ177" t="inlineStr">
        <is>
          <t>309</t>
        </is>
      </c>
      <c r="AR177" t="inlineStr">
        <is>
          <t>4.3</t>
        </is>
      </c>
      <c r="AS177" t="inlineStr">
        <is>
          <t>701+</t>
        </is>
      </c>
      <c r="AT177" t="inlineStr">
        <is>
          <t>4.7</t>
        </is>
      </c>
      <c r="AU177" t="inlineStr">
        <is>
          <t>701+</t>
        </is>
      </c>
      <c r="AV177" t="inlineStr">
        <is>
          <t>1.4</t>
        </is>
      </c>
      <c r="AW177" t="inlineStr">
        <is>
          <t>701+</t>
        </is>
      </c>
      <c r="AX177" t="inlineStr">
        <is>
          <t>7.9</t>
        </is>
      </c>
      <c r="AY177" t="inlineStr">
        <is>
          <t>701+</t>
        </is>
      </c>
      <c r="AZ177" t="inlineStr">
        <is>
          <t>4.1</t>
        </is>
      </c>
      <c r="BA177" t="inlineStr">
        <is>
          <t>701+</t>
        </is>
      </c>
    </row>
    <row r="178">
      <c r="A178" t="inlineStr">
        <is>
          <t>Chang Jung Christian University</t>
        </is>
      </c>
      <c r="B178" t="inlineStr">
        <is>
          <t>Taiwan</t>
        </is>
      </c>
      <c r="C178" t="inlineStr">
        <is>
          <t>TW</t>
        </is>
      </c>
      <c r="D178" t="inlineStr">
        <is>
          <t>Asia</t>
        </is>
      </c>
      <c r="E178" t="inlineStr">
        <is>
          <t>M</t>
        </is>
      </c>
      <c r="F178" t="inlineStr">
        <is>
          <t>CO</t>
        </is>
      </c>
      <c r="G178" t="inlineStr">
        <is>
          <t>HI</t>
        </is>
      </c>
      <c r="H178" t="inlineStr">
        <is>
          <t>3</t>
        </is>
      </c>
      <c r="I178" t="inlineStr">
        <is>
          <t>Private not for Profit</t>
        </is>
      </c>
      <c r="J178" t="inlineStr">
        <is>
          <t>1201-1400</t>
        </is>
      </c>
      <c r="K178" t="inlineStr">
        <is>
          <t>1001-1200</t>
        </is>
      </c>
      <c r="L178" t="inlineStr">
        <is>
          <t>1001-1200</t>
        </is>
      </c>
      <c r="M178" t="inlineStr">
        <is>
          <t>801-1000</t>
        </is>
      </c>
      <c r="N178" t="inlineStr">
        <is>
          <t>-</t>
        </is>
      </c>
      <c r="O178" t="inlineStr">
        <is>
          <t>-</t>
        </is>
      </c>
      <c r="P178" t="n">
        <v>8.5</v>
      </c>
      <c r="Q178" t="inlineStr">
        <is>
          <t>701+</t>
        </is>
      </c>
      <c r="R178" t="n">
        <v>4.9</v>
      </c>
      <c r="S178" t="inlineStr">
        <is>
          <t>701+</t>
        </is>
      </c>
      <c r="T178" t="n">
        <v>57</v>
      </c>
      <c r="U178" t="inlineStr">
        <is>
          <t>323</t>
        </is>
      </c>
      <c r="V178" t="n">
        <v>2.6</v>
      </c>
      <c r="W178" t="inlineStr">
        <is>
          <t>801+</t>
        </is>
      </c>
      <c r="X178" t="n">
        <v>8.199999999999999</v>
      </c>
      <c r="Y178" t="inlineStr">
        <is>
          <t>801+</t>
        </is>
      </c>
      <c r="Z178" t="n">
        <v>9.300000000000001</v>
      </c>
      <c r="AA178" t="inlineStr">
        <is>
          <t>801+</t>
        </is>
      </c>
      <c r="AB178" t="n">
        <v>12.6</v>
      </c>
      <c r="AC178" t="inlineStr">
        <is>
          <t>801+</t>
        </is>
      </c>
      <c r="AD178" t="n">
        <v>6</v>
      </c>
      <c r="AE178" t="inlineStr">
        <is>
          <t>801+</t>
        </is>
      </c>
      <c r="AF178" t="n">
        <v>2.2</v>
      </c>
      <c r="AG178" t="inlineStr">
        <is>
          <t>801+</t>
        </is>
      </c>
      <c r="AH178" t="n">
        <v>34.9</v>
      </c>
      <c r="AI178" t="inlineStr">
        <is>
          <t>801+</t>
        </is>
      </c>
      <c r="AJ178" t="inlineStr">
        <is>
          <t>6.3</t>
        </is>
      </c>
      <c r="AK178" t="inlineStr">
        <is>
          <t>601+</t>
        </is>
      </c>
      <c r="AL178" t="inlineStr">
        <is>
          <t>2.5</t>
        </is>
      </c>
      <c r="AM178" t="inlineStr">
        <is>
          <t>601+</t>
        </is>
      </c>
      <c r="AN178" t="inlineStr">
        <is>
          <t>44.5</t>
        </is>
      </c>
      <c r="AO178" t="inlineStr">
        <is>
          <t>353</t>
        </is>
      </c>
      <c r="AP178" t="inlineStr">
        <is>
          <t>1.6</t>
        </is>
      </c>
      <c r="AQ178" t="inlineStr">
        <is>
          <t>701+</t>
        </is>
      </c>
      <c r="AR178" t="inlineStr">
        <is>
          <t>6.4</t>
        </is>
      </c>
      <c r="AS178" t="inlineStr">
        <is>
          <t>701+</t>
        </is>
      </c>
      <c r="AT178" t="inlineStr">
        <is>
          <t>5.4</t>
        </is>
      </c>
      <c r="AU178" t="inlineStr">
        <is>
          <t>701+</t>
        </is>
      </c>
      <c r="AV178" t="inlineStr">
        <is>
          <t>1.0</t>
        </is>
      </c>
      <c r="AW178" t="inlineStr">
        <is>
          <t>701+</t>
        </is>
      </c>
      <c r="AX178" t="inlineStr">
        <is>
          <t>7.9</t>
        </is>
      </c>
      <c r="AY178" t="inlineStr">
        <is>
          <t>701+</t>
        </is>
      </c>
      <c r="AZ178" t="inlineStr">
        <is>
          <t>1.1</t>
        </is>
      </c>
      <c r="BA178" t="inlineStr">
        <is>
          <t>701+</t>
        </is>
      </c>
    </row>
    <row r="179">
      <c r="A179" t="inlineStr">
        <is>
          <t>Chaoyang University of Technology</t>
        </is>
      </c>
      <c r="B179" t="inlineStr">
        <is>
          <t>Taiwan</t>
        </is>
      </c>
      <c r="C179" t="inlineStr">
        <is>
          <t>TW</t>
        </is>
      </c>
      <c r="D179" t="inlineStr">
        <is>
          <t>Asia</t>
        </is>
      </c>
      <c r="E179" t="inlineStr">
        <is>
          <t>L</t>
        </is>
      </c>
      <c r="F179" t="inlineStr">
        <is>
          <t>FO</t>
        </is>
      </c>
      <c r="G179" t="inlineStr">
        <is>
          <t>VH</t>
        </is>
      </c>
      <c r="H179" t="inlineStr">
        <is>
          <t>3</t>
        </is>
      </c>
      <c r="I179" t="inlineStr">
        <is>
          <t>Private for Profit</t>
        </is>
      </c>
      <c r="J179" t="inlineStr">
        <is>
          <t>1401+</t>
        </is>
      </c>
      <c r="K179" t="inlineStr">
        <is>
          <t>1201-1400</t>
        </is>
      </c>
      <c r="L179" t="inlineStr">
        <is>
          <t>1201-1400</t>
        </is>
      </c>
      <c r="M179" t="inlineStr"/>
      <c r="N179" t="inlineStr">
        <is>
          <t>-</t>
        </is>
      </c>
      <c r="O179" t="inlineStr">
        <is>
          <t>-</t>
        </is>
      </c>
      <c r="P179" t="n">
        <v>5</v>
      </c>
      <c r="Q179" t="inlineStr">
        <is>
          <t>701+</t>
        </is>
      </c>
      <c r="R179" t="n">
        <v>6.7</v>
      </c>
      <c r="S179" t="inlineStr">
        <is>
          <t>701+</t>
        </is>
      </c>
      <c r="T179" t="n">
        <v>6.4</v>
      </c>
      <c r="U179" t="inlineStr">
        <is>
          <t>801+</t>
        </is>
      </c>
      <c r="V179" t="n">
        <v>8.4</v>
      </c>
      <c r="W179" t="inlineStr">
        <is>
          <t>801+</t>
        </is>
      </c>
      <c r="X179" t="n">
        <v>7.4</v>
      </c>
      <c r="Y179" t="inlineStr">
        <is>
          <t>801+</t>
        </is>
      </c>
      <c r="Z179" t="n">
        <v>13.2</v>
      </c>
      <c r="AA179" t="inlineStr">
        <is>
          <t>801+</t>
        </is>
      </c>
      <c r="AB179" t="n">
        <v>15.9</v>
      </c>
      <c r="AC179" t="inlineStr">
        <is>
          <t>801+</t>
        </is>
      </c>
      <c r="AD179" t="n">
        <v>22.2</v>
      </c>
      <c r="AE179" t="inlineStr">
        <is>
          <t>801+</t>
        </is>
      </c>
      <c r="AF179" t="n">
        <v>2.1</v>
      </c>
      <c r="AG179" t="inlineStr">
        <is>
          <t>801+</t>
        </is>
      </c>
      <c r="AH179" t="n">
        <v>40.6</v>
      </c>
      <c r="AI179" t="inlineStr">
        <is>
          <t>801+</t>
        </is>
      </c>
      <c r="AJ179" t="inlineStr">
        <is>
          <t>5.6</t>
        </is>
      </c>
      <c r="AK179" t="inlineStr">
        <is>
          <t>601+</t>
        </is>
      </c>
      <c r="AL179" t="inlineStr">
        <is>
          <t>6.7</t>
        </is>
      </c>
      <c r="AM179" t="inlineStr">
        <is>
          <t>601+</t>
        </is>
      </c>
      <c r="AN179" t="inlineStr">
        <is>
          <t>4.2</t>
        </is>
      </c>
      <c r="AO179" t="inlineStr">
        <is>
          <t>701+</t>
        </is>
      </c>
      <c r="AP179" t="inlineStr">
        <is>
          <t>3.5</t>
        </is>
      </c>
      <c r="AQ179" t="inlineStr">
        <is>
          <t>701+</t>
        </is>
      </c>
      <c r="AR179" t="inlineStr">
        <is>
          <t>6.7</t>
        </is>
      </c>
      <c r="AS179" t="inlineStr">
        <is>
          <t>701+</t>
        </is>
      </c>
      <c r="AT179" t="inlineStr">
        <is>
          <t>5.7</t>
        </is>
      </c>
      <c r="AU179" t="inlineStr">
        <is>
          <t>701+</t>
        </is>
      </c>
      <c r="AV179" t="inlineStr">
        <is>
          <t>1.0</t>
        </is>
      </c>
      <c r="AW179" t="inlineStr">
        <is>
          <t>701+</t>
        </is>
      </c>
      <c r="AX179" t="inlineStr">
        <is>
          <t>7.9</t>
        </is>
      </c>
      <c r="AY179" t="inlineStr">
        <is>
          <t>701+</t>
        </is>
      </c>
      <c r="AZ179" t="inlineStr">
        <is>
          <t>3.3</t>
        </is>
      </c>
      <c r="BA179" t="inlineStr">
        <is>
          <t>701+</t>
        </is>
      </c>
    </row>
    <row r="180">
      <c r="A180" t="inlineStr">
        <is>
          <t>Charles Darwin University</t>
        </is>
      </c>
      <c r="B180" t="inlineStr">
        <is>
          <t>Australia</t>
        </is>
      </c>
      <c r="C180" t="inlineStr">
        <is>
          <t>AU</t>
        </is>
      </c>
      <c r="D180" t="inlineStr">
        <is>
          <t>Oceania</t>
        </is>
      </c>
      <c r="E180" t="inlineStr">
        <is>
          <t>M</t>
        </is>
      </c>
      <c r="F180" t="inlineStr">
        <is>
          <t>FO</t>
        </is>
      </c>
      <c r="G180" t="inlineStr">
        <is>
          <t>VH</t>
        </is>
      </c>
      <c r="H180" t="inlineStr">
        <is>
          <t>2</t>
        </is>
      </c>
      <c r="I180" t="inlineStr">
        <is>
          <t>Public</t>
        </is>
      </c>
      <c r="J180" t="inlineStr">
        <is>
          <t>584</t>
        </is>
      </c>
      <c r="K180" t="inlineStr">
        <is>
          <t>621-630</t>
        </is>
      </c>
      <c r="L180" t="inlineStr">
        <is>
          <t>601-610</t>
        </is>
      </c>
      <c r="M180" t="inlineStr">
        <is>
          <t>701-750</t>
        </is>
      </c>
      <c r="N180" t="inlineStr">
        <is>
          <t>28.7</t>
        </is>
      </c>
      <c r="O180" t="inlineStr">
        <is>
          <t>-</t>
        </is>
      </c>
      <c r="P180" t="n">
        <v>7.8</v>
      </c>
      <c r="Q180" t="inlineStr">
        <is>
          <t>701+</t>
        </is>
      </c>
      <c r="R180" t="n">
        <v>7.3</v>
      </c>
      <c r="S180" t="inlineStr">
        <is>
          <t>701+</t>
        </is>
      </c>
      <c r="T180" t="n">
        <v>6.4</v>
      </c>
      <c r="U180" t="inlineStr">
        <is>
          <t>801+</t>
        </is>
      </c>
      <c r="V180" t="n">
        <v>65.09999999999999</v>
      </c>
      <c r="W180" t="inlineStr">
        <is>
          <t>247</t>
        </is>
      </c>
      <c r="X180" t="n">
        <v>41.8</v>
      </c>
      <c r="Y180" t="inlineStr">
        <is>
          <t>483</t>
        </is>
      </c>
      <c r="Z180" t="n">
        <v>88.90000000000001</v>
      </c>
      <c r="AA180" t="inlineStr">
        <is>
          <t>178</t>
        </is>
      </c>
      <c r="AB180" t="n">
        <v>88.5</v>
      </c>
      <c r="AC180" t="inlineStr">
        <is>
          <t>154</t>
        </is>
      </c>
      <c r="AD180" t="n">
        <v>49.7</v>
      </c>
      <c r="AE180" t="inlineStr">
        <is>
          <t>801+</t>
        </is>
      </c>
      <c r="AF180" t="n">
        <v>4.8</v>
      </c>
      <c r="AG180" t="inlineStr">
        <is>
          <t>801+</t>
        </is>
      </c>
      <c r="AH180" t="n">
        <v>70.7</v>
      </c>
      <c r="AI180" t="inlineStr">
        <is>
          <t>305=</t>
        </is>
      </c>
      <c r="AJ180" t="inlineStr">
        <is>
          <t>5.8</t>
        </is>
      </c>
      <c r="AK180" t="inlineStr">
        <is>
          <t>601+</t>
        </is>
      </c>
      <c r="AL180" t="inlineStr">
        <is>
          <t>4.7</t>
        </is>
      </c>
      <c r="AM180" t="inlineStr">
        <is>
          <t>601+</t>
        </is>
      </c>
      <c r="AN180" t="inlineStr">
        <is>
          <t>4.0</t>
        </is>
      </c>
      <c r="AO180" t="inlineStr">
        <is>
          <t>701+</t>
        </is>
      </c>
      <c r="AP180" t="inlineStr">
        <is>
          <t>41.3</t>
        </is>
      </c>
      <c r="AQ180" t="inlineStr">
        <is>
          <t>331</t>
        </is>
      </c>
      <c r="AR180" t="inlineStr">
        <is>
          <t>37.4</t>
        </is>
      </c>
      <c r="AS180" t="inlineStr">
        <is>
          <t>429</t>
        </is>
      </c>
      <c r="AT180" t="inlineStr">
        <is>
          <t>76.7</t>
        </is>
      </c>
      <c r="AU180" t="inlineStr">
        <is>
          <t>176</t>
        </is>
      </c>
      <c r="AV180" t="inlineStr">
        <is>
          <t>3.6</t>
        </is>
      </c>
      <c r="AW180" t="inlineStr">
        <is>
          <t>701+</t>
        </is>
      </c>
      <c r="AX180" t="inlineStr">
        <is>
          <t>8.5</t>
        </is>
      </c>
      <c r="AY180" t="inlineStr">
        <is>
          <t>701+</t>
        </is>
      </c>
      <c r="AZ180" t="inlineStr">
        <is>
          <t>45.3</t>
        </is>
      </c>
      <c r="BA180" t="inlineStr">
        <is>
          <t>334</t>
        </is>
      </c>
    </row>
    <row r="181">
      <c r="A181" t="inlineStr">
        <is>
          <t>Charles Sturt University</t>
        </is>
      </c>
      <c r="B181" t="inlineStr">
        <is>
          <t>Australia</t>
        </is>
      </c>
      <c r="C181" t="inlineStr">
        <is>
          <t>AU</t>
        </is>
      </c>
      <c r="D181" t="inlineStr">
        <is>
          <t>Oceania</t>
        </is>
      </c>
      <c r="E181" t="inlineStr">
        <is>
          <t>L</t>
        </is>
      </c>
      <c r="F181" t="inlineStr">
        <is>
          <t>CO</t>
        </is>
      </c>
      <c r="G181" t="inlineStr">
        <is>
          <t>VH</t>
        </is>
      </c>
      <c r="H181" t="inlineStr">
        <is>
          <t>3</t>
        </is>
      </c>
      <c r="I181" t="inlineStr">
        <is>
          <t>Public</t>
        </is>
      </c>
      <c r="J181" t="inlineStr">
        <is>
          <t>951-1000</t>
        </is>
      </c>
      <c r="K181" t="inlineStr">
        <is>
          <t>851-900</t>
        </is>
      </c>
      <c r="L181" t="inlineStr">
        <is>
          <t>801-850</t>
        </is>
      </c>
      <c r="M181" t="inlineStr">
        <is>
          <t>801-1000</t>
        </is>
      </c>
      <c r="N181" t="inlineStr">
        <is>
          <t>-</t>
        </is>
      </c>
      <c r="O181" t="inlineStr">
        <is>
          <t>-</t>
        </is>
      </c>
      <c r="P181" t="n">
        <v>6.4</v>
      </c>
      <c r="Q181" t="inlineStr">
        <is>
          <t>701+</t>
        </is>
      </c>
      <c r="R181" t="n">
        <v>9.4</v>
      </c>
      <c r="S181" t="inlineStr">
        <is>
          <t>701+</t>
        </is>
      </c>
      <c r="T181" t="n">
        <v>14.1</v>
      </c>
      <c r="U181" t="inlineStr">
        <is>
          <t>801+</t>
        </is>
      </c>
      <c r="V181" t="n">
        <v>13.9</v>
      </c>
      <c r="W181" t="inlineStr">
        <is>
          <t>801+</t>
        </is>
      </c>
      <c r="X181" t="n">
        <v>66</v>
      </c>
      <c r="Y181" t="inlineStr">
        <is>
          <t>356</t>
        </is>
      </c>
      <c r="Z181" t="n">
        <v>47.2</v>
      </c>
      <c r="AA181" t="inlineStr">
        <is>
          <t>427</t>
        </is>
      </c>
      <c r="AB181" t="n">
        <v>52.2</v>
      </c>
      <c r="AC181" t="inlineStr">
        <is>
          <t>396</t>
        </is>
      </c>
      <c r="AD181" t="n">
        <v>60.4</v>
      </c>
      <c r="AE181" t="inlineStr">
        <is>
          <t>684</t>
        </is>
      </c>
      <c r="AF181" t="n">
        <v>13.4</v>
      </c>
      <c r="AG181" t="inlineStr">
        <is>
          <t>801+</t>
        </is>
      </c>
      <c r="AH181" t="n">
        <v>64.90000000000001</v>
      </c>
      <c r="AI181" t="inlineStr">
        <is>
          <t>403=</t>
        </is>
      </c>
      <c r="AJ181" t="inlineStr">
        <is>
          <t>5.0</t>
        </is>
      </c>
      <c r="AK181" t="inlineStr">
        <is>
          <t>601+</t>
        </is>
      </c>
      <c r="AL181" t="inlineStr">
        <is>
          <t>6.0</t>
        </is>
      </c>
      <c r="AM181" t="inlineStr">
        <is>
          <t>601+</t>
        </is>
      </c>
      <c r="AN181" t="inlineStr">
        <is>
          <t>7.0</t>
        </is>
      </c>
      <c r="AO181" t="inlineStr">
        <is>
          <t>701+</t>
        </is>
      </c>
      <c r="AP181" t="inlineStr">
        <is>
          <t>8.6</t>
        </is>
      </c>
      <c r="AQ181" t="inlineStr">
        <is>
          <t>701+</t>
        </is>
      </c>
      <c r="AR181" t="inlineStr">
        <is>
          <t>31.7</t>
        </is>
      </c>
      <c r="AS181" t="inlineStr">
        <is>
          <t>476</t>
        </is>
      </c>
      <c r="AT181" t="inlineStr">
        <is>
          <t>74.0</t>
        </is>
      </c>
      <c r="AU181" t="inlineStr">
        <is>
          <t>190</t>
        </is>
      </c>
      <c r="AV181" t="inlineStr">
        <is>
          <t>10.5</t>
        </is>
      </c>
      <c r="AW181" t="inlineStr">
        <is>
          <t>663</t>
        </is>
      </c>
      <c r="AX181" t="inlineStr">
        <is>
          <t>10.3</t>
        </is>
      </c>
      <c r="AY181" t="inlineStr">
        <is>
          <t>701+</t>
        </is>
      </c>
      <c r="AZ181" t="inlineStr">
        <is>
          <t>53.4</t>
        </is>
      </c>
      <c r="BA181" t="inlineStr">
        <is>
          <t>288=</t>
        </is>
      </c>
    </row>
    <row r="182">
      <c r="A182" t="inlineStr">
        <is>
          <t>Charles University</t>
        </is>
      </c>
      <c r="B182" t="inlineStr">
        <is>
          <t>Czech Republic</t>
        </is>
      </c>
      <c r="C182" t="inlineStr">
        <is>
          <t>CZ</t>
        </is>
      </c>
      <c r="D182" t="inlineStr">
        <is>
          <t>Europe</t>
        </is>
      </c>
      <c r="E182" t="inlineStr">
        <is>
          <t>XL</t>
        </is>
      </c>
      <c r="F182" t="inlineStr">
        <is>
          <t>FC</t>
        </is>
      </c>
      <c r="G182" t="inlineStr">
        <is>
          <t>VH</t>
        </is>
      </c>
      <c r="H182" t="inlineStr">
        <is>
          <t>5</t>
        </is>
      </c>
      <c r="I182" t="inlineStr">
        <is>
          <t>Public</t>
        </is>
      </c>
      <c r="J182" t="inlineStr">
        <is>
          <t>265</t>
        </is>
      </c>
      <c r="K182" t="inlineStr">
        <is>
          <t>246</t>
        </is>
      </c>
      <c r="L182">
        <f>248</f>
        <v/>
      </c>
      <c r="M182" t="inlineStr">
        <is>
          <t>288=</t>
        </is>
      </c>
      <c r="N182" t="inlineStr">
        <is>
          <t>49</t>
        </is>
      </c>
      <c r="O182" t="inlineStr">
        <is>
          <t>39.6</t>
        </is>
      </c>
      <c r="P182" t="n">
        <v>58.5</v>
      </c>
      <c r="Q182" t="inlineStr">
        <is>
          <t>182</t>
        </is>
      </c>
      <c r="R182" t="n">
        <v>55.5</v>
      </c>
      <c r="S182" t="inlineStr">
        <is>
          <t>217</t>
        </is>
      </c>
      <c r="T182" t="n">
        <v>37</v>
      </c>
      <c r="U182" t="inlineStr">
        <is>
          <t>543</t>
        </is>
      </c>
      <c r="V182" t="n">
        <v>14.3</v>
      </c>
      <c r="W182" t="inlineStr">
        <is>
          <t>801+</t>
        </is>
      </c>
      <c r="X182" t="n">
        <v>33.5</v>
      </c>
      <c r="Y182" t="inlineStr">
        <is>
          <t>549</t>
        </is>
      </c>
      <c r="Z182" t="n">
        <v>61.7</v>
      </c>
      <c r="AA182" t="inlineStr">
        <is>
          <t>328</t>
        </is>
      </c>
      <c r="AB182" t="n">
        <v>65.40000000000001</v>
      </c>
      <c r="AC182" t="inlineStr">
        <is>
          <t>300</t>
        </is>
      </c>
      <c r="AD182" t="n">
        <v>97.2</v>
      </c>
      <c r="AE182" t="inlineStr">
        <is>
          <t>33</t>
        </is>
      </c>
      <c r="AF182" t="n">
        <v>73.2</v>
      </c>
      <c r="AG182" t="inlineStr">
        <is>
          <t>196</t>
        </is>
      </c>
      <c r="AH182" t="n">
        <v>76.90000000000001</v>
      </c>
      <c r="AI182" t="inlineStr">
        <is>
          <t>217</t>
        </is>
      </c>
      <c r="AJ182" t="inlineStr">
        <is>
          <t>45.5</t>
        </is>
      </c>
      <c r="AK182" t="inlineStr">
        <is>
          <t>183</t>
        </is>
      </c>
      <c r="AL182" t="inlineStr">
        <is>
          <t>43.5</t>
        </is>
      </c>
      <c r="AM182" t="inlineStr">
        <is>
          <t>210</t>
        </is>
      </c>
      <c r="AN182" t="inlineStr">
        <is>
          <t>34.8</t>
        </is>
      </c>
      <c r="AO182" t="inlineStr">
        <is>
          <t>456</t>
        </is>
      </c>
      <c r="AP182" t="inlineStr">
        <is>
          <t>9.4</t>
        </is>
      </c>
      <c r="AQ182" t="inlineStr">
        <is>
          <t>701+</t>
        </is>
      </c>
      <c r="AR182" t="inlineStr">
        <is>
          <t>24.8</t>
        </is>
      </c>
      <c r="AS182" t="inlineStr">
        <is>
          <t>539</t>
        </is>
      </c>
      <c r="AT182" t="inlineStr">
        <is>
          <t>51.2</t>
        </is>
      </c>
      <c r="AU182" t="inlineStr">
        <is>
          <t>283</t>
        </is>
      </c>
      <c r="AV182" t="inlineStr">
        <is>
          <t>90.9</t>
        </is>
      </c>
      <c r="AW182" t="inlineStr">
        <is>
          <t>77</t>
        </is>
      </c>
      <c r="AX182" t="inlineStr">
        <is>
          <t>27.6</t>
        </is>
      </c>
      <c r="AY182" t="inlineStr">
        <is>
          <t>294</t>
        </is>
      </c>
      <c r="AZ182" t="inlineStr">
        <is>
          <t>83.9</t>
        </is>
      </c>
      <c r="BA182" t="inlineStr">
        <is>
          <t>125</t>
        </is>
      </c>
    </row>
    <row r="183">
      <c r="A183" t="inlineStr">
        <is>
          <t>Chiang Mai University</t>
        </is>
      </c>
      <c r="B183" t="inlineStr">
        <is>
          <t>Thailand</t>
        </is>
      </c>
      <c r="C183" t="inlineStr">
        <is>
          <t>TH</t>
        </is>
      </c>
      <c r="D183" t="inlineStr">
        <is>
          <t>Asia</t>
        </is>
      </c>
      <c r="E183" t="inlineStr">
        <is>
          <t>XL</t>
        </is>
      </c>
      <c r="F183" t="inlineStr">
        <is>
          <t>FC</t>
        </is>
      </c>
      <c r="G183" t="inlineStr">
        <is>
          <t>HI</t>
        </is>
      </c>
      <c r="H183" t="inlineStr">
        <is>
          <t>4</t>
        </is>
      </c>
      <c r="I183" t="inlineStr">
        <is>
          <t>Public</t>
        </is>
      </c>
      <c r="J183" t="inlineStr">
        <is>
          <t>526</t>
        </is>
      </c>
      <c r="K183" t="inlineStr">
        <is>
          <t>567</t>
        </is>
      </c>
      <c r="L183">
        <f>571</f>
        <v/>
      </c>
      <c r="M183" t="inlineStr">
        <is>
          <t>601-650</t>
        </is>
      </c>
      <c r="N183" t="inlineStr">
        <is>
          <t>30.9</t>
        </is>
      </c>
      <c r="O183" t="inlineStr">
        <is>
          <t>20.7</t>
        </is>
      </c>
      <c r="P183" t="n">
        <v>48.8</v>
      </c>
      <c r="Q183" t="inlineStr">
        <is>
          <t>236</t>
        </is>
      </c>
      <c r="R183" t="n">
        <v>30.4</v>
      </c>
      <c r="S183" t="inlineStr">
        <is>
          <t>467</t>
        </is>
      </c>
      <c r="T183" t="n">
        <v>22</v>
      </c>
      <c r="U183" t="inlineStr">
        <is>
          <t>790</t>
        </is>
      </c>
      <c r="V183" t="n">
        <v>8.800000000000001</v>
      </c>
      <c r="W183" t="inlineStr">
        <is>
          <t>801+</t>
        </is>
      </c>
      <c r="X183" t="n">
        <v>5.5</v>
      </c>
      <c r="Y183" t="inlineStr">
        <is>
          <t>801+</t>
        </is>
      </c>
      <c r="Z183" t="n">
        <v>8.699999999999999</v>
      </c>
      <c r="AA183" t="inlineStr">
        <is>
          <t>801+</t>
        </is>
      </c>
      <c r="AB183" t="n">
        <v>13.3</v>
      </c>
      <c r="AC183" t="inlineStr">
        <is>
          <t>801+</t>
        </is>
      </c>
      <c r="AD183" t="n">
        <v>65.8</v>
      </c>
      <c r="AE183" t="inlineStr">
        <is>
          <t>613</t>
        </is>
      </c>
      <c r="AF183" t="n">
        <v>28.7</v>
      </c>
      <c r="AG183" t="inlineStr">
        <is>
          <t>584</t>
        </is>
      </c>
      <c r="AH183" t="n">
        <v>67.59999999999999</v>
      </c>
      <c r="AI183" t="inlineStr">
        <is>
          <t>355=</t>
        </is>
      </c>
      <c r="AJ183" t="inlineStr">
        <is>
          <t>33.8</t>
        </is>
      </c>
      <c r="AK183" t="inlineStr">
        <is>
          <t>256</t>
        </is>
      </c>
      <c r="AL183" t="inlineStr">
        <is>
          <t>19.3</t>
        </is>
      </c>
      <c r="AM183" t="inlineStr">
        <is>
          <t>466</t>
        </is>
      </c>
      <c r="AN183" t="inlineStr">
        <is>
          <t>16.4</t>
        </is>
      </c>
      <c r="AO183" t="inlineStr">
        <is>
          <t>701+</t>
        </is>
      </c>
      <c r="AP183" t="inlineStr">
        <is>
          <t>3.9</t>
        </is>
      </c>
      <c r="AQ183" t="inlineStr">
        <is>
          <t>701+</t>
        </is>
      </c>
      <c r="AR183" t="inlineStr">
        <is>
          <t>5.1</t>
        </is>
      </c>
      <c r="AS183" t="inlineStr">
        <is>
          <t>701+</t>
        </is>
      </c>
      <c r="AT183" t="inlineStr">
        <is>
          <t>4.1</t>
        </is>
      </c>
      <c r="AU183" t="inlineStr">
        <is>
          <t>701+</t>
        </is>
      </c>
      <c r="AV183" t="inlineStr">
        <is>
          <t>20.9</t>
        </is>
      </c>
      <c r="AW183" t="inlineStr">
        <is>
          <t>538</t>
        </is>
      </c>
      <c r="AX183" t="inlineStr">
        <is>
          <t>17.1</t>
        </is>
      </c>
      <c r="AY183" t="inlineStr">
        <is>
          <t>495</t>
        </is>
      </c>
      <c r="AZ183" t="inlineStr">
        <is>
          <t>59.2</t>
        </is>
      </c>
      <c r="BA183" t="inlineStr">
        <is>
          <t>252=</t>
        </is>
      </c>
    </row>
    <row r="184">
      <c r="A184" t="inlineStr">
        <is>
          <t>Chiba University</t>
        </is>
      </c>
      <c r="B184" t="inlineStr">
        <is>
          <t>Japan</t>
        </is>
      </c>
      <c r="C184" t="inlineStr">
        <is>
          <t>JP</t>
        </is>
      </c>
      <c r="D184" t="inlineStr">
        <is>
          <t>Asia</t>
        </is>
      </c>
      <c r="E184" t="inlineStr">
        <is>
          <t>L</t>
        </is>
      </c>
      <c r="F184" t="inlineStr">
        <is>
          <t>FC</t>
        </is>
      </c>
      <c r="G184" t="inlineStr">
        <is>
          <t>VH</t>
        </is>
      </c>
      <c r="H184" t="inlineStr">
        <is>
          <t>4</t>
        </is>
      </c>
      <c r="I184" t="inlineStr">
        <is>
          <t>Public</t>
        </is>
      </c>
      <c r="J184" t="inlineStr">
        <is>
          <t>791-800</t>
        </is>
      </c>
      <c r="K184" t="inlineStr">
        <is>
          <t>771-780</t>
        </is>
      </c>
      <c r="L184" t="inlineStr">
        <is>
          <t>701-710</t>
        </is>
      </c>
      <c r="M184" t="inlineStr">
        <is>
          <t>490=</t>
        </is>
      </c>
      <c r="N184" t="inlineStr">
        <is>
          <t>-</t>
        </is>
      </c>
      <c r="O184" t="inlineStr">
        <is>
          <t>-</t>
        </is>
      </c>
      <c r="P184" t="n">
        <v>22.5</v>
      </c>
      <c r="Q184" t="inlineStr">
        <is>
          <t>555</t>
        </is>
      </c>
      <c r="R184" t="n">
        <v>12.5</v>
      </c>
      <c r="S184" t="inlineStr">
        <is>
          <t>701+</t>
        </is>
      </c>
      <c r="T184" t="n">
        <v>65.8</v>
      </c>
      <c r="U184" t="inlineStr">
        <is>
          <t>261</t>
        </is>
      </c>
      <c r="V184" t="n">
        <v>17.8</v>
      </c>
      <c r="W184" t="inlineStr">
        <is>
          <t>755</t>
        </is>
      </c>
      <c r="X184" t="n">
        <v>11.3</v>
      </c>
      <c r="Y184" t="inlineStr">
        <is>
          <t>801+</t>
        </is>
      </c>
      <c r="Z184" t="n">
        <v>7.9</v>
      </c>
      <c r="AA184" t="inlineStr">
        <is>
          <t>801+</t>
        </is>
      </c>
      <c r="AB184" t="n">
        <v>12.1</v>
      </c>
      <c r="AC184" t="inlineStr">
        <is>
          <t>801+</t>
        </is>
      </c>
      <c r="AD184" t="n">
        <v>30.2</v>
      </c>
      <c r="AE184" t="inlineStr">
        <is>
          <t>801+</t>
        </is>
      </c>
      <c r="AF184" t="n">
        <v>6.2</v>
      </c>
      <c r="AG184" t="inlineStr">
        <is>
          <t>801+</t>
        </is>
      </c>
      <c r="AH184" t="n">
        <v>48.7</v>
      </c>
      <c r="AI184" t="inlineStr">
        <is>
          <t>737=</t>
        </is>
      </c>
      <c r="AJ184" t="inlineStr">
        <is>
          <t>16.8</t>
        </is>
      </c>
      <c r="AK184" t="inlineStr">
        <is>
          <t>527</t>
        </is>
      </c>
      <c r="AL184" t="inlineStr">
        <is>
          <t>8.4</t>
        </is>
      </c>
      <c r="AM184" t="inlineStr">
        <is>
          <t>601+</t>
        </is>
      </c>
      <c r="AN184" t="inlineStr">
        <is>
          <t>62.3</t>
        </is>
      </c>
      <c r="AO184" t="inlineStr">
        <is>
          <t>226</t>
        </is>
      </c>
      <c r="AP184" t="inlineStr">
        <is>
          <t>10.9</t>
        </is>
      </c>
      <c r="AQ184" t="inlineStr">
        <is>
          <t>701+</t>
        </is>
      </c>
      <c r="AR184" t="inlineStr">
        <is>
          <t>7.5</t>
        </is>
      </c>
      <c r="AS184" t="inlineStr">
        <is>
          <t>701+</t>
        </is>
      </c>
      <c r="AT184" t="inlineStr">
        <is>
          <t>5.2</t>
        </is>
      </c>
      <c r="AU184" t="inlineStr">
        <is>
          <t>701+</t>
        </is>
      </c>
      <c r="AV184" t="inlineStr">
        <is>
          <t>2.5</t>
        </is>
      </c>
      <c r="AW184" t="inlineStr">
        <is>
          <t>701+</t>
        </is>
      </c>
      <c r="AX184" t="inlineStr">
        <is>
          <t>8.6</t>
        </is>
      </c>
      <c r="AY184" t="inlineStr">
        <is>
          <t>701+</t>
        </is>
      </c>
      <c r="AZ184" t="inlineStr">
        <is>
          <t>18.8</t>
        </is>
      </c>
      <c r="BA184" t="inlineStr">
        <is>
          <t>555=</t>
        </is>
      </c>
    </row>
    <row r="185">
      <c r="A185" t="inlineStr">
        <is>
          <t>China Agricultural University</t>
        </is>
      </c>
      <c r="B185" t="inlineStr">
        <is>
          <t>China (Mainland)</t>
        </is>
      </c>
      <c r="C185" t="inlineStr">
        <is>
          <t>CN</t>
        </is>
      </c>
      <c r="D185" t="inlineStr">
        <is>
          <t>Asia</t>
        </is>
      </c>
      <c r="E185" t="inlineStr">
        <is>
          <t>L</t>
        </is>
      </c>
      <c r="F185" t="inlineStr">
        <is>
          <t>FC</t>
        </is>
      </c>
      <c r="G185" t="inlineStr">
        <is>
          <t>VH</t>
        </is>
      </c>
      <c r="H185" t="inlineStr">
        <is>
          <t>3</t>
        </is>
      </c>
      <c r="I185" t="inlineStr">
        <is>
          <t>Public</t>
        </is>
      </c>
      <c r="J185" t="inlineStr">
        <is>
          <t>504</t>
        </is>
      </c>
      <c r="K185" t="inlineStr">
        <is>
          <t>484</t>
        </is>
      </c>
      <c r="L185">
        <f>534</f>
        <v/>
      </c>
      <c r="M185" t="inlineStr">
        <is>
          <t>591-600</t>
        </is>
      </c>
      <c r="N185" t="inlineStr">
        <is>
          <t>32</t>
        </is>
      </c>
      <c r="O185" t="inlineStr">
        <is>
          <t>22.0</t>
        </is>
      </c>
      <c r="P185" t="n">
        <v>12.3</v>
      </c>
      <c r="Q185" t="inlineStr">
        <is>
          <t>701+</t>
        </is>
      </c>
      <c r="R185" t="n">
        <v>10.3</v>
      </c>
      <c r="S185" t="inlineStr">
        <is>
          <t>701+</t>
        </is>
      </c>
      <c r="T185" t="n">
        <v>19.2</v>
      </c>
      <c r="U185" t="inlineStr">
        <is>
          <t>801+</t>
        </is>
      </c>
      <c r="V185" t="n">
        <v>98.7</v>
      </c>
      <c r="W185" t="inlineStr">
        <is>
          <t>42</t>
        </is>
      </c>
      <c r="X185" t="n">
        <v>4.8</v>
      </c>
      <c r="Y185" t="inlineStr">
        <is>
          <t>801+</t>
        </is>
      </c>
      <c r="Z185" t="n">
        <v>2.3</v>
      </c>
      <c r="AA185" t="inlineStr">
        <is>
          <t>801+</t>
        </is>
      </c>
      <c r="AB185" t="n">
        <v>2</v>
      </c>
      <c r="AC185" t="inlineStr">
        <is>
          <t>801+</t>
        </is>
      </c>
      <c r="AD185" t="n">
        <v>62.1</v>
      </c>
      <c r="AE185" t="inlineStr">
        <is>
          <t>663</t>
        </is>
      </c>
      <c r="AF185" t="n">
        <v>9.6</v>
      </c>
      <c r="AG185" t="inlineStr">
        <is>
          <t>801+</t>
        </is>
      </c>
      <c r="AH185" t="n">
        <v>44.4</v>
      </c>
      <c r="AI185" t="inlineStr">
        <is>
          <t>801+</t>
        </is>
      </c>
      <c r="AJ185" t="inlineStr">
        <is>
          <t>9.6</t>
        </is>
      </c>
      <c r="AK185" t="inlineStr">
        <is>
          <t>601+</t>
        </is>
      </c>
      <c r="AL185" t="inlineStr">
        <is>
          <t>2.1</t>
        </is>
      </c>
      <c r="AM185" t="inlineStr">
        <is>
          <t>601+</t>
        </is>
      </c>
      <c r="AN185" t="inlineStr">
        <is>
          <t>19.9</t>
        </is>
      </c>
      <c r="AO185" t="inlineStr">
        <is>
          <t>667</t>
        </is>
      </c>
      <c r="AP185" t="inlineStr">
        <is>
          <t>78.7</t>
        </is>
      </c>
      <c r="AQ185" t="inlineStr">
        <is>
          <t>119</t>
        </is>
      </c>
      <c r="AR185" t="inlineStr">
        <is>
          <t>3.4</t>
        </is>
      </c>
      <c r="AS185" t="inlineStr">
        <is>
          <t>701+</t>
        </is>
      </c>
      <c r="AT185" t="inlineStr">
        <is>
          <t>1.6</t>
        </is>
      </c>
      <c r="AU185" t="inlineStr">
        <is>
          <t>701+</t>
        </is>
      </c>
      <c r="AV185" t="inlineStr">
        <is>
          <t>3.3</t>
        </is>
      </c>
      <c r="AW185" t="inlineStr">
        <is>
          <t>701+</t>
        </is>
      </c>
      <c r="AX185" t="inlineStr">
        <is>
          <t>6.5</t>
        </is>
      </c>
      <c r="AY185" t="inlineStr">
        <is>
          <t>701+</t>
        </is>
      </c>
      <c r="AZ185" t="inlineStr">
        <is>
          <t>8.4</t>
        </is>
      </c>
      <c r="BA185" t="inlineStr">
        <is>
          <t>695=</t>
        </is>
      </c>
    </row>
    <row r="186">
      <c r="A186" t="inlineStr">
        <is>
          <t>China University of Geosciences</t>
        </is>
      </c>
      <c r="B186" t="inlineStr">
        <is>
          <t>China (Mainland)</t>
        </is>
      </c>
      <c r="C186" t="inlineStr">
        <is>
          <t>CN</t>
        </is>
      </c>
      <c r="D186" t="inlineStr">
        <is>
          <t>Asia</t>
        </is>
      </c>
      <c r="E186" t="inlineStr">
        <is>
          <t>L</t>
        </is>
      </c>
      <c r="F186" t="inlineStr">
        <is>
          <t>FO</t>
        </is>
      </c>
      <c r="G186" t="inlineStr">
        <is>
          <t>VH</t>
        </is>
      </c>
      <c r="H186" t="inlineStr">
        <is>
          <t>3</t>
        </is>
      </c>
      <c r="I186" t="inlineStr">
        <is>
          <t>Public</t>
        </is>
      </c>
      <c r="J186" t="inlineStr">
        <is>
          <t>851-900</t>
        </is>
      </c>
      <c r="K186" t="inlineStr">
        <is>
          <t>771-780</t>
        </is>
      </c>
      <c r="L186" t="inlineStr">
        <is>
          <t>801-850</t>
        </is>
      </c>
      <c r="M186" t="inlineStr">
        <is>
          <t>651-700</t>
        </is>
      </c>
      <c r="N186" t="inlineStr">
        <is>
          <t>-</t>
        </is>
      </c>
      <c r="O186" t="inlineStr">
        <is>
          <t>-</t>
        </is>
      </c>
      <c r="P186" t="n">
        <v>6.6</v>
      </c>
      <c r="Q186" t="inlineStr">
        <is>
          <t>701+</t>
        </is>
      </c>
      <c r="R186" t="n">
        <v>5.6</v>
      </c>
      <c r="S186" t="inlineStr">
        <is>
          <t>701+</t>
        </is>
      </c>
      <c r="T186" t="n">
        <v>60.4</v>
      </c>
      <c r="U186" t="inlineStr">
        <is>
          <t>299</t>
        </is>
      </c>
      <c r="V186" t="n">
        <v>40.1</v>
      </c>
      <c r="W186" t="inlineStr">
        <is>
          <t>469</t>
        </is>
      </c>
      <c r="X186" t="n">
        <v>1.8</v>
      </c>
      <c r="Y186" t="inlineStr">
        <is>
          <t>801+</t>
        </is>
      </c>
      <c r="Z186" t="n">
        <v>4.5</v>
      </c>
      <c r="AA186" t="inlineStr">
        <is>
          <t>801+</t>
        </is>
      </c>
      <c r="AB186" t="n">
        <v>3.6</v>
      </c>
      <c r="AC186" t="inlineStr">
        <is>
          <t>801+</t>
        </is>
      </c>
      <c r="AD186" t="n">
        <v>60</v>
      </c>
      <c r="AE186" t="inlineStr">
        <is>
          <t>693</t>
        </is>
      </c>
      <c r="AF186" t="n">
        <v>1.3</v>
      </c>
      <c r="AG186" t="inlineStr">
        <is>
          <t>801+</t>
        </is>
      </c>
      <c r="AH186" t="n">
        <v>43.3</v>
      </c>
      <c r="AI186" t="inlineStr">
        <is>
          <t>801+</t>
        </is>
      </c>
      <c r="AJ186" t="inlineStr">
        <is>
          <t>5.3</t>
        </is>
      </c>
      <c r="AK186" t="inlineStr">
        <is>
          <t>601+</t>
        </is>
      </c>
      <c r="AL186" t="inlineStr">
        <is>
          <t>1.4</t>
        </is>
      </c>
      <c r="AM186" t="inlineStr">
        <is>
          <t>601+</t>
        </is>
      </c>
      <c r="AN186" t="inlineStr">
        <is>
          <t>55.9</t>
        </is>
      </c>
      <c r="AO186" t="inlineStr">
        <is>
          <t>267</t>
        </is>
      </c>
      <c r="AP186" t="inlineStr">
        <is>
          <t>25.3</t>
        </is>
      </c>
      <c r="AQ186" t="inlineStr">
        <is>
          <t>480</t>
        </is>
      </c>
      <c r="AR186" t="inlineStr">
        <is>
          <t>1.6</t>
        </is>
      </c>
      <c r="AS186" t="inlineStr">
        <is>
          <t>701+</t>
        </is>
      </c>
      <c r="AT186" t="inlineStr">
        <is>
          <t>2.9</t>
        </is>
      </c>
      <c r="AU186" t="inlineStr">
        <is>
          <t>701+</t>
        </is>
      </c>
      <c r="AV186" t="inlineStr">
        <is>
          <t>26.1</t>
        </is>
      </c>
      <c r="AW186" t="inlineStr">
        <is>
          <t>491</t>
        </is>
      </c>
      <c r="AX186" t="inlineStr">
        <is>
          <t>5.3</t>
        </is>
      </c>
      <c r="AY186" t="inlineStr">
        <is>
          <t>701+</t>
        </is>
      </c>
      <c r="AZ186" t="inlineStr">
        <is>
          <t>7</t>
        </is>
      </c>
      <c r="BA186" t="inlineStr">
        <is>
          <t>701+</t>
        </is>
      </c>
    </row>
    <row r="187">
      <c r="A187" t="inlineStr">
        <is>
          <t>China University of Mining and Technology</t>
        </is>
      </c>
      <c r="B187" t="inlineStr">
        <is>
          <t>China (Mainland)</t>
        </is>
      </c>
      <c r="C187" t="inlineStr">
        <is>
          <t>CN</t>
        </is>
      </c>
      <c r="D187" t="inlineStr">
        <is>
          <t>Asia</t>
        </is>
      </c>
      <c r="E187" t="inlineStr">
        <is>
          <t>L</t>
        </is>
      </c>
      <c r="F187" t="inlineStr">
        <is>
          <t>FO</t>
        </is>
      </c>
      <c r="G187" t="inlineStr">
        <is>
          <t>VH</t>
        </is>
      </c>
      <c r="H187" t="inlineStr">
        <is>
          <t>3</t>
        </is>
      </c>
      <c r="I187" t="inlineStr">
        <is>
          <t>Public</t>
        </is>
      </c>
      <c r="J187" t="inlineStr">
        <is>
          <t>654</t>
        </is>
      </c>
      <c r="K187" t="inlineStr">
        <is>
          <t>681-690</t>
        </is>
      </c>
      <c r="L187" t="inlineStr">
        <is>
          <t>781-790</t>
        </is>
      </c>
      <c r="M187" t="inlineStr">
        <is>
          <t>801-1000</t>
        </is>
      </c>
      <c r="N187" t="inlineStr">
        <is>
          <t>26.6</t>
        </is>
      </c>
      <c r="O187" t="inlineStr">
        <is>
          <t>-</t>
        </is>
      </c>
      <c r="P187" t="n">
        <v>4.3</v>
      </c>
      <c r="Q187" t="inlineStr">
        <is>
          <t>701+</t>
        </is>
      </c>
      <c r="R187" t="n">
        <v>6.4</v>
      </c>
      <c r="S187" t="inlineStr">
        <is>
          <t>701+</t>
        </is>
      </c>
      <c r="T187" t="n">
        <v>25.5</v>
      </c>
      <c r="U187" t="inlineStr">
        <is>
          <t>727</t>
        </is>
      </c>
      <c r="V187" t="n">
        <v>87.2</v>
      </c>
      <c r="W187" t="inlineStr">
        <is>
          <t>114</t>
        </is>
      </c>
      <c r="X187" t="inlineStr"/>
      <c r="Y187" t="inlineStr"/>
      <c r="Z187" t="inlineStr"/>
      <c r="AA187" t="inlineStr"/>
      <c r="AB187" t="inlineStr"/>
      <c r="AC187" t="inlineStr"/>
      <c r="AD187" t="n">
        <v>55.5</v>
      </c>
      <c r="AE187" t="inlineStr">
        <is>
          <t>761</t>
        </is>
      </c>
      <c r="AF187" t="n">
        <v>16.3</v>
      </c>
      <c r="AG187" t="inlineStr">
        <is>
          <t>801+</t>
        </is>
      </c>
      <c r="AH187" t="n">
        <v>39.2</v>
      </c>
      <c r="AI187" t="inlineStr">
        <is>
          <t>801+</t>
        </is>
      </c>
      <c r="AJ187" t="inlineStr">
        <is>
          <t>3.7</t>
        </is>
      </c>
      <c r="AK187" t="inlineStr">
        <is>
          <t>601+</t>
        </is>
      </c>
      <c r="AL187" t="inlineStr">
        <is>
          <t>1.6</t>
        </is>
      </c>
      <c r="AM187" t="inlineStr">
        <is>
          <t>601+</t>
        </is>
      </c>
      <c r="AN187" t="inlineStr">
        <is>
          <t>9.5</t>
        </is>
      </c>
      <c r="AO187" t="inlineStr">
        <is>
          <t>701+</t>
        </is>
      </c>
      <c r="AP187" t="inlineStr">
        <is>
          <t>60.5</t>
        </is>
      </c>
      <c r="AQ187" t="inlineStr">
        <is>
          <t>202</t>
        </is>
      </c>
      <c r="AR187" t="inlineStr"/>
      <c r="AS187" t="inlineStr"/>
      <c r="AT187" t="inlineStr"/>
      <c r="AU187" t="inlineStr"/>
      <c r="AV187" t="inlineStr">
        <is>
          <t>2.9</t>
        </is>
      </c>
      <c r="AW187" t="inlineStr">
        <is>
          <t>701+</t>
        </is>
      </c>
      <c r="AX187" t="inlineStr">
        <is>
          <t>9</t>
        </is>
      </c>
      <c r="AY187" t="inlineStr">
        <is>
          <t>701+</t>
        </is>
      </c>
      <c r="AZ187" t="inlineStr">
        <is>
          <t>3</t>
        </is>
      </c>
      <c r="BA187" t="inlineStr">
        <is>
          <t>701+</t>
        </is>
      </c>
    </row>
    <row r="188">
      <c r="A188" t="inlineStr">
        <is>
          <t>China University of Petroleum</t>
        </is>
      </c>
      <c r="B188" t="inlineStr">
        <is>
          <t>China (Mainland)</t>
        </is>
      </c>
      <c r="C188" t="inlineStr">
        <is>
          <t>CN</t>
        </is>
      </c>
      <c r="D188" t="inlineStr">
        <is>
          <t>Asia</t>
        </is>
      </c>
      <c r="E188" t="inlineStr">
        <is>
          <t>L</t>
        </is>
      </c>
      <c r="F188" t="inlineStr">
        <is>
          <t>CO</t>
        </is>
      </c>
      <c r="G188" t="inlineStr">
        <is>
          <t>VH</t>
        </is>
      </c>
      <c r="H188" t="inlineStr">
        <is>
          <t>3</t>
        </is>
      </c>
      <c r="I188" t="inlineStr">
        <is>
          <t>Public</t>
        </is>
      </c>
      <c r="J188" t="inlineStr">
        <is>
          <t>686</t>
        </is>
      </c>
      <c r="K188" t="inlineStr">
        <is>
          <t>631-640</t>
        </is>
      </c>
      <c r="L188" t="inlineStr">
        <is>
          <t>711-720</t>
        </is>
      </c>
      <c r="M188" t="inlineStr">
        <is>
          <t>541-550</t>
        </is>
      </c>
      <c r="N188" t="inlineStr">
        <is>
          <t>25.7</t>
        </is>
      </c>
      <c r="O188" t="inlineStr">
        <is>
          <t>-</t>
        </is>
      </c>
      <c r="P188" t="n">
        <v>3.1</v>
      </c>
      <c r="Q188" t="inlineStr">
        <is>
          <t>701+</t>
        </is>
      </c>
      <c r="R188" t="n">
        <v>6.8</v>
      </c>
      <c r="S188" t="inlineStr">
        <is>
          <t>701+</t>
        </is>
      </c>
      <c r="T188" t="n">
        <v>10.7</v>
      </c>
      <c r="U188" t="inlineStr">
        <is>
          <t>801+</t>
        </is>
      </c>
      <c r="V188" t="n">
        <v>94.5</v>
      </c>
      <c r="W188" t="inlineStr">
        <is>
          <t>77</t>
        </is>
      </c>
      <c r="X188" t="n">
        <v>7.2</v>
      </c>
      <c r="Y188" t="inlineStr">
        <is>
          <t>801+</t>
        </is>
      </c>
      <c r="Z188" t="n">
        <v>5.2</v>
      </c>
      <c r="AA188" t="inlineStr">
        <is>
          <t>801+</t>
        </is>
      </c>
      <c r="AB188" t="n">
        <v>4.1</v>
      </c>
      <c r="AC188" t="inlineStr">
        <is>
          <t>801+</t>
        </is>
      </c>
      <c r="AD188" t="n">
        <v>26.4</v>
      </c>
      <c r="AE188" t="inlineStr">
        <is>
          <t>801+</t>
        </is>
      </c>
      <c r="AF188" t="n">
        <v>26.2</v>
      </c>
      <c r="AG188" t="inlineStr">
        <is>
          <t>621</t>
        </is>
      </c>
      <c r="AH188" t="n">
        <v>35.3</v>
      </c>
      <c r="AI188" t="inlineStr">
        <is>
          <t>801+</t>
        </is>
      </c>
      <c r="AJ188" t="inlineStr">
        <is>
          <t>3.8</t>
        </is>
      </c>
      <c r="AK188" t="inlineStr">
        <is>
          <t>601+</t>
        </is>
      </c>
      <c r="AL188" t="inlineStr">
        <is>
          <t>1.5</t>
        </is>
      </c>
      <c r="AM188" t="inlineStr">
        <is>
          <t>601+</t>
        </is>
      </c>
      <c r="AN188" t="inlineStr">
        <is>
          <t>9.8</t>
        </is>
      </c>
      <c r="AO188" t="inlineStr">
        <is>
          <t>701+</t>
        </is>
      </c>
      <c r="AP188" t="inlineStr">
        <is>
          <t>64.8</t>
        </is>
      </c>
      <c r="AQ188" t="inlineStr">
        <is>
          <t>178</t>
        </is>
      </c>
      <c r="AR188" t="inlineStr">
        <is>
          <t>1.5</t>
        </is>
      </c>
      <c r="AS188" t="inlineStr">
        <is>
          <t>701+</t>
        </is>
      </c>
      <c r="AT188" t="inlineStr">
        <is>
          <t>3.2</t>
        </is>
      </c>
      <c r="AU188" t="inlineStr">
        <is>
          <t>701+</t>
        </is>
      </c>
      <c r="AV188" t="inlineStr">
        <is>
          <t>1.2</t>
        </is>
      </c>
      <c r="AW188" t="inlineStr">
        <is>
          <t>701+</t>
        </is>
      </c>
      <c r="AX188" t="inlineStr">
        <is>
          <t>17.1</t>
        </is>
      </c>
      <c r="AY188" t="inlineStr">
        <is>
          <t>493</t>
        </is>
      </c>
      <c r="AZ188" t="inlineStr">
        <is>
          <t>2.5</t>
        </is>
      </c>
      <c r="BA188" t="inlineStr">
        <is>
          <t>701+</t>
        </is>
      </c>
    </row>
    <row r="189">
      <c r="A189" t="inlineStr">
        <is>
          <t>China University of Political Science and Law</t>
        </is>
      </c>
      <c r="B189" t="inlineStr">
        <is>
          <t>China (Mainland)</t>
        </is>
      </c>
      <c r="C189" t="inlineStr">
        <is>
          <t>CN</t>
        </is>
      </c>
      <c r="D189" t="inlineStr">
        <is>
          <t>Asia</t>
        </is>
      </c>
      <c r="E189" t="inlineStr">
        <is>
          <t>L</t>
        </is>
      </c>
      <c r="F189" t="inlineStr">
        <is>
          <t>FO</t>
        </is>
      </c>
      <c r="G189" t="inlineStr">
        <is>
          <t>MD</t>
        </is>
      </c>
      <c r="H189" t="inlineStr">
        <is>
          <t>3</t>
        </is>
      </c>
      <c r="I189" t="inlineStr">
        <is>
          <t>Public</t>
        </is>
      </c>
      <c r="J189" t="inlineStr">
        <is>
          <t>1201-1400</t>
        </is>
      </c>
      <c r="K189" t="inlineStr">
        <is>
          <t>1201-1400</t>
        </is>
      </c>
      <c r="L189" t="inlineStr">
        <is>
          <t>1201-1400</t>
        </is>
      </c>
      <c r="M189" t="inlineStr">
        <is>
          <t>1201-1400</t>
        </is>
      </c>
      <c r="N189" t="inlineStr">
        <is>
          <t>-</t>
        </is>
      </c>
      <c r="O189" t="inlineStr">
        <is>
          <t>-</t>
        </is>
      </c>
      <c r="P189" t="n">
        <v>3.5</v>
      </c>
      <c r="Q189" t="inlineStr">
        <is>
          <t>701+</t>
        </is>
      </c>
      <c r="R189" t="n">
        <v>62.2</v>
      </c>
      <c r="S189" t="inlineStr">
        <is>
          <t>181</t>
        </is>
      </c>
      <c r="T189" t="n">
        <v>11.1</v>
      </c>
      <c r="U189" t="inlineStr">
        <is>
          <t>801+</t>
        </is>
      </c>
      <c r="V189" t="n">
        <v>1.5</v>
      </c>
      <c r="W189" t="inlineStr">
        <is>
          <t>801+</t>
        </is>
      </c>
      <c r="X189" t="n">
        <v>5</v>
      </c>
      <c r="Y189" t="inlineStr">
        <is>
          <t>801+</t>
        </is>
      </c>
      <c r="Z189" t="n">
        <v>2.2</v>
      </c>
      <c r="AA189" t="inlineStr">
        <is>
          <t>801+</t>
        </is>
      </c>
      <c r="AB189" t="n">
        <v>6.8</v>
      </c>
      <c r="AC189" t="inlineStr">
        <is>
          <t>801+</t>
        </is>
      </c>
      <c r="AD189" t="n">
        <v>7.9</v>
      </c>
      <c r="AE189" t="inlineStr">
        <is>
          <t>801+</t>
        </is>
      </c>
      <c r="AF189" t="n">
        <v>9.6</v>
      </c>
      <c r="AG189" t="inlineStr">
        <is>
          <t>801+</t>
        </is>
      </c>
      <c r="AH189" t="n">
        <v>10.2</v>
      </c>
      <c r="AI189" t="inlineStr">
        <is>
          <t>801+</t>
        </is>
      </c>
      <c r="AJ189" t="inlineStr">
        <is>
          <t>3.7</t>
        </is>
      </c>
      <c r="AK189" t="inlineStr">
        <is>
          <t>601+</t>
        </is>
      </c>
      <c r="AL189" t="inlineStr">
        <is>
          <t>27.6</t>
        </is>
      </c>
      <c r="AM189" t="inlineStr">
        <is>
          <t>351</t>
        </is>
      </c>
      <c r="AN189" t="inlineStr">
        <is>
          <t>9.1</t>
        </is>
      </c>
      <c r="AO189" t="inlineStr">
        <is>
          <t>701+</t>
        </is>
      </c>
      <c r="AP189" t="inlineStr">
        <is>
          <t>1.2</t>
        </is>
      </c>
      <c r="AQ189" t="inlineStr">
        <is>
          <t>701+</t>
        </is>
      </c>
      <c r="AR189" t="inlineStr">
        <is>
          <t>4.0</t>
        </is>
      </c>
      <c r="AS189" t="inlineStr">
        <is>
          <t>701+</t>
        </is>
      </c>
      <c r="AT189" t="inlineStr">
        <is>
          <t>1.5</t>
        </is>
      </c>
      <c r="AU189" t="inlineStr">
        <is>
          <t>701+</t>
        </is>
      </c>
      <c r="AV189" t="inlineStr">
        <is>
          <t>1.0</t>
        </is>
      </c>
      <c r="AW189" t="inlineStr">
        <is>
          <t>701+</t>
        </is>
      </c>
      <c r="AX189" t="inlineStr">
        <is>
          <t>9.2</t>
        </is>
      </c>
      <c r="AY189" t="inlineStr">
        <is>
          <t>701+</t>
        </is>
      </c>
      <c r="AZ189" t="inlineStr">
        <is>
          <t>1</t>
        </is>
      </c>
      <c r="BA189" t="inlineStr">
        <is>
          <t>701+</t>
        </is>
      </c>
    </row>
    <row r="190">
      <c r="A190" t="inlineStr">
        <is>
          <t>Chitkara University</t>
        </is>
      </c>
      <c r="B190" t="inlineStr">
        <is>
          <t>India</t>
        </is>
      </c>
      <c r="C190" t="inlineStr">
        <is>
          <t>IN</t>
        </is>
      </c>
      <c r="D190" t="inlineStr">
        <is>
          <t>Asia</t>
        </is>
      </c>
      <c r="E190" t="inlineStr">
        <is>
          <t>L</t>
        </is>
      </c>
      <c r="F190" t="inlineStr">
        <is>
          <t>CO</t>
        </is>
      </c>
      <c r="G190" t="inlineStr">
        <is>
          <t>VH</t>
        </is>
      </c>
      <c r="H190" t="inlineStr">
        <is>
          <t>2</t>
        </is>
      </c>
      <c r="I190" t="inlineStr">
        <is>
          <t>Private not for Profit</t>
        </is>
      </c>
      <c r="J190" t="inlineStr">
        <is>
          <t>1201-1400</t>
        </is>
      </c>
      <c r="K190" t="inlineStr">
        <is>
          <t>1201-1400</t>
        </is>
      </c>
      <c r="L190" t="inlineStr">
        <is>
          <t>1201-1400</t>
        </is>
      </c>
      <c r="M190" t="inlineStr"/>
      <c r="N190" t="inlineStr">
        <is>
          <t>-</t>
        </is>
      </c>
      <c r="O190" t="inlineStr">
        <is>
          <t>-</t>
        </is>
      </c>
      <c r="P190" t="n">
        <v>10</v>
      </c>
      <c r="Q190" t="inlineStr">
        <is>
          <t>701+</t>
        </is>
      </c>
      <c r="R190" t="n">
        <v>10.9</v>
      </c>
      <c r="S190" t="inlineStr">
        <is>
          <t>701+</t>
        </is>
      </c>
      <c r="T190" t="n">
        <v>18.2</v>
      </c>
      <c r="U190" t="inlineStr">
        <is>
          <t>801+</t>
        </is>
      </c>
      <c r="V190" t="n">
        <v>5.4</v>
      </c>
      <c r="W190" t="inlineStr">
        <is>
          <t>801+</t>
        </is>
      </c>
      <c r="X190" t="n">
        <v>13.1</v>
      </c>
      <c r="Y190" t="inlineStr">
        <is>
          <t>801+</t>
        </is>
      </c>
      <c r="Z190" t="n">
        <v>5.4</v>
      </c>
      <c r="AA190" t="inlineStr">
        <is>
          <t>801+</t>
        </is>
      </c>
      <c r="AB190" t="n">
        <v>9.1</v>
      </c>
      <c r="AC190" t="inlineStr">
        <is>
          <t>801+</t>
        </is>
      </c>
      <c r="AD190" t="n">
        <v>44</v>
      </c>
      <c r="AE190" t="inlineStr">
        <is>
          <t>801+</t>
        </is>
      </c>
      <c r="AF190" t="n">
        <v>1.7</v>
      </c>
      <c r="AG190" t="inlineStr">
        <is>
          <t>801+</t>
        </is>
      </c>
      <c r="AH190" t="n">
        <v>47.4</v>
      </c>
      <c r="AI190" t="inlineStr">
        <is>
          <t>776=</t>
        </is>
      </c>
      <c r="AJ190" t="inlineStr">
        <is>
          <t>4.8</t>
        </is>
      </c>
      <c r="AK190" t="inlineStr">
        <is>
          <t>601+</t>
        </is>
      </c>
      <c r="AL190" t="inlineStr">
        <is>
          <t>4.6</t>
        </is>
      </c>
      <c r="AM190" t="inlineStr">
        <is>
          <t>601+</t>
        </is>
      </c>
      <c r="AN190" t="inlineStr">
        <is>
          <t>20.3</t>
        </is>
      </c>
      <c r="AO190" t="inlineStr">
        <is>
          <t>658</t>
        </is>
      </c>
      <c r="AP190" t="inlineStr">
        <is>
          <t>1.9</t>
        </is>
      </c>
      <c r="AQ190" t="inlineStr">
        <is>
          <t>701+</t>
        </is>
      </c>
      <c r="AR190" t="inlineStr">
        <is>
          <t>4.3</t>
        </is>
      </c>
      <c r="AS190" t="inlineStr">
        <is>
          <t>701+</t>
        </is>
      </c>
      <c r="AT190" t="inlineStr">
        <is>
          <t>3.2</t>
        </is>
      </c>
      <c r="AU190" t="inlineStr">
        <is>
          <t>701+</t>
        </is>
      </c>
      <c r="AV190" t="inlineStr">
        <is>
          <t>1.3</t>
        </is>
      </c>
      <c r="AW190" t="inlineStr">
        <is>
          <t>701+</t>
        </is>
      </c>
      <c r="AX190" t="inlineStr">
        <is>
          <t>8.1</t>
        </is>
      </c>
      <c r="AY190" t="inlineStr">
        <is>
          <t>701+</t>
        </is>
      </c>
      <c r="AZ190" t="inlineStr">
        <is>
          <t>1.7</t>
        </is>
      </c>
      <c r="BA190" t="inlineStr">
        <is>
          <t>701+</t>
        </is>
      </c>
    </row>
    <row r="191">
      <c r="A191" t="inlineStr">
        <is>
          <t>Chittagong University of Engineering and Technology</t>
        </is>
      </c>
      <c r="B191" t="inlineStr">
        <is>
          <t>Bangladesh</t>
        </is>
      </c>
      <c r="C191" t="inlineStr">
        <is>
          <t>BD</t>
        </is>
      </c>
      <c r="D191" t="inlineStr">
        <is>
          <t>Asia</t>
        </is>
      </c>
      <c r="E191" t="inlineStr">
        <is>
          <t>M</t>
        </is>
      </c>
      <c r="F191" t="inlineStr">
        <is>
          <t>SP</t>
        </is>
      </c>
      <c r="G191" t="inlineStr">
        <is>
          <t>HI</t>
        </is>
      </c>
      <c r="H191" t="inlineStr">
        <is>
          <t>3</t>
        </is>
      </c>
      <c r="I191" t="inlineStr">
        <is>
          <t>Public</t>
        </is>
      </c>
      <c r="J191" t="inlineStr">
        <is>
          <t>1401+</t>
        </is>
      </c>
      <c r="K191" t="inlineStr">
        <is>
          <t>1201-1400</t>
        </is>
      </c>
      <c r="L191" t="inlineStr">
        <is>
          <t>1201-1400</t>
        </is>
      </c>
      <c r="M191" t="inlineStr"/>
      <c r="N191" t="inlineStr">
        <is>
          <t>-</t>
        </is>
      </c>
      <c r="O191" t="inlineStr">
        <is>
          <t>-</t>
        </is>
      </c>
      <c r="P191" t="n">
        <v>10</v>
      </c>
      <c r="Q191" t="inlineStr">
        <is>
          <t>701+</t>
        </is>
      </c>
      <c r="R191" t="n">
        <v>16.2</v>
      </c>
      <c r="S191" t="inlineStr">
        <is>
          <t>701+</t>
        </is>
      </c>
      <c r="T191" t="n">
        <v>10</v>
      </c>
      <c r="U191" t="inlineStr">
        <is>
          <t>801+</t>
        </is>
      </c>
      <c r="V191" t="n">
        <v>12.1</v>
      </c>
      <c r="W191" t="inlineStr">
        <is>
          <t>801+</t>
        </is>
      </c>
      <c r="X191" t="n">
        <v>1.6</v>
      </c>
      <c r="Y191" t="inlineStr">
        <is>
          <t>801+</t>
        </is>
      </c>
      <c r="Z191" t="inlineStr"/>
      <c r="AA191" t="inlineStr"/>
      <c r="AB191" t="inlineStr"/>
      <c r="AC191" t="inlineStr"/>
      <c r="AD191" t="n">
        <v>8.1</v>
      </c>
      <c r="AE191" t="inlineStr">
        <is>
          <t>801+</t>
        </is>
      </c>
      <c r="AF191" t="n">
        <v>4.8</v>
      </c>
      <c r="AG191" t="inlineStr">
        <is>
          <t>801+</t>
        </is>
      </c>
      <c r="AH191" t="n">
        <v>20.3</v>
      </c>
      <c r="AI191" t="inlineStr">
        <is>
          <t>801+</t>
        </is>
      </c>
      <c r="AJ191" t="inlineStr">
        <is>
          <t>8.0</t>
        </is>
      </c>
      <c r="AK191" t="inlineStr">
        <is>
          <t>601+</t>
        </is>
      </c>
      <c r="AL191" t="inlineStr">
        <is>
          <t>12.6</t>
        </is>
      </c>
      <c r="AM191" t="inlineStr">
        <is>
          <t>601+</t>
        </is>
      </c>
      <c r="AN191" t="inlineStr">
        <is>
          <t>7.2</t>
        </is>
      </c>
      <c r="AO191" t="inlineStr">
        <is>
          <t>701+</t>
        </is>
      </c>
      <c r="AP191" t="inlineStr">
        <is>
          <t>4.5</t>
        </is>
      </c>
      <c r="AQ191" t="inlineStr">
        <is>
          <t>701+</t>
        </is>
      </c>
      <c r="AR191" t="inlineStr"/>
      <c r="AS191" t="inlineStr"/>
      <c r="AT191" t="inlineStr"/>
      <c r="AU191" t="inlineStr"/>
      <c r="AV191" t="inlineStr">
        <is>
          <t>1.0</t>
        </is>
      </c>
      <c r="AW191" t="inlineStr">
        <is>
          <t>701+</t>
        </is>
      </c>
      <c r="AX191" t="inlineStr">
        <is>
          <t>11.3</t>
        </is>
      </c>
      <c r="AY191" t="inlineStr">
        <is>
          <t>701+</t>
        </is>
      </c>
      <c r="AZ191" t="inlineStr"/>
      <c r="BA191" t="inlineStr"/>
    </row>
    <row r="192">
      <c r="A192" t="inlineStr">
        <is>
          <t>Chongqing University</t>
        </is>
      </c>
      <c r="B192" t="inlineStr">
        <is>
          <t>China (Mainland)</t>
        </is>
      </c>
      <c r="C192" t="inlineStr">
        <is>
          <t>CN</t>
        </is>
      </c>
      <c r="D192" t="inlineStr">
        <is>
          <t>Asia</t>
        </is>
      </c>
      <c r="E192" t="inlineStr">
        <is>
          <t>XL</t>
        </is>
      </c>
      <c r="F192" t="inlineStr">
        <is>
          <t>SP</t>
        </is>
      </c>
      <c r="G192" t="inlineStr">
        <is>
          <t>VH</t>
        </is>
      </c>
      <c r="H192" t="inlineStr">
        <is>
          <t>4</t>
        </is>
      </c>
      <c r="I192" t="inlineStr">
        <is>
          <t>Public</t>
        </is>
      </c>
      <c r="J192" t="inlineStr">
        <is>
          <t>504</t>
        </is>
      </c>
      <c r="K192" t="inlineStr">
        <is>
          <t>489</t>
        </is>
      </c>
      <c r="L192">
        <f>561</f>
        <v/>
      </c>
      <c r="M192" t="inlineStr">
        <is>
          <t>651-700</t>
        </is>
      </c>
      <c r="N192" t="inlineStr">
        <is>
          <t>32</t>
        </is>
      </c>
      <c r="O192" t="inlineStr">
        <is>
          <t>21.0</t>
        </is>
      </c>
      <c r="P192" t="n">
        <v>11.9</v>
      </c>
      <c r="Q192" t="inlineStr">
        <is>
          <t>701+</t>
        </is>
      </c>
      <c r="R192" t="n">
        <v>9.800000000000001</v>
      </c>
      <c r="S192" t="inlineStr">
        <is>
          <t>701+</t>
        </is>
      </c>
      <c r="T192" t="n">
        <v>18.2</v>
      </c>
      <c r="U192" t="inlineStr">
        <is>
          <t>801+</t>
        </is>
      </c>
      <c r="V192" t="n">
        <v>93.8</v>
      </c>
      <c r="W192" t="inlineStr">
        <is>
          <t>82</t>
        </is>
      </c>
      <c r="X192" t="n">
        <v>28.1</v>
      </c>
      <c r="Y192" t="inlineStr">
        <is>
          <t>605</t>
        </is>
      </c>
      <c r="Z192" t="n">
        <v>3.9</v>
      </c>
      <c r="AA192" t="inlineStr">
        <is>
          <t>801+</t>
        </is>
      </c>
      <c r="AB192" t="n">
        <v>3.2</v>
      </c>
      <c r="AC192" t="inlineStr">
        <is>
          <t>801+</t>
        </is>
      </c>
      <c r="AD192" t="n">
        <v>58.1</v>
      </c>
      <c r="AE192" t="inlineStr">
        <is>
          <t>717</t>
        </is>
      </c>
      <c r="AF192" t="n">
        <v>19.1</v>
      </c>
      <c r="AG192" t="inlineStr">
        <is>
          <t>743</t>
        </is>
      </c>
      <c r="AH192" t="n">
        <v>40</v>
      </c>
      <c r="AI192" t="inlineStr">
        <is>
          <t>801+</t>
        </is>
      </c>
      <c r="AJ192" t="inlineStr">
        <is>
          <t>8.4</t>
        </is>
      </c>
      <c r="AK192" t="inlineStr">
        <is>
          <t>601+</t>
        </is>
      </c>
      <c r="AL192" t="inlineStr">
        <is>
          <t>3.8</t>
        </is>
      </c>
      <c r="AM192" t="inlineStr">
        <is>
          <t>601+</t>
        </is>
      </c>
      <c r="AN192" t="inlineStr">
        <is>
          <t>13.2</t>
        </is>
      </c>
      <c r="AO192" t="inlineStr">
        <is>
          <t>701+</t>
        </is>
      </c>
      <c r="AP192" t="inlineStr">
        <is>
          <t>70.4</t>
        </is>
      </c>
      <c r="AQ192" t="inlineStr">
        <is>
          <t>146</t>
        </is>
      </c>
      <c r="AR192" t="inlineStr">
        <is>
          <t>14.7</t>
        </is>
      </c>
      <c r="AS192" t="inlineStr">
        <is>
          <t>672</t>
        </is>
      </c>
      <c r="AT192" t="inlineStr">
        <is>
          <t>2.2</t>
        </is>
      </c>
      <c r="AU192" t="inlineStr">
        <is>
          <t>701+</t>
        </is>
      </c>
      <c r="AV192" t="inlineStr">
        <is>
          <t>11.4</t>
        </is>
      </c>
      <c r="AW192" t="inlineStr">
        <is>
          <t>645</t>
        </is>
      </c>
      <c r="AX192" t="inlineStr">
        <is>
          <t>13.6</t>
        </is>
      </c>
      <c r="AY192" t="inlineStr">
        <is>
          <t>630</t>
        </is>
      </c>
      <c r="AZ192" t="inlineStr">
        <is>
          <t>10.3</t>
        </is>
      </c>
      <c r="BA192" t="inlineStr">
        <is>
          <t>665=</t>
        </is>
      </c>
    </row>
    <row r="193">
      <c r="A193" t="inlineStr">
        <is>
          <t>Chonnam National University</t>
        </is>
      </c>
      <c r="B193" t="inlineStr">
        <is>
          <t>Republic of Korea</t>
        </is>
      </c>
      <c r="C193" t="inlineStr"/>
      <c r="D193" t="inlineStr">
        <is>
          <t>Asia</t>
        </is>
      </c>
      <c r="E193" t="inlineStr">
        <is>
          <t>L</t>
        </is>
      </c>
      <c r="F193" t="inlineStr">
        <is>
          <t>FC</t>
        </is>
      </c>
      <c r="G193" t="inlineStr">
        <is>
          <t>VH</t>
        </is>
      </c>
      <c r="H193" t="inlineStr"/>
      <c r="I193" t="inlineStr">
        <is>
          <t>Public</t>
        </is>
      </c>
      <c r="J193" t="inlineStr">
        <is>
          <t>901-950</t>
        </is>
      </c>
      <c r="K193" t="inlineStr">
        <is>
          <t>851-900</t>
        </is>
      </c>
      <c r="L193" t="inlineStr"/>
      <c r="M193" t="inlineStr"/>
      <c r="N193" t="inlineStr">
        <is>
          <t>-</t>
        </is>
      </c>
      <c r="O193" t="inlineStr"/>
      <c r="P193" t="n">
        <v>12.2</v>
      </c>
      <c r="Q193" t="inlineStr">
        <is>
          <t>701+</t>
        </is>
      </c>
      <c r="R193" t="n">
        <v>6.8</v>
      </c>
      <c r="S193" t="inlineStr">
        <is>
          <t>701+</t>
        </is>
      </c>
      <c r="T193" t="n">
        <v>47.3</v>
      </c>
      <c r="U193" t="inlineStr">
        <is>
          <t>415</t>
        </is>
      </c>
      <c r="V193" t="n">
        <v>24</v>
      </c>
      <c r="W193" t="inlineStr">
        <is>
          <t>654</t>
        </is>
      </c>
      <c r="X193" t="n">
        <v>14.6</v>
      </c>
      <c r="Y193" t="inlineStr">
        <is>
          <t>801+</t>
        </is>
      </c>
      <c r="Z193" t="n">
        <v>16.3</v>
      </c>
      <c r="AA193" t="inlineStr">
        <is>
          <t>793</t>
        </is>
      </c>
      <c r="AB193" t="n">
        <v>21.9</v>
      </c>
      <c r="AC193" t="inlineStr">
        <is>
          <t>731</t>
        </is>
      </c>
      <c r="AD193" t="n">
        <v>29.2</v>
      </c>
      <c r="AE193" t="inlineStr">
        <is>
          <t>801+</t>
        </is>
      </c>
      <c r="AF193" t="n">
        <v>6.5</v>
      </c>
      <c r="AG193" t="inlineStr">
        <is>
          <t>801+</t>
        </is>
      </c>
      <c r="AH193" t="n">
        <v>61.3</v>
      </c>
      <c r="AI193" t="inlineStr">
        <is>
          <t>471=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Chonnam National University</t>
        </is>
      </c>
      <c r="B194" t="inlineStr">
        <is>
          <t>South Korea</t>
        </is>
      </c>
      <c r="C194" t="inlineStr">
        <is>
          <t>KR</t>
        </is>
      </c>
      <c r="D194" t="inlineStr"/>
      <c r="E194" t="inlineStr">
        <is>
          <t>L</t>
        </is>
      </c>
      <c r="F194" t="inlineStr">
        <is>
          <t>FC</t>
        </is>
      </c>
      <c r="G194" t="inlineStr">
        <is>
          <t>VH</t>
        </is>
      </c>
      <c r="H194" t="inlineStr">
        <is>
          <t>4</t>
        </is>
      </c>
      <c r="I194" t="inlineStr">
        <is>
          <t>A</t>
        </is>
      </c>
      <c r="J194" t="inlineStr"/>
      <c r="K194" t="inlineStr"/>
      <c r="L194" t="inlineStr">
        <is>
          <t>851-900</t>
        </is>
      </c>
      <c r="M194" t="inlineStr">
        <is>
          <t>751-800</t>
        </is>
      </c>
      <c r="N194" t="inlineStr"/>
      <c r="O194" t="inlineStr">
        <is>
          <t>-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11.7</t>
        </is>
      </c>
      <c r="AK194" t="inlineStr">
        <is>
          <t>601+</t>
        </is>
      </c>
      <c r="AL194" t="inlineStr">
        <is>
          <t>5.0</t>
        </is>
      </c>
      <c r="AM194" t="inlineStr">
        <is>
          <t>601+</t>
        </is>
      </c>
      <c r="AN194" t="inlineStr">
        <is>
          <t>44.0</t>
        </is>
      </c>
      <c r="AO194" t="inlineStr">
        <is>
          <t>357</t>
        </is>
      </c>
      <c r="AP194" t="inlineStr">
        <is>
          <t>14.3</t>
        </is>
      </c>
      <c r="AQ194" t="inlineStr">
        <is>
          <t>652</t>
        </is>
      </c>
      <c r="AR194" t="inlineStr">
        <is>
          <t>11.4</t>
        </is>
      </c>
      <c r="AS194" t="inlineStr">
        <is>
          <t>701+</t>
        </is>
      </c>
      <c r="AT194" t="inlineStr">
        <is>
          <t>6.5</t>
        </is>
      </c>
      <c r="AU194" t="inlineStr">
        <is>
          <t>701+</t>
        </is>
      </c>
      <c r="AV194" t="inlineStr">
        <is>
          <t>1.7</t>
        </is>
      </c>
      <c r="AW194" t="inlineStr">
        <is>
          <t>701+</t>
        </is>
      </c>
      <c r="AX194" t="inlineStr">
        <is>
          <t>6</t>
        </is>
      </c>
      <c r="AY194" t="inlineStr">
        <is>
          <t>701+</t>
        </is>
      </c>
      <c r="AZ194" t="inlineStr">
        <is>
          <t>4</t>
        </is>
      </c>
      <c r="BA194" t="inlineStr">
        <is>
          <t>701+</t>
        </is>
      </c>
    </row>
    <row r="195">
      <c r="A195" t="inlineStr">
        <is>
          <t>CHRIST (Deemed to be University), Bengaluru</t>
        </is>
      </c>
      <c r="B195" t="inlineStr">
        <is>
          <t>India</t>
        </is>
      </c>
      <c r="C195" t="inlineStr"/>
      <c r="D195" t="inlineStr">
        <is>
          <t>Asia</t>
        </is>
      </c>
      <c r="E195" t="inlineStr">
        <is>
          <t>XL</t>
        </is>
      </c>
      <c r="F195" t="inlineStr">
        <is>
          <t>CO</t>
        </is>
      </c>
      <c r="G195" t="inlineStr">
        <is>
          <t>HI</t>
        </is>
      </c>
      <c r="H195" t="inlineStr"/>
      <c r="I195" t="inlineStr">
        <is>
          <t>Private not for Profit</t>
        </is>
      </c>
      <c r="J195" t="inlineStr">
        <is>
          <t>1401+</t>
        </is>
      </c>
      <c r="K195" t="inlineStr"/>
      <c r="L195" t="inlineStr"/>
      <c r="M195" t="inlineStr"/>
      <c r="N195" t="inlineStr">
        <is>
          <t>-</t>
        </is>
      </c>
      <c r="O195" t="inlineStr"/>
      <c r="P195" t="n">
        <v>7</v>
      </c>
      <c r="Q195" t="inlineStr">
        <is>
          <t>701+</t>
        </is>
      </c>
      <c r="R195" t="n">
        <v>5.6</v>
      </c>
      <c r="S195" t="inlineStr">
        <is>
          <t>701+</t>
        </is>
      </c>
      <c r="T195" t="n">
        <v>8</v>
      </c>
      <c r="U195" t="inlineStr">
        <is>
          <t>801+</t>
        </is>
      </c>
      <c r="V195" t="n">
        <v>4.7</v>
      </c>
      <c r="W195" t="inlineStr">
        <is>
          <t>801+</t>
        </is>
      </c>
      <c r="X195" t="n">
        <v>4.7</v>
      </c>
      <c r="Y195" t="inlineStr">
        <is>
          <t>801+</t>
        </is>
      </c>
      <c r="Z195" t="n">
        <v>2.4</v>
      </c>
      <c r="AA195" t="inlineStr">
        <is>
          <t>801+</t>
        </is>
      </c>
      <c r="AB195" t="n">
        <v>6.8</v>
      </c>
      <c r="AC195" t="inlineStr">
        <is>
          <t>801+</t>
        </is>
      </c>
      <c r="AD195" t="n">
        <v>34</v>
      </c>
      <c r="AE195" t="inlineStr">
        <is>
          <t>801+</t>
        </is>
      </c>
      <c r="AF195" t="n">
        <v>6.3</v>
      </c>
      <c r="AG195" t="inlineStr">
        <is>
          <t>801+</t>
        </is>
      </c>
      <c r="AH195" t="n">
        <v>33.2</v>
      </c>
      <c r="AI195" t="inlineStr">
        <is>
          <t>801+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Christian-Albrechts-University zu Kiel</t>
        </is>
      </c>
      <c r="B196" t="inlineStr">
        <is>
          <t>Germany</t>
        </is>
      </c>
      <c r="C196" t="inlineStr">
        <is>
          <t>DE</t>
        </is>
      </c>
      <c r="D196" t="inlineStr"/>
      <c r="E196" t="inlineStr">
        <is>
          <t>L</t>
        </is>
      </c>
      <c r="F196" t="inlineStr">
        <is>
          <t>FC</t>
        </is>
      </c>
      <c r="G196" t="inlineStr">
        <is>
          <t>VH</t>
        </is>
      </c>
      <c r="H196" t="inlineStr">
        <is>
          <t>5</t>
        </is>
      </c>
      <c r="I196" t="inlineStr">
        <is>
          <t>A</t>
        </is>
      </c>
      <c r="J196" t="inlineStr"/>
      <c r="K196" t="inlineStr"/>
      <c r="L196">
        <f>530</f>
        <v/>
      </c>
      <c r="M196" t="inlineStr">
        <is>
          <t>521-530</t>
        </is>
      </c>
      <c r="N196" t="inlineStr"/>
      <c r="O196" t="inlineStr">
        <is>
          <t>22.1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18.6</t>
        </is>
      </c>
      <c r="AK196" t="inlineStr">
        <is>
          <t>478</t>
        </is>
      </c>
      <c r="AL196" t="inlineStr">
        <is>
          <t>10.1</t>
        </is>
      </c>
      <c r="AM196" t="inlineStr">
        <is>
          <t>601+</t>
        </is>
      </c>
      <c r="AN196" t="inlineStr">
        <is>
          <t>47.7</t>
        </is>
      </c>
      <c r="AO196" t="inlineStr">
        <is>
          <t>328</t>
        </is>
      </c>
      <c r="AP196" t="inlineStr">
        <is>
          <t>16.1</t>
        </is>
      </c>
      <c r="AQ196" t="inlineStr">
        <is>
          <t>616</t>
        </is>
      </c>
      <c r="AR196" t="inlineStr"/>
      <c r="AS196" t="inlineStr"/>
      <c r="AT196" t="inlineStr">
        <is>
          <t>9.4</t>
        </is>
      </c>
      <c r="AU196" t="inlineStr">
        <is>
          <t>701+</t>
        </is>
      </c>
      <c r="AV196" t="inlineStr">
        <is>
          <t>79.9</t>
        </is>
      </c>
      <c r="AW196" t="inlineStr">
        <is>
          <t>145</t>
        </is>
      </c>
      <c r="AX196" t="inlineStr">
        <is>
          <t>10.5</t>
        </is>
      </c>
      <c r="AY196" t="inlineStr">
        <is>
          <t>701+</t>
        </is>
      </c>
      <c r="AZ196" t="inlineStr">
        <is>
          <t>42.3</t>
        </is>
      </c>
      <c r="BA196" t="inlineStr">
        <is>
          <t>351=</t>
        </is>
      </c>
    </row>
    <row r="197">
      <c r="A197" t="inlineStr">
        <is>
          <t>Christian-Albrechts-Universität zu Kiel</t>
        </is>
      </c>
      <c r="B197" t="inlineStr">
        <is>
          <t>Germany</t>
        </is>
      </c>
      <c r="C197" t="inlineStr"/>
      <c r="D197" t="inlineStr">
        <is>
          <t>Europe</t>
        </is>
      </c>
      <c r="E197" t="inlineStr">
        <is>
          <t>L</t>
        </is>
      </c>
      <c r="F197" t="inlineStr">
        <is>
          <t>FC</t>
        </is>
      </c>
      <c r="G197" t="inlineStr">
        <is>
          <t>VH</t>
        </is>
      </c>
      <c r="H197" t="inlineStr"/>
      <c r="I197" t="inlineStr">
        <is>
          <t>Public</t>
        </is>
      </c>
      <c r="J197" t="inlineStr">
        <is>
          <t>618</t>
        </is>
      </c>
      <c r="K197" t="inlineStr">
        <is>
          <t>611-620</t>
        </is>
      </c>
      <c r="L197" t="inlineStr"/>
      <c r="M197" t="inlineStr"/>
      <c r="N197" t="inlineStr">
        <is>
          <t>27.7</t>
        </is>
      </c>
      <c r="O197" t="inlineStr"/>
      <c r="P197" t="n">
        <v>24.4</v>
      </c>
      <c r="Q197" t="inlineStr">
        <is>
          <t>522</t>
        </is>
      </c>
      <c r="R197" t="n">
        <v>14.6</v>
      </c>
      <c r="S197" t="inlineStr">
        <is>
          <t>701+</t>
        </is>
      </c>
      <c r="T197" t="n">
        <v>56.7</v>
      </c>
      <c r="U197" t="inlineStr">
        <is>
          <t>325</t>
        </is>
      </c>
      <c r="V197" t="n">
        <v>20.9</v>
      </c>
      <c r="W197" t="inlineStr">
        <is>
          <t>700</t>
        </is>
      </c>
      <c r="X197" t="inlineStr"/>
      <c r="Y197" t="inlineStr"/>
      <c r="Z197" t="n">
        <v>15.1</v>
      </c>
      <c r="AA197" t="inlineStr">
        <is>
          <t>801+</t>
        </is>
      </c>
      <c r="AB197" t="n">
        <v>11.5</v>
      </c>
      <c r="AC197" t="inlineStr">
        <is>
          <t>801+</t>
        </is>
      </c>
      <c r="AD197" t="n">
        <v>92.40000000000001</v>
      </c>
      <c r="AE197" t="inlineStr">
        <is>
          <t>139</t>
        </is>
      </c>
      <c r="AF197" t="n">
        <v>24.5</v>
      </c>
      <c r="AG197" t="inlineStr">
        <is>
          <t>648</t>
        </is>
      </c>
      <c r="AH197" t="n">
        <v>59.2</v>
      </c>
      <c r="AI197" t="inlineStr">
        <is>
          <t>516=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Chulalongkorn University</t>
        </is>
      </c>
      <c r="B198" t="inlineStr">
        <is>
          <t>Thailand</t>
        </is>
      </c>
      <c r="C198" t="inlineStr">
        <is>
          <t>TH</t>
        </is>
      </c>
      <c r="D198" t="inlineStr">
        <is>
          <t>Asia</t>
        </is>
      </c>
      <c r="E198" t="inlineStr">
        <is>
          <t>XL</t>
        </is>
      </c>
      <c r="F198" t="inlineStr">
        <is>
          <t>FC</t>
        </is>
      </c>
      <c r="G198" t="inlineStr">
        <is>
          <t>VH</t>
        </is>
      </c>
      <c r="H198" t="inlineStr">
        <is>
          <t>5</t>
        </is>
      </c>
      <c r="I198" t="inlineStr">
        <is>
          <t>Public</t>
        </is>
      </c>
      <c r="J198" t="inlineStr">
        <is>
          <t>221</t>
        </is>
      </c>
      <c r="K198" t="inlineStr">
        <is>
          <t>229</t>
        </is>
      </c>
      <c r="L198" t="inlineStr">
        <is>
          <t>211</t>
        </is>
      </c>
      <c r="M198" t="inlineStr">
        <is>
          <t>224=</t>
        </is>
      </c>
      <c r="N198" t="inlineStr">
        <is>
          <t>53.9</t>
        </is>
      </c>
      <c r="O198" t="inlineStr">
        <is>
          <t>44.3</t>
        </is>
      </c>
      <c r="P198" t="n">
        <v>82</v>
      </c>
      <c r="Q198" t="inlineStr">
        <is>
          <t>89</t>
        </is>
      </c>
      <c r="R198" t="n">
        <v>52.7</v>
      </c>
      <c r="S198" t="inlineStr">
        <is>
          <t>233</t>
        </is>
      </c>
      <c r="T198" t="n">
        <v>44.8</v>
      </c>
      <c r="U198" t="inlineStr">
        <is>
          <t>439</t>
        </is>
      </c>
      <c r="V198" t="n">
        <v>12.5</v>
      </c>
      <c r="W198" t="inlineStr">
        <is>
          <t>801+</t>
        </is>
      </c>
      <c r="X198" t="n">
        <v>32</v>
      </c>
      <c r="Y198" t="inlineStr">
        <is>
          <t>564</t>
        </is>
      </c>
      <c r="Z198" t="n">
        <v>6.2</v>
      </c>
      <c r="AA198" t="inlineStr">
        <is>
          <t>801+</t>
        </is>
      </c>
      <c r="AB198" t="n">
        <v>11</v>
      </c>
      <c r="AC198" t="inlineStr">
        <is>
          <t>801+</t>
        </is>
      </c>
      <c r="AD198" t="n">
        <v>80.59999999999999</v>
      </c>
      <c r="AE198" t="inlineStr">
        <is>
          <t>342</t>
        </is>
      </c>
      <c r="AF198" t="n">
        <v>96.40000000000001</v>
      </c>
      <c r="AG198" t="inlineStr">
        <is>
          <t>64</t>
        </is>
      </c>
      <c r="AH198" t="n">
        <v>80</v>
      </c>
      <c r="AI198" t="inlineStr">
        <is>
          <t>169=</t>
        </is>
      </c>
      <c r="AJ198" t="inlineStr">
        <is>
          <t>66.6</t>
        </is>
      </c>
      <c r="AK198" t="inlineStr">
        <is>
          <t>101</t>
        </is>
      </c>
      <c r="AL198" t="inlineStr">
        <is>
          <t>50.1</t>
        </is>
      </c>
      <c r="AM198" t="inlineStr">
        <is>
          <t>170</t>
        </is>
      </c>
      <c r="AN198" t="inlineStr">
        <is>
          <t>31.5</t>
        </is>
      </c>
      <c r="AO198" t="inlineStr">
        <is>
          <t>498</t>
        </is>
      </c>
      <c r="AP198" t="inlineStr">
        <is>
          <t>7.0</t>
        </is>
      </c>
      <c r="AQ198" t="inlineStr">
        <is>
          <t>701+</t>
        </is>
      </c>
      <c r="AR198" t="inlineStr">
        <is>
          <t>15.0</t>
        </is>
      </c>
      <c r="AS198" t="inlineStr">
        <is>
          <t>668</t>
        </is>
      </c>
      <c r="AT198" t="inlineStr">
        <is>
          <t>2.9</t>
        </is>
      </c>
      <c r="AU198" t="inlineStr">
        <is>
          <t>701+</t>
        </is>
      </c>
      <c r="AV198" t="inlineStr">
        <is>
          <t>49.4</t>
        </is>
      </c>
      <c r="AW198" t="inlineStr">
        <is>
          <t>318</t>
        </is>
      </c>
      <c r="AX198" t="inlineStr">
        <is>
          <t>87.2</t>
        </is>
      </c>
      <c r="AY198" t="inlineStr">
        <is>
          <t>44</t>
        </is>
      </c>
      <c r="AZ198" t="inlineStr">
        <is>
          <t>85.9</t>
        </is>
      </c>
      <c r="BA198" t="inlineStr">
        <is>
          <t>113=</t>
        </is>
      </c>
    </row>
    <row r="199">
      <c r="A199" t="inlineStr">
        <is>
          <t>Chung-Ang University</t>
        </is>
      </c>
      <c r="B199" t="inlineStr">
        <is>
          <t>Republic of Korea</t>
        </is>
      </c>
      <c r="C199" t="inlineStr"/>
      <c r="D199" t="inlineStr">
        <is>
          <t>Asia</t>
        </is>
      </c>
      <c r="E199" t="inlineStr">
        <is>
          <t>L</t>
        </is>
      </c>
      <c r="F199" t="inlineStr">
        <is>
          <t>FC</t>
        </is>
      </c>
      <c r="G199" t="inlineStr">
        <is>
          <t>VH</t>
        </is>
      </c>
      <c r="H199" t="inlineStr"/>
      <c r="I199" t="inlineStr">
        <is>
          <t>Private not for Profit</t>
        </is>
      </c>
      <c r="J199" t="inlineStr">
        <is>
          <t>479</t>
        </is>
      </c>
      <c r="K199" t="inlineStr">
        <is>
          <t>489</t>
        </is>
      </c>
      <c r="L199" t="inlineStr"/>
      <c r="M199" t="inlineStr"/>
      <c r="N199" t="inlineStr">
        <is>
          <t>33.3</t>
        </is>
      </c>
      <c r="O199" t="inlineStr"/>
      <c r="P199" t="n">
        <v>24.9</v>
      </c>
      <c r="Q199" t="inlineStr">
        <is>
          <t>512</t>
        </is>
      </c>
      <c r="R199" t="n">
        <v>37.6</v>
      </c>
      <c r="S199" t="inlineStr">
        <is>
          <t>372</t>
        </is>
      </c>
      <c r="T199" t="n">
        <v>79.2</v>
      </c>
      <c r="U199" t="inlineStr">
        <is>
          <t>172</t>
        </is>
      </c>
      <c r="V199" t="n">
        <v>16.7</v>
      </c>
      <c r="W199" t="inlineStr">
        <is>
          <t>769</t>
        </is>
      </c>
      <c r="X199" t="n">
        <v>19.7</v>
      </c>
      <c r="Y199" t="inlineStr">
        <is>
          <t>719</t>
        </is>
      </c>
      <c r="Z199" t="n">
        <v>62.4</v>
      </c>
      <c r="AA199" t="inlineStr">
        <is>
          <t>323</t>
        </is>
      </c>
      <c r="AB199" t="n">
        <v>66.09999999999999</v>
      </c>
      <c r="AC199" t="inlineStr">
        <is>
          <t>297</t>
        </is>
      </c>
      <c r="AD199" t="n">
        <v>31.3</v>
      </c>
      <c r="AE199" t="inlineStr">
        <is>
          <t>801+</t>
        </is>
      </c>
      <c r="AF199" t="n">
        <v>17.3</v>
      </c>
      <c r="AG199" t="inlineStr">
        <is>
          <t>777</t>
        </is>
      </c>
      <c r="AH199" t="n">
        <v>68.90000000000001</v>
      </c>
      <c r="AI199" t="inlineStr">
        <is>
          <t>331=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Chung-Ang University (CAU)</t>
        </is>
      </c>
      <c r="B200" t="inlineStr">
        <is>
          <t>South Korea</t>
        </is>
      </c>
      <c r="C200" t="inlineStr">
        <is>
          <t>KR</t>
        </is>
      </c>
      <c r="D200" t="inlineStr"/>
      <c r="E200" t="inlineStr">
        <is>
          <t>L</t>
        </is>
      </c>
      <c r="F200" t="inlineStr">
        <is>
          <t>FC</t>
        </is>
      </c>
      <c r="G200" t="inlineStr">
        <is>
          <t>VH</t>
        </is>
      </c>
      <c r="H200" t="inlineStr">
        <is>
          <t>4</t>
        </is>
      </c>
      <c r="I200" t="inlineStr">
        <is>
          <t>B</t>
        </is>
      </c>
      <c r="J200" t="inlineStr"/>
      <c r="K200" t="inlineStr"/>
      <c r="L200">
        <f>494</f>
        <v/>
      </c>
      <c r="M200" t="inlineStr">
        <is>
          <t>392=</t>
        </is>
      </c>
      <c r="N200" t="inlineStr"/>
      <c r="O200" t="inlineStr">
        <is>
          <t>23.4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19.8</t>
        </is>
      </c>
      <c r="AK200" t="inlineStr">
        <is>
          <t>445</t>
        </is>
      </c>
      <c r="AL200" t="inlineStr">
        <is>
          <t>36.2</t>
        </is>
      </c>
      <c r="AM200" t="inlineStr">
        <is>
          <t>271</t>
        </is>
      </c>
      <c r="AN200" t="inlineStr">
        <is>
          <t>69.5</t>
        </is>
      </c>
      <c r="AO200" t="inlineStr">
        <is>
          <t>186</t>
        </is>
      </c>
      <c r="AP200" t="inlineStr">
        <is>
          <t>8.9</t>
        </is>
      </c>
      <c r="AQ200" t="inlineStr">
        <is>
          <t>701+</t>
        </is>
      </c>
      <c r="AR200" t="inlineStr">
        <is>
          <t>13.8</t>
        </is>
      </c>
      <c r="AS200" t="inlineStr">
        <is>
          <t>690</t>
        </is>
      </c>
      <c r="AT200" t="inlineStr">
        <is>
          <t>36.3</t>
        </is>
      </c>
      <c r="AU200" t="inlineStr">
        <is>
          <t>373</t>
        </is>
      </c>
      <c r="AV200" t="inlineStr">
        <is>
          <t>1.7</t>
        </is>
      </c>
      <c r="AW200" t="inlineStr">
        <is>
          <t>701+</t>
        </is>
      </c>
      <c r="AX200" t="inlineStr">
        <is>
          <t>12.8</t>
        </is>
      </c>
      <c r="AY200" t="inlineStr">
        <is>
          <t>672</t>
        </is>
      </c>
      <c r="AZ200" t="inlineStr">
        <is>
          <t>2.5</t>
        </is>
      </c>
      <c r="BA200" t="inlineStr">
        <is>
          <t>701+</t>
        </is>
      </c>
    </row>
    <row r="201">
      <c r="A201" t="inlineStr">
        <is>
          <t>Chung Yuan Christian University</t>
        </is>
      </c>
      <c r="B201" t="inlineStr">
        <is>
          <t>Taiwan</t>
        </is>
      </c>
      <c r="C201" t="inlineStr">
        <is>
          <t>TW</t>
        </is>
      </c>
      <c r="D201" t="inlineStr">
        <is>
          <t>Asia</t>
        </is>
      </c>
      <c r="E201" t="inlineStr">
        <is>
          <t>L</t>
        </is>
      </c>
      <c r="F201" t="inlineStr">
        <is>
          <t>CO</t>
        </is>
      </c>
      <c r="G201" t="inlineStr">
        <is>
          <t>HI</t>
        </is>
      </c>
      <c r="H201" t="inlineStr">
        <is>
          <t>3</t>
        </is>
      </c>
      <c r="I201" t="inlineStr">
        <is>
          <t>Public</t>
        </is>
      </c>
      <c r="J201" t="inlineStr">
        <is>
          <t>1001-1200</t>
        </is>
      </c>
      <c r="K201" t="inlineStr">
        <is>
          <t>1001-1200</t>
        </is>
      </c>
      <c r="L201" t="inlineStr">
        <is>
          <t>1001-1200</t>
        </is>
      </c>
      <c r="M201" t="inlineStr">
        <is>
          <t>1201-1400</t>
        </is>
      </c>
      <c r="N201" t="inlineStr">
        <is>
          <t>-</t>
        </is>
      </c>
      <c r="O201" t="inlineStr">
        <is>
          <t>-</t>
        </is>
      </c>
      <c r="P201" t="n">
        <v>9.9</v>
      </c>
      <c r="Q201" t="inlineStr">
        <is>
          <t>701+</t>
        </is>
      </c>
      <c r="R201" t="n">
        <v>9.199999999999999</v>
      </c>
      <c r="S201" t="inlineStr">
        <is>
          <t>701+</t>
        </is>
      </c>
      <c r="T201" t="n">
        <v>6.9</v>
      </c>
      <c r="U201" t="inlineStr">
        <is>
          <t>801+</t>
        </is>
      </c>
      <c r="V201" t="n">
        <v>25.2</v>
      </c>
      <c r="W201" t="inlineStr">
        <is>
          <t>637</t>
        </is>
      </c>
      <c r="X201" t="n">
        <v>5.3</v>
      </c>
      <c r="Y201" t="inlineStr">
        <is>
          <t>801+</t>
        </is>
      </c>
      <c r="Z201" t="n">
        <v>11.8</v>
      </c>
      <c r="AA201" t="inlineStr">
        <is>
          <t>801+</t>
        </is>
      </c>
      <c r="AB201" t="n">
        <v>14.9</v>
      </c>
      <c r="AC201" t="inlineStr">
        <is>
          <t>801+</t>
        </is>
      </c>
      <c r="AD201" t="n">
        <v>17.3</v>
      </c>
      <c r="AE201" t="inlineStr">
        <is>
          <t>801+</t>
        </is>
      </c>
      <c r="AF201" t="n">
        <v>28.6</v>
      </c>
      <c r="AG201" t="inlineStr">
        <is>
          <t>585</t>
        </is>
      </c>
      <c r="AH201" t="n">
        <v>46.7</v>
      </c>
      <c r="AI201" t="inlineStr">
        <is>
          <t>799=</t>
        </is>
      </c>
      <c r="AJ201" t="inlineStr">
        <is>
          <t>5.8</t>
        </is>
      </c>
      <c r="AK201" t="inlineStr">
        <is>
          <t>601+</t>
        </is>
      </c>
      <c r="AL201" t="inlineStr">
        <is>
          <t>5.2</t>
        </is>
      </c>
      <c r="AM201" t="inlineStr">
        <is>
          <t>601+</t>
        </is>
      </c>
      <c r="AN201" t="inlineStr">
        <is>
          <t>4.4</t>
        </is>
      </c>
      <c r="AO201" t="inlineStr">
        <is>
          <t>701+</t>
        </is>
      </c>
      <c r="AP201" t="inlineStr">
        <is>
          <t>15.1</t>
        </is>
      </c>
      <c r="AQ201" t="inlineStr">
        <is>
          <t>631</t>
        </is>
      </c>
      <c r="AR201" t="inlineStr">
        <is>
          <t>4.4</t>
        </is>
      </c>
      <c r="AS201" t="inlineStr">
        <is>
          <t>701+</t>
        </is>
      </c>
      <c r="AT201" t="inlineStr">
        <is>
          <t>7.2</t>
        </is>
      </c>
      <c r="AU201" t="inlineStr">
        <is>
          <t>701+</t>
        </is>
      </c>
      <c r="AV201" t="inlineStr">
        <is>
          <t>1.0</t>
        </is>
      </c>
      <c r="AW201" t="inlineStr">
        <is>
          <t>701+</t>
        </is>
      </c>
      <c r="AX201" t="inlineStr">
        <is>
          <t>19.2</t>
        </is>
      </c>
      <c r="AY201" t="inlineStr">
        <is>
          <t>437</t>
        </is>
      </c>
      <c r="AZ201" t="inlineStr">
        <is>
          <t>3.2</t>
        </is>
      </c>
      <c r="BA201" t="inlineStr">
        <is>
          <t>701+</t>
        </is>
      </c>
    </row>
    <row r="202">
      <c r="A202" t="inlineStr">
        <is>
          <t>Chungbuk National University</t>
        </is>
      </c>
      <c r="B202" t="inlineStr">
        <is>
          <t>Republic of Korea</t>
        </is>
      </c>
      <c r="C202" t="inlineStr"/>
      <c r="D202" t="inlineStr">
        <is>
          <t>Asia</t>
        </is>
      </c>
      <c r="E202" t="inlineStr">
        <is>
          <t>M</t>
        </is>
      </c>
      <c r="F202" t="inlineStr">
        <is>
          <t>FC</t>
        </is>
      </c>
      <c r="G202" t="inlineStr">
        <is>
          <t>VH</t>
        </is>
      </c>
      <c r="H202" t="inlineStr"/>
      <c r="I202" t="inlineStr">
        <is>
          <t>Public</t>
        </is>
      </c>
      <c r="J202" t="inlineStr">
        <is>
          <t>1001-1200</t>
        </is>
      </c>
      <c r="K202" t="inlineStr">
        <is>
          <t>1001-1200</t>
        </is>
      </c>
      <c r="L202" t="inlineStr"/>
      <c r="M202" t="inlineStr"/>
      <c r="N202" t="inlineStr">
        <is>
          <t>-</t>
        </is>
      </c>
      <c r="O202" t="inlineStr"/>
      <c r="P202" t="n">
        <v>6.5</v>
      </c>
      <c r="Q202" t="inlineStr">
        <is>
          <t>701+</t>
        </is>
      </c>
      <c r="R202" t="n">
        <v>4.6</v>
      </c>
      <c r="S202" t="inlineStr">
        <is>
          <t>701+</t>
        </is>
      </c>
      <c r="T202" t="n">
        <v>47.9</v>
      </c>
      <c r="U202" t="inlineStr">
        <is>
          <t>405</t>
        </is>
      </c>
      <c r="V202" t="n">
        <v>19.6</v>
      </c>
      <c r="W202" t="inlineStr">
        <is>
          <t>717</t>
        </is>
      </c>
      <c r="X202" t="n">
        <v>10.7</v>
      </c>
      <c r="Y202" t="inlineStr">
        <is>
          <t>801+</t>
        </is>
      </c>
      <c r="Z202" t="n">
        <v>21.5</v>
      </c>
      <c r="AA202" t="inlineStr">
        <is>
          <t>703</t>
        </is>
      </c>
      <c r="AB202" t="n">
        <v>21.6</v>
      </c>
      <c r="AC202" t="inlineStr">
        <is>
          <t>740</t>
        </is>
      </c>
      <c r="AD202" t="n">
        <v>33.4</v>
      </c>
      <c r="AE202" t="inlineStr">
        <is>
          <t>801+</t>
        </is>
      </c>
      <c r="AF202" t="n">
        <v>1.8</v>
      </c>
      <c r="AG202" t="inlineStr">
        <is>
          <t>801+</t>
        </is>
      </c>
      <c r="AH202" t="n">
        <v>50.9</v>
      </c>
      <c r="AI202" t="inlineStr">
        <is>
          <t>684=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Chungbuk National University</t>
        </is>
      </c>
      <c r="B203" t="inlineStr">
        <is>
          <t>South Korea</t>
        </is>
      </c>
      <c r="C203" t="inlineStr">
        <is>
          <t>KR</t>
        </is>
      </c>
      <c r="D203" t="inlineStr"/>
      <c r="E203" t="inlineStr">
        <is>
          <t>L</t>
        </is>
      </c>
      <c r="F203" t="inlineStr">
        <is>
          <t>FC</t>
        </is>
      </c>
      <c r="G203" t="inlineStr">
        <is>
          <t>HI</t>
        </is>
      </c>
      <c r="H203" t="inlineStr">
        <is>
          <t>4</t>
        </is>
      </c>
      <c r="I203" t="inlineStr">
        <is>
          <t>A</t>
        </is>
      </c>
      <c r="J203" t="inlineStr"/>
      <c r="K203" t="inlineStr"/>
      <c r="L203" t="inlineStr">
        <is>
          <t>1001-1200</t>
        </is>
      </c>
      <c r="M203" t="inlineStr">
        <is>
          <t>1001-1200</t>
        </is>
      </c>
      <c r="N203" t="inlineStr"/>
      <c r="O203" t="inlineStr">
        <is>
          <t>-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5.4</t>
        </is>
      </c>
      <c r="AK203" t="inlineStr">
        <is>
          <t>601+</t>
        </is>
      </c>
      <c r="AL203" t="inlineStr">
        <is>
          <t>2.8</t>
        </is>
      </c>
      <c r="AM203" t="inlineStr">
        <is>
          <t>601+</t>
        </is>
      </c>
      <c r="AN203" t="inlineStr">
        <is>
          <t>30.6</t>
        </is>
      </c>
      <c r="AO203" t="inlineStr">
        <is>
          <t>512</t>
        </is>
      </c>
      <c r="AP203" t="inlineStr">
        <is>
          <t>8.6</t>
        </is>
      </c>
      <c r="AQ203" t="inlineStr">
        <is>
          <t>701+</t>
        </is>
      </c>
      <c r="AR203" t="inlineStr">
        <is>
          <t>7.0</t>
        </is>
      </c>
      <c r="AS203" t="inlineStr">
        <is>
          <t>701+</t>
        </is>
      </c>
      <c r="AT203" t="inlineStr">
        <is>
          <t>4.3</t>
        </is>
      </c>
      <c r="AU203" t="inlineStr">
        <is>
          <t>701+</t>
        </is>
      </c>
      <c r="AV203" t="inlineStr">
        <is>
          <t>1.9</t>
        </is>
      </c>
      <c r="AW203" t="inlineStr">
        <is>
          <t>701+</t>
        </is>
      </c>
      <c r="AX203" t="inlineStr">
        <is>
          <t>4.5</t>
        </is>
      </c>
      <c r="AY203" t="inlineStr">
        <is>
          <t>701+</t>
        </is>
      </c>
      <c r="AZ203" t="inlineStr">
        <is>
          <t>1.1</t>
        </is>
      </c>
      <c r="BA203" t="inlineStr">
        <is>
          <t>701+</t>
        </is>
      </c>
    </row>
    <row r="204">
      <c r="A204" t="inlineStr">
        <is>
          <t>Chungnam National University</t>
        </is>
      </c>
      <c r="B204" t="inlineStr">
        <is>
          <t>Republic of Korea</t>
        </is>
      </c>
      <c r="C204" t="inlineStr"/>
      <c r="D204" t="inlineStr">
        <is>
          <t>Asia</t>
        </is>
      </c>
      <c r="E204" t="inlineStr">
        <is>
          <t>L</t>
        </is>
      </c>
      <c r="F204" t="inlineStr">
        <is>
          <t>FC</t>
        </is>
      </c>
      <c r="G204" t="inlineStr">
        <is>
          <t>VH</t>
        </is>
      </c>
      <c r="H204" t="inlineStr"/>
      <c r="I204" t="inlineStr">
        <is>
          <t>Public</t>
        </is>
      </c>
      <c r="J204" t="inlineStr">
        <is>
          <t>851-900</t>
        </is>
      </c>
      <c r="K204" t="inlineStr">
        <is>
          <t>851-900</t>
        </is>
      </c>
      <c r="L204" t="inlineStr"/>
      <c r="M204" t="inlineStr"/>
      <c r="N204" t="inlineStr">
        <is>
          <t>-</t>
        </is>
      </c>
      <c r="O204" t="inlineStr"/>
      <c r="P204" t="n">
        <v>11.7</v>
      </c>
      <c r="Q204" t="inlineStr">
        <is>
          <t>701+</t>
        </is>
      </c>
      <c r="R204" t="n">
        <v>10.6</v>
      </c>
      <c r="S204" t="inlineStr">
        <is>
          <t>701+</t>
        </is>
      </c>
      <c r="T204" t="n">
        <v>54.7</v>
      </c>
      <c r="U204" t="inlineStr">
        <is>
          <t>343</t>
        </is>
      </c>
      <c r="V204" t="n">
        <v>21</v>
      </c>
      <c r="W204" t="inlineStr">
        <is>
          <t>697</t>
        </is>
      </c>
      <c r="X204" t="n">
        <v>8.4</v>
      </c>
      <c r="Y204" t="inlineStr">
        <is>
          <t>801+</t>
        </is>
      </c>
      <c r="Z204" t="n">
        <v>20</v>
      </c>
      <c r="AA204" t="inlineStr">
        <is>
          <t>729</t>
        </is>
      </c>
      <c r="AB204" t="n">
        <v>25.1</v>
      </c>
      <c r="AC204" t="inlineStr">
        <is>
          <t>681</t>
        </is>
      </c>
      <c r="AD204" t="n">
        <v>40.8</v>
      </c>
      <c r="AE204" t="inlineStr">
        <is>
          <t>801+</t>
        </is>
      </c>
      <c r="AF204" t="n">
        <v>6.7</v>
      </c>
      <c r="AG204" t="inlineStr">
        <is>
          <t>801+</t>
        </is>
      </c>
      <c r="AH204" t="n">
        <v>59.9</v>
      </c>
      <c r="AI204" t="inlineStr">
        <is>
          <t>504=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Chungnam National University</t>
        </is>
      </c>
      <c r="B205" t="inlineStr">
        <is>
          <t>South Korea</t>
        </is>
      </c>
      <c r="C205" t="inlineStr">
        <is>
          <t>KR</t>
        </is>
      </c>
      <c r="D205" t="inlineStr"/>
      <c r="E205" t="inlineStr">
        <is>
          <t>L</t>
        </is>
      </c>
      <c r="F205" t="inlineStr">
        <is>
          <t>FC</t>
        </is>
      </c>
      <c r="G205" t="inlineStr">
        <is>
          <t>VH</t>
        </is>
      </c>
      <c r="H205" t="inlineStr">
        <is>
          <t>4</t>
        </is>
      </c>
      <c r="I205" t="inlineStr">
        <is>
          <t>A</t>
        </is>
      </c>
      <c r="J205" t="inlineStr"/>
      <c r="K205" t="inlineStr"/>
      <c r="L205" t="inlineStr">
        <is>
          <t>851-900</t>
        </is>
      </c>
      <c r="M205" t="inlineStr">
        <is>
          <t>751-800</t>
        </is>
      </c>
      <c r="N205" t="inlineStr"/>
      <c r="O205" t="inlineStr">
        <is>
          <t>-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11.7</t>
        </is>
      </c>
      <c r="AK205" t="inlineStr">
        <is>
          <t>601+</t>
        </is>
      </c>
      <c r="AL205" t="inlineStr">
        <is>
          <t>8.0</t>
        </is>
      </c>
      <c r="AM205" t="inlineStr">
        <is>
          <t>601+</t>
        </is>
      </c>
      <c r="AN205" t="inlineStr">
        <is>
          <t>45.3</t>
        </is>
      </c>
      <c r="AO205" t="inlineStr">
        <is>
          <t>348</t>
        </is>
      </c>
      <c r="AP205" t="inlineStr">
        <is>
          <t>10.6</t>
        </is>
      </c>
      <c r="AQ205" t="inlineStr">
        <is>
          <t>701+</t>
        </is>
      </c>
      <c r="AR205" t="inlineStr">
        <is>
          <t>8.2</t>
        </is>
      </c>
      <c r="AS205" t="inlineStr">
        <is>
          <t>701+</t>
        </is>
      </c>
      <c r="AT205" t="inlineStr">
        <is>
          <t>10.7</t>
        </is>
      </c>
      <c r="AU205" t="inlineStr">
        <is>
          <t>701+</t>
        </is>
      </c>
      <c r="AV205" t="inlineStr">
        <is>
          <t>1.6</t>
        </is>
      </c>
      <c r="AW205" t="inlineStr">
        <is>
          <t>701+</t>
        </is>
      </c>
      <c r="AX205" t="inlineStr">
        <is>
          <t>8</t>
        </is>
      </c>
      <c r="AY205" t="inlineStr">
        <is>
          <t>701+</t>
        </is>
      </c>
      <c r="AZ205" t="inlineStr">
        <is>
          <t>2.1</t>
        </is>
      </c>
      <c r="BA205" t="inlineStr">
        <is>
          <t>701+</t>
        </is>
      </c>
    </row>
    <row r="206">
      <c r="A206" t="inlineStr">
        <is>
          <t>City St George’s, University of London</t>
        </is>
      </c>
      <c r="B206" t="inlineStr">
        <is>
          <t>United Kingdom</t>
        </is>
      </c>
      <c r="C206" t="inlineStr"/>
      <c r="D206" t="inlineStr">
        <is>
          <t>Europe</t>
        </is>
      </c>
      <c r="E206" t="inlineStr">
        <is>
          <t>L</t>
        </is>
      </c>
      <c r="F206" t="inlineStr">
        <is>
          <t>FO</t>
        </is>
      </c>
      <c r="G206" t="inlineStr">
        <is>
          <t>VH</t>
        </is>
      </c>
      <c r="H206" t="inlineStr"/>
      <c r="I206" t="inlineStr"/>
      <c r="J206" t="inlineStr">
        <is>
          <t>310</t>
        </is>
      </c>
      <c r="K206" t="inlineStr"/>
      <c r="L206" t="inlineStr"/>
      <c r="M206" t="inlineStr"/>
      <c r="N206" t="inlineStr">
        <is>
          <t>44.5</t>
        </is>
      </c>
      <c r="O206" t="inlineStr"/>
      <c r="P206" t="n">
        <v>26.9</v>
      </c>
      <c r="Q206" t="inlineStr">
        <is>
          <t>466</t>
        </is>
      </c>
      <c r="R206" t="n">
        <v>32.3</v>
      </c>
      <c r="S206" t="inlineStr">
        <is>
          <t>444</t>
        </is>
      </c>
      <c r="T206" t="n">
        <v>9.199999999999999</v>
      </c>
      <c r="U206" t="inlineStr">
        <is>
          <t>801+</t>
        </is>
      </c>
      <c r="V206" t="n">
        <v>57.8</v>
      </c>
      <c r="W206" t="inlineStr">
        <is>
          <t>301</t>
        </is>
      </c>
      <c r="X206" t="n">
        <v>92.40000000000001</v>
      </c>
      <c r="Y206" t="inlineStr">
        <is>
          <t>207</t>
        </is>
      </c>
      <c r="Z206" t="n">
        <v>97.90000000000001</v>
      </c>
      <c r="AA206" t="inlineStr">
        <is>
          <t>90</t>
        </is>
      </c>
      <c r="AB206" t="n">
        <v>98</v>
      </c>
      <c r="AC206" t="inlineStr">
        <is>
          <t>77</t>
        </is>
      </c>
      <c r="AD206" t="n">
        <v>77.2</v>
      </c>
      <c r="AE206" t="inlineStr">
        <is>
          <t>402</t>
        </is>
      </c>
      <c r="AF206" t="n">
        <v>65.8</v>
      </c>
      <c r="AG206" t="inlineStr">
        <is>
          <t>238</t>
        </is>
      </c>
      <c r="AH206" t="n">
        <v>62.3</v>
      </c>
      <c r="AI206" t="inlineStr">
        <is>
          <t>452=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City University of Hong Kong</t>
        </is>
      </c>
      <c r="B207" t="inlineStr">
        <is>
          <t>Hong Kong</t>
        </is>
      </c>
      <c r="C207" t="inlineStr">
        <is>
          <t>HK</t>
        </is>
      </c>
      <c r="D207" t="inlineStr"/>
      <c r="E207" t="inlineStr">
        <is>
          <t>M</t>
        </is>
      </c>
      <c r="F207" t="inlineStr">
        <is>
          <t>CO</t>
        </is>
      </c>
      <c r="G207" t="inlineStr">
        <is>
          <t>VH</t>
        </is>
      </c>
      <c r="H207" t="inlineStr">
        <is>
          <t>3</t>
        </is>
      </c>
      <c r="I207" t="inlineStr">
        <is>
          <t>A</t>
        </is>
      </c>
      <c r="J207" t="inlineStr"/>
      <c r="K207" t="inlineStr"/>
      <c r="L207" t="inlineStr">
        <is>
          <t>70</t>
        </is>
      </c>
      <c r="M207" t="inlineStr">
        <is>
          <t>54</t>
        </is>
      </c>
      <c r="N207" t="inlineStr"/>
      <c r="O207" t="inlineStr">
        <is>
          <t>67.7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59.6</t>
        </is>
      </c>
      <c r="AK207" t="inlineStr">
        <is>
          <t>122</t>
        </is>
      </c>
      <c r="AL207" t="inlineStr">
        <is>
          <t>27.3</t>
        </is>
      </c>
      <c r="AM207" t="inlineStr">
        <is>
          <t>356</t>
        </is>
      </c>
      <c r="AN207" t="inlineStr">
        <is>
          <t>86.6</t>
        </is>
      </c>
      <c r="AO207" t="inlineStr">
        <is>
          <t>99</t>
        </is>
      </c>
      <c r="AP207" t="inlineStr">
        <is>
          <t>99.9</t>
        </is>
      </c>
      <c r="AQ207" t="inlineStr">
        <is>
          <t>9</t>
        </is>
      </c>
      <c r="AR207" t="inlineStr">
        <is>
          <t>100.0</t>
        </is>
      </c>
      <c r="AS207" t="inlineStr">
        <is>
          <t>17</t>
        </is>
      </c>
      <c r="AT207" t="inlineStr">
        <is>
          <t>100.0</t>
        </is>
      </c>
      <c r="AU207" t="inlineStr">
        <is>
          <t>2</t>
        </is>
      </c>
      <c r="AV207" t="inlineStr">
        <is>
          <t>17.4</t>
        </is>
      </c>
      <c r="AW207" t="inlineStr">
        <is>
          <t>570</t>
        </is>
      </c>
      <c r="AX207" t="inlineStr">
        <is>
          <t>29.5</t>
        </is>
      </c>
      <c r="AY207" t="inlineStr">
        <is>
          <t>269</t>
        </is>
      </c>
      <c r="AZ207" t="inlineStr">
        <is>
          <t>82.1</t>
        </is>
      </c>
      <c r="BA207" t="inlineStr">
        <is>
          <t>136</t>
        </is>
      </c>
    </row>
    <row r="208">
      <c r="A208" t="inlineStr">
        <is>
          <t>City University of Hong Kong</t>
        </is>
      </c>
      <c r="B208" t="inlineStr">
        <is>
          <t>Hong Kong SAR, China</t>
        </is>
      </c>
      <c r="C208" t="inlineStr"/>
      <c r="D208" t="inlineStr">
        <is>
          <t>Asia</t>
        </is>
      </c>
      <c r="E208" t="inlineStr">
        <is>
          <t>M</t>
        </is>
      </c>
      <c r="F208" t="inlineStr">
        <is>
          <t>CO</t>
        </is>
      </c>
      <c r="G208" t="inlineStr">
        <is>
          <t>VH</t>
        </is>
      </c>
      <c r="H208" t="inlineStr"/>
      <c r="I208" t="inlineStr">
        <is>
          <t>Public</t>
        </is>
      </c>
      <c r="J208" t="inlineStr">
        <is>
          <t>63</t>
        </is>
      </c>
      <c r="K208" t="inlineStr">
        <is>
          <t>62</t>
        </is>
      </c>
      <c r="L208" t="inlineStr"/>
      <c r="M208" t="inlineStr"/>
      <c r="N208" t="inlineStr">
        <is>
          <t>78.9</t>
        </is>
      </c>
      <c r="O208" t="inlineStr"/>
      <c r="P208" t="n">
        <v>75.5</v>
      </c>
      <c r="Q208" t="inlineStr">
        <is>
          <t>109</t>
        </is>
      </c>
      <c r="R208" t="n">
        <v>46.7</v>
      </c>
      <c r="S208" t="inlineStr">
        <is>
          <t>284</t>
        </is>
      </c>
      <c r="T208" t="n">
        <v>94.8</v>
      </c>
      <c r="U208" t="inlineStr">
        <is>
          <t>75</t>
        </is>
      </c>
      <c r="V208" t="n">
        <v>100</v>
      </c>
      <c r="W208" t="inlineStr">
        <is>
          <t>2</t>
        </is>
      </c>
      <c r="X208" t="n">
        <v>100</v>
      </c>
      <c r="Y208" t="inlineStr">
        <is>
          <t>16</t>
        </is>
      </c>
      <c r="Z208" t="n">
        <v>100</v>
      </c>
      <c r="AA208" t="inlineStr">
        <is>
          <t>5</t>
        </is>
      </c>
      <c r="AB208" t="n">
        <v>100</v>
      </c>
      <c r="AC208" t="inlineStr">
        <is>
          <t>2</t>
        </is>
      </c>
      <c r="AD208" t="n">
        <v>64.5</v>
      </c>
      <c r="AE208" t="inlineStr">
        <is>
          <t>628</t>
        </is>
      </c>
      <c r="AF208" t="n">
        <v>48.5</v>
      </c>
      <c r="AG208" t="inlineStr">
        <is>
          <t>356</t>
        </is>
      </c>
      <c r="AH208" t="n">
        <v>75.2</v>
      </c>
      <c r="AI208" t="inlineStr">
        <is>
          <t>232=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City, University of London</t>
        </is>
      </c>
      <c r="B209" t="inlineStr">
        <is>
          <t>United Kingdom</t>
        </is>
      </c>
      <c r="C209" t="inlineStr">
        <is>
          <t>UK</t>
        </is>
      </c>
      <c r="D209" t="inlineStr"/>
      <c r="E209" t="inlineStr">
        <is>
          <t>L</t>
        </is>
      </c>
      <c r="F209" t="inlineStr">
        <is>
          <t>CO</t>
        </is>
      </c>
      <c r="G209" t="inlineStr">
        <is>
          <t>VH</t>
        </is>
      </c>
      <c r="H209" t="inlineStr">
        <is>
          <t>5</t>
        </is>
      </c>
      <c r="I209" t="inlineStr">
        <is>
          <t>A</t>
        </is>
      </c>
      <c r="J209" t="inlineStr"/>
      <c r="K209" t="inlineStr"/>
      <c r="L209">
        <f>328</f>
        <v/>
      </c>
      <c r="M209" t="inlineStr">
        <is>
          <t>355=</t>
        </is>
      </c>
      <c r="N209" t="inlineStr"/>
      <c r="O209" t="inlineStr">
        <is>
          <t>32.6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21.4</t>
        </is>
      </c>
      <c r="AK209" t="inlineStr">
        <is>
          <t>405</t>
        </is>
      </c>
      <c r="AL209" t="inlineStr">
        <is>
          <t>18.1</t>
        </is>
      </c>
      <c r="AM209" t="inlineStr">
        <is>
          <t>483</t>
        </is>
      </c>
      <c r="AN209" t="inlineStr">
        <is>
          <t>6.7</t>
        </is>
      </c>
      <c r="AO209" t="inlineStr">
        <is>
          <t>701+</t>
        </is>
      </c>
      <c r="AP209" t="inlineStr">
        <is>
          <t>42.2</t>
        </is>
      </c>
      <c r="AQ209" t="inlineStr">
        <is>
          <t>321</t>
        </is>
      </c>
      <c r="AR209" t="inlineStr">
        <is>
          <t>95.0</t>
        </is>
      </c>
      <c r="AS209" t="inlineStr">
        <is>
          <t>151</t>
        </is>
      </c>
      <c r="AT209" t="inlineStr">
        <is>
          <t>99.3</t>
        </is>
      </c>
      <c r="AU209" t="inlineStr">
        <is>
          <t>46</t>
        </is>
      </c>
      <c r="AV209" t="inlineStr">
        <is>
          <t>22.1</t>
        </is>
      </c>
      <c r="AW209" t="inlineStr">
        <is>
          <t>527</t>
        </is>
      </c>
      <c r="AX209" t="inlineStr">
        <is>
          <t>28.3</t>
        </is>
      </c>
      <c r="AY209" t="inlineStr">
        <is>
          <t>284</t>
        </is>
      </c>
      <c r="AZ209" t="inlineStr">
        <is>
          <t>41.7</t>
        </is>
      </c>
      <c r="BA209" t="inlineStr">
        <is>
          <t>356</t>
        </is>
      </c>
    </row>
    <row r="210">
      <c r="A210" t="inlineStr">
        <is>
          <t>City University of New York</t>
        </is>
      </c>
      <c r="B210" t="inlineStr">
        <is>
          <t>United States</t>
        </is>
      </c>
      <c r="C210" t="inlineStr">
        <is>
          <t>US</t>
        </is>
      </c>
      <c r="D210" t="inlineStr">
        <is>
          <t>Americas</t>
        </is>
      </c>
      <c r="E210" t="inlineStr">
        <is>
          <t>XL</t>
        </is>
      </c>
      <c r="F210" t="inlineStr">
        <is>
          <t>FC</t>
        </is>
      </c>
      <c r="G210" t="inlineStr">
        <is>
          <t>VH</t>
        </is>
      </c>
      <c r="H210" t="inlineStr">
        <is>
          <t>4</t>
        </is>
      </c>
      <c r="I210" t="inlineStr">
        <is>
          <t>Public</t>
        </is>
      </c>
      <c r="J210" t="inlineStr">
        <is>
          <t>613</t>
        </is>
      </c>
      <c r="K210" t="inlineStr">
        <is>
          <t>661-670</t>
        </is>
      </c>
      <c r="L210">
        <f>545</f>
        <v/>
      </c>
      <c r="M210" t="inlineStr">
        <is>
          <t>701-750</t>
        </is>
      </c>
      <c r="N210" t="inlineStr">
        <is>
          <t>27.8</t>
        </is>
      </c>
      <c r="O210" t="inlineStr">
        <is>
          <t>21.5</t>
        </is>
      </c>
      <c r="P210" t="n">
        <v>25.3</v>
      </c>
      <c r="Q210" t="inlineStr">
        <is>
          <t>505</t>
        </is>
      </c>
      <c r="R210" t="n">
        <v>59.4</v>
      </c>
      <c r="S210" t="inlineStr">
        <is>
          <t>195</t>
        </is>
      </c>
      <c r="T210" t="n">
        <v>14.3</v>
      </c>
      <c r="U210" t="inlineStr">
        <is>
          <t>801+</t>
        </is>
      </c>
      <c r="V210" t="n">
        <v>6.4</v>
      </c>
      <c r="W210" t="inlineStr">
        <is>
          <t>801+</t>
        </is>
      </c>
      <c r="X210" t="n">
        <v>8.4</v>
      </c>
      <c r="Y210" t="inlineStr">
        <is>
          <t>801+</t>
        </is>
      </c>
      <c r="Z210" t="n">
        <v>8.300000000000001</v>
      </c>
      <c r="AA210" t="inlineStr">
        <is>
          <t>801+</t>
        </is>
      </c>
      <c r="AB210" t="n">
        <v>6.4</v>
      </c>
      <c r="AC210" t="inlineStr">
        <is>
          <t>801+</t>
        </is>
      </c>
      <c r="AD210" t="n">
        <v>92.90000000000001</v>
      </c>
      <c r="AE210" t="inlineStr">
        <is>
          <t>128</t>
        </is>
      </c>
      <c r="AF210" t="n">
        <v>31.3</v>
      </c>
      <c r="AG210" t="inlineStr">
        <is>
          <t>532</t>
        </is>
      </c>
      <c r="AH210" t="n">
        <v>55.4</v>
      </c>
      <c r="AI210" t="inlineStr">
        <is>
          <t>593=</t>
        </is>
      </c>
      <c r="AJ210" t="inlineStr">
        <is>
          <t>22.7</t>
        </is>
      </c>
      <c r="AK210" t="inlineStr">
        <is>
          <t>386</t>
        </is>
      </c>
      <c r="AL210" t="inlineStr">
        <is>
          <t>34.1</t>
        </is>
      </c>
      <c r="AM210" t="inlineStr">
        <is>
          <t>286</t>
        </is>
      </c>
      <c r="AN210" t="inlineStr">
        <is>
          <t>9.4</t>
        </is>
      </c>
      <c r="AO210" t="inlineStr">
        <is>
          <t>701+</t>
        </is>
      </c>
      <c r="AP210" t="inlineStr">
        <is>
          <t>5.8</t>
        </is>
      </c>
      <c r="AQ210" t="inlineStr">
        <is>
          <t>701+</t>
        </is>
      </c>
      <c r="AR210" t="inlineStr">
        <is>
          <t>6.6</t>
        </is>
      </c>
      <c r="AS210" t="inlineStr">
        <is>
          <t>701+</t>
        </is>
      </c>
      <c r="AT210" t="inlineStr">
        <is>
          <t>4.9</t>
        </is>
      </c>
      <c r="AU210" t="inlineStr">
        <is>
          <t>701+</t>
        </is>
      </c>
      <c r="AV210" t="inlineStr">
        <is>
          <t>89.0</t>
        </is>
      </c>
      <c r="AW210" t="inlineStr">
        <is>
          <t>90</t>
        </is>
      </c>
      <c r="AX210" t="inlineStr">
        <is>
          <t>19.3</t>
        </is>
      </c>
      <c r="AY210" t="inlineStr">
        <is>
          <t>434</t>
        </is>
      </c>
      <c r="AZ210" t="inlineStr">
        <is>
          <t>31.3</t>
        </is>
      </c>
      <c r="BA210" t="inlineStr">
        <is>
          <t>428=</t>
        </is>
      </c>
    </row>
    <row r="211">
      <c r="A211" t="inlineStr">
        <is>
          <t>Clark University</t>
        </is>
      </c>
      <c r="B211" t="inlineStr">
        <is>
          <t>United States</t>
        </is>
      </c>
      <c r="C211" t="inlineStr">
        <is>
          <t>US</t>
        </is>
      </c>
      <c r="D211" t="inlineStr">
        <is>
          <t>Americas</t>
        </is>
      </c>
      <c r="E211" t="inlineStr">
        <is>
          <t>S</t>
        </is>
      </c>
      <c r="F211" t="inlineStr">
        <is>
          <t>CO</t>
        </is>
      </c>
      <c r="G211" t="inlineStr">
        <is>
          <t>VH</t>
        </is>
      </c>
      <c r="H211" t="inlineStr">
        <is>
          <t>5</t>
        </is>
      </c>
      <c r="I211" t="inlineStr">
        <is>
          <t>Private not for Profit</t>
        </is>
      </c>
      <c r="J211" t="inlineStr">
        <is>
          <t>1001-1200</t>
        </is>
      </c>
      <c r="K211" t="inlineStr">
        <is>
          <t>951-1000</t>
        </is>
      </c>
      <c r="L211" t="inlineStr">
        <is>
          <t>801-850</t>
        </is>
      </c>
      <c r="M211" t="inlineStr">
        <is>
          <t>751-800</t>
        </is>
      </c>
      <c r="N211" t="inlineStr">
        <is>
          <t>-</t>
        </is>
      </c>
      <c r="O211" t="inlineStr">
        <is>
          <t>-</t>
        </is>
      </c>
      <c r="P211" t="n">
        <v>2.5</v>
      </c>
      <c r="Q211" t="inlineStr">
        <is>
          <t>701+</t>
        </is>
      </c>
      <c r="R211" t="n">
        <v>3.6</v>
      </c>
      <c r="S211" t="inlineStr">
        <is>
          <t>701+</t>
        </is>
      </c>
      <c r="T211" t="n">
        <v>25.6</v>
      </c>
      <c r="U211" t="inlineStr">
        <is>
          <t>724</t>
        </is>
      </c>
      <c r="V211" t="n">
        <v>23.5</v>
      </c>
      <c r="W211" t="inlineStr">
        <is>
          <t>666</t>
        </is>
      </c>
      <c r="X211" t="n">
        <v>15.2</v>
      </c>
      <c r="Y211" t="inlineStr">
        <is>
          <t>801+</t>
        </is>
      </c>
      <c r="Z211" t="n">
        <v>94.59999999999999</v>
      </c>
      <c r="AA211" t="inlineStr">
        <is>
          <t>133</t>
        </is>
      </c>
      <c r="AB211" t="n">
        <v>93.8</v>
      </c>
      <c r="AC211" t="inlineStr">
        <is>
          <t>119</t>
        </is>
      </c>
      <c r="AD211" t="n">
        <v>29.1</v>
      </c>
      <c r="AE211" t="inlineStr">
        <is>
          <t>801+</t>
        </is>
      </c>
      <c r="AF211" t="n">
        <v>19.3</v>
      </c>
      <c r="AG211" t="inlineStr">
        <is>
          <t>739</t>
        </is>
      </c>
      <c r="AH211" t="n">
        <v>42.4</v>
      </c>
      <c r="AI211" t="inlineStr">
        <is>
          <t>801+</t>
        </is>
      </c>
      <c r="AJ211" t="inlineStr">
        <is>
          <t>3.0</t>
        </is>
      </c>
      <c r="AK211" t="inlineStr">
        <is>
          <t>601+</t>
        </is>
      </c>
      <c r="AL211" t="inlineStr">
        <is>
          <t>5.3</t>
        </is>
      </c>
      <c r="AM211" t="inlineStr">
        <is>
          <t>601+</t>
        </is>
      </c>
      <c r="AN211" t="inlineStr">
        <is>
          <t>23.4</t>
        </is>
      </c>
      <c r="AO211" t="inlineStr">
        <is>
          <t>610</t>
        </is>
      </c>
      <c r="AP211" t="inlineStr">
        <is>
          <t>18.3</t>
        </is>
      </c>
      <c r="AQ211" t="inlineStr">
        <is>
          <t>578</t>
        </is>
      </c>
      <c r="AR211" t="inlineStr">
        <is>
          <t>14.2</t>
        </is>
      </c>
      <c r="AS211" t="inlineStr">
        <is>
          <t>682</t>
        </is>
      </c>
      <c r="AT211" t="inlineStr">
        <is>
          <t>72.6</t>
        </is>
      </c>
      <c r="AU211" t="inlineStr">
        <is>
          <t>198</t>
        </is>
      </c>
      <c r="AV211" t="inlineStr">
        <is>
          <t>1.2</t>
        </is>
      </c>
      <c r="AW211" t="inlineStr">
        <is>
          <t>701+</t>
        </is>
      </c>
      <c r="AX211" t="inlineStr">
        <is>
          <t>14.9</t>
        </is>
      </c>
      <c r="AY211" t="inlineStr">
        <is>
          <t>561</t>
        </is>
      </c>
      <c r="AZ211" t="inlineStr">
        <is>
          <t>33.2</t>
        </is>
      </c>
      <c r="BA211" t="inlineStr">
        <is>
          <t>416=</t>
        </is>
      </c>
    </row>
    <row r="212">
      <c r="A212" t="inlineStr">
        <is>
          <t>Clarkson University</t>
        </is>
      </c>
      <c r="B212" t="inlineStr">
        <is>
          <t>United States</t>
        </is>
      </c>
      <c r="C212" t="inlineStr">
        <is>
          <t>US</t>
        </is>
      </c>
      <c r="D212" t="inlineStr">
        <is>
          <t>Americas</t>
        </is>
      </c>
      <c r="E212" t="inlineStr">
        <is>
          <t>S</t>
        </is>
      </c>
      <c r="F212" t="inlineStr">
        <is>
          <t>CO</t>
        </is>
      </c>
      <c r="G212" t="inlineStr">
        <is>
          <t>VH</t>
        </is>
      </c>
      <c r="H212" t="inlineStr">
        <is>
          <t>5</t>
        </is>
      </c>
      <c r="I212" t="inlineStr">
        <is>
          <t>Private not for Profit</t>
        </is>
      </c>
      <c r="J212" t="inlineStr">
        <is>
          <t>951-1000</t>
        </is>
      </c>
      <c r="K212" t="inlineStr">
        <is>
          <t>851-900</t>
        </is>
      </c>
      <c r="L212" t="inlineStr">
        <is>
          <t>791-800</t>
        </is>
      </c>
      <c r="M212" t="inlineStr">
        <is>
          <t>801-1000</t>
        </is>
      </c>
      <c r="N212" t="inlineStr">
        <is>
          <t>-</t>
        </is>
      </c>
      <c r="O212" t="inlineStr">
        <is>
          <t>-</t>
        </is>
      </c>
      <c r="P212" t="n">
        <v>1</v>
      </c>
      <c r="Q212" t="inlineStr">
        <is>
          <t>701+</t>
        </is>
      </c>
      <c r="R212" t="n">
        <v>4</v>
      </c>
      <c r="S212" t="inlineStr">
        <is>
          <t>701+</t>
        </is>
      </c>
      <c r="T212" t="n">
        <v>19</v>
      </c>
      <c r="U212" t="inlineStr">
        <is>
          <t>801+</t>
        </is>
      </c>
      <c r="V212" t="n">
        <v>47.3</v>
      </c>
      <c r="W212" t="inlineStr">
        <is>
          <t>400</t>
        </is>
      </c>
      <c r="X212" t="n">
        <v>42.9</v>
      </c>
      <c r="Y212" t="inlineStr">
        <is>
          <t>478</t>
        </is>
      </c>
      <c r="Z212" t="n">
        <v>38</v>
      </c>
      <c r="AA212" t="inlineStr">
        <is>
          <t>515</t>
        </is>
      </c>
      <c r="AB212" t="n">
        <v>42.1</v>
      </c>
      <c r="AC212" t="inlineStr">
        <is>
          <t>493</t>
        </is>
      </c>
      <c r="AD212" t="n">
        <v>31</v>
      </c>
      <c r="AE212" t="inlineStr">
        <is>
          <t>801+</t>
        </is>
      </c>
      <c r="AF212" t="n">
        <v>12.2</v>
      </c>
      <c r="AG212" t="inlineStr">
        <is>
          <t>801+</t>
        </is>
      </c>
      <c r="AH212" t="n">
        <v>26.9</v>
      </c>
      <c r="AI212" t="inlineStr">
        <is>
          <t>801+</t>
        </is>
      </c>
      <c r="AJ212" t="inlineStr">
        <is>
          <t>1.6</t>
        </is>
      </c>
      <c r="AK212" t="inlineStr">
        <is>
          <t>601+</t>
        </is>
      </c>
      <c r="AL212" t="inlineStr">
        <is>
          <t>2.4</t>
        </is>
      </c>
      <c r="AM212" t="inlineStr">
        <is>
          <t>601+</t>
        </is>
      </c>
      <c r="AN212" t="inlineStr">
        <is>
          <t>16.9</t>
        </is>
      </c>
      <c r="AO212" t="inlineStr">
        <is>
          <t>701+</t>
        </is>
      </c>
      <c r="AP212" t="inlineStr">
        <is>
          <t>39.0</t>
        </is>
      </c>
      <c r="AQ212" t="inlineStr">
        <is>
          <t>351</t>
        </is>
      </c>
      <c r="AR212" t="inlineStr">
        <is>
          <t>64.7</t>
        </is>
      </c>
      <c r="AS212" t="inlineStr">
        <is>
          <t>297</t>
        </is>
      </c>
      <c r="AT212" t="inlineStr">
        <is>
          <t>8.6</t>
        </is>
      </c>
      <c r="AU212" t="inlineStr">
        <is>
          <t>701+</t>
        </is>
      </c>
      <c r="AV212" t="inlineStr">
        <is>
          <t>2.6</t>
        </is>
      </c>
      <c r="AW212" t="inlineStr">
        <is>
          <t>701+</t>
        </is>
      </c>
      <c r="AX212" t="inlineStr">
        <is>
          <t>10.7</t>
        </is>
      </c>
      <c r="AY212" t="inlineStr">
        <is>
          <t>701+</t>
        </is>
      </c>
      <c r="AZ212" t="inlineStr">
        <is>
          <t>1.2</t>
        </is>
      </c>
      <c r="BA212" t="inlineStr">
        <is>
          <t>701+</t>
        </is>
      </c>
    </row>
    <row r="213">
      <c r="A213" t="inlineStr">
        <is>
          <t>Clemson University</t>
        </is>
      </c>
      <c r="B213" t="inlineStr">
        <is>
          <t>United States</t>
        </is>
      </c>
      <c r="C213" t="inlineStr">
        <is>
          <t>US</t>
        </is>
      </c>
      <c r="D213" t="inlineStr">
        <is>
          <t>Americas</t>
        </is>
      </c>
      <c r="E213" t="inlineStr">
        <is>
          <t>L</t>
        </is>
      </c>
      <c r="F213" t="inlineStr">
        <is>
          <t>CO</t>
        </is>
      </c>
      <c r="G213" t="inlineStr">
        <is>
          <t>VH</t>
        </is>
      </c>
      <c r="H213" t="inlineStr">
        <is>
          <t>5</t>
        </is>
      </c>
      <c r="I213" t="inlineStr">
        <is>
          <t>Public</t>
        </is>
      </c>
      <c r="J213" t="inlineStr">
        <is>
          <t>951-1000</t>
        </is>
      </c>
      <c r="K213" t="inlineStr">
        <is>
          <t>951-1000</t>
        </is>
      </c>
      <c r="L213" t="inlineStr">
        <is>
          <t>851-900</t>
        </is>
      </c>
      <c r="M213" t="inlineStr">
        <is>
          <t>801-1000</t>
        </is>
      </c>
      <c r="N213" t="inlineStr">
        <is>
          <t>-</t>
        </is>
      </c>
      <c r="O213" t="inlineStr">
        <is>
          <t>-</t>
        </is>
      </c>
      <c r="P213" t="n">
        <v>9.6</v>
      </c>
      <c r="Q213" t="inlineStr">
        <is>
          <t>701+</t>
        </is>
      </c>
      <c r="R213" t="n">
        <v>15.2</v>
      </c>
      <c r="S213" t="inlineStr">
        <is>
          <t>701+</t>
        </is>
      </c>
      <c r="T213" t="n">
        <v>18.5</v>
      </c>
      <c r="U213" t="inlineStr">
        <is>
          <t>801+</t>
        </is>
      </c>
      <c r="V213" t="n">
        <v>24.8</v>
      </c>
      <c r="W213" t="inlineStr">
        <is>
          <t>643</t>
        </is>
      </c>
      <c r="X213" t="n">
        <v>16.3</v>
      </c>
      <c r="Y213" t="inlineStr">
        <is>
          <t>773</t>
        </is>
      </c>
      <c r="Z213" t="n">
        <v>10.6</v>
      </c>
      <c r="AA213" t="inlineStr">
        <is>
          <t>801+</t>
        </is>
      </c>
      <c r="AB213" t="n">
        <v>8.1</v>
      </c>
      <c r="AC213" t="inlineStr">
        <is>
          <t>801+</t>
        </is>
      </c>
      <c r="AD213" t="n">
        <v>75.8</v>
      </c>
      <c r="AE213" t="inlineStr">
        <is>
          <t>420</t>
        </is>
      </c>
      <c r="AF213" t="n">
        <v>13.5</v>
      </c>
      <c r="AG213" t="inlineStr">
        <is>
          <t>801+</t>
        </is>
      </c>
      <c r="AH213" t="n">
        <v>47.7</v>
      </c>
      <c r="AI213" t="inlineStr">
        <is>
          <t>765=</t>
        </is>
      </c>
      <c r="AJ213" t="inlineStr">
        <is>
          <t>8.3</t>
        </is>
      </c>
      <c r="AK213" t="inlineStr">
        <is>
          <t>601+</t>
        </is>
      </c>
      <c r="AL213" t="inlineStr">
        <is>
          <t>10.8</t>
        </is>
      </c>
      <c r="AM213" t="inlineStr">
        <is>
          <t>601+</t>
        </is>
      </c>
      <c r="AN213" t="inlineStr">
        <is>
          <t>12.9</t>
        </is>
      </c>
      <c r="AO213" t="inlineStr">
        <is>
          <t>701+</t>
        </is>
      </c>
      <c r="AP213" t="inlineStr">
        <is>
          <t>16.7</t>
        </is>
      </c>
      <c r="AQ213" t="inlineStr">
        <is>
          <t>606</t>
        </is>
      </c>
      <c r="AR213" t="inlineStr">
        <is>
          <t>8.3</t>
        </is>
      </c>
      <c r="AS213" t="inlineStr">
        <is>
          <t>701+</t>
        </is>
      </c>
      <c r="AT213" t="inlineStr">
        <is>
          <t>4.5</t>
        </is>
      </c>
      <c r="AU213" t="inlineStr">
        <is>
          <t>701+</t>
        </is>
      </c>
      <c r="AV213" t="inlineStr">
        <is>
          <t>36.4</t>
        </is>
      </c>
      <c r="AW213" t="inlineStr">
        <is>
          <t>408</t>
        </is>
      </c>
      <c r="AX213" t="inlineStr">
        <is>
          <t>11.1</t>
        </is>
      </c>
      <c r="AY213" t="inlineStr">
        <is>
          <t>701+</t>
        </is>
      </c>
      <c r="AZ213" t="inlineStr">
        <is>
          <t>32.1</t>
        </is>
      </c>
      <c r="BA213" t="inlineStr">
        <is>
          <t>423</t>
        </is>
      </c>
    </row>
    <row r="214">
      <c r="A214" t="inlineStr">
        <is>
          <t>Cleveland State University</t>
        </is>
      </c>
      <c r="B214" t="inlineStr">
        <is>
          <t>United States</t>
        </is>
      </c>
      <c r="C214" t="inlineStr">
        <is>
          <t>US</t>
        </is>
      </c>
      <c r="D214" t="inlineStr">
        <is>
          <t>Americas</t>
        </is>
      </c>
      <c r="E214" t="inlineStr">
        <is>
          <t>M</t>
        </is>
      </c>
      <c r="F214" t="inlineStr">
        <is>
          <t>FO</t>
        </is>
      </c>
      <c r="G214" t="inlineStr">
        <is>
          <t>VH</t>
        </is>
      </c>
      <c r="H214" t="inlineStr">
        <is>
          <t>4</t>
        </is>
      </c>
      <c r="I214" t="inlineStr">
        <is>
          <t>Public</t>
        </is>
      </c>
      <c r="J214" t="inlineStr">
        <is>
          <t>1401+</t>
        </is>
      </c>
      <c r="K214" t="inlineStr">
        <is>
          <t>1201-1400</t>
        </is>
      </c>
      <c r="L214" t="inlineStr">
        <is>
          <t>1201-1400</t>
        </is>
      </c>
      <c r="M214" t="inlineStr">
        <is>
          <t>1201-1400</t>
        </is>
      </c>
      <c r="N214" t="inlineStr">
        <is>
          <t>-</t>
        </is>
      </c>
      <c r="O214" t="inlineStr">
        <is>
          <t>-</t>
        </is>
      </c>
      <c r="P214" t="n">
        <v>4.5</v>
      </c>
      <c r="Q214" t="inlineStr">
        <is>
          <t>701+</t>
        </is>
      </c>
      <c r="R214" t="n">
        <v>6.2</v>
      </c>
      <c r="S214" t="inlineStr">
        <is>
          <t>701+</t>
        </is>
      </c>
      <c r="T214" t="n">
        <v>12.3</v>
      </c>
      <c r="U214" t="inlineStr">
        <is>
          <t>801+</t>
        </is>
      </c>
      <c r="V214" t="n">
        <v>7.7</v>
      </c>
      <c r="W214" t="inlineStr">
        <is>
          <t>801+</t>
        </is>
      </c>
      <c r="X214" t="n">
        <v>5.6</v>
      </c>
      <c r="Y214" t="inlineStr">
        <is>
          <t>801+</t>
        </is>
      </c>
      <c r="Z214" t="n">
        <v>47.6</v>
      </c>
      <c r="AA214" t="inlineStr">
        <is>
          <t>423</t>
        </is>
      </c>
      <c r="AB214" t="n">
        <v>35.6</v>
      </c>
      <c r="AC214" t="inlineStr">
        <is>
          <t>540</t>
        </is>
      </c>
      <c r="AD214" t="n">
        <v>17.9</v>
      </c>
      <c r="AE214" t="inlineStr">
        <is>
          <t>801+</t>
        </is>
      </c>
      <c r="AF214" t="n">
        <v>12.4</v>
      </c>
      <c r="AG214" t="inlineStr">
        <is>
          <t>801+</t>
        </is>
      </c>
      <c r="AH214" t="n">
        <v>25.7</v>
      </c>
      <c r="AI214" t="inlineStr">
        <is>
          <t>801+</t>
        </is>
      </c>
      <c r="AJ214" t="inlineStr">
        <is>
          <t>4.3</t>
        </is>
      </c>
      <c r="AK214" t="inlineStr">
        <is>
          <t>601+</t>
        </is>
      </c>
      <c r="AL214" t="inlineStr">
        <is>
          <t>4.2</t>
        </is>
      </c>
      <c r="AM214" t="inlineStr">
        <is>
          <t>601+</t>
        </is>
      </c>
      <c r="AN214" t="inlineStr">
        <is>
          <t>8.9</t>
        </is>
      </c>
      <c r="AO214" t="inlineStr">
        <is>
          <t>701+</t>
        </is>
      </c>
      <c r="AP214" t="inlineStr">
        <is>
          <t>4.8</t>
        </is>
      </c>
      <c r="AQ214" t="inlineStr">
        <is>
          <t>701+</t>
        </is>
      </c>
      <c r="AR214" t="inlineStr">
        <is>
          <t>4.3</t>
        </is>
      </c>
      <c r="AS214" t="inlineStr">
        <is>
          <t>701+</t>
        </is>
      </c>
      <c r="AT214" t="inlineStr">
        <is>
          <t>17.2</t>
        </is>
      </c>
      <c r="AU214" t="inlineStr">
        <is>
          <t>585</t>
        </is>
      </c>
      <c r="AV214" t="inlineStr">
        <is>
          <t>1.0</t>
        </is>
      </c>
      <c r="AW214" t="inlineStr">
        <is>
          <t>701+</t>
        </is>
      </c>
      <c r="AX214" t="inlineStr">
        <is>
          <t>11.1</t>
        </is>
      </c>
      <c r="AY214" t="inlineStr">
        <is>
          <t>701+</t>
        </is>
      </c>
      <c r="AZ214" t="inlineStr"/>
      <c r="BA214" t="inlineStr"/>
    </row>
    <row r="215">
      <c r="A215" t="inlineStr">
        <is>
          <t>Colegio de México</t>
        </is>
      </c>
      <c r="B215" t="inlineStr">
        <is>
          <t>Mexico</t>
        </is>
      </c>
      <c r="C215" t="inlineStr">
        <is>
          <t>MX</t>
        </is>
      </c>
      <c r="D215" t="inlineStr">
        <is>
          <t>Americas</t>
        </is>
      </c>
      <c r="E215" t="inlineStr">
        <is>
          <t>S</t>
        </is>
      </c>
      <c r="F215" t="inlineStr">
        <is>
          <t>SP</t>
        </is>
      </c>
      <c r="G215" t="inlineStr">
        <is>
          <t>VH</t>
        </is>
      </c>
      <c r="H215" t="inlineStr">
        <is>
          <t>4</t>
        </is>
      </c>
      <c r="I215" t="inlineStr">
        <is>
          <t>Public</t>
        </is>
      </c>
      <c r="J215" t="inlineStr">
        <is>
          <t>901-950</t>
        </is>
      </c>
      <c r="K215" t="inlineStr">
        <is>
          <t>771-780</t>
        </is>
      </c>
      <c r="L215" t="inlineStr">
        <is>
          <t>681-690</t>
        </is>
      </c>
      <c r="M215" t="inlineStr">
        <is>
          <t>402=</t>
        </is>
      </c>
      <c r="N215" t="inlineStr">
        <is>
          <t>-</t>
        </is>
      </c>
      <c r="O215" t="inlineStr">
        <is>
          <t>-</t>
        </is>
      </c>
      <c r="P215" t="n">
        <v>19.5</v>
      </c>
      <c r="Q215" t="inlineStr">
        <is>
          <t>630</t>
        </is>
      </c>
      <c r="R215" t="n">
        <v>5.8</v>
      </c>
      <c r="S215" t="inlineStr">
        <is>
          <t>701+</t>
        </is>
      </c>
      <c r="T215" t="n">
        <v>100</v>
      </c>
      <c r="U215" t="inlineStr">
        <is>
          <t>1</t>
        </is>
      </c>
      <c r="V215" t="n">
        <v>2.9</v>
      </c>
      <c r="W215" t="inlineStr">
        <is>
          <t>801+</t>
        </is>
      </c>
      <c r="X215" t="n">
        <v>11.5</v>
      </c>
      <c r="Y215" t="inlineStr">
        <is>
          <t>801+</t>
        </is>
      </c>
      <c r="Z215" t="n">
        <v>26.7</v>
      </c>
      <c r="AA215" t="inlineStr">
        <is>
          <t>637</t>
        </is>
      </c>
      <c r="AB215" t="n">
        <v>20</v>
      </c>
      <c r="AC215" t="inlineStr">
        <is>
          <t>762</t>
        </is>
      </c>
      <c r="AD215" t="n">
        <v>9.800000000000001</v>
      </c>
      <c r="AE215" t="inlineStr">
        <is>
          <t>801+</t>
        </is>
      </c>
      <c r="AF215" t="n">
        <v>3.3</v>
      </c>
      <c r="AG215" t="inlineStr">
        <is>
          <t>801+</t>
        </is>
      </c>
      <c r="AH215" t="n">
        <v>13.9</v>
      </c>
      <c r="AI215" t="inlineStr">
        <is>
          <t>801+</t>
        </is>
      </c>
      <c r="AJ215" t="inlineStr">
        <is>
          <t>15.6</t>
        </is>
      </c>
      <c r="AK215" t="inlineStr">
        <is>
          <t>559</t>
        </is>
      </c>
      <c r="AL215" t="inlineStr">
        <is>
          <t>3.1</t>
        </is>
      </c>
      <c r="AM215" t="inlineStr">
        <is>
          <t>601+</t>
        </is>
      </c>
      <c r="AN215" t="inlineStr">
        <is>
          <t>100.0</t>
        </is>
      </c>
      <c r="AO215" t="inlineStr">
        <is>
          <t>2</t>
        </is>
      </c>
      <c r="AP215" t="inlineStr">
        <is>
          <t>1.6</t>
        </is>
      </c>
      <c r="AQ215" t="inlineStr">
        <is>
          <t>701+</t>
        </is>
      </c>
      <c r="AR215" t="inlineStr">
        <is>
          <t>9.1</t>
        </is>
      </c>
      <c r="AS215" t="inlineStr">
        <is>
          <t>701+</t>
        </is>
      </c>
      <c r="AT215" t="inlineStr">
        <is>
          <t>18.0</t>
        </is>
      </c>
      <c r="AU215" t="inlineStr">
        <is>
          <t>576</t>
        </is>
      </c>
      <c r="AV215" t="inlineStr">
        <is>
          <t>1.0</t>
        </is>
      </c>
      <c r="AW215" t="inlineStr">
        <is>
          <t>701+</t>
        </is>
      </c>
      <c r="AX215" t="inlineStr">
        <is>
          <t>7.7</t>
        </is>
      </c>
      <c r="AY215" t="inlineStr">
        <is>
          <t>701+</t>
        </is>
      </c>
      <c r="AZ215" t="inlineStr">
        <is>
          <t>1</t>
        </is>
      </c>
      <c r="BA215" t="inlineStr">
        <is>
          <t>701+</t>
        </is>
      </c>
    </row>
    <row r="216">
      <c r="A216" t="inlineStr">
        <is>
          <t>College of William and Mary</t>
        </is>
      </c>
      <c r="B216" t="inlineStr">
        <is>
          <t>United States</t>
        </is>
      </c>
      <c r="C216" t="inlineStr">
        <is>
          <t>US</t>
        </is>
      </c>
      <c r="D216" t="inlineStr"/>
      <c r="E216" t="inlineStr">
        <is>
          <t>M</t>
        </is>
      </c>
      <c r="F216" t="inlineStr">
        <is>
          <t>CO</t>
        </is>
      </c>
      <c r="G216" t="inlineStr">
        <is>
          <t>VH</t>
        </is>
      </c>
      <c r="H216" t="inlineStr">
        <is>
          <t>5</t>
        </is>
      </c>
      <c r="I216" t="inlineStr">
        <is>
          <t>A</t>
        </is>
      </c>
      <c r="J216" t="inlineStr"/>
      <c r="K216" t="inlineStr"/>
      <c r="L216" t="inlineStr">
        <is>
          <t>901-950</t>
        </is>
      </c>
      <c r="M216" t="inlineStr">
        <is>
          <t>801-1000</t>
        </is>
      </c>
      <c r="N216" t="inlineStr"/>
      <c r="O216" t="inlineStr">
        <is>
          <t>-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8.3</t>
        </is>
      </c>
      <c r="AK216" t="inlineStr">
        <is>
          <t>601+</t>
        </is>
      </c>
      <c r="AL216" t="inlineStr">
        <is>
          <t>10.6</t>
        </is>
      </c>
      <c r="AM216" t="inlineStr">
        <is>
          <t>601+</t>
        </is>
      </c>
      <c r="AN216" t="inlineStr">
        <is>
          <t>25.7</t>
        </is>
      </c>
      <c r="AO216" t="inlineStr">
        <is>
          <t>574</t>
        </is>
      </c>
      <c r="AP216" t="inlineStr">
        <is>
          <t>15.6</t>
        </is>
      </c>
      <c r="AQ216" t="inlineStr">
        <is>
          <t>624</t>
        </is>
      </c>
      <c r="AR216" t="inlineStr">
        <is>
          <t>6.9</t>
        </is>
      </c>
      <c r="AS216" t="inlineStr">
        <is>
          <t>701+</t>
        </is>
      </c>
      <c r="AT216" t="inlineStr">
        <is>
          <t>6.8</t>
        </is>
      </c>
      <c r="AU216" t="inlineStr">
        <is>
          <t>701+</t>
        </is>
      </c>
      <c r="AV216" t="inlineStr">
        <is>
          <t>2.5</t>
        </is>
      </c>
      <c r="AW216" t="inlineStr">
        <is>
          <t>701+</t>
        </is>
      </c>
      <c r="AX216" t="inlineStr">
        <is>
          <t>21.4</t>
        </is>
      </c>
      <c r="AY216" t="inlineStr">
        <is>
          <t>390</t>
        </is>
      </c>
      <c r="AZ216" t="inlineStr">
        <is>
          <t>8.1</t>
        </is>
      </c>
      <c r="BA216" t="inlineStr">
        <is>
          <t>701+</t>
        </is>
      </c>
    </row>
    <row r="217">
      <c r="A217" t="inlineStr">
        <is>
          <t>Colorado School of Mines</t>
        </is>
      </c>
      <c r="B217" t="inlineStr">
        <is>
          <t>United States</t>
        </is>
      </c>
      <c r="C217" t="inlineStr">
        <is>
          <t>US</t>
        </is>
      </c>
      <c r="D217" t="inlineStr">
        <is>
          <t>Americas</t>
        </is>
      </c>
      <c r="E217" t="inlineStr">
        <is>
          <t>M</t>
        </is>
      </c>
      <c r="F217" t="inlineStr">
        <is>
          <t>FO</t>
        </is>
      </c>
      <c r="G217" t="inlineStr">
        <is>
          <t>VH</t>
        </is>
      </c>
      <c r="H217" t="inlineStr">
        <is>
          <t>5</t>
        </is>
      </c>
      <c r="I217" t="inlineStr">
        <is>
          <t>Public</t>
        </is>
      </c>
      <c r="J217" t="inlineStr">
        <is>
          <t>571</t>
        </is>
      </c>
      <c r="K217" t="inlineStr">
        <is>
          <t>501</t>
        </is>
      </c>
      <c r="L217">
        <f>465</f>
        <v/>
      </c>
      <c r="M217" t="inlineStr">
        <is>
          <t>501-510</t>
        </is>
      </c>
      <c r="N217" t="inlineStr">
        <is>
          <t>29.2</t>
        </is>
      </c>
      <c r="O217" t="inlineStr">
        <is>
          <t>24.7</t>
        </is>
      </c>
      <c r="P217" t="n">
        <v>11.3</v>
      </c>
      <c r="Q217" t="inlineStr">
        <is>
          <t>701+</t>
        </is>
      </c>
      <c r="R217" t="n">
        <v>22.5</v>
      </c>
      <c r="S217" t="inlineStr">
        <is>
          <t>588</t>
        </is>
      </c>
      <c r="T217" t="n">
        <v>18.8</v>
      </c>
      <c r="U217" t="inlineStr">
        <is>
          <t>801+</t>
        </is>
      </c>
      <c r="V217" t="n">
        <v>69.90000000000001</v>
      </c>
      <c r="W217" t="inlineStr">
        <is>
          <t>216</t>
        </is>
      </c>
      <c r="X217" t="n">
        <v>28.7</v>
      </c>
      <c r="Y217" t="inlineStr">
        <is>
          <t>599</t>
        </is>
      </c>
      <c r="Z217" t="n">
        <v>11.2</v>
      </c>
      <c r="AA217" t="inlineStr">
        <is>
          <t>801+</t>
        </is>
      </c>
      <c r="AB217" t="n">
        <v>17.1</v>
      </c>
      <c r="AC217" t="inlineStr">
        <is>
          <t>801+</t>
        </is>
      </c>
      <c r="AD217" t="n">
        <v>30.9</v>
      </c>
      <c r="AE217" t="inlineStr">
        <is>
          <t>801+</t>
        </is>
      </c>
      <c r="AF217" t="n">
        <v>29.4</v>
      </c>
      <c r="AG217" t="inlineStr">
        <is>
          <t>558</t>
        </is>
      </c>
      <c r="AH217" t="n">
        <v>54.7</v>
      </c>
      <c r="AI217" t="inlineStr">
        <is>
          <t>608=</t>
        </is>
      </c>
      <c r="AJ217" t="inlineStr">
        <is>
          <t>7.2</t>
        </is>
      </c>
      <c r="AK217" t="inlineStr">
        <is>
          <t>601+</t>
        </is>
      </c>
      <c r="AL217" t="inlineStr">
        <is>
          <t>9.6</t>
        </is>
      </c>
      <c r="AM217" t="inlineStr">
        <is>
          <t>601+</t>
        </is>
      </c>
      <c r="AN217" t="inlineStr">
        <is>
          <t>19.7</t>
        </is>
      </c>
      <c r="AO217" t="inlineStr">
        <is>
          <t>675</t>
        </is>
      </c>
      <c r="AP217" t="inlineStr">
        <is>
          <t>70.8</t>
        </is>
      </c>
      <c r="AQ217" t="inlineStr">
        <is>
          <t>143</t>
        </is>
      </c>
      <c r="AR217" t="inlineStr">
        <is>
          <t>29.6</t>
        </is>
      </c>
      <c r="AS217" t="inlineStr">
        <is>
          <t>491</t>
        </is>
      </c>
      <c r="AT217" t="inlineStr">
        <is>
          <t>9.0</t>
        </is>
      </c>
      <c r="AU217" t="inlineStr">
        <is>
          <t>701+</t>
        </is>
      </c>
      <c r="AV217" t="inlineStr">
        <is>
          <t>2.3</t>
        </is>
      </c>
      <c r="AW217" t="inlineStr">
        <is>
          <t>701+</t>
        </is>
      </c>
      <c r="AX217" t="inlineStr">
        <is>
          <t>17.4</t>
        </is>
      </c>
      <c r="AY217" t="inlineStr">
        <is>
          <t>481</t>
        </is>
      </c>
      <c r="AZ217" t="inlineStr">
        <is>
          <t>42</t>
        </is>
      </c>
      <c r="BA217" t="inlineStr">
        <is>
          <t>355</t>
        </is>
      </c>
    </row>
    <row r="218">
      <c r="A218" t="inlineStr">
        <is>
          <t>Colorado State University</t>
        </is>
      </c>
      <c r="B218" t="inlineStr">
        <is>
          <t>United States</t>
        </is>
      </c>
      <c r="C218" t="inlineStr">
        <is>
          <t>US</t>
        </is>
      </c>
      <c r="D218" t="inlineStr">
        <is>
          <t>Americas</t>
        </is>
      </c>
      <c r="E218" t="inlineStr">
        <is>
          <t>L</t>
        </is>
      </c>
      <c r="F218" t="inlineStr">
        <is>
          <t>CO</t>
        </is>
      </c>
      <c r="G218" t="inlineStr">
        <is>
          <t>VH</t>
        </is>
      </c>
      <c r="H218" t="inlineStr">
        <is>
          <t>5</t>
        </is>
      </c>
      <c r="I218" t="inlineStr">
        <is>
          <t>Public</t>
        </is>
      </c>
      <c r="J218" t="inlineStr">
        <is>
          <t>458</t>
        </is>
      </c>
      <c r="K218" t="inlineStr">
        <is>
          <t>442</t>
        </is>
      </c>
      <c r="L218" t="inlineStr">
        <is>
          <t>409</t>
        </is>
      </c>
      <c r="M218" t="inlineStr">
        <is>
          <t>408=</t>
        </is>
      </c>
      <c r="N218" t="inlineStr">
        <is>
          <t>34</t>
        </is>
      </c>
      <c r="O218" t="inlineStr">
        <is>
          <t>27.3</t>
        </is>
      </c>
      <c r="P218" t="n">
        <v>25.2</v>
      </c>
      <c r="Q218" t="inlineStr">
        <is>
          <t>508</t>
        </is>
      </c>
      <c r="R218" t="n">
        <v>30.1</v>
      </c>
      <c r="S218" t="inlineStr">
        <is>
          <t>473</t>
        </is>
      </c>
      <c r="T218" t="n">
        <v>73.09999999999999</v>
      </c>
      <c r="U218" t="inlineStr">
        <is>
          <t>209</t>
        </is>
      </c>
      <c r="V218" t="n">
        <v>22.8</v>
      </c>
      <c r="W218" t="inlineStr">
        <is>
          <t>672</t>
        </is>
      </c>
      <c r="X218" t="n">
        <v>22.7</v>
      </c>
      <c r="Y218" t="inlineStr">
        <is>
          <t>679</t>
        </is>
      </c>
      <c r="Z218" t="n">
        <v>9</v>
      </c>
      <c r="AA218" t="inlineStr">
        <is>
          <t>801+</t>
        </is>
      </c>
      <c r="AB218" t="n">
        <v>14.7</v>
      </c>
      <c r="AC218" t="inlineStr">
        <is>
          <t>801+</t>
        </is>
      </c>
      <c r="AD218" t="n">
        <v>82.5</v>
      </c>
      <c r="AE218" t="inlineStr">
        <is>
          <t>303</t>
        </is>
      </c>
      <c r="AF218" t="n">
        <v>32.3</v>
      </c>
      <c r="AG218" t="inlineStr">
        <is>
          <t>524</t>
        </is>
      </c>
      <c r="AH218" t="n">
        <v>75</v>
      </c>
      <c r="AI218" t="inlineStr">
        <is>
          <t>236</t>
        </is>
      </c>
      <c r="AJ218" t="inlineStr">
        <is>
          <t>18.8</t>
        </is>
      </c>
      <c r="AK218" t="inlineStr">
        <is>
          <t>475</t>
        </is>
      </c>
      <c r="AL218" t="inlineStr">
        <is>
          <t>18.2</t>
        </is>
      </c>
      <c r="AM218" t="inlineStr">
        <is>
          <t>482</t>
        </is>
      </c>
      <c r="AN218" t="inlineStr">
        <is>
          <t>56.8</t>
        </is>
      </c>
      <c r="AO218" t="inlineStr">
        <is>
          <t>258</t>
        </is>
      </c>
      <c r="AP218" t="inlineStr">
        <is>
          <t>20.3</t>
        </is>
      </c>
      <c r="AQ218" t="inlineStr">
        <is>
          <t>553</t>
        </is>
      </c>
      <c r="AR218" t="inlineStr">
        <is>
          <t>12.3</t>
        </is>
      </c>
      <c r="AS218" t="inlineStr">
        <is>
          <t>701+</t>
        </is>
      </c>
      <c r="AT218" t="inlineStr">
        <is>
          <t>4.2</t>
        </is>
      </c>
      <c r="AU218" t="inlineStr">
        <is>
          <t>701+</t>
        </is>
      </c>
      <c r="AV218" t="inlineStr">
        <is>
          <t>54.9</t>
        </is>
      </c>
      <c r="AW218" t="inlineStr">
        <is>
          <t>285</t>
        </is>
      </c>
      <c r="AX218" t="inlineStr">
        <is>
          <t>15</t>
        </is>
      </c>
      <c r="AY218" t="inlineStr">
        <is>
          <t>559</t>
        </is>
      </c>
      <c r="AZ218" t="inlineStr">
        <is>
          <t>97.7</t>
        </is>
      </c>
      <c r="BA218" t="inlineStr">
        <is>
          <t>29</t>
        </is>
      </c>
    </row>
    <row r="219">
      <c r="A219" t="inlineStr">
        <is>
          <t>Columbia University</t>
        </is>
      </c>
      <c r="B219" t="inlineStr">
        <is>
          <t>United States</t>
        </is>
      </c>
      <c r="C219" t="inlineStr">
        <is>
          <t>US</t>
        </is>
      </c>
      <c r="D219" t="inlineStr">
        <is>
          <t>Americas</t>
        </is>
      </c>
      <c r="E219" t="inlineStr">
        <is>
          <t>XL</t>
        </is>
      </c>
      <c r="F219" t="inlineStr">
        <is>
          <t>FC</t>
        </is>
      </c>
      <c r="G219" t="inlineStr">
        <is>
          <t>VH</t>
        </is>
      </c>
      <c r="H219" t="inlineStr">
        <is>
          <t>5</t>
        </is>
      </c>
      <c r="I219" t="inlineStr">
        <is>
          <t>Private not for Profit</t>
        </is>
      </c>
      <c r="J219" t="inlineStr">
        <is>
          <t>38</t>
        </is>
      </c>
      <c r="K219" t="inlineStr">
        <is>
          <t>34</t>
        </is>
      </c>
      <c r="L219" t="inlineStr">
        <is>
          <t>23</t>
        </is>
      </c>
      <c r="M219" t="inlineStr">
        <is>
          <t>22</t>
        </is>
      </c>
      <c r="N219" t="inlineStr">
        <is>
          <t>85.6</t>
        </is>
      </c>
      <c r="O219" t="inlineStr">
        <is>
          <t>85.9</t>
        </is>
      </c>
      <c r="P219" t="n">
        <v>99.90000000000001</v>
      </c>
      <c r="Q219" t="inlineStr">
        <is>
          <t>13</t>
        </is>
      </c>
      <c r="R219" t="n">
        <v>99.90000000000001</v>
      </c>
      <c r="S219" t="inlineStr">
        <is>
          <t>11</t>
        </is>
      </c>
      <c r="T219" t="n">
        <v>100</v>
      </c>
      <c r="U219" t="inlineStr">
        <is>
          <t>19</t>
        </is>
      </c>
      <c r="V219" t="n">
        <v>44.5</v>
      </c>
      <c r="W219" t="inlineStr">
        <is>
          <t>418</t>
        </is>
      </c>
      <c r="X219" t="n">
        <v>48.5</v>
      </c>
      <c r="Y219" t="inlineStr">
        <is>
          <t>445</t>
        </is>
      </c>
      <c r="Z219" t="n">
        <v>98.09999999999999</v>
      </c>
      <c r="AA219" t="inlineStr">
        <is>
          <t>88</t>
        </is>
      </c>
      <c r="AB219" t="n">
        <v>72.90000000000001</v>
      </c>
      <c r="AC219" t="inlineStr">
        <is>
          <t>250</t>
        </is>
      </c>
      <c r="AD219" t="n">
        <v>98.40000000000001</v>
      </c>
      <c r="AE219" t="inlineStr">
        <is>
          <t>18</t>
        </is>
      </c>
      <c r="AF219" t="n">
        <v>100</v>
      </c>
      <c r="AG219" t="inlineStr">
        <is>
          <t>8</t>
        </is>
      </c>
      <c r="AH219" t="n">
        <v>77.90000000000001</v>
      </c>
      <c r="AI219" t="inlineStr">
        <is>
          <t>198=</t>
        </is>
      </c>
      <c r="AJ219" t="inlineStr">
        <is>
          <t>99.6</t>
        </is>
      </c>
      <c r="AK219" t="inlineStr">
        <is>
          <t>12</t>
        </is>
      </c>
      <c r="AL219" t="inlineStr">
        <is>
          <t>98.3</t>
        </is>
      </c>
      <c r="AM219" t="inlineStr">
        <is>
          <t>16</t>
        </is>
      </c>
      <c r="AN219" t="inlineStr">
        <is>
          <t>100.0</t>
        </is>
      </c>
      <c r="AO219" t="inlineStr">
        <is>
          <t>15</t>
        </is>
      </c>
      <c r="AP219" t="inlineStr">
        <is>
          <t>40.7</t>
        </is>
      </c>
      <c r="AQ219" t="inlineStr">
        <is>
          <t>339</t>
        </is>
      </c>
      <c r="AR219" t="inlineStr">
        <is>
          <t>56.1</t>
        </is>
      </c>
      <c r="AS219" t="inlineStr">
        <is>
          <t>332</t>
        </is>
      </c>
      <c r="AT219" t="inlineStr">
        <is>
          <t>96.8</t>
        </is>
      </c>
      <c r="AU219" t="inlineStr">
        <is>
          <t>76</t>
        </is>
      </c>
      <c r="AV219" t="inlineStr">
        <is>
          <t>97.6</t>
        </is>
      </c>
      <c r="AW219" t="inlineStr">
        <is>
          <t>25</t>
        </is>
      </c>
      <c r="AX219" t="inlineStr">
        <is>
          <t>99.9</t>
        </is>
      </c>
      <c r="AY219" t="inlineStr">
        <is>
          <t>10</t>
        </is>
      </c>
      <c r="AZ219" t="inlineStr">
        <is>
          <t>94.2</t>
        </is>
      </c>
      <c r="BA219" t="inlineStr">
        <is>
          <t>64=</t>
        </is>
      </c>
    </row>
    <row r="220">
      <c r="A220" t="inlineStr">
        <is>
          <t>Comenius University Bratislava</t>
        </is>
      </c>
      <c r="B220" t="inlineStr">
        <is>
          <t>Slovakia</t>
        </is>
      </c>
      <c r="C220" t="inlineStr">
        <is>
          <t>SK</t>
        </is>
      </c>
      <c r="D220" t="inlineStr">
        <is>
          <t>Europe</t>
        </is>
      </c>
      <c r="E220" t="inlineStr">
        <is>
          <t>L</t>
        </is>
      </c>
      <c r="F220" t="inlineStr">
        <is>
          <t>FC</t>
        </is>
      </c>
      <c r="G220" t="inlineStr">
        <is>
          <t>HI</t>
        </is>
      </c>
      <c r="H220" t="inlineStr">
        <is>
          <t>5</t>
        </is>
      </c>
      <c r="I220" t="inlineStr">
        <is>
          <t>Public</t>
        </is>
      </c>
      <c r="J220" t="inlineStr">
        <is>
          <t>684</t>
        </is>
      </c>
      <c r="K220" t="inlineStr">
        <is>
          <t>661-670</t>
        </is>
      </c>
      <c r="L220" t="inlineStr">
        <is>
          <t>771-780</t>
        </is>
      </c>
      <c r="M220" t="inlineStr">
        <is>
          <t>651-700</t>
        </is>
      </c>
      <c r="N220" t="inlineStr">
        <is>
          <t>25.8</t>
        </is>
      </c>
      <c r="O220" t="inlineStr">
        <is>
          <t>-</t>
        </is>
      </c>
      <c r="P220" t="n">
        <v>16.8</v>
      </c>
      <c r="Q220" t="inlineStr">
        <is>
          <t>701+</t>
        </is>
      </c>
      <c r="R220" t="n">
        <v>14.7</v>
      </c>
      <c r="S220" t="inlineStr">
        <is>
          <t>701+</t>
        </is>
      </c>
      <c r="T220" t="n">
        <v>61.3</v>
      </c>
      <c r="U220" t="inlineStr">
        <is>
          <t>293</t>
        </is>
      </c>
      <c r="V220" t="n">
        <v>6.9</v>
      </c>
      <c r="W220" t="inlineStr">
        <is>
          <t>801+</t>
        </is>
      </c>
      <c r="X220" t="n">
        <v>8.4</v>
      </c>
      <c r="Y220" t="inlineStr">
        <is>
          <t>801+</t>
        </is>
      </c>
      <c r="Z220" t="n">
        <v>39</v>
      </c>
      <c r="AA220" t="inlineStr">
        <is>
          <t>504</t>
        </is>
      </c>
      <c r="AB220" t="n">
        <v>44.5</v>
      </c>
      <c r="AC220" t="inlineStr">
        <is>
          <t>469</t>
        </is>
      </c>
      <c r="AD220" t="n">
        <v>68.8</v>
      </c>
      <c r="AE220" t="inlineStr">
        <is>
          <t>549</t>
        </is>
      </c>
      <c r="AF220" t="n">
        <v>87</v>
      </c>
      <c r="AG220" t="inlineStr">
        <is>
          <t>126</t>
        </is>
      </c>
      <c r="AH220" t="n">
        <v>43.7</v>
      </c>
      <c r="AI220" t="inlineStr">
        <is>
          <t>801+</t>
        </is>
      </c>
      <c r="AJ220" t="inlineStr">
        <is>
          <t>14.1</t>
        </is>
      </c>
      <c r="AK220" t="inlineStr">
        <is>
          <t>601+</t>
        </is>
      </c>
      <c r="AL220" t="inlineStr">
        <is>
          <t>5.2</t>
        </is>
      </c>
      <c r="AM220" t="inlineStr">
        <is>
          <t>601+</t>
        </is>
      </c>
      <c r="AN220" t="inlineStr">
        <is>
          <t>55.8</t>
        </is>
      </c>
      <c r="AO220" t="inlineStr">
        <is>
          <t>268</t>
        </is>
      </c>
      <c r="AP220" t="inlineStr">
        <is>
          <t>3.4</t>
        </is>
      </c>
      <c r="AQ220" t="inlineStr">
        <is>
          <t>701+</t>
        </is>
      </c>
      <c r="AR220" t="inlineStr">
        <is>
          <t>4.1</t>
        </is>
      </c>
      <c r="AS220" t="inlineStr">
        <is>
          <t>701+</t>
        </is>
      </c>
      <c r="AT220" t="inlineStr">
        <is>
          <t>30.5</t>
        </is>
      </c>
      <c r="AU220" t="inlineStr">
        <is>
          <t>419</t>
        </is>
      </c>
      <c r="AV220" t="inlineStr">
        <is>
          <t>13.0</t>
        </is>
      </c>
      <c r="AW220" t="inlineStr">
        <is>
          <t>625</t>
        </is>
      </c>
      <c r="AX220" t="inlineStr">
        <is>
          <t>32.8</t>
        </is>
      </c>
      <c r="AY220" t="inlineStr">
        <is>
          <t>233</t>
        </is>
      </c>
      <c r="AZ220" t="inlineStr">
        <is>
          <t>4.1</t>
        </is>
      </c>
      <c r="BA220" t="inlineStr">
        <is>
          <t>701+</t>
        </is>
      </c>
    </row>
    <row r="221">
      <c r="A221" t="inlineStr">
        <is>
          <t>Complutense University of Madrid</t>
        </is>
      </c>
      <c r="B221" t="inlineStr">
        <is>
          <t>Spain</t>
        </is>
      </c>
      <c r="C221" t="inlineStr">
        <is>
          <t>ES</t>
        </is>
      </c>
      <c r="D221" t="inlineStr"/>
      <c r="E221" t="inlineStr">
        <is>
          <t>XL</t>
        </is>
      </c>
      <c r="F221" t="inlineStr">
        <is>
          <t>FC</t>
        </is>
      </c>
      <c r="G221" t="inlineStr">
        <is>
          <t>VH</t>
        </is>
      </c>
      <c r="H221" t="inlineStr">
        <is>
          <t>4</t>
        </is>
      </c>
      <c r="I221" t="inlineStr">
        <is>
          <t>A</t>
        </is>
      </c>
      <c r="J221" t="inlineStr"/>
      <c r="K221" t="inlineStr"/>
      <c r="L221">
        <f>171</f>
        <v/>
      </c>
      <c r="M221" t="inlineStr">
        <is>
          <t>226=</t>
        </is>
      </c>
      <c r="N221" t="inlineStr"/>
      <c r="O221" t="inlineStr">
        <is>
          <t>48.8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68.2</t>
        </is>
      </c>
      <c r="AK221" t="inlineStr">
        <is>
          <t>96</t>
        </is>
      </c>
      <c r="AL221" t="inlineStr">
        <is>
          <t>69.3</t>
        </is>
      </c>
      <c r="AM221" t="inlineStr">
        <is>
          <t>105</t>
        </is>
      </c>
      <c r="AN221" t="inlineStr">
        <is>
          <t>25.8</t>
        </is>
      </c>
      <c r="AO221" t="inlineStr">
        <is>
          <t>573</t>
        </is>
      </c>
      <c r="AP221" t="inlineStr">
        <is>
          <t>7.0</t>
        </is>
      </c>
      <c r="AQ221" t="inlineStr">
        <is>
          <t>701+</t>
        </is>
      </c>
      <c r="AR221" t="inlineStr">
        <is>
          <t>9.0</t>
        </is>
      </c>
      <c r="AS221" t="inlineStr">
        <is>
          <t>701+</t>
        </is>
      </c>
      <c r="AT221" t="inlineStr">
        <is>
          <t>25.6</t>
        </is>
      </c>
      <c r="AU221" t="inlineStr">
        <is>
          <t>469</t>
        </is>
      </c>
      <c r="AV221" t="inlineStr">
        <is>
          <t>83.4</t>
        </is>
      </c>
      <c r="AW221" t="inlineStr">
        <is>
          <t>127</t>
        </is>
      </c>
      <c r="AX221" t="inlineStr">
        <is>
          <t>57.9</t>
        </is>
      </c>
      <c r="AY221" t="inlineStr">
        <is>
          <t>106</t>
        </is>
      </c>
      <c r="AZ221" t="inlineStr">
        <is>
          <t>96.3</t>
        </is>
      </c>
      <c r="BA221" t="inlineStr">
        <is>
          <t>41</t>
        </is>
      </c>
    </row>
    <row r="222">
      <c r="A222" t="inlineStr">
        <is>
          <t>COMSATS University Islamabad</t>
        </is>
      </c>
      <c r="B222" t="inlineStr">
        <is>
          <t>Pakistan</t>
        </is>
      </c>
      <c r="C222" t="inlineStr">
        <is>
          <t>PK</t>
        </is>
      </c>
      <c r="D222" t="inlineStr">
        <is>
          <t>Asia</t>
        </is>
      </c>
      <c r="E222" t="inlineStr">
        <is>
          <t>XL</t>
        </is>
      </c>
      <c r="F222" t="inlineStr">
        <is>
          <t>CO</t>
        </is>
      </c>
      <c r="G222" t="inlineStr">
        <is>
          <t>VH</t>
        </is>
      </c>
      <c r="H222" t="inlineStr">
        <is>
          <t>2</t>
        </is>
      </c>
      <c r="I222" t="inlineStr">
        <is>
          <t>Public</t>
        </is>
      </c>
      <c r="J222" t="inlineStr">
        <is>
          <t>664</t>
        </is>
      </c>
      <c r="K222" t="inlineStr">
        <is>
          <t>711-720</t>
        </is>
      </c>
      <c r="L222" t="inlineStr">
        <is>
          <t>651-660</t>
        </is>
      </c>
      <c r="M222" t="inlineStr">
        <is>
          <t>1001-1200</t>
        </is>
      </c>
      <c r="N222" t="inlineStr">
        <is>
          <t>26.4</t>
        </is>
      </c>
      <c r="O222" t="inlineStr">
        <is>
          <t>-</t>
        </is>
      </c>
      <c r="P222" t="n">
        <v>17</v>
      </c>
      <c r="Q222" t="inlineStr">
        <is>
          <t>701+</t>
        </is>
      </c>
      <c r="R222" t="n">
        <v>35.8</v>
      </c>
      <c r="S222" t="inlineStr">
        <is>
          <t>403</t>
        </is>
      </c>
      <c r="T222" t="n">
        <v>17</v>
      </c>
      <c r="U222" t="inlineStr">
        <is>
          <t>801+</t>
        </is>
      </c>
      <c r="V222" t="n">
        <v>36.8</v>
      </c>
      <c r="W222" t="inlineStr">
        <is>
          <t>506</t>
        </is>
      </c>
      <c r="X222" t="n">
        <v>1.4</v>
      </c>
      <c r="Y222" t="inlineStr">
        <is>
          <t>801+</t>
        </is>
      </c>
      <c r="Z222" t="n">
        <v>1.6</v>
      </c>
      <c r="AA222" t="inlineStr">
        <is>
          <t>801+</t>
        </is>
      </c>
      <c r="AB222" t="n">
        <v>6</v>
      </c>
      <c r="AC222" t="inlineStr">
        <is>
          <t>801+</t>
        </is>
      </c>
      <c r="AD222" t="n">
        <v>87.3</v>
      </c>
      <c r="AE222" t="inlineStr">
        <is>
          <t>212</t>
        </is>
      </c>
      <c r="AF222" t="n">
        <v>8.300000000000001</v>
      </c>
      <c r="AG222" t="inlineStr">
        <is>
          <t>801+</t>
        </is>
      </c>
      <c r="AH222" t="n">
        <v>62.7</v>
      </c>
      <c r="AI222" t="inlineStr">
        <is>
          <t>444=</t>
        </is>
      </c>
      <c r="AJ222" t="inlineStr">
        <is>
          <t>10.4</t>
        </is>
      </c>
      <c r="AK222" t="inlineStr">
        <is>
          <t>601+</t>
        </is>
      </c>
      <c r="AL222" t="inlineStr">
        <is>
          <t>29.2</t>
        </is>
      </c>
      <c r="AM222" t="inlineStr">
        <is>
          <t>333</t>
        </is>
      </c>
      <c r="AN222" t="inlineStr">
        <is>
          <t>14.4</t>
        </is>
      </c>
      <c r="AO222" t="inlineStr">
        <is>
          <t>701+</t>
        </is>
      </c>
      <c r="AP222" t="inlineStr">
        <is>
          <t>13.9</t>
        </is>
      </c>
      <c r="AQ222" t="inlineStr">
        <is>
          <t>658</t>
        </is>
      </c>
      <c r="AR222" t="inlineStr">
        <is>
          <t>1.6</t>
        </is>
      </c>
      <c r="AS222" t="inlineStr">
        <is>
          <t>701+</t>
        </is>
      </c>
      <c r="AT222" t="inlineStr">
        <is>
          <t>1.6</t>
        </is>
      </c>
      <c r="AU222" t="inlineStr">
        <is>
          <t>701+</t>
        </is>
      </c>
      <c r="AV222" t="inlineStr">
        <is>
          <t>62.6</t>
        </is>
      </c>
      <c r="AW222" t="inlineStr">
        <is>
          <t>229</t>
        </is>
      </c>
      <c r="AX222" t="inlineStr">
        <is>
          <t>8.1</t>
        </is>
      </c>
      <c r="AY222" t="inlineStr">
        <is>
          <t>701+</t>
        </is>
      </c>
      <c r="AZ222" t="inlineStr">
        <is>
          <t>50.9</t>
        </is>
      </c>
      <c r="BA222" t="inlineStr">
        <is>
          <t>301=</t>
        </is>
      </c>
    </row>
    <row r="223">
      <c r="A223" t="inlineStr">
        <is>
          <t>Concordia University</t>
        </is>
      </c>
      <c r="B223" t="inlineStr">
        <is>
          <t>Canada</t>
        </is>
      </c>
      <c r="C223" t="inlineStr">
        <is>
          <t>CA</t>
        </is>
      </c>
      <c r="D223" t="inlineStr">
        <is>
          <t>Americas</t>
        </is>
      </c>
      <c r="E223" t="inlineStr">
        <is>
          <t>XL</t>
        </is>
      </c>
      <c r="F223" t="inlineStr">
        <is>
          <t>CO</t>
        </is>
      </c>
      <c r="G223" t="inlineStr">
        <is>
          <t>VH</t>
        </is>
      </c>
      <c r="H223" t="inlineStr">
        <is>
          <t>3</t>
        </is>
      </c>
      <c r="I223" t="inlineStr">
        <is>
          <t>Public</t>
        </is>
      </c>
      <c r="J223" t="inlineStr">
        <is>
          <t>465</t>
        </is>
      </c>
      <c r="K223" t="inlineStr">
        <is>
          <t>415</t>
        </is>
      </c>
      <c r="L223">
        <f>387</f>
        <v/>
      </c>
      <c r="M223" t="inlineStr">
        <is>
          <t>551-560</t>
        </is>
      </c>
      <c r="N223" t="inlineStr">
        <is>
          <t>33.8</t>
        </is>
      </c>
      <c r="O223" t="inlineStr">
        <is>
          <t>28.3</t>
        </is>
      </c>
      <c r="P223" t="n">
        <v>21.7</v>
      </c>
      <c r="Q223" t="inlineStr">
        <is>
          <t>572</t>
        </is>
      </c>
      <c r="R223" t="n">
        <v>18</v>
      </c>
      <c r="S223" t="inlineStr">
        <is>
          <t>701+</t>
        </is>
      </c>
      <c r="T223" t="n">
        <v>5.2</v>
      </c>
      <c r="U223" t="inlineStr">
        <is>
          <t>801+</t>
        </is>
      </c>
      <c r="V223" t="n">
        <v>32</v>
      </c>
      <c r="W223" t="inlineStr">
        <is>
          <t>563</t>
        </is>
      </c>
      <c r="X223" t="n">
        <v>64</v>
      </c>
      <c r="Y223" t="inlineStr">
        <is>
          <t>362</t>
        </is>
      </c>
      <c r="Z223" t="n">
        <v>94.40000000000001</v>
      </c>
      <c r="AA223" t="inlineStr">
        <is>
          <t>135</t>
        </is>
      </c>
      <c r="AB223" t="n">
        <v>94.8</v>
      </c>
      <c r="AC223" t="inlineStr">
        <is>
          <t>112</t>
        </is>
      </c>
      <c r="AD223" t="n">
        <v>75.59999999999999</v>
      </c>
      <c r="AE223" t="inlineStr">
        <is>
          <t>429</t>
        </is>
      </c>
      <c r="AF223" t="n">
        <v>58.4</v>
      </c>
      <c r="AG223" t="inlineStr">
        <is>
          <t>281</t>
        </is>
      </c>
      <c r="AH223" t="n">
        <v>81.8</v>
      </c>
      <c r="AI223" t="inlineStr">
        <is>
          <t>153</t>
        </is>
      </c>
      <c r="AJ223" t="inlineStr">
        <is>
          <t>15.0</t>
        </is>
      </c>
      <c r="AK223" t="inlineStr">
        <is>
          <t>580</t>
        </is>
      </c>
      <c r="AL223" t="inlineStr">
        <is>
          <t>15.2</t>
        </is>
      </c>
      <c r="AM223" t="inlineStr">
        <is>
          <t>544</t>
        </is>
      </c>
      <c r="AN223" t="inlineStr">
        <is>
          <t>3.0</t>
        </is>
      </c>
      <c r="AO223" t="inlineStr">
        <is>
          <t>701+</t>
        </is>
      </c>
      <c r="AP223" t="inlineStr">
        <is>
          <t>23.7</t>
        </is>
      </c>
      <c r="AQ223" t="inlineStr">
        <is>
          <t>504</t>
        </is>
      </c>
      <c r="AR223" t="inlineStr">
        <is>
          <t>80.3</t>
        </is>
      </c>
      <c r="AS223" t="inlineStr">
        <is>
          <t>227</t>
        </is>
      </c>
      <c r="AT223" t="inlineStr">
        <is>
          <t>89.3</t>
        </is>
      </c>
      <c r="AU223" t="inlineStr">
        <is>
          <t>122</t>
        </is>
      </c>
      <c r="AV223" t="inlineStr">
        <is>
          <t>40.4</t>
        </is>
      </c>
      <c r="AW223" t="inlineStr">
        <is>
          <t>373</t>
        </is>
      </c>
      <c r="AX223" t="inlineStr">
        <is>
          <t>30.2</t>
        </is>
      </c>
      <c r="AY223" t="inlineStr">
        <is>
          <t>254</t>
        </is>
      </c>
      <c r="AZ223" t="inlineStr">
        <is>
          <t>88.8</t>
        </is>
      </c>
      <c r="BA223" t="inlineStr">
        <is>
          <t>97=</t>
        </is>
      </c>
    </row>
    <row r="224">
      <c r="A224" t="inlineStr">
        <is>
          <t>Cornell University</t>
        </is>
      </c>
      <c r="B224" t="inlineStr">
        <is>
          <t>United States</t>
        </is>
      </c>
      <c r="C224" t="inlineStr">
        <is>
          <t>US</t>
        </is>
      </c>
      <c r="D224" t="inlineStr">
        <is>
          <t>Americas</t>
        </is>
      </c>
      <c r="E224" t="inlineStr">
        <is>
          <t>L</t>
        </is>
      </c>
      <c r="F224" t="inlineStr">
        <is>
          <t>FC</t>
        </is>
      </c>
      <c r="G224" t="inlineStr">
        <is>
          <t>VH</t>
        </is>
      </c>
      <c r="H224" t="inlineStr">
        <is>
          <t>5</t>
        </is>
      </c>
      <c r="I224" t="inlineStr">
        <is>
          <t>Private not for Profit</t>
        </is>
      </c>
      <c r="J224" t="inlineStr">
        <is>
          <t>16</t>
        </is>
      </c>
      <c r="K224" t="inlineStr">
        <is>
          <t>16</t>
        </is>
      </c>
      <c r="L224" t="inlineStr">
        <is>
          <t>13</t>
        </is>
      </c>
      <c r="M224" t="inlineStr">
        <is>
          <t>20</t>
        </is>
      </c>
      <c r="N224" t="inlineStr">
        <is>
          <t>91.6</t>
        </is>
      </c>
      <c r="O224" t="inlineStr">
        <is>
          <t>89.3</t>
        </is>
      </c>
      <c r="P224" t="n">
        <v>99.5</v>
      </c>
      <c r="Q224" t="inlineStr">
        <is>
          <t>25</t>
        </is>
      </c>
      <c r="R224" t="n">
        <v>98.8</v>
      </c>
      <c r="S224" t="inlineStr">
        <is>
          <t>27</t>
        </is>
      </c>
      <c r="T224" t="n">
        <v>64.3</v>
      </c>
      <c r="U224" t="inlineStr">
        <is>
          <t>276</t>
        </is>
      </c>
      <c r="V224" t="n">
        <v>98</v>
      </c>
      <c r="W224" t="inlineStr">
        <is>
          <t>48</t>
        </is>
      </c>
      <c r="X224" t="n">
        <v>57.6</v>
      </c>
      <c r="Y224" t="inlineStr">
        <is>
          <t>401</t>
        </is>
      </c>
      <c r="Z224" t="n">
        <v>75.7</v>
      </c>
      <c r="AA224" t="inlineStr">
        <is>
          <t>251</t>
        </is>
      </c>
      <c r="AB224" t="n">
        <v>56.4</v>
      </c>
      <c r="AC224" t="inlineStr">
        <is>
          <t>363</t>
        </is>
      </c>
      <c r="AD224" t="n">
        <v>93</v>
      </c>
      <c r="AE224" t="inlineStr">
        <is>
          <t>126</t>
        </is>
      </c>
      <c r="AF224" t="n">
        <v>99.3</v>
      </c>
      <c r="AG224" t="inlineStr">
        <is>
          <t>24</t>
        </is>
      </c>
      <c r="AH224" t="n">
        <v>76.8</v>
      </c>
      <c r="AI224" t="inlineStr">
        <is>
          <t>218</t>
        </is>
      </c>
      <c r="AJ224" t="inlineStr">
        <is>
          <t>98.1</t>
        </is>
      </c>
      <c r="AK224" t="inlineStr">
        <is>
          <t>26</t>
        </is>
      </c>
      <c r="AL224" t="inlineStr">
        <is>
          <t>90.5</t>
        </is>
      </c>
      <c r="AM224" t="inlineStr">
        <is>
          <t>47</t>
        </is>
      </c>
      <c r="AN224" t="inlineStr">
        <is>
          <t>52.9</t>
        </is>
      </c>
      <c r="AO224" t="inlineStr">
        <is>
          <t>297</t>
        </is>
      </c>
      <c r="AP224" t="inlineStr">
        <is>
          <t>99.1</t>
        </is>
      </c>
      <c r="AQ224" t="inlineStr">
        <is>
          <t>18</t>
        </is>
      </c>
      <c r="AR224" t="inlineStr">
        <is>
          <t>68.7</t>
        </is>
      </c>
      <c r="AS224" t="inlineStr">
        <is>
          <t>283</t>
        </is>
      </c>
      <c r="AT224" t="inlineStr">
        <is>
          <t>64.0</t>
        </is>
      </c>
      <c r="AU224" t="inlineStr">
        <is>
          <t>234</t>
        </is>
      </c>
      <c r="AV224" t="inlineStr">
        <is>
          <t>79.9</t>
        </is>
      </c>
      <c r="AW224" t="inlineStr">
        <is>
          <t>144</t>
        </is>
      </c>
      <c r="AX224" t="inlineStr">
        <is>
          <t>98</t>
        </is>
      </c>
      <c r="AY224" t="inlineStr">
        <is>
          <t>18</t>
        </is>
      </c>
      <c r="AZ224" t="inlineStr">
        <is>
          <t>94.7</t>
        </is>
      </c>
      <c r="BA224" t="inlineStr">
        <is>
          <t>58=</t>
        </is>
      </c>
    </row>
    <row r="225">
      <c r="A225" t="inlineStr">
        <is>
          <t>Corvinus University of Budapest</t>
        </is>
      </c>
      <c r="B225" t="inlineStr">
        <is>
          <t>Hungary</t>
        </is>
      </c>
      <c r="C225" t="inlineStr">
        <is>
          <t>HU</t>
        </is>
      </c>
      <c r="D225" t="inlineStr"/>
      <c r="E225" t="inlineStr">
        <is>
          <t>M</t>
        </is>
      </c>
      <c r="F225" t="inlineStr">
        <is>
          <t>FO</t>
        </is>
      </c>
      <c r="G225" t="inlineStr">
        <is>
          <t>VH</t>
        </is>
      </c>
      <c r="H225" t="inlineStr">
        <is>
          <t>5</t>
        </is>
      </c>
      <c r="I225" t="inlineStr">
        <is>
          <t>B</t>
        </is>
      </c>
      <c r="J225" t="inlineStr"/>
      <c r="K225" t="inlineStr"/>
      <c r="L225" t="inlineStr">
        <is>
          <t>1001-1200</t>
        </is>
      </c>
      <c r="M225" t="inlineStr">
        <is>
          <t>1001-1200</t>
        </is>
      </c>
      <c r="N225" t="inlineStr"/>
      <c r="O225" t="inlineStr">
        <is>
          <t>-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10.9</t>
        </is>
      </c>
      <c r="AK225" t="inlineStr">
        <is>
          <t>601+</t>
        </is>
      </c>
      <c r="AL225" t="inlineStr">
        <is>
          <t>16.0</t>
        </is>
      </c>
      <c r="AM225" t="inlineStr">
        <is>
          <t>529</t>
        </is>
      </c>
      <c r="AN225" t="inlineStr">
        <is>
          <t>4.8</t>
        </is>
      </c>
      <c r="AO225" t="inlineStr">
        <is>
          <t>701+</t>
        </is>
      </c>
      <c r="AP225" t="inlineStr">
        <is>
          <t>3.1</t>
        </is>
      </c>
      <c r="AQ225" t="inlineStr">
        <is>
          <t>701+</t>
        </is>
      </c>
      <c r="AR225" t="inlineStr">
        <is>
          <t>7.8</t>
        </is>
      </c>
      <c r="AS225" t="inlineStr">
        <is>
          <t>701+</t>
        </is>
      </c>
      <c r="AT225" t="inlineStr">
        <is>
          <t>37.5</t>
        </is>
      </c>
      <c r="AU225" t="inlineStr">
        <is>
          <t>367</t>
        </is>
      </c>
      <c r="AV225" t="inlineStr">
        <is>
          <t>1.2</t>
        </is>
      </c>
      <c r="AW225" t="inlineStr">
        <is>
          <t>701+</t>
        </is>
      </c>
      <c r="AX225" t="inlineStr">
        <is>
          <t>5.5</t>
        </is>
      </c>
      <c r="AY225" t="inlineStr">
        <is>
          <t>701+</t>
        </is>
      </c>
      <c r="AZ225" t="inlineStr">
        <is>
          <t>1.1</t>
        </is>
      </c>
      <c r="BA225" t="inlineStr">
        <is>
          <t>701+</t>
        </is>
      </c>
    </row>
    <row r="226">
      <c r="A226" t="inlineStr">
        <is>
          <t>Coventry University</t>
        </is>
      </c>
      <c r="B226" t="inlineStr">
        <is>
          <t>United Kingdom</t>
        </is>
      </c>
      <c r="C226" t="inlineStr">
        <is>
          <t>UK</t>
        </is>
      </c>
      <c r="D226" t="inlineStr">
        <is>
          <t>Europe</t>
        </is>
      </c>
      <c r="E226" t="inlineStr">
        <is>
          <t>L</t>
        </is>
      </c>
      <c r="F226" t="inlineStr">
        <is>
          <t>CO</t>
        </is>
      </c>
      <c r="G226" t="inlineStr">
        <is>
          <t>VH</t>
        </is>
      </c>
      <c r="H226" t="inlineStr">
        <is>
          <t>3</t>
        </is>
      </c>
      <c r="I226" t="inlineStr">
        <is>
          <t>Public</t>
        </is>
      </c>
      <c r="J226" t="inlineStr">
        <is>
          <t>558</t>
        </is>
      </c>
      <c r="K226" t="inlineStr">
        <is>
          <t>526</t>
        </is>
      </c>
      <c r="L226">
        <f>571</f>
        <v/>
      </c>
      <c r="M226" t="inlineStr">
        <is>
          <t>651-700</t>
        </is>
      </c>
      <c r="N226" t="inlineStr">
        <is>
          <t>29.5</t>
        </is>
      </c>
      <c r="O226" t="inlineStr">
        <is>
          <t>20.7</t>
        </is>
      </c>
      <c r="P226" t="n">
        <v>16</v>
      </c>
      <c r="Q226" t="inlineStr">
        <is>
          <t>701+</t>
        </is>
      </c>
      <c r="R226" t="n">
        <v>18.5</v>
      </c>
      <c r="S226" t="inlineStr">
        <is>
          <t>697</t>
        </is>
      </c>
      <c r="T226" t="n">
        <v>21.8</v>
      </c>
      <c r="U226" t="inlineStr">
        <is>
          <t>798</t>
        </is>
      </c>
      <c r="V226" t="n">
        <v>14.8</v>
      </c>
      <c r="W226" t="inlineStr">
        <is>
          <t>801+</t>
        </is>
      </c>
      <c r="X226" t="n">
        <v>85.09999999999999</v>
      </c>
      <c r="Y226" t="inlineStr">
        <is>
          <t>258</t>
        </is>
      </c>
      <c r="Z226" t="n">
        <v>99.5</v>
      </c>
      <c r="AA226" t="inlineStr">
        <is>
          <t>62</t>
        </is>
      </c>
      <c r="AB226" t="n">
        <v>99.5</v>
      </c>
      <c r="AC226" t="inlineStr">
        <is>
          <t>51</t>
        </is>
      </c>
      <c r="AD226" t="n">
        <v>84.3</v>
      </c>
      <c r="AE226" t="inlineStr">
        <is>
          <t>271</t>
        </is>
      </c>
      <c r="AF226" t="n">
        <v>18.4</v>
      </c>
      <c r="AG226" t="inlineStr">
        <is>
          <t>752</t>
        </is>
      </c>
      <c r="AH226" t="n">
        <v>71.2</v>
      </c>
      <c r="AI226" t="inlineStr">
        <is>
          <t>297=</t>
        </is>
      </c>
      <c r="AJ226" t="inlineStr">
        <is>
          <t>9.2</t>
        </is>
      </c>
      <c r="AK226" t="inlineStr">
        <is>
          <t>601+</t>
        </is>
      </c>
      <c r="AL226" t="inlineStr">
        <is>
          <t>12.5</t>
        </is>
      </c>
      <c r="AM226" t="inlineStr">
        <is>
          <t>601+</t>
        </is>
      </c>
      <c r="AN226" t="inlineStr">
        <is>
          <t>15.7</t>
        </is>
      </c>
      <c r="AO226" t="inlineStr">
        <is>
          <t>701+</t>
        </is>
      </c>
      <c r="AP226" t="inlineStr">
        <is>
          <t>6.8</t>
        </is>
      </c>
      <c r="AQ226" t="inlineStr">
        <is>
          <t>701+</t>
        </is>
      </c>
      <c r="AR226" t="inlineStr">
        <is>
          <t>74.8</t>
        </is>
      </c>
      <c r="AS226" t="inlineStr">
        <is>
          <t>257</t>
        </is>
      </c>
      <c r="AT226" t="inlineStr">
        <is>
          <t>100.0</t>
        </is>
      </c>
      <c r="AU226" t="inlineStr">
        <is>
          <t>26</t>
        </is>
      </c>
      <c r="AV226" t="inlineStr">
        <is>
          <t>50.7</t>
        </is>
      </c>
      <c r="AW226" t="inlineStr">
        <is>
          <t>308</t>
        </is>
      </c>
      <c r="AX226" t="inlineStr">
        <is>
          <t>13.7</t>
        </is>
      </c>
      <c r="AY226" t="inlineStr">
        <is>
          <t>626</t>
        </is>
      </c>
      <c r="AZ226" t="inlineStr">
        <is>
          <t>26.6</t>
        </is>
      </c>
      <c r="BA226" t="inlineStr">
        <is>
          <t>481=</t>
        </is>
      </c>
    </row>
    <row r="227">
      <c r="A227" t="inlineStr">
        <is>
          <t>Cracow University of Technology of Tadeusz Kościuszko</t>
        </is>
      </c>
      <c r="B227" t="inlineStr">
        <is>
          <t>Poland</t>
        </is>
      </c>
      <c r="C227" t="inlineStr"/>
      <c r="D227" t="inlineStr">
        <is>
          <t>Europe</t>
        </is>
      </c>
      <c r="E227" t="inlineStr">
        <is>
          <t>L</t>
        </is>
      </c>
      <c r="F227" t="inlineStr">
        <is>
          <t>SP</t>
        </is>
      </c>
      <c r="G227" t="inlineStr">
        <is>
          <t>VH</t>
        </is>
      </c>
      <c r="H227" t="inlineStr"/>
      <c r="I227" t="inlineStr">
        <is>
          <t>Public</t>
        </is>
      </c>
      <c r="J227" t="inlineStr">
        <is>
          <t>1001-1200</t>
        </is>
      </c>
      <c r="K227" t="inlineStr">
        <is>
          <t>1001-1200</t>
        </is>
      </c>
      <c r="L227" t="inlineStr"/>
      <c r="M227" t="inlineStr"/>
      <c r="N227" t="inlineStr">
        <is>
          <t>-</t>
        </is>
      </c>
      <c r="O227" t="inlineStr"/>
      <c r="P227" t="n">
        <v>12.6</v>
      </c>
      <c r="Q227" t="inlineStr">
        <is>
          <t>701+</t>
        </is>
      </c>
      <c r="R227" t="n">
        <v>28.1</v>
      </c>
      <c r="S227" t="inlineStr">
        <is>
          <t>495</t>
        </is>
      </c>
      <c r="T227" t="n">
        <v>28.3</v>
      </c>
      <c r="U227" t="inlineStr">
        <is>
          <t>677</t>
        </is>
      </c>
      <c r="V227" t="n">
        <v>10</v>
      </c>
      <c r="W227" t="inlineStr">
        <is>
          <t>801+</t>
        </is>
      </c>
      <c r="X227" t="n">
        <v>3.4</v>
      </c>
      <c r="Y227" t="inlineStr">
        <is>
          <t>801+</t>
        </is>
      </c>
      <c r="Z227" t="n">
        <v>9.199999999999999</v>
      </c>
      <c r="AA227" t="inlineStr">
        <is>
          <t>801+</t>
        </is>
      </c>
      <c r="AB227" t="n">
        <v>12.6</v>
      </c>
      <c r="AC227" t="inlineStr">
        <is>
          <t>801+</t>
        </is>
      </c>
      <c r="AD227" t="n">
        <v>44.2</v>
      </c>
      <c r="AE227" t="inlineStr">
        <is>
          <t>801+</t>
        </is>
      </c>
      <c r="AF227" t="n">
        <v>10.3</v>
      </c>
      <c r="AG227" t="inlineStr">
        <is>
          <t>801+</t>
        </is>
      </c>
      <c r="AH227" t="n">
        <v>20.5</v>
      </c>
      <c r="AI227" t="inlineStr">
        <is>
          <t>801+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Cracow University of Technology (Politechnika Krakowska)</t>
        </is>
      </c>
      <c r="B228" t="inlineStr">
        <is>
          <t>Poland</t>
        </is>
      </c>
      <c r="C228" t="inlineStr">
        <is>
          <t>PL</t>
        </is>
      </c>
      <c r="D228" t="inlineStr"/>
      <c r="E228" t="inlineStr">
        <is>
          <t>L</t>
        </is>
      </c>
      <c r="F228" t="inlineStr">
        <is>
          <t>FO</t>
        </is>
      </c>
      <c r="G228" t="inlineStr">
        <is>
          <t>VH</t>
        </is>
      </c>
      <c r="H228" t="inlineStr">
        <is>
          <t>4</t>
        </is>
      </c>
      <c r="I228" t="inlineStr">
        <is>
          <t>A</t>
        </is>
      </c>
      <c r="J228" t="inlineStr"/>
      <c r="K228" t="inlineStr"/>
      <c r="L228" t="inlineStr">
        <is>
          <t>1001-1200</t>
        </is>
      </c>
      <c r="M228" t="inlineStr">
        <is>
          <t>801-1000</t>
        </is>
      </c>
      <c r="N228" t="inlineStr"/>
      <c r="O228" t="inlineStr">
        <is>
          <t>-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11.4</t>
        </is>
      </c>
      <c r="AK228" t="inlineStr">
        <is>
          <t>601+</t>
        </is>
      </c>
      <c r="AL228" t="inlineStr">
        <is>
          <t>23.7</t>
        </is>
      </c>
      <c r="AM228" t="inlineStr">
        <is>
          <t>406</t>
        </is>
      </c>
      <c r="AN228" t="inlineStr">
        <is>
          <t>19.6</t>
        </is>
      </c>
      <c r="AO228" t="inlineStr">
        <is>
          <t>676</t>
        </is>
      </c>
      <c r="AP228" t="inlineStr">
        <is>
          <t>4.4</t>
        </is>
      </c>
      <c r="AQ228" t="inlineStr">
        <is>
          <t>701+</t>
        </is>
      </c>
      <c r="AR228" t="inlineStr">
        <is>
          <t>2.1</t>
        </is>
      </c>
      <c r="AS228" t="inlineStr">
        <is>
          <t>701+</t>
        </is>
      </c>
      <c r="AT228" t="inlineStr">
        <is>
          <t>2.0</t>
        </is>
      </c>
      <c r="AU228" t="inlineStr">
        <is>
          <t>701+</t>
        </is>
      </c>
      <c r="AV228" t="inlineStr">
        <is>
          <t>1.6</t>
        </is>
      </c>
      <c r="AW228" t="inlineStr">
        <is>
          <t>701+</t>
        </is>
      </c>
      <c r="AX228" t="inlineStr">
        <is>
          <t>8.8</t>
        </is>
      </c>
      <c r="AY228" t="inlineStr">
        <is>
          <t>701+</t>
        </is>
      </c>
      <c r="AZ228" t="inlineStr">
        <is>
          <t>1.4</t>
        </is>
      </c>
      <c r="BA228" t="inlineStr">
        <is>
          <t>701+</t>
        </is>
      </c>
    </row>
    <row r="229">
      <c r="A229" t="inlineStr">
        <is>
          <t>Cukurova University</t>
        </is>
      </c>
      <c r="B229" t="inlineStr">
        <is>
          <t>Turkey</t>
        </is>
      </c>
      <c r="C229" t="inlineStr">
        <is>
          <t>TR</t>
        </is>
      </c>
      <c r="D229" t="inlineStr">
        <is>
          <t>Asia</t>
        </is>
      </c>
      <c r="E229" t="inlineStr">
        <is>
          <t>XL</t>
        </is>
      </c>
      <c r="F229" t="inlineStr">
        <is>
          <t>FC</t>
        </is>
      </c>
      <c r="G229" t="inlineStr">
        <is>
          <t>HI</t>
        </is>
      </c>
      <c r="H229" t="inlineStr">
        <is>
          <t>4</t>
        </is>
      </c>
      <c r="I229" t="inlineStr">
        <is>
          <t>Public</t>
        </is>
      </c>
      <c r="J229" t="inlineStr">
        <is>
          <t>1201-1400</t>
        </is>
      </c>
      <c r="K229" t="inlineStr">
        <is>
          <t>1201-1400</t>
        </is>
      </c>
      <c r="L229" t="inlineStr">
        <is>
          <t>1401+</t>
        </is>
      </c>
      <c r="M229" t="inlineStr">
        <is>
          <t>1401+</t>
        </is>
      </c>
      <c r="N229" t="inlineStr">
        <is>
          <t>-</t>
        </is>
      </c>
      <c r="O229" t="inlineStr">
        <is>
          <t>-</t>
        </is>
      </c>
      <c r="P229" t="n">
        <v>6.7</v>
      </c>
      <c r="Q229" t="inlineStr">
        <is>
          <t>701+</t>
        </is>
      </c>
      <c r="R229" t="n">
        <v>6.1</v>
      </c>
      <c r="S229" t="inlineStr">
        <is>
          <t>701+</t>
        </is>
      </c>
      <c r="T229" t="n">
        <v>8.6</v>
      </c>
      <c r="U229" t="inlineStr">
        <is>
          <t>801+</t>
        </is>
      </c>
      <c r="V229" t="n">
        <v>4.9</v>
      </c>
      <c r="W229" t="inlineStr">
        <is>
          <t>801+</t>
        </is>
      </c>
      <c r="X229" t="n">
        <v>2.5</v>
      </c>
      <c r="Y229" t="inlineStr">
        <is>
          <t>801+</t>
        </is>
      </c>
      <c r="Z229" t="n">
        <v>6.5</v>
      </c>
      <c r="AA229" t="inlineStr">
        <is>
          <t>801+</t>
        </is>
      </c>
      <c r="AB229" t="n">
        <v>12</v>
      </c>
      <c r="AC229" t="inlineStr">
        <is>
          <t>801+</t>
        </is>
      </c>
      <c r="AD229" t="n">
        <v>56</v>
      </c>
      <c r="AE229" t="inlineStr">
        <is>
          <t>749</t>
        </is>
      </c>
      <c r="AF229" t="n">
        <v>14.1</v>
      </c>
      <c r="AG229" t="inlineStr">
        <is>
          <t>801+</t>
        </is>
      </c>
      <c r="AH229" t="n">
        <v>42.3</v>
      </c>
      <c r="AI229" t="inlineStr">
        <is>
          <t>801+</t>
        </is>
      </c>
      <c r="AJ229" t="inlineStr">
        <is>
          <t>4.4</t>
        </is>
      </c>
      <c r="AK229" t="inlineStr">
        <is>
          <t>601+</t>
        </is>
      </c>
      <c r="AL229" t="inlineStr">
        <is>
          <t>2.8</t>
        </is>
      </c>
      <c r="AM229" t="inlineStr">
        <is>
          <t>601+</t>
        </is>
      </c>
      <c r="AN229" t="inlineStr">
        <is>
          <t>4.5</t>
        </is>
      </c>
      <c r="AO229" t="inlineStr">
        <is>
          <t>701+</t>
        </is>
      </c>
      <c r="AP229" t="inlineStr">
        <is>
          <t>2.5</t>
        </is>
      </c>
      <c r="AQ229" t="inlineStr">
        <is>
          <t>701+</t>
        </is>
      </c>
      <c r="AR229" t="inlineStr">
        <is>
          <t>2.1</t>
        </is>
      </c>
      <c r="AS229" t="inlineStr">
        <is>
          <t>701+</t>
        </is>
      </c>
      <c r="AT229" t="inlineStr">
        <is>
          <t>5.0</t>
        </is>
      </c>
      <c r="AU229" t="inlineStr">
        <is>
          <t>701+</t>
        </is>
      </c>
      <c r="AV229" t="inlineStr">
        <is>
          <t>3.8</t>
        </is>
      </c>
      <c r="AW229" t="inlineStr">
        <is>
          <t>701+</t>
        </is>
      </c>
      <c r="AX229" t="inlineStr">
        <is>
          <t>6.9</t>
        </is>
      </c>
      <c r="AY229" t="inlineStr">
        <is>
          <t>701+</t>
        </is>
      </c>
      <c r="AZ229" t="inlineStr">
        <is>
          <t>13.9</t>
        </is>
      </c>
      <c r="BA229" t="inlineStr">
        <is>
          <t>625=</t>
        </is>
      </c>
    </row>
    <row r="230">
      <c r="A230" t="inlineStr">
        <is>
          <t>CUNY The City College of New York</t>
        </is>
      </c>
      <c r="B230" t="inlineStr">
        <is>
          <t>United States</t>
        </is>
      </c>
      <c r="C230" t="inlineStr">
        <is>
          <t>US</t>
        </is>
      </c>
      <c r="D230" t="inlineStr"/>
      <c r="E230" t="inlineStr">
        <is>
          <t>M</t>
        </is>
      </c>
      <c r="F230" t="inlineStr">
        <is>
          <t>FC</t>
        </is>
      </c>
      <c r="G230" t="inlineStr">
        <is>
          <t>HI</t>
        </is>
      </c>
      <c r="H230" t="inlineStr">
        <is>
          <t>3</t>
        </is>
      </c>
      <c r="I230" t="inlineStr">
        <is>
          <t>A</t>
        </is>
      </c>
      <c r="J230" t="inlineStr"/>
      <c r="K230" t="inlineStr"/>
      <c r="L230" t="inlineStr">
        <is>
          <t>1201-1400</t>
        </is>
      </c>
      <c r="M230" t="inlineStr">
        <is>
          <t>1001-1200</t>
        </is>
      </c>
      <c r="N230" t="inlineStr"/>
      <c r="O230" t="inlineStr">
        <is>
          <t>-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6.2</t>
        </is>
      </c>
      <c r="AK230" t="inlineStr">
        <is>
          <t>601+</t>
        </is>
      </c>
      <c r="AL230" t="inlineStr">
        <is>
          <t>1.8</t>
        </is>
      </c>
      <c r="AM230" t="inlineStr">
        <is>
          <t>601+</t>
        </is>
      </c>
      <c r="AN230" t="inlineStr">
        <is>
          <t>11.4</t>
        </is>
      </c>
      <c r="AO230" t="inlineStr">
        <is>
          <t>701+</t>
        </is>
      </c>
      <c r="AP230" t="inlineStr">
        <is>
          <t>15.0</t>
        </is>
      </c>
      <c r="AQ230" t="inlineStr">
        <is>
          <t>636</t>
        </is>
      </c>
      <c r="AR230" t="inlineStr">
        <is>
          <t>4.3</t>
        </is>
      </c>
      <c r="AS230" t="inlineStr">
        <is>
          <t>701+</t>
        </is>
      </c>
      <c r="AT230" t="inlineStr">
        <is>
          <t>5.5</t>
        </is>
      </c>
      <c r="AU230" t="inlineStr">
        <is>
          <t>701+</t>
        </is>
      </c>
      <c r="AV230" t="inlineStr">
        <is>
          <t>1.5</t>
        </is>
      </c>
      <c r="AW230" t="inlineStr">
        <is>
          <t>701+</t>
        </is>
      </c>
      <c r="AX230" t="inlineStr">
        <is>
          <t>6.9</t>
        </is>
      </c>
      <c r="AY230" t="inlineStr">
        <is>
          <t>701+</t>
        </is>
      </c>
      <c r="AZ230" t="inlineStr"/>
      <c r="BA230" t="inlineStr"/>
    </row>
    <row r="231">
      <c r="A231" t="inlineStr">
        <is>
          <t>Curtin University</t>
        </is>
      </c>
      <c r="B231" t="inlineStr">
        <is>
          <t>Australia</t>
        </is>
      </c>
      <c r="C231" t="inlineStr">
        <is>
          <t>AU</t>
        </is>
      </c>
      <c r="D231" t="inlineStr">
        <is>
          <t>Oceania</t>
        </is>
      </c>
      <c r="E231" t="inlineStr">
        <is>
          <t>L</t>
        </is>
      </c>
      <c r="F231" t="inlineStr">
        <is>
          <t>CO</t>
        </is>
      </c>
      <c r="G231" t="inlineStr">
        <is>
          <t>VH</t>
        </is>
      </c>
      <c r="H231" t="inlineStr">
        <is>
          <t>3</t>
        </is>
      </c>
      <c r="I231" t="inlineStr">
        <is>
          <t>Public</t>
        </is>
      </c>
      <c r="J231" t="inlineStr">
        <is>
          <t>183</t>
        </is>
      </c>
      <c r="K231" t="inlineStr">
        <is>
          <t>174</t>
        </is>
      </c>
      <c r="L231" t="inlineStr">
        <is>
          <t>183</t>
        </is>
      </c>
      <c r="M231" t="inlineStr">
        <is>
          <t>193</t>
        </is>
      </c>
      <c r="N231" t="inlineStr">
        <is>
          <t>57.6</t>
        </is>
      </c>
      <c r="O231" t="inlineStr">
        <is>
          <t>47.8</t>
        </is>
      </c>
      <c r="P231" t="n">
        <v>46.3</v>
      </c>
      <c r="Q231" t="inlineStr">
        <is>
          <t>254</t>
        </is>
      </c>
      <c r="R231" t="n">
        <v>39.3</v>
      </c>
      <c r="S231" t="inlineStr">
        <is>
          <t>348</t>
        </is>
      </c>
      <c r="T231" t="n">
        <v>17.7</v>
      </c>
      <c r="U231" t="inlineStr">
        <is>
          <t>801+</t>
        </is>
      </c>
      <c r="V231" t="n">
        <v>89.59999999999999</v>
      </c>
      <c r="W231" t="inlineStr">
        <is>
          <t>104</t>
        </is>
      </c>
      <c r="X231" t="n">
        <v>100</v>
      </c>
      <c r="Y231" t="inlineStr">
        <is>
          <t>57</t>
        </is>
      </c>
      <c r="Z231" t="n">
        <v>54.3</v>
      </c>
      <c r="AA231" t="inlineStr">
        <is>
          <t>382</t>
        </is>
      </c>
      <c r="AB231" t="n">
        <v>58.7</v>
      </c>
      <c r="AC231" t="inlineStr">
        <is>
          <t>348</t>
        </is>
      </c>
      <c r="AD231" t="n">
        <v>94.2</v>
      </c>
      <c r="AE231" t="inlineStr">
        <is>
          <t>96</t>
        </is>
      </c>
      <c r="AF231" t="n">
        <v>37.9</v>
      </c>
      <c r="AG231" t="inlineStr">
        <is>
          <t>459</t>
        </is>
      </c>
      <c r="AH231" t="n">
        <v>82</v>
      </c>
      <c r="AI231" t="inlineStr">
        <is>
          <t>149=</t>
        </is>
      </c>
      <c r="AJ231" t="inlineStr">
        <is>
          <t>32.4</t>
        </is>
      </c>
      <c r="AK231" t="inlineStr">
        <is>
          <t>271</t>
        </is>
      </c>
      <c r="AL231" t="inlineStr">
        <is>
          <t>31.8</t>
        </is>
      </c>
      <c r="AM231" t="inlineStr">
        <is>
          <t>309</t>
        </is>
      </c>
      <c r="AN231" t="inlineStr">
        <is>
          <t>14.3</t>
        </is>
      </c>
      <c r="AO231" t="inlineStr">
        <is>
          <t>701+</t>
        </is>
      </c>
      <c r="AP231" t="inlineStr">
        <is>
          <t>86.2</t>
        </is>
      </c>
      <c r="AQ231" t="inlineStr">
        <is>
          <t>88</t>
        </is>
      </c>
      <c r="AR231" t="inlineStr">
        <is>
          <t>100.0</t>
        </is>
      </c>
      <c r="AS231" t="inlineStr">
        <is>
          <t>43</t>
        </is>
      </c>
      <c r="AT231" t="inlineStr">
        <is>
          <t>26.4</t>
        </is>
      </c>
      <c r="AU231" t="inlineStr">
        <is>
          <t>459</t>
        </is>
      </c>
      <c r="AV231" t="inlineStr">
        <is>
          <t>84.9</t>
        </is>
      </c>
      <c r="AW231" t="inlineStr">
        <is>
          <t>119</t>
        </is>
      </c>
      <c r="AX231" t="inlineStr">
        <is>
          <t>25.7</t>
        </is>
      </c>
      <c r="AY231" t="inlineStr">
        <is>
          <t>320</t>
        </is>
      </c>
      <c r="AZ231" t="inlineStr">
        <is>
          <t>50.6</t>
        </is>
      </c>
      <c r="BA231" t="inlineStr">
        <is>
          <t>305=</t>
        </is>
      </c>
    </row>
    <row r="232">
      <c r="A232" t="inlineStr">
        <is>
          <t>CY Cergy Paris University</t>
        </is>
      </c>
      <c r="B232" t="inlineStr">
        <is>
          <t>France</t>
        </is>
      </c>
      <c r="C232" t="inlineStr">
        <is>
          <t>FR</t>
        </is>
      </c>
      <c r="D232" t="inlineStr">
        <is>
          <t>Europe</t>
        </is>
      </c>
      <c r="E232" t="inlineStr">
        <is>
          <t>M</t>
        </is>
      </c>
      <c r="F232" t="inlineStr">
        <is>
          <t>FO</t>
        </is>
      </c>
      <c r="G232" t="inlineStr">
        <is>
          <t>VH</t>
        </is>
      </c>
      <c r="H232" t="inlineStr">
        <is>
          <t>1</t>
        </is>
      </c>
      <c r="I232" t="inlineStr">
        <is>
          <t>Public</t>
        </is>
      </c>
      <c r="J232" t="inlineStr">
        <is>
          <t>951-1000</t>
        </is>
      </c>
      <c r="K232" t="inlineStr">
        <is>
          <t>851-900</t>
        </is>
      </c>
      <c r="L232" t="inlineStr">
        <is>
          <t>851-900</t>
        </is>
      </c>
      <c r="M232" t="inlineStr">
        <is>
          <t>751-800</t>
        </is>
      </c>
      <c r="N232" t="inlineStr">
        <is>
          <t>-</t>
        </is>
      </c>
      <c r="O232" t="inlineStr">
        <is>
          <t>-</t>
        </is>
      </c>
      <c r="P232" t="n">
        <v>5.2</v>
      </c>
      <c r="Q232" t="inlineStr">
        <is>
          <t>701+</t>
        </is>
      </c>
      <c r="R232" t="n">
        <v>5.2</v>
      </c>
      <c r="S232" t="inlineStr">
        <is>
          <t>701+</t>
        </is>
      </c>
      <c r="T232" t="n">
        <v>64.90000000000001</v>
      </c>
      <c r="U232" t="inlineStr">
        <is>
          <t>270</t>
        </is>
      </c>
      <c r="V232" t="n">
        <v>7.4</v>
      </c>
      <c r="W232" t="inlineStr">
        <is>
          <t>801+</t>
        </is>
      </c>
      <c r="X232" t="n">
        <v>55.1</v>
      </c>
      <c r="Y232" t="inlineStr">
        <is>
          <t>410</t>
        </is>
      </c>
      <c r="Z232" t="n">
        <v>59</v>
      </c>
      <c r="AA232" t="inlineStr">
        <is>
          <t>347</t>
        </is>
      </c>
      <c r="AB232" t="n">
        <v>62.9</v>
      </c>
      <c r="AC232" t="inlineStr">
        <is>
          <t>314</t>
        </is>
      </c>
      <c r="AD232" t="n">
        <v>47.9</v>
      </c>
      <c r="AE232" t="inlineStr">
        <is>
          <t>801+</t>
        </is>
      </c>
      <c r="AF232" t="n">
        <v>1.3</v>
      </c>
      <c r="AG232" t="inlineStr">
        <is>
          <t>801+</t>
        </is>
      </c>
      <c r="AH232" t="n">
        <v>31.4</v>
      </c>
      <c r="AI232" t="inlineStr">
        <is>
          <t>801+</t>
        </is>
      </c>
      <c r="AJ232" t="inlineStr">
        <is>
          <t>3.4</t>
        </is>
      </c>
      <c r="AK232" t="inlineStr">
        <is>
          <t>601+</t>
        </is>
      </c>
      <c r="AL232" t="inlineStr">
        <is>
          <t>2.7</t>
        </is>
      </c>
      <c r="AM232" t="inlineStr">
        <is>
          <t>601+</t>
        </is>
      </c>
      <c r="AN232" t="inlineStr">
        <is>
          <t>41.9</t>
        </is>
      </c>
      <c r="AO232" t="inlineStr">
        <is>
          <t>376</t>
        </is>
      </c>
      <c r="AP232" t="inlineStr">
        <is>
          <t>6.5</t>
        </is>
      </c>
      <c r="AQ232" t="inlineStr">
        <is>
          <t>701+</t>
        </is>
      </c>
      <c r="AR232" t="inlineStr">
        <is>
          <t>54.3</t>
        </is>
      </c>
      <c r="AS232" t="inlineStr">
        <is>
          <t>340</t>
        </is>
      </c>
      <c r="AT232" t="inlineStr">
        <is>
          <t>45.1</t>
        </is>
      </c>
      <c r="AU232" t="inlineStr">
        <is>
          <t>321</t>
        </is>
      </c>
      <c r="AV232" t="inlineStr">
        <is>
          <t>8.1</t>
        </is>
      </c>
      <c r="AW232" t="inlineStr">
        <is>
          <t>701+</t>
        </is>
      </c>
      <c r="AX232" t="inlineStr">
        <is>
          <t>7.4</t>
        </is>
      </c>
      <c r="AY232" t="inlineStr">
        <is>
          <t>701+</t>
        </is>
      </c>
      <c r="AZ232" t="inlineStr">
        <is>
          <t>9.6</t>
        </is>
      </c>
      <c r="BA232" t="inlineStr">
        <is>
          <t>678=</t>
        </is>
      </c>
    </row>
    <row r="233">
      <c r="A233" t="inlineStr">
        <is>
          <t>Cyprus University of Technology</t>
        </is>
      </c>
      <c r="B233" t="inlineStr">
        <is>
          <t>Cyprus</t>
        </is>
      </c>
      <c r="C233" t="inlineStr"/>
      <c r="D233" t="inlineStr">
        <is>
          <t>Asia</t>
        </is>
      </c>
      <c r="E233" t="inlineStr">
        <is>
          <t>S</t>
        </is>
      </c>
      <c r="F233" t="inlineStr">
        <is>
          <t>CO</t>
        </is>
      </c>
      <c r="G233" t="inlineStr">
        <is>
          <t>VH</t>
        </is>
      </c>
      <c r="H233" t="inlineStr"/>
      <c r="I233" t="inlineStr">
        <is>
          <t>Public</t>
        </is>
      </c>
      <c r="J233" t="inlineStr">
        <is>
          <t>686</t>
        </is>
      </c>
      <c r="K233" t="inlineStr"/>
      <c r="L233" t="inlineStr"/>
      <c r="M233" t="inlineStr"/>
      <c r="N233" t="inlineStr">
        <is>
          <t>25.7</t>
        </is>
      </c>
      <c r="O233" t="inlineStr"/>
      <c r="P233" t="n">
        <v>8.1</v>
      </c>
      <c r="Q233" t="inlineStr">
        <is>
          <t>701+</t>
        </is>
      </c>
      <c r="R233" t="n">
        <v>4.9</v>
      </c>
      <c r="S233" t="inlineStr">
        <is>
          <t>701+</t>
        </is>
      </c>
      <c r="T233" t="n">
        <v>49.3</v>
      </c>
      <c r="U233" t="inlineStr">
        <is>
          <t>389</t>
        </is>
      </c>
      <c r="V233" t="n">
        <v>39.8</v>
      </c>
      <c r="W233" t="inlineStr">
        <is>
          <t>472</t>
        </is>
      </c>
      <c r="X233" t="n">
        <v>68.09999999999999</v>
      </c>
      <c r="Y233" t="inlineStr">
        <is>
          <t>343</t>
        </is>
      </c>
      <c r="Z233" t="n">
        <v>42</v>
      </c>
      <c r="AA233" t="inlineStr">
        <is>
          <t>474</t>
        </is>
      </c>
      <c r="AB233" t="n">
        <v>43.4</v>
      </c>
      <c r="AC233" t="inlineStr">
        <is>
          <t>478</t>
        </is>
      </c>
      <c r="AD233" t="n">
        <v>46.6</v>
      </c>
      <c r="AE233" t="inlineStr">
        <is>
          <t>801+</t>
        </is>
      </c>
      <c r="AF233" t="n">
        <v>11.3</v>
      </c>
      <c r="AG233" t="inlineStr">
        <is>
          <t>801+</t>
        </is>
      </c>
      <c r="AH233" t="n">
        <v>49.6</v>
      </c>
      <c r="AI233" t="inlineStr">
        <is>
          <t>711=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Czech Technical University In Prague</t>
        </is>
      </c>
      <c r="B234" t="inlineStr">
        <is>
          <t>Czech Republic</t>
        </is>
      </c>
      <c r="C234" t="inlineStr">
        <is>
          <t>CZ</t>
        </is>
      </c>
      <c r="D234" t="inlineStr">
        <is>
          <t>Europe</t>
        </is>
      </c>
      <c r="E234" t="inlineStr">
        <is>
          <t>L</t>
        </is>
      </c>
      <c r="F234" t="inlineStr">
        <is>
          <t>SP</t>
        </is>
      </c>
      <c r="G234" t="inlineStr">
        <is>
          <t>VH</t>
        </is>
      </c>
      <c r="H234" t="inlineStr">
        <is>
          <t>5</t>
        </is>
      </c>
      <c r="I234" t="inlineStr">
        <is>
          <t>Public</t>
        </is>
      </c>
      <c r="J234" t="inlineStr">
        <is>
          <t>416</t>
        </is>
      </c>
      <c r="K234" t="inlineStr">
        <is>
          <t>420</t>
        </is>
      </c>
      <c r="L234">
        <f>454</f>
        <v/>
      </c>
      <c r="M234" t="inlineStr">
        <is>
          <t>378=</t>
        </is>
      </c>
      <c r="N234" t="inlineStr">
        <is>
          <t>36.5</t>
        </is>
      </c>
      <c r="O234" t="inlineStr">
        <is>
          <t>25.2</t>
        </is>
      </c>
      <c r="P234" t="n">
        <v>26.8</v>
      </c>
      <c r="Q234" t="inlineStr">
        <is>
          <t>468</t>
        </is>
      </c>
      <c r="R234" t="n">
        <v>51.3</v>
      </c>
      <c r="S234" t="inlineStr">
        <is>
          <t>243</t>
        </is>
      </c>
      <c r="T234" t="n">
        <v>89.40000000000001</v>
      </c>
      <c r="U234" t="inlineStr">
        <is>
          <t>107</t>
        </is>
      </c>
      <c r="V234" t="n">
        <v>6.2</v>
      </c>
      <c r="W234" t="inlineStr">
        <is>
          <t>801+</t>
        </is>
      </c>
      <c r="X234" t="n">
        <v>28.7</v>
      </c>
      <c r="Y234" t="inlineStr">
        <is>
          <t>598</t>
        </is>
      </c>
      <c r="Z234" t="n">
        <v>56</v>
      </c>
      <c r="AA234" t="inlineStr">
        <is>
          <t>374</t>
        </is>
      </c>
      <c r="AB234" t="n">
        <v>60.2</v>
      </c>
      <c r="AC234" t="inlineStr">
        <is>
          <t>341</t>
        </is>
      </c>
      <c r="AD234" t="n">
        <v>69.40000000000001</v>
      </c>
      <c r="AE234" t="inlineStr">
        <is>
          <t>542</t>
        </is>
      </c>
      <c r="AF234" t="n">
        <v>23.1</v>
      </c>
      <c r="AG234" t="inlineStr">
        <is>
          <t>670</t>
        </is>
      </c>
      <c r="AH234" t="n">
        <v>53.6</v>
      </c>
      <c r="AI234" t="inlineStr">
        <is>
          <t>630=</t>
        </is>
      </c>
      <c r="AJ234" t="inlineStr">
        <is>
          <t>21.5</t>
        </is>
      </c>
      <c r="AK234" t="inlineStr">
        <is>
          <t>403</t>
        </is>
      </c>
      <c r="AL234" t="inlineStr">
        <is>
          <t>37.6</t>
        </is>
      </c>
      <c r="AM234" t="inlineStr">
        <is>
          <t>259</t>
        </is>
      </c>
      <c r="AN234" t="inlineStr">
        <is>
          <t>75.8</t>
        </is>
      </c>
      <c r="AO234" t="inlineStr">
        <is>
          <t>161</t>
        </is>
      </c>
      <c r="AP234" t="inlineStr">
        <is>
          <t>4.1</t>
        </is>
      </c>
      <c r="AQ234" t="inlineStr">
        <is>
          <t>701+</t>
        </is>
      </c>
      <c r="AR234" t="inlineStr">
        <is>
          <t>25.6</t>
        </is>
      </c>
      <c r="AS234" t="inlineStr">
        <is>
          <t>526</t>
        </is>
      </c>
      <c r="AT234" t="inlineStr">
        <is>
          <t>39.2</t>
        </is>
      </c>
      <c r="AU234" t="inlineStr">
        <is>
          <t>349</t>
        </is>
      </c>
      <c r="AV234" t="inlineStr">
        <is>
          <t>15.3</t>
        </is>
      </c>
      <c r="AW234" t="inlineStr">
        <is>
          <t>592</t>
        </is>
      </c>
      <c r="AX234" t="inlineStr">
        <is>
          <t>13.8</t>
        </is>
      </c>
      <c r="AY234" t="inlineStr">
        <is>
          <t>618</t>
        </is>
      </c>
      <c r="AZ234" t="inlineStr">
        <is>
          <t>1.6</t>
        </is>
      </c>
      <c r="BA234" t="inlineStr">
        <is>
          <t>701+</t>
        </is>
      </c>
    </row>
    <row r="235">
      <c r="A235" t="inlineStr">
        <is>
          <t>Czech University of Life Sciences in Prague</t>
        </is>
      </c>
      <c r="B235" t="inlineStr">
        <is>
          <t>Czech Republic</t>
        </is>
      </c>
      <c r="C235" t="inlineStr">
        <is>
          <t>CZ</t>
        </is>
      </c>
      <c r="D235" t="inlineStr">
        <is>
          <t>Europe</t>
        </is>
      </c>
      <c r="E235" t="inlineStr">
        <is>
          <t>L</t>
        </is>
      </c>
      <c r="F235" t="inlineStr">
        <is>
          <t>FO</t>
        </is>
      </c>
      <c r="G235" t="inlineStr">
        <is>
          <t>VH</t>
        </is>
      </c>
      <c r="H235" t="inlineStr">
        <is>
          <t>5</t>
        </is>
      </c>
      <c r="I235" t="inlineStr">
        <is>
          <t>Public</t>
        </is>
      </c>
      <c r="J235" t="inlineStr">
        <is>
          <t>761-770</t>
        </is>
      </c>
      <c r="K235" t="inlineStr">
        <is>
          <t>711-720</t>
        </is>
      </c>
      <c r="L235" t="inlineStr">
        <is>
          <t>701-710</t>
        </is>
      </c>
      <c r="M235" t="inlineStr">
        <is>
          <t>801-1000</t>
        </is>
      </c>
      <c r="N235" t="inlineStr">
        <is>
          <t>-</t>
        </is>
      </c>
      <c r="O235" t="inlineStr">
        <is>
          <t>-</t>
        </is>
      </c>
      <c r="P235" t="n">
        <v>11.6</v>
      </c>
      <c r="Q235" t="inlineStr">
        <is>
          <t>701+</t>
        </is>
      </c>
      <c r="R235" t="n">
        <v>8.699999999999999</v>
      </c>
      <c r="S235" t="inlineStr">
        <is>
          <t>701+</t>
        </is>
      </c>
      <c r="T235" t="n">
        <v>13.7</v>
      </c>
      <c r="U235" t="inlineStr">
        <is>
          <t>801+</t>
        </is>
      </c>
      <c r="V235" t="n">
        <v>22.3</v>
      </c>
      <c r="W235" t="inlineStr">
        <is>
          <t>680</t>
        </is>
      </c>
      <c r="X235" t="n">
        <v>36</v>
      </c>
      <c r="Y235" t="inlineStr">
        <is>
          <t>530</t>
        </is>
      </c>
      <c r="Z235" t="n">
        <v>82.5</v>
      </c>
      <c r="AA235" t="inlineStr">
        <is>
          <t>208</t>
        </is>
      </c>
      <c r="AB235" t="n">
        <v>84.09999999999999</v>
      </c>
      <c r="AC235" t="inlineStr">
        <is>
          <t>175</t>
        </is>
      </c>
      <c r="AD235" t="n">
        <v>85.40000000000001</v>
      </c>
      <c r="AE235" t="inlineStr">
        <is>
          <t>249</t>
        </is>
      </c>
      <c r="AF235" t="n">
        <v>5</v>
      </c>
      <c r="AG235" t="inlineStr">
        <is>
          <t>801+</t>
        </is>
      </c>
      <c r="AH235" t="n">
        <v>72.5</v>
      </c>
      <c r="AI235" t="inlineStr">
        <is>
          <t>281=</t>
        </is>
      </c>
      <c r="AJ235" t="inlineStr">
        <is>
          <t>11.0</t>
        </is>
      </c>
      <c r="AK235" t="inlineStr">
        <is>
          <t>601+</t>
        </is>
      </c>
      <c r="AL235" t="inlineStr">
        <is>
          <t>8.8</t>
        </is>
      </c>
      <c r="AM235" t="inlineStr">
        <is>
          <t>601+</t>
        </is>
      </c>
      <c r="AN235" t="inlineStr">
        <is>
          <t>9.2</t>
        </is>
      </c>
      <c r="AO235" t="inlineStr">
        <is>
          <t>701+</t>
        </is>
      </c>
      <c r="AP235" t="inlineStr">
        <is>
          <t>9.5</t>
        </is>
      </c>
      <c r="AQ235" t="inlineStr">
        <is>
          <t>701+</t>
        </is>
      </c>
      <c r="AR235" t="inlineStr">
        <is>
          <t>26.6</t>
        </is>
      </c>
      <c r="AS235" t="inlineStr">
        <is>
          <t>514</t>
        </is>
      </c>
      <c r="AT235" t="inlineStr">
        <is>
          <t>64.5</t>
        </is>
      </c>
      <c r="AU235" t="inlineStr">
        <is>
          <t>233</t>
        </is>
      </c>
      <c r="AV235" t="inlineStr">
        <is>
          <t>54.7</t>
        </is>
      </c>
      <c r="AW235" t="inlineStr">
        <is>
          <t>288</t>
        </is>
      </c>
      <c r="AX235" t="inlineStr">
        <is>
          <t>9.4</t>
        </is>
      </c>
      <c r="AY235" t="inlineStr">
        <is>
          <t>701+</t>
        </is>
      </c>
      <c r="AZ235" t="inlineStr">
        <is>
          <t>35.8</t>
        </is>
      </c>
      <c r="BA235" t="inlineStr">
        <is>
          <t>393=</t>
        </is>
      </c>
    </row>
    <row r="236">
      <c r="A236" t="inlineStr">
        <is>
          <t>D. Serikbayev East Kazakhstan state technical university</t>
        </is>
      </c>
      <c r="B236" t="inlineStr">
        <is>
          <t>Kazakhstan</t>
        </is>
      </c>
      <c r="C236" t="inlineStr">
        <is>
          <t>KZ</t>
        </is>
      </c>
      <c r="D236" t="inlineStr"/>
      <c r="E236" t="inlineStr">
        <is>
          <t>M</t>
        </is>
      </c>
      <c r="F236" t="inlineStr">
        <is>
          <t>CO</t>
        </is>
      </c>
      <c r="G236" t="inlineStr">
        <is>
          <t>MD</t>
        </is>
      </c>
      <c r="H236" t="inlineStr">
        <is>
          <t>4</t>
        </is>
      </c>
      <c r="I236" t="inlineStr">
        <is>
          <t>A</t>
        </is>
      </c>
      <c r="J236" t="inlineStr"/>
      <c r="K236" t="inlineStr"/>
      <c r="L236" t="inlineStr">
        <is>
          <t>901-950</t>
        </is>
      </c>
      <c r="M236" t="inlineStr"/>
      <c r="N236" t="inlineStr"/>
      <c r="O236" t="inlineStr">
        <is>
          <t>-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11.6</t>
        </is>
      </c>
      <c r="AK236" t="inlineStr">
        <is>
          <t>601+</t>
        </is>
      </c>
      <c r="AL236" t="inlineStr">
        <is>
          <t>6.3</t>
        </is>
      </c>
      <c r="AM236" t="inlineStr">
        <is>
          <t>601+</t>
        </is>
      </c>
      <c r="AN236" t="inlineStr">
        <is>
          <t>59.9</t>
        </is>
      </c>
      <c r="AO236" t="inlineStr">
        <is>
          <t>237</t>
        </is>
      </c>
      <c r="AP236" t="inlineStr">
        <is>
          <t>1.2</t>
        </is>
      </c>
      <c r="AQ236" t="inlineStr">
        <is>
          <t>701+</t>
        </is>
      </c>
      <c r="AR236" t="inlineStr">
        <is>
          <t>17.3</t>
        </is>
      </c>
      <c r="AS236" t="inlineStr">
        <is>
          <t>623</t>
        </is>
      </c>
      <c r="AT236" t="inlineStr">
        <is>
          <t>2.7</t>
        </is>
      </c>
      <c r="AU236" t="inlineStr">
        <is>
          <t>701+</t>
        </is>
      </c>
      <c r="AV236" t="inlineStr">
        <is>
          <t>1.0</t>
        </is>
      </c>
      <c r="AW236" t="inlineStr">
        <is>
          <t>701+</t>
        </is>
      </c>
      <c r="AX236" t="inlineStr">
        <is>
          <t>12.6</t>
        </is>
      </c>
      <c r="AY236" t="inlineStr">
        <is>
          <t>686</t>
        </is>
      </c>
      <c r="AZ236" t="inlineStr">
        <is>
          <t>1.6</t>
        </is>
      </c>
      <c r="BA236" t="inlineStr">
        <is>
          <t>701+</t>
        </is>
      </c>
    </row>
    <row r="237">
      <c r="A237" t="inlineStr">
        <is>
          <t>D. Serikbayev East Kazakhstan Technical University</t>
        </is>
      </c>
      <c r="B237" t="inlineStr">
        <is>
          <t>Kazakhstan</t>
        </is>
      </c>
      <c r="C237" t="inlineStr"/>
      <c r="D237" t="inlineStr">
        <is>
          <t>Asia</t>
        </is>
      </c>
      <c r="E237" t="inlineStr">
        <is>
          <t>M</t>
        </is>
      </c>
      <c r="F237" t="inlineStr">
        <is>
          <t>FO</t>
        </is>
      </c>
      <c r="G237" t="inlineStr">
        <is>
          <t>HI</t>
        </is>
      </c>
      <c r="H237" t="inlineStr"/>
      <c r="I237" t="inlineStr">
        <is>
          <t>Public</t>
        </is>
      </c>
      <c r="J237" t="inlineStr">
        <is>
          <t>1001-1200</t>
        </is>
      </c>
      <c r="K237" t="inlineStr">
        <is>
          <t>951-1000</t>
        </is>
      </c>
      <c r="L237" t="inlineStr"/>
      <c r="M237" t="inlineStr"/>
      <c r="N237" t="inlineStr">
        <is>
          <t>-</t>
        </is>
      </c>
      <c r="O237" t="inlineStr"/>
      <c r="P237" t="n">
        <v>14.6</v>
      </c>
      <c r="Q237" t="inlineStr">
        <is>
          <t>701+</t>
        </is>
      </c>
      <c r="R237" t="n">
        <v>18.2</v>
      </c>
      <c r="S237" t="inlineStr">
        <is>
          <t>701+</t>
        </is>
      </c>
      <c r="T237" t="n">
        <v>75.90000000000001</v>
      </c>
      <c r="U237" t="inlineStr">
        <is>
          <t>190</t>
        </is>
      </c>
      <c r="V237" t="n">
        <v>1.4</v>
      </c>
      <c r="W237" t="inlineStr">
        <is>
          <t>801+</t>
        </is>
      </c>
      <c r="X237" t="n">
        <v>23.7</v>
      </c>
      <c r="Y237" t="inlineStr">
        <is>
          <t>665</t>
        </is>
      </c>
      <c r="Z237" t="n">
        <v>5.5</v>
      </c>
      <c r="AA237" t="inlineStr">
        <is>
          <t>801+</t>
        </is>
      </c>
      <c r="AB237" t="n">
        <v>9.5</v>
      </c>
      <c r="AC237" t="inlineStr">
        <is>
          <t>801+</t>
        </is>
      </c>
      <c r="AD237" t="n">
        <v>5.2</v>
      </c>
      <c r="AE237" t="inlineStr">
        <is>
          <t>801+</t>
        </is>
      </c>
      <c r="AF237" t="n">
        <v>4.4</v>
      </c>
      <c r="AG237" t="inlineStr">
        <is>
          <t>801+</t>
        </is>
      </c>
      <c r="AH237" t="n">
        <v>31</v>
      </c>
      <c r="AI237" t="inlineStr">
        <is>
          <t>801+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Daegu Gyeongbuk Institute of Science and Technology (DGIST)</t>
        </is>
      </c>
      <c r="B238" t="inlineStr">
        <is>
          <t>Republic of Korea</t>
        </is>
      </c>
      <c r="C238" t="inlineStr"/>
      <c r="D238" t="inlineStr">
        <is>
          <t>Asia</t>
        </is>
      </c>
      <c r="E238" t="inlineStr">
        <is>
          <t>S</t>
        </is>
      </c>
      <c r="F238" t="inlineStr">
        <is>
          <t>FO</t>
        </is>
      </c>
      <c r="G238" t="inlineStr">
        <is>
          <t>VH</t>
        </is>
      </c>
      <c r="H238" t="inlineStr"/>
      <c r="I238" t="inlineStr">
        <is>
          <t>Public</t>
        </is>
      </c>
      <c r="J238" t="inlineStr">
        <is>
          <t>370</t>
        </is>
      </c>
      <c r="K238" t="inlineStr">
        <is>
          <t>326</t>
        </is>
      </c>
      <c r="L238" t="inlineStr"/>
      <c r="M238" t="inlineStr"/>
      <c r="N238" t="inlineStr">
        <is>
          <t>40.4</t>
        </is>
      </c>
      <c r="O238" t="inlineStr"/>
      <c r="P238" t="n">
        <v>17</v>
      </c>
      <c r="Q238" t="inlineStr">
        <is>
          <t>701+</t>
        </is>
      </c>
      <c r="R238" t="n">
        <v>28.1</v>
      </c>
      <c r="S238" t="inlineStr">
        <is>
          <t>494</t>
        </is>
      </c>
      <c r="T238" t="n">
        <v>82.3</v>
      </c>
      <c r="U238" t="inlineStr">
        <is>
          <t>156</t>
        </is>
      </c>
      <c r="V238" t="n">
        <v>100</v>
      </c>
      <c r="W238" t="inlineStr">
        <is>
          <t>4</t>
        </is>
      </c>
      <c r="X238" t="n">
        <v>5.1</v>
      </c>
      <c r="Y238" t="inlineStr">
        <is>
          <t>801+</t>
        </is>
      </c>
      <c r="Z238" t="n">
        <v>7.3</v>
      </c>
      <c r="AA238" t="inlineStr">
        <is>
          <t>801+</t>
        </is>
      </c>
      <c r="AB238" t="n">
        <v>10.8</v>
      </c>
      <c r="AC238" t="inlineStr">
        <is>
          <t>801+</t>
        </is>
      </c>
      <c r="AD238" t="n">
        <v>15.8</v>
      </c>
      <c r="AE238" t="inlineStr">
        <is>
          <t>801+</t>
        </is>
      </c>
      <c r="AF238" t="n">
        <v>2.5</v>
      </c>
      <c r="AG238" t="inlineStr">
        <is>
          <t>801+</t>
        </is>
      </c>
      <c r="AH238" t="n">
        <v>42.8</v>
      </c>
      <c r="AI238" t="inlineStr">
        <is>
          <t>801+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Daegu Gyeongbuk Institute of Science and Technology (DGIST)</t>
        </is>
      </c>
      <c r="B239" t="inlineStr">
        <is>
          <t>South Korea</t>
        </is>
      </c>
      <c r="C239" t="inlineStr">
        <is>
          <t>KR</t>
        </is>
      </c>
      <c r="D239" t="inlineStr"/>
      <c r="E239" t="inlineStr">
        <is>
          <t>S</t>
        </is>
      </c>
      <c r="F239" t="inlineStr">
        <is>
          <t>FO</t>
        </is>
      </c>
      <c r="G239" t="inlineStr">
        <is>
          <t>VH</t>
        </is>
      </c>
      <c r="H239" t="inlineStr">
        <is>
          <t>2</t>
        </is>
      </c>
      <c r="I239" t="inlineStr">
        <is>
          <t>A</t>
        </is>
      </c>
      <c r="J239" t="inlineStr"/>
      <c r="K239" t="inlineStr"/>
      <c r="L239" t="inlineStr">
        <is>
          <t>307</t>
        </is>
      </c>
      <c r="M239" t="inlineStr"/>
      <c r="N239" t="inlineStr"/>
      <c r="O239" t="inlineStr">
        <is>
          <t>34.0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10.4</t>
        </is>
      </c>
      <c r="AK239" t="inlineStr">
        <is>
          <t>601+</t>
        </is>
      </c>
      <c r="AL239" t="inlineStr">
        <is>
          <t>7.5</t>
        </is>
      </c>
      <c r="AM239" t="inlineStr">
        <is>
          <t>601+</t>
        </is>
      </c>
      <c r="AN239" t="inlineStr">
        <is>
          <t>89.0</t>
        </is>
      </c>
      <c r="AO239" t="inlineStr">
        <is>
          <t>90</t>
        </is>
      </c>
      <c r="AP239" t="inlineStr">
        <is>
          <t>100.0</t>
        </is>
      </c>
      <c r="AQ239" t="inlineStr">
        <is>
          <t>7</t>
        </is>
      </c>
      <c r="AR239" t="inlineStr">
        <is>
          <t>5.3</t>
        </is>
      </c>
      <c r="AS239" t="inlineStr">
        <is>
          <t>701+</t>
        </is>
      </c>
      <c r="AT239" t="inlineStr">
        <is>
          <t>3.7</t>
        </is>
      </c>
      <c r="AU239" t="inlineStr">
        <is>
          <t>701+</t>
        </is>
      </c>
      <c r="AV239" t="inlineStr">
        <is>
          <t>1.0</t>
        </is>
      </c>
      <c r="AW239" t="inlineStr">
        <is>
          <t>701+</t>
        </is>
      </c>
      <c r="AX239" t="inlineStr">
        <is>
          <t>4.7</t>
        </is>
      </c>
      <c r="AY239" t="inlineStr">
        <is>
          <t>701+</t>
        </is>
      </c>
      <c r="AZ239" t="inlineStr"/>
      <c r="BA239" t="inlineStr"/>
    </row>
    <row r="240">
      <c r="A240" t="inlineStr">
        <is>
          <t>Daffodil International University</t>
        </is>
      </c>
      <c r="B240" t="inlineStr">
        <is>
          <t>Bangladesh</t>
        </is>
      </c>
      <c r="C240" t="inlineStr">
        <is>
          <t>BD</t>
        </is>
      </c>
      <c r="D240" t="inlineStr">
        <is>
          <t>Asia</t>
        </is>
      </c>
      <c r="E240" t="inlineStr">
        <is>
          <t>L</t>
        </is>
      </c>
      <c r="F240" t="inlineStr">
        <is>
          <t>FO</t>
        </is>
      </c>
      <c r="G240" t="inlineStr">
        <is>
          <t>VH</t>
        </is>
      </c>
      <c r="H240" t="inlineStr">
        <is>
          <t>2</t>
        </is>
      </c>
      <c r="I240" t="inlineStr">
        <is>
          <t>Private not for Profit</t>
        </is>
      </c>
      <c r="J240" t="inlineStr">
        <is>
          <t>1001-1200</t>
        </is>
      </c>
      <c r="K240" t="inlineStr">
        <is>
          <t>1201-1400</t>
        </is>
      </c>
      <c r="L240" t="inlineStr">
        <is>
          <t>1201-1400</t>
        </is>
      </c>
      <c r="M240" t="inlineStr"/>
      <c r="N240" t="inlineStr">
        <is>
          <t>-</t>
        </is>
      </c>
      <c r="O240" t="inlineStr">
        <is>
          <t>-</t>
        </is>
      </c>
      <c r="P240" t="n">
        <v>15.6</v>
      </c>
      <c r="Q240" t="inlineStr">
        <is>
          <t>701+</t>
        </is>
      </c>
      <c r="R240" t="n">
        <v>23</v>
      </c>
      <c r="S240" t="inlineStr">
        <is>
          <t>578</t>
        </is>
      </c>
      <c r="T240" t="n">
        <v>5.7</v>
      </c>
      <c r="U240" t="inlineStr">
        <is>
          <t>801+</t>
        </is>
      </c>
      <c r="V240" t="n">
        <v>6.9</v>
      </c>
      <c r="W240" t="inlineStr">
        <is>
          <t>801+</t>
        </is>
      </c>
      <c r="X240" t="n">
        <v>7.7</v>
      </c>
      <c r="Y240" t="inlineStr">
        <is>
          <t>801+</t>
        </is>
      </c>
      <c r="Z240" t="n">
        <v>5</v>
      </c>
      <c r="AA240" t="inlineStr">
        <is>
          <t>801+</t>
        </is>
      </c>
      <c r="AB240" t="n">
        <v>8.6</v>
      </c>
      <c r="AC240" t="inlineStr">
        <is>
          <t>801+</t>
        </is>
      </c>
      <c r="AD240" t="n">
        <v>45.1</v>
      </c>
      <c r="AE240" t="inlineStr">
        <is>
          <t>801+</t>
        </is>
      </c>
      <c r="AF240" t="n">
        <v>8.300000000000001</v>
      </c>
      <c r="AG240" t="inlineStr">
        <is>
          <t>801+</t>
        </is>
      </c>
      <c r="AH240" t="n">
        <v>51.7</v>
      </c>
      <c r="AI240" t="inlineStr">
        <is>
          <t>667=</t>
        </is>
      </c>
      <c r="AJ240" t="inlineStr">
        <is>
          <t>8.0</t>
        </is>
      </c>
      <c r="AK240" t="inlineStr">
        <is>
          <t>601+</t>
        </is>
      </c>
      <c r="AL240" t="inlineStr">
        <is>
          <t>16.5</t>
        </is>
      </c>
      <c r="AM240" t="inlineStr">
        <is>
          <t>520</t>
        </is>
      </c>
      <c r="AN240" t="inlineStr">
        <is>
          <t>3.9</t>
        </is>
      </c>
      <c r="AO240" t="inlineStr">
        <is>
          <t>701+</t>
        </is>
      </c>
      <c r="AP240" t="inlineStr">
        <is>
          <t>2.4</t>
        </is>
      </c>
      <c r="AQ240" t="inlineStr">
        <is>
          <t>701+</t>
        </is>
      </c>
      <c r="AR240" t="inlineStr">
        <is>
          <t>4.8</t>
        </is>
      </c>
      <c r="AS240" t="inlineStr">
        <is>
          <t>701+</t>
        </is>
      </c>
      <c r="AT240" t="inlineStr">
        <is>
          <t>2.0</t>
        </is>
      </c>
      <c r="AU240" t="inlineStr">
        <is>
          <t>701+</t>
        </is>
      </c>
      <c r="AV240" t="inlineStr">
        <is>
          <t>1.0</t>
        </is>
      </c>
      <c r="AW240" t="inlineStr">
        <is>
          <t>701+</t>
        </is>
      </c>
      <c r="AX240" t="inlineStr">
        <is>
          <t>10.1</t>
        </is>
      </c>
      <c r="AY240" t="inlineStr">
        <is>
          <t>701+</t>
        </is>
      </c>
      <c r="AZ240" t="inlineStr">
        <is>
          <t>2</t>
        </is>
      </c>
      <c r="BA240" t="inlineStr">
        <is>
          <t>701+</t>
        </is>
      </c>
    </row>
    <row r="241">
      <c r="A241" t="inlineStr">
        <is>
          <t>Dalhousie University</t>
        </is>
      </c>
      <c r="B241" t="inlineStr">
        <is>
          <t>Canada</t>
        </is>
      </c>
      <c r="C241" t="inlineStr">
        <is>
          <t>CA</t>
        </is>
      </c>
      <c r="D241" t="inlineStr">
        <is>
          <t>Americas</t>
        </is>
      </c>
      <c r="E241" t="inlineStr">
        <is>
          <t>L</t>
        </is>
      </c>
      <c r="F241" t="inlineStr">
        <is>
          <t>FC</t>
        </is>
      </c>
      <c r="G241" t="inlineStr">
        <is>
          <t>VH</t>
        </is>
      </c>
      <c r="H241" t="inlineStr">
        <is>
          <t>5</t>
        </is>
      </c>
      <c r="I241" t="inlineStr">
        <is>
          <t>Public</t>
        </is>
      </c>
      <c r="J241" t="inlineStr">
        <is>
          <t>283</t>
        </is>
      </c>
      <c r="K241" t="inlineStr">
        <is>
          <t>275</t>
        </is>
      </c>
      <c r="L241" t="inlineStr">
        <is>
          <t>298</t>
        </is>
      </c>
      <c r="M241" t="inlineStr">
        <is>
          <t>308=</t>
        </is>
      </c>
      <c r="N241" t="inlineStr">
        <is>
          <t>47.2</t>
        </is>
      </c>
      <c r="O241" t="inlineStr">
        <is>
          <t>34.9</t>
        </is>
      </c>
      <c r="P241" t="n">
        <v>27.1</v>
      </c>
      <c r="Q241" t="inlineStr">
        <is>
          <t>465</t>
        </is>
      </c>
      <c r="R241" t="n">
        <v>23.9</v>
      </c>
      <c r="S241" t="inlineStr">
        <is>
          <t>563</t>
        </is>
      </c>
      <c r="T241" t="n">
        <v>15.8</v>
      </c>
      <c r="U241" t="inlineStr">
        <is>
          <t>801+</t>
        </is>
      </c>
      <c r="V241" t="n">
        <v>76.2</v>
      </c>
      <c r="W241" t="inlineStr">
        <is>
          <t>171</t>
        </is>
      </c>
      <c r="X241" t="n">
        <v>100</v>
      </c>
      <c r="Y241" t="inlineStr">
        <is>
          <t>88</t>
        </is>
      </c>
      <c r="Z241" t="n">
        <v>79.40000000000001</v>
      </c>
      <c r="AA241" t="inlineStr">
        <is>
          <t>225</t>
        </is>
      </c>
      <c r="AB241" t="n">
        <v>81.3</v>
      </c>
      <c r="AC241" t="inlineStr">
        <is>
          <t>195</t>
        </is>
      </c>
      <c r="AD241" t="n">
        <v>79.90000000000001</v>
      </c>
      <c r="AE241" t="inlineStr">
        <is>
          <t>353</t>
        </is>
      </c>
      <c r="AF241" t="n">
        <v>39.8</v>
      </c>
      <c r="AG241" t="inlineStr">
        <is>
          <t>439</t>
        </is>
      </c>
      <c r="AH241" t="n">
        <v>85.3</v>
      </c>
      <c r="AI241" t="inlineStr">
        <is>
          <t>107=</t>
        </is>
      </c>
      <c r="AJ241" t="inlineStr">
        <is>
          <t>19.2</t>
        </is>
      </c>
      <c r="AK241" t="inlineStr">
        <is>
          <t>465</t>
        </is>
      </c>
      <c r="AL241" t="inlineStr">
        <is>
          <t>18.0</t>
        </is>
      </c>
      <c r="AM241" t="inlineStr">
        <is>
          <t>488</t>
        </is>
      </c>
      <c r="AN241" t="inlineStr">
        <is>
          <t>16.0</t>
        </is>
      </c>
      <c r="AO241" t="inlineStr">
        <is>
          <t>701+</t>
        </is>
      </c>
      <c r="AP241" t="inlineStr">
        <is>
          <t>41.8</t>
        </is>
      </c>
      <c r="AQ241" t="inlineStr">
        <is>
          <t>323</t>
        </is>
      </c>
      <c r="AR241" t="inlineStr">
        <is>
          <t>99.0</t>
        </is>
      </c>
      <c r="AS241" t="inlineStr">
        <is>
          <t>97</t>
        </is>
      </c>
      <c r="AT241" t="inlineStr">
        <is>
          <t>74.7</t>
        </is>
      </c>
      <c r="AU241" t="inlineStr">
        <is>
          <t>187</t>
        </is>
      </c>
      <c r="AV241" t="inlineStr">
        <is>
          <t>37.2</t>
        </is>
      </c>
      <c r="AW241" t="inlineStr">
        <is>
          <t>399</t>
        </is>
      </c>
      <c r="AX241" t="inlineStr">
        <is>
          <t>21.6</t>
        </is>
      </c>
      <c r="AY241" t="inlineStr">
        <is>
          <t>385</t>
        </is>
      </c>
      <c r="AZ241" t="inlineStr">
        <is>
          <t>94.4</t>
        </is>
      </c>
      <c r="BA241" t="inlineStr">
        <is>
          <t>61=</t>
        </is>
      </c>
    </row>
    <row r="242">
      <c r="A242" t="inlineStr">
        <is>
          <t>Dalian University of Technology</t>
        </is>
      </c>
      <c r="B242" t="inlineStr">
        <is>
          <t>China (Mainland)</t>
        </is>
      </c>
      <c r="C242" t="inlineStr">
        <is>
          <t>CN</t>
        </is>
      </c>
      <c r="D242" t="inlineStr">
        <is>
          <t>Asia</t>
        </is>
      </c>
      <c r="E242" t="inlineStr">
        <is>
          <t>XL</t>
        </is>
      </c>
      <c r="F242" t="inlineStr">
        <is>
          <t>CO</t>
        </is>
      </c>
      <c r="G242" t="inlineStr">
        <is>
          <t>VH</t>
        </is>
      </c>
      <c r="H242" t="inlineStr">
        <is>
          <t>4</t>
        </is>
      </c>
      <c r="I242" t="inlineStr">
        <is>
          <t>Public</t>
        </is>
      </c>
      <c r="J242" t="inlineStr">
        <is>
          <t>482</t>
        </is>
      </c>
      <c r="K242" t="inlineStr">
        <is>
          <t>448</t>
        </is>
      </c>
      <c r="L242">
        <f>491</f>
        <v/>
      </c>
      <c r="M242" t="inlineStr">
        <is>
          <t>561-570</t>
        </is>
      </c>
      <c r="N242" t="inlineStr">
        <is>
          <t>33</t>
        </is>
      </c>
      <c r="O242" t="inlineStr">
        <is>
          <t>23.5</t>
        </is>
      </c>
      <c r="P242" t="n">
        <v>11.4</v>
      </c>
      <c r="Q242" t="inlineStr">
        <is>
          <t>701+</t>
        </is>
      </c>
      <c r="R242" t="n">
        <v>11</v>
      </c>
      <c r="S242" t="inlineStr">
        <is>
          <t>701+</t>
        </is>
      </c>
      <c r="T242" t="n">
        <v>23.4</v>
      </c>
      <c r="U242" t="inlineStr">
        <is>
          <t>766</t>
        </is>
      </c>
      <c r="V242" t="n">
        <v>95.7</v>
      </c>
      <c r="W242" t="inlineStr">
        <is>
          <t>65</t>
        </is>
      </c>
      <c r="X242" t="n">
        <v>15.4</v>
      </c>
      <c r="Y242" t="inlineStr">
        <is>
          <t>800</t>
        </is>
      </c>
      <c r="Z242" t="n">
        <v>5.3</v>
      </c>
      <c r="AA242" t="inlineStr">
        <is>
          <t>801+</t>
        </is>
      </c>
      <c r="AB242" t="n">
        <v>4.2</v>
      </c>
      <c r="AC242" t="inlineStr">
        <is>
          <t>801+</t>
        </is>
      </c>
      <c r="AD242" t="n">
        <v>59.8</v>
      </c>
      <c r="AE242" t="inlineStr">
        <is>
          <t>697</t>
        </is>
      </c>
      <c r="AF242" t="n">
        <v>21.8</v>
      </c>
      <c r="AG242" t="inlineStr">
        <is>
          <t>697</t>
        </is>
      </c>
      <c r="AH242" t="n">
        <v>46.8</v>
      </c>
      <c r="AI242" t="inlineStr">
        <is>
          <t>798</t>
        </is>
      </c>
      <c r="AJ242" t="inlineStr">
        <is>
          <t>9.1</t>
        </is>
      </c>
      <c r="AK242" t="inlineStr">
        <is>
          <t>601+</t>
        </is>
      </c>
      <c r="AL242" t="inlineStr">
        <is>
          <t>3.2</t>
        </is>
      </c>
      <c r="AM242" t="inlineStr">
        <is>
          <t>601+</t>
        </is>
      </c>
      <c r="AN242" t="inlineStr">
        <is>
          <t>16.8</t>
        </is>
      </c>
      <c r="AO242" t="inlineStr">
        <is>
          <t>701+</t>
        </is>
      </c>
      <c r="AP242" t="inlineStr">
        <is>
          <t>79.8</t>
        </is>
      </c>
      <c r="AQ242" t="inlineStr">
        <is>
          <t>110</t>
        </is>
      </c>
      <c r="AR242" t="inlineStr">
        <is>
          <t>12.2</t>
        </is>
      </c>
      <c r="AS242" t="inlineStr">
        <is>
          <t>701+</t>
        </is>
      </c>
      <c r="AT242" t="inlineStr">
        <is>
          <t>3.2</t>
        </is>
      </c>
      <c r="AU242" t="inlineStr">
        <is>
          <t>701+</t>
        </is>
      </c>
      <c r="AV242" t="inlineStr">
        <is>
          <t>16.3</t>
        </is>
      </c>
      <c r="AW242" t="inlineStr">
        <is>
          <t>582</t>
        </is>
      </c>
      <c r="AX242" t="inlineStr">
        <is>
          <t>13.7</t>
        </is>
      </c>
      <c r="AY242" t="inlineStr">
        <is>
          <t>627</t>
        </is>
      </c>
      <c r="AZ242" t="inlineStr">
        <is>
          <t>8.7</t>
        </is>
      </c>
      <c r="BA242" t="inlineStr">
        <is>
          <t>691=</t>
        </is>
      </c>
    </row>
    <row r="243">
      <c r="A243" t="inlineStr">
        <is>
          <t>Damascus University</t>
        </is>
      </c>
      <c r="B243" t="inlineStr">
        <is>
          <t>Syrian Arab Republic</t>
        </is>
      </c>
      <c r="C243" t="inlineStr">
        <is>
          <t>SY</t>
        </is>
      </c>
      <c r="D243" t="inlineStr">
        <is>
          <t>Asia</t>
        </is>
      </c>
      <c r="E243" t="inlineStr">
        <is>
          <t>XL</t>
        </is>
      </c>
      <c r="F243" t="inlineStr">
        <is>
          <t>FC</t>
        </is>
      </c>
      <c r="G243" t="inlineStr">
        <is>
          <t>MD</t>
        </is>
      </c>
      <c r="H243" t="inlineStr">
        <is>
          <t>5</t>
        </is>
      </c>
      <c r="I243" t="inlineStr">
        <is>
          <t>Public</t>
        </is>
      </c>
      <c r="J243" t="inlineStr">
        <is>
          <t>1201-1400</t>
        </is>
      </c>
      <c r="K243" t="inlineStr">
        <is>
          <t>1201-1400</t>
        </is>
      </c>
      <c r="L243" t="inlineStr">
        <is>
          <t>1201-1400</t>
        </is>
      </c>
      <c r="M243" t="inlineStr">
        <is>
          <t>1401+</t>
        </is>
      </c>
      <c r="N243" t="inlineStr">
        <is>
          <t>-</t>
        </is>
      </c>
      <c r="O243" t="inlineStr">
        <is>
          <t>-</t>
        </is>
      </c>
      <c r="P243" t="n">
        <v>8</v>
      </c>
      <c r="Q243" t="inlineStr">
        <is>
          <t>701+</t>
        </is>
      </c>
      <c r="R243" t="n">
        <v>6.4</v>
      </c>
      <c r="S243" t="inlineStr">
        <is>
          <t>701+</t>
        </is>
      </c>
      <c r="T243" t="n">
        <v>1.7</v>
      </c>
      <c r="U243" t="inlineStr">
        <is>
          <t>801+</t>
        </is>
      </c>
      <c r="V243" t="n">
        <v>1.5</v>
      </c>
      <c r="W243" t="inlineStr">
        <is>
          <t>801+</t>
        </is>
      </c>
      <c r="X243" t="n">
        <v>5.4</v>
      </c>
      <c r="Y243" t="inlineStr">
        <is>
          <t>801+</t>
        </is>
      </c>
      <c r="Z243" t="n">
        <v>11.2</v>
      </c>
      <c r="AA243" t="inlineStr">
        <is>
          <t>801+</t>
        </is>
      </c>
      <c r="AB243" t="n">
        <v>14.6</v>
      </c>
      <c r="AC243" t="inlineStr">
        <is>
          <t>801+</t>
        </is>
      </c>
      <c r="AD243" t="n">
        <v>23.2</v>
      </c>
      <c r="AE243" t="inlineStr">
        <is>
          <t>801+</t>
        </is>
      </c>
      <c r="AF243" t="n">
        <v>95.8</v>
      </c>
      <c r="AG243" t="inlineStr">
        <is>
          <t>69</t>
        </is>
      </c>
      <c r="AH243" t="n">
        <v>32</v>
      </c>
      <c r="AI243" t="inlineStr">
        <is>
          <t>801+</t>
        </is>
      </c>
      <c r="AJ243" t="inlineStr">
        <is>
          <t>5.1</t>
        </is>
      </c>
      <c r="AK243" t="inlineStr">
        <is>
          <t>601+</t>
        </is>
      </c>
      <c r="AL243" t="inlineStr">
        <is>
          <t>4.2</t>
        </is>
      </c>
      <c r="AM243" t="inlineStr">
        <is>
          <t>601+</t>
        </is>
      </c>
      <c r="AN243" t="inlineStr">
        <is>
          <t>1.1</t>
        </is>
      </c>
      <c r="AO243" t="inlineStr">
        <is>
          <t>701+</t>
        </is>
      </c>
      <c r="AP243" t="inlineStr">
        <is>
          <t>1.2</t>
        </is>
      </c>
      <c r="AQ243" t="inlineStr">
        <is>
          <t>701+</t>
        </is>
      </c>
      <c r="AR243" t="inlineStr">
        <is>
          <t>1.6</t>
        </is>
      </c>
      <c r="AS243" t="inlineStr">
        <is>
          <t>701+</t>
        </is>
      </c>
      <c r="AT243" t="inlineStr">
        <is>
          <t>3.9</t>
        </is>
      </c>
      <c r="AU243" t="inlineStr">
        <is>
          <t>701+</t>
        </is>
      </c>
      <c r="AV243" t="inlineStr">
        <is>
          <t>1.0</t>
        </is>
      </c>
      <c r="AW243" t="inlineStr">
        <is>
          <t>701+</t>
        </is>
      </c>
      <c r="AX243" t="inlineStr">
        <is>
          <t>64</t>
        </is>
      </c>
      <c r="AY243" t="inlineStr">
        <is>
          <t>90</t>
        </is>
      </c>
      <c r="AZ243" t="inlineStr">
        <is>
          <t>1.1</t>
        </is>
      </c>
      <c r="BA243" t="inlineStr">
        <is>
          <t>701+</t>
        </is>
      </c>
    </row>
    <row r="244">
      <c r="A244" t="inlineStr">
        <is>
          <t>Dankook University</t>
        </is>
      </c>
      <c r="B244" t="inlineStr">
        <is>
          <t>Republic of Korea</t>
        </is>
      </c>
      <c r="C244" t="inlineStr"/>
      <c r="D244" t="inlineStr">
        <is>
          <t>Asia</t>
        </is>
      </c>
      <c r="E244" t="inlineStr">
        <is>
          <t>L</t>
        </is>
      </c>
      <c r="F244" t="inlineStr">
        <is>
          <t>FC</t>
        </is>
      </c>
      <c r="G244" t="inlineStr">
        <is>
          <t>HI</t>
        </is>
      </c>
      <c r="H244" t="inlineStr"/>
      <c r="I244" t="inlineStr">
        <is>
          <t>Private not for Profit</t>
        </is>
      </c>
      <c r="J244" t="inlineStr">
        <is>
          <t>1001-1200</t>
        </is>
      </c>
      <c r="K244" t="inlineStr">
        <is>
          <t>1001-1200</t>
        </is>
      </c>
      <c r="L244" t="inlineStr"/>
      <c r="M244" t="inlineStr"/>
      <c r="N244" t="inlineStr">
        <is>
          <t>-</t>
        </is>
      </c>
      <c r="O244" t="inlineStr"/>
      <c r="P244" t="n">
        <v>10</v>
      </c>
      <c r="Q244" t="inlineStr">
        <is>
          <t>701+</t>
        </is>
      </c>
      <c r="R244" t="n">
        <v>8.300000000000001</v>
      </c>
      <c r="S244" t="inlineStr">
        <is>
          <t>701+</t>
        </is>
      </c>
      <c r="T244" t="n">
        <v>72</v>
      </c>
      <c r="U244" t="inlineStr">
        <is>
          <t>213</t>
        </is>
      </c>
      <c r="V244" t="n">
        <v>4.8</v>
      </c>
      <c r="W244" t="inlineStr">
        <is>
          <t>801+</t>
        </is>
      </c>
      <c r="X244" t="n">
        <v>5.5</v>
      </c>
      <c r="Y244" t="inlineStr">
        <is>
          <t>801+</t>
        </is>
      </c>
      <c r="Z244" t="n">
        <v>12.6</v>
      </c>
      <c r="AA244" t="inlineStr">
        <is>
          <t>801+</t>
        </is>
      </c>
      <c r="AB244" t="n">
        <v>16.2</v>
      </c>
      <c r="AC244" t="inlineStr">
        <is>
          <t>801+</t>
        </is>
      </c>
      <c r="AD244" t="n">
        <v>17.1</v>
      </c>
      <c r="AE244" t="inlineStr">
        <is>
          <t>801+</t>
        </is>
      </c>
      <c r="AF244" t="n">
        <v>3.6</v>
      </c>
      <c r="AG244" t="inlineStr">
        <is>
          <t>801+</t>
        </is>
      </c>
      <c r="AH244" t="n">
        <v>47.6</v>
      </c>
      <c r="AI244" t="inlineStr">
        <is>
          <t>770=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 xml:space="preserve">Dankook University </t>
        </is>
      </c>
      <c r="B245" t="inlineStr">
        <is>
          <t>South Korea</t>
        </is>
      </c>
      <c r="C245" t="inlineStr">
        <is>
          <t>KR</t>
        </is>
      </c>
      <c r="D245" t="inlineStr"/>
      <c r="E245" t="inlineStr">
        <is>
          <t>L</t>
        </is>
      </c>
      <c r="F245" t="inlineStr">
        <is>
          <t>FC</t>
        </is>
      </c>
      <c r="G245" t="inlineStr">
        <is>
          <t>HI</t>
        </is>
      </c>
      <c r="H245" t="inlineStr">
        <is>
          <t>4</t>
        </is>
      </c>
      <c r="I245" t="inlineStr">
        <is>
          <t>B</t>
        </is>
      </c>
      <c r="J245" t="inlineStr"/>
      <c r="K245" t="inlineStr"/>
      <c r="L245" t="inlineStr">
        <is>
          <t>1001-1200</t>
        </is>
      </c>
      <c r="M245" t="inlineStr">
        <is>
          <t>751-800</t>
        </is>
      </c>
      <c r="N245" t="inlineStr"/>
      <c r="O245" t="inlineStr">
        <is>
          <t>-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4.8</t>
        </is>
      </c>
      <c r="AK245" t="inlineStr">
        <is>
          <t>601+</t>
        </is>
      </c>
      <c r="AL245" t="inlineStr">
        <is>
          <t>3.5</t>
        </is>
      </c>
      <c r="AM245" t="inlineStr">
        <is>
          <t>601+</t>
        </is>
      </c>
      <c r="AN245" t="inlineStr">
        <is>
          <t>68.9</t>
        </is>
      </c>
      <c r="AO245" t="inlineStr">
        <is>
          <t>188</t>
        </is>
      </c>
      <c r="AP245" t="inlineStr">
        <is>
          <t>2.8</t>
        </is>
      </c>
      <c r="AQ245" t="inlineStr">
        <is>
          <t>701+</t>
        </is>
      </c>
      <c r="AR245" t="inlineStr">
        <is>
          <t>4.5</t>
        </is>
      </c>
      <c r="AS245" t="inlineStr">
        <is>
          <t>701+</t>
        </is>
      </c>
      <c r="AT245" t="inlineStr">
        <is>
          <t>5.8</t>
        </is>
      </c>
      <c r="AU245" t="inlineStr">
        <is>
          <t>701+</t>
        </is>
      </c>
      <c r="AV245" t="inlineStr">
        <is>
          <t>1.0</t>
        </is>
      </c>
      <c r="AW245" t="inlineStr">
        <is>
          <t>701+</t>
        </is>
      </c>
      <c r="AX245" t="inlineStr">
        <is>
          <t>6.8</t>
        </is>
      </c>
      <c r="AY245" t="inlineStr">
        <is>
          <t>701+</t>
        </is>
      </c>
      <c r="AZ245" t="inlineStr">
        <is>
          <t>1</t>
        </is>
      </c>
      <c r="BA245" t="inlineStr">
        <is>
          <t>701+</t>
        </is>
      </c>
    </row>
    <row r="246">
      <c r="A246" t="inlineStr">
        <is>
          <t>Dartmouth College</t>
        </is>
      </c>
      <c r="B246" t="inlineStr">
        <is>
          <t>United States</t>
        </is>
      </c>
      <c r="C246" t="inlineStr">
        <is>
          <t>US</t>
        </is>
      </c>
      <c r="D246" t="inlineStr">
        <is>
          <t>Americas</t>
        </is>
      </c>
      <c r="E246" t="inlineStr">
        <is>
          <t>M</t>
        </is>
      </c>
      <c r="F246" t="inlineStr">
        <is>
          <t>FC</t>
        </is>
      </c>
      <c r="G246" t="inlineStr">
        <is>
          <t>VH</t>
        </is>
      </c>
      <c r="H246" t="inlineStr">
        <is>
          <t>5</t>
        </is>
      </c>
      <c r="I246" t="inlineStr">
        <is>
          <t>Private not for Profit</t>
        </is>
      </c>
      <c r="J246" t="inlineStr">
        <is>
          <t>247</t>
        </is>
      </c>
      <c r="K246" t="inlineStr">
        <is>
          <t>243</t>
        </is>
      </c>
      <c r="L246">
        <f>237</f>
        <v/>
      </c>
      <c r="M246" t="inlineStr">
        <is>
          <t>205=</t>
        </is>
      </c>
      <c r="N246" t="inlineStr">
        <is>
          <t>50.6</t>
        </is>
      </c>
      <c r="O246" t="inlineStr">
        <is>
          <t>40.9</t>
        </is>
      </c>
      <c r="P246" t="n">
        <v>30.7</v>
      </c>
      <c r="Q246" t="inlineStr">
        <is>
          <t>398</t>
        </is>
      </c>
      <c r="R246" t="n">
        <v>54.3</v>
      </c>
      <c r="S246" t="inlineStr">
        <is>
          <t>225</t>
        </is>
      </c>
      <c r="T246" t="n">
        <v>79.90000000000001</v>
      </c>
      <c r="U246" t="inlineStr">
        <is>
          <t>167</t>
        </is>
      </c>
      <c r="V246" t="n">
        <v>56.9</v>
      </c>
      <c r="W246" t="inlineStr">
        <is>
          <t>307</t>
        </is>
      </c>
      <c r="X246" t="n">
        <v>13.5</v>
      </c>
      <c r="Y246" t="inlineStr">
        <is>
          <t>801+</t>
        </is>
      </c>
      <c r="Z246" t="n">
        <v>58.5</v>
      </c>
      <c r="AA246" t="inlineStr">
        <is>
          <t>351</t>
        </is>
      </c>
      <c r="AB246" t="n">
        <v>62.5</v>
      </c>
      <c r="AC246" t="inlineStr">
        <is>
          <t>318</t>
        </is>
      </c>
      <c r="AD246" t="n">
        <v>46.2</v>
      </c>
      <c r="AE246" t="inlineStr">
        <is>
          <t>801+</t>
        </is>
      </c>
      <c r="AF246" t="n">
        <v>87.7</v>
      </c>
      <c r="AG246" t="inlineStr">
        <is>
          <t>122</t>
        </is>
      </c>
      <c r="AH246" t="n">
        <v>82.2</v>
      </c>
      <c r="AI246" t="inlineStr">
        <is>
          <t>146=</t>
        </is>
      </c>
      <c r="AJ246" t="inlineStr">
        <is>
          <t>21.1</t>
        </is>
      </c>
      <c r="AK246" t="inlineStr">
        <is>
          <t>415</t>
        </is>
      </c>
      <c r="AL246" t="inlineStr">
        <is>
          <t>24.2</t>
        </is>
      </c>
      <c r="AM246" t="inlineStr">
        <is>
          <t>398</t>
        </is>
      </c>
      <c r="AN246" t="inlineStr">
        <is>
          <t>57.9</t>
        </is>
      </c>
      <c r="AO246" t="inlineStr">
        <is>
          <t>248</t>
        </is>
      </c>
      <c r="AP246" t="inlineStr">
        <is>
          <t>78.6</t>
        </is>
      </c>
      <c r="AQ246" t="inlineStr">
        <is>
          <t>121</t>
        </is>
      </c>
      <c r="AR246" t="inlineStr">
        <is>
          <t>5.3</t>
        </is>
      </c>
      <c r="AS246" t="inlineStr">
        <is>
          <t>701+</t>
        </is>
      </c>
      <c r="AT246" t="inlineStr">
        <is>
          <t>33.9</t>
        </is>
      </c>
      <c r="AU246" t="inlineStr">
        <is>
          <t>388</t>
        </is>
      </c>
      <c r="AV246" t="inlineStr">
        <is>
          <t>6.6</t>
        </is>
      </c>
      <c r="AW246" t="inlineStr">
        <is>
          <t>701+</t>
        </is>
      </c>
      <c r="AX246" t="inlineStr">
        <is>
          <t>72.1</t>
        </is>
      </c>
      <c r="AY246" t="inlineStr">
        <is>
          <t>65</t>
        </is>
      </c>
      <c r="AZ246" t="inlineStr">
        <is>
          <t>66.8</t>
        </is>
      </c>
      <c r="BA246" t="inlineStr">
        <is>
          <t>217=</t>
        </is>
      </c>
    </row>
    <row r="247">
      <c r="A247" t="inlineStr">
        <is>
          <t>De La Salle University</t>
        </is>
      </c>
      <c r="B247" t="inlineStr">
        <is>
          <t>Philippines</t>
        </is>
      </c>
      <c r="C247" t="inlineStr">
        <is>
          <t>PH</t>
        </is>
      </c>
      <c r="D247" t="inlineStr">
        <is>
          <t>Asia</t>
        </is>
      </c>
      <c r="E247" t="inlineStr">
        <is>
          <t>L</t>
        </is>
      </c>
      <c r="F247" t="inlineStr">
        <is>
          <t>CO</t>
        </is>
      </c>
      <c r="G247" t="inlineStr">
        <is>
          <t>HI</t>
        </is>
      </c>
      <c r="H247" t="inlineStr">
        <is>
          <t>4</t>
        </is>
      </c>
      <c r="I247" t="inlineStr">
        <is>
          <t>Private not for Profit</t>
        </is>
      </c>
      <c r="J247" t="inlineStr">
        <is>
          <t>654</t>
        </is>
      </c>
      <c r="K247" t="inlineStr">
        <is>
          <t>641-650</t>
        </is>
      </c>
      <c r="L247" t="inlineStr">
        <is>
          <t>681-690</t>
        </is>
      </c>
      <c r="M247" t="inlineStr">
        <is>
          <t>801-1000</t>
        </is>
      </c>
      <c r="N247" t="inlineStr">
        <is>
          <t>26.6</t>
        </is>
      </c>
      <c r="O247" t="inlineStr">
        <is>
          <t>-</t>
        </is>
      </c>
      <c r="P247" t="n">
        <v>32.7</v>
      </c>
      <c r="Q247" t="inlineStr">
        <is>
          <t>374</t>
        </is>
      </c>
      <c r="R247" t="n">
        <v>58.6</v>
      </c>
      <c r="S247" t="inlineStr">
        <is>
          <t>197</t>
        </is>
      </c>
      <c r="T247" t="n">
        <v>9.6</v>
      </c>
      <c r="U247" t="inlineStr">
        <is>
          <t>801+</t>
        </is>
      </c>
      <c r="V247" t="n">
        <v>6.8</v>
      </c>
      <c r="W247" t="inlineStr">
        <is>
          <t>801+</t>
        </is>
      </c>
      <c r="X247" t="n">
        <v>2.8</v>
      </c>
      <c r="Y247" t="inlineStr">
        <is>
          <t>801+</t>
        </is>
      </c>
      <c r="Z247" t="n">
        <v>3.5</v>
      </c>
      <c r="AA247" t="inlineStr">
        <is>
          <t>801+</t>
        </is>
      </c>
      <c r="AB247" t="n">
        <v>7.8</v>
      </c>
      <c r="AC247" t="inlineStr">
        <is>
          <t>801+</t>
        </is>
      </c>
      <c r="AD247" t="n">
        <v>27.3</v>
      </c>
      <c r="AE247" t="inlineStr">
        <is>
          <t>801+</t>
        </is>
      </c>
      <c r="AF247" t="n">
        <v>60.7</v>
      </c>
      <c r="AG247" t="inlineStr">
        <is>
          <t>266</t>
        </is>
      </c>
      <c r="AH247" t="n">
        <v>44.1</v>
      </c>
      <c r="AI247" t="inlineStr">
        <is>
          <t>801+</t>
        </is>
      </c>
      <c r="AJ247" t="inlineStr">
        <is>
          <t>21.0</t>
        </is>
      </c>
      <c r="AK247" t="inlineStr">
        <is>
          <t>419</t>
        </is>
      </c>
      <c r="AL247" t="inlineStr">
        <is>
          <t>45.1</t>
        </is>
      </c>
      <c r="AM247" t="inlineStr">
        <is>
          <t>191</t>
        </is>
      </c>
      <c r="AN247" t="inlineStr">
        <is>
          <t>10.5</t>
        </is>
      </c>
      <c r="AO247" t="inlineStr">
        <is>
          <t>701+</t>
        </is>
      </c>
      <c r="AP247" t="inlineStr">
        <is>
          <t>4.2</t>
        </is>
      </c>
      <c r="AQ247" t="inlineStr">
        <is>
          <t>701+</t>
        </is>
      </c>
      <c r="AR247" t="inlineStr">
        <is>
          <t>2.0</t>
        </is>
      </c>
      <c r="AS247" t="inlineStr">
        <is>
          <t>701+</t>
        </is>
      </c>
      <c r="AT247" t="inlineStr">
        <is>
          <t>2.7</t>
        </is>
      </c>
      <c r="AU247" t="inlineStr">
        <is>
          <t>701+</t>
        </is>
      </c>
      <c r="AV247" t="inlineStr">
        <is>
          <t>1.3</t>
        </is>
      </c>
      <c r="AW247" t="inlineStr">
        <is>
          <t>701+</t>
        </is>
      </c>
      <c r="AX247" t="inlineStr">
        <is>
          <t>35.6</t>
        </is>
      </c>
      <c r="AY247" t="inlineStr">
        <is>
          <t>210</t>
        </is>
      </c>
      <c r="AZ247" t="inlineStr">
        <is>
          <t>5.6</t>
        </is>
      </c>
      <c r="BA247" t="inlineStr">
        <is>
          <t>701+</t>
        </is>
      </c>
    </row>
    <row r="248">
      <c r="A248" t="inlineStr">
        <is>
          <t>De Montfort University</t>
        </is>
      </c>
      <c r="B248" t="inlineStr">
        <is>
          <t>United Kingdom</t>
        </is>
      </c>
      <c r="C248" t="inlineStr">
        <is>
          <t>UK</t>
        </is>
      </c>
      <c r="D248" t="inlineStr">
        <is>
          <t>Europe</t>
        </is>
      </c>
      <c r="E248" t="inlineStr">
        <is>
          <t>L</t>
        </is>
      </c>
      <c r="F248" t="inlineStr">
        <is>
          <t>FO</t>
        </is>
      </c>
      <c r="G248" t="inlineStr">
        <is>
          <t>VH</t>
        </is>
      </c>
      <c r="H248" t="inlineStr">
        <is>
          <t>5</t>
        </is>
      </c>
      <c r="I248" t="inlineStr">
        <is>
          <t>Public</t>
        </is>
      </c>
      <c r="J248" t="inlineStr">
        <is>
          <t>801-850</t>
        </is>
      </c>
      <c r="K248" t="inlineStr">
        <is>
          <t>711-720</t>
        </is>
      </c>
      <c r="L248" t="inlineStr">
        <is>
          <t>801-850</t>
        </is>
      </c>
      <c r="M248" t="inlineStr">
        <is>
          <t>801-1000</t>
        </is>
      </c>
      <c r="N248" t="inlineStr">
        <is>
          <t>-</t>
        </is>
      </c>
      <c r="O248" t="inlineStr">
        <is>
          <t>-</t>
        </is>
      </c>
      <c r="P248" t="n">
        <v>6.4</v>
      </c>
      <c r="Q248" t="inlineStr">
        <is>
          <t>701+</t>
        </is>
      </c>
      <c r="R248" t="n">
        <v>9.5</v>
      </c>
      <c r="S248" t="inlineStr">
        <is>
          <t>701+</t>
        </is>
      </c>
      <c r="T248" t="n">
        <v>6.8</v>
      </c>
      <c r="U248" t="inlineStr">
        <is>
          <t>801+</t>
        </is>
      </c>
      <c r="V248" t="n">
        <v>16.7</v>
      </c>
      <c r="W248" t="inlineStr">
        <is>
          <t>770</t>
        </is>
      </c>
      <c r="X248" t="n">
        <v>81.40000000000001</v>
      </c>
      <c r="Y248" t="inlineStr">
        <is>
          <t>284</t>
        </is>
      </c>
      <c r="Z248" t="n">
        <v>96.40000000000001</v>
      </c>
      <c r="AA248" t="inlineStr">
        <is>
          <t>107</t>
        </is>
      </c>
      <c r="AB248" t="n">
        <v>96.59999999999999</v>
      </c>
      <c r="AC248" t="inlineStr">
        <is>
          <t>92</t>
        </is>
      </c>
      <c r="AD248" t="n">
        <v>57.1</v>
      </c>
      <c r="AE248" t="inlineStr">
        <is>
          <t>734</t>
        </is>
      </c>
      <c r="AF248" t="n">
        <v>10.5</v>
      </c>
      <c r="AG248" t="inlineStr">
        <is>
          <t>801+</t>
        </is>
      </c>
      <c r="AH248" t="n">
        <v>64.5</v>
      </c>
      <c r="AI248" t="inlineStr">
        <is>
          <t>409=</t>
        </is>
      </c>
      <c r="AJ248" t="inlineStr">
        <is>
          <t>5.5</t>
        </is>
      </c>
      <c r="AK248" t="inlineStr">
        <is>
          <t>601+</t>
        </is>
      </c>
      <c r="AL248" t="inlineStr">
        <is>
          <t>4.8</t>
        </is>
      </c>
      <c r="AM248" t="inlineStr">
        <is>
          <t>601+</t>
        </is>
      </c>
      <c r="AN248" t="inlineStr">
        <is>
          <t>5.8</t>
        </is>
      </c>
      <c r="AO248" t="inlineStr">
        <is>
          <t>701+</t>
        </is>
      </c>
      <c r="AP248" t="inlineStr">
        <is>
          <t>7.6</t>
        </is>
      </c>
      <c r="AQ248" t="inlineStr">
        <is>
          <t>701+</t>
        </is>
      </c>
      <c r="AR248" t="inlineStr">
        <is>
          <t>75.3</t>
        </is>
      </c>
      <c r="AS248" t="inlineStr">
        <is>
          <t>250</t>
        </is>
      </c>
      <c r="AT248" t="inlineStr">
        <is>
          <t>97.5</t>
        </is>
      </c>
      <c r="AU248" t="inlineStr">
        <is>
          <t>67</t>
        </is>
      </c>
      <c r="AV248" t="inlineStr">
        <is>
          <t>8.8</t>
        </is>
      </c>
      <c r="AW248" t="inlineStr">
        <is>
          <t>701+</t>
        </is>
      </c>
      <c r="AX248" t="inlineStr">
        <is>
          <t>10.5</t>
        </is>
      </c>
      <c r="AY248" t="inlineStr">
        <is>
          <t>701+</t>
        </is>
      </c>
      <c r="AZ248" t="inlineStr">
        <is>
          <t>4.9</t>
        </is>
      </c>
      <c r="BA248" t="inlineStr">
        <is>
          <t>701+</t>
        </is>
      </c>
    </row>
    <row r="249">
      <c r="A249" t="inlineStr">
        <is>
          <t>Deakin University</t>
        </is>
      </c>
      <c r="B249" t="inlineStr">
        <is>
          <t>Australia</t>
        </is>
      </c>
      <c r="C249" t="inlineStr">
        <is>
          <t>AU</t>
        </is>
      </c>
      <c r="D249" t="inlineStr">
        <is>
          <t>Oceania</t>
        </is>
      </c>
      <c r="E249" t="inlineStr">
        <is>
          <t>XL</t>
        </is>
      </c>
      <c r="F249" t="inlineStr">
        <is>
          <t>FC</t>
        </is>
      </c>
      <c r="G249" t="inlineStr">
        <is>
          <t>VH</t>
        </is>
      </c>
      <c r="H249" t="inlineStr">
        <is>
          <t>3</t>
        </is>
      </c>
      <c r="I249" t="inlineStr">
        <is>
          <t>Public</t>
        </is>
      </c>
      <c r="J249" t="inlineStr">
        <is>
          <t>207</t>
        </is>
      </c>
      <c r="K249" t="inlineStr">
        <is>
          <t>197</t>
        </is>
      </c>
      <c r="L249">
        <f>233</f>
        <v/>
      </c>
      <c r="M249" t="inlineStr">
        <is>
          <t>266</t>
        </is>
      </c>
      <c r="N249" t="inlineStr">
        <is>
          <t>54.9</t>
        </is>
      </c>
      <c r="O249" t="inlineStr">
        <is>
          <t>41.3</t>
        </is>
      </c>
      <c r="P249" t="n">
        <v>42.3</v>
      </c>
      <c r="Q249" t="inlineStr">
        <is>
          <t>281</t>
        </is>
      </c>
      <c r="R249" t="n">
        <v>32.6</v>
      </c>
      <c r="S249" t="inlineStr">
        <is>
          <t>440</t>
        </is>
      </c>
      <c r="T249" t="n">
        <v>5.9</v>
      </c>
      <c r="U249" t="inlineStr">
        <is>
          <t>801+</t>
        </is>
      </c>
      <c r="V249" t="n">
        <v>86.2</v>
      </c>
      <c r="W249" t="inlineStr">
        <is>
          <t>116</t>
        </is>
      </c>
      <c r="X249" t="n">
        <v>97.2</v>
      </c>
      <c r="Y249" t="inlineStr">
        <is>
          <t>148</t>
        </is>
      </c>
      <c r="Z249" t="n">
        <v>83.3</v>
      </c>
      <c r="AA249" t="inlineStr">
        <is>
          <t>202</t>
        </is>
      </c>
      <c r="AB249" t="n">
        <v>84.8</v>
      </c>
      <c r="AC249" t="inlineStr">
        <is>
          <t>172</t>
        </is>
      </c>
      <c r="AD249" t="n">
        <v>86.8</v>
      </c>
      <c r="AE249" t="inlineStr">
        <is>
          <t>222</t>
        </is>
      </c>
      <c r="AF249" t="n">
        <v>43.6</v>
      </c>
      <c r="AG249" t="inlineStr">
        <is>
          <t>406</t>
        </is>
      </c>
      <c r="AH249" t="n">
        <v>86.7</v>
      </c>
      <c r="AI249" t="inlineStr">
        <is>
          <t>91=</t>
        </is>
      </c>
      <c r="AJ249" t="inlineStr">
        <is>
          <t>29.6</t>
        </is>
      </c>
      <c r="AK249" t="inlineStr">
        <is>
          <t>291</t>
        </is>
      </c>
      <c r="AL249" t="inlineStr">
        <is>
          <t>25.8</t>
        </is>
      </c>
      <c r="AM249" t="inlineStr">
        <is>
          <t>373</t>
        </is>
      </c>
      <c r="AN249" t="inlineStr">
        <is>
          <t>4.8</t>
        </is>
      </c>
      <c r="AO249" t="inlineStr">
        <is>
          <t>701+</t>
        </is>
      </c>
      <c r="AP249" t="inlineStr">
        <is>
          <t>67.4</t>
        </is>
      </c>
      <c r="AQ249" t="inlineStr">
        <is>
          <t>160</t>
        </is>
      </c>
      <c r="AR249" t="inlineStr">
        <is>
          <t>96.7</t>
        </is>
      </c>
      <c r="AS249" t="inlineStr">
        <is>
          <t>130</t>
        </is>
      </c>
      <c r="AT249" t="inlineStr">
        <is>
          <t>59.9</t>
        </is>
      </c>
      <c r="AU249" t="inlineStr">
        <is>
          <t>249</t>
        </is>
      </c>
      <c r="AV249" t="inlineStr">
        <is>
          <t>51.4</t>
        </is>
      </c>
      <c r="AW249" t="inlineStr">
        <is>
          <t>303</t>
        </is>
      </c>
      <c r="AX249" t="inlineStr">
        <is>
          <t>26.2</t>
        </is>
      </c>
      <c r="AY249" t="inlineStr">
        <is>
          <t>312</t>
        </is>
      </c>
      <c r="AZ249" t="inlineStr">
        <is>
          <t>54.3</t>
        </is>
      </c>
      <c r="BA249" t="inlineStr">
        <is>
          <t>283=</t>
        </is>
      </c>
    </row>
    <row r="250">
      <c r="A250" t="inlineStr">
        <is>
          <t>Delft University of Technology</t>
        </is>
      </c>
      <c r="B250" t="inlineStr">
        <is>
          <t>Netherlands</t>
        </is>
      </c>
      <c r="C250" t="inlineStr">
        <is>
          <t>NL</t>
        </is>
      </c>
      <c r="D250" t="inlineStr">
        <is>
          <t>Europe</t>
        </is>
      </c>
      <c r="E250" t="inlineStr">
        <is>
          <t>L</t>
        </is>
      </c>
      <c r="F250" t="inlineStr">
        <is>
          <t>CO</t>
        </is>
      </c>
      <c r="G250" t="inlineStr">
        <is>
          <t>VH</t>
        </is>
      </c>
      <c r="H250" t="inlineStr">
        <is>
          <t>5</t>
        </is>
      </c>
      <c r="I250" t="inlineStr">
        <is>
          <t>Public</t>
        </is>
      </c>
      <c r="J250" t="inlineStr">
        <is>
          <t>47</t>
        </is>
      </c>
      <c r="K250" t="inlineStr">
        <is>
          <t>49</t>
        </is>
      </c>
      <c r="L250">
        <f>47</f>
        <v/>
      </c>
      <c r="M250" t="inlineStr">
        <is>
          <t>61=</t>
        </is>
      </c>
      <c r="N250" t="inlineStr">
        <is>
          <t>84.3</t>
        </is>
      </c>
      <c r="O250" t="inlineStr">
        <is>
          <t>76.2</t>
        </is>
      </c>
      <c r="P250" t="n">
        <v>86.2</v>
      </c>
      <c r="Q250" t="inlineStr">
        <is>
          <t>76</t>
        </is>
      </c>
      <c r="R250" t="n">
        <v>90.40000000000001</v>
      </c>
      <c r="S250" t="inlineStr">
        <is>
          <t>71</t>
        </is>
      </c>
      <c r="T250" t="n">
        <v>49.1</v>
      </c>
      <c r="U250" t="inlineStr">
        <is>
          <t>392</t>
        </is>
      </c>
      <c r="V250" t="n">
        <v>84.59999999999999</v>
      </c>
      <c r="W250" t="inlineStr">
        <is>
          <t>126</t>
        </is>
      </c>
      <c r="X250" t="n">
        <v>100</v>
      </c>
      <c r="Y250" t="inlineStr">
        <is>
          <t>68</t>
        </is>
      </c>
      <c r="Z250" t="n">
        <v>94.8</v>
      </c>
      <c r="AA250" t="inlineStr">
        <is>
          <t>128</t>
        </is>
      </c>
      <c r="AB250" t="n">
        <v>95.09999999999999</v>
      </c>
      <c r="AC250" t="inlineStr">
        <is>
          <t>109</t>
        </is>
      </c>
      <c r="AD250" t="n">
        <v>93.8</v>
      </c>
      <c r="AE250" t="inlineStr">
        <is>
          <t>102</t>
        </is>
      </c>
      <c r="AF250" t="n">
        <v>66</v>
      </c>
      <c r="AG250" t="inlineStr">
        <is>
          <t>235</t>
        </is>
      </c>
      <c r="AH250" t="n">
        <v>96.3</v>
      </c>
      <c r="AI250" t="inlineStr">
        <is>
          <t>15=</t>
        </is>
      </c>
      <c r="AJ250" t="inlineStr">
        <is>
          <t>73.0</t>
        </is>
      </c>
      <c r="AK250" t="inlineStr">
        <is>
          <t>84</t>
        </is>
      </c>
      <c r="AL250" t="inlineStr">
        <is>
          <t>79.0</t>
        </is>
      </c>
      <c r="AM250" t="inlineStr">
        <is>
          <t>73</t>
        </is>
      </c>
      <c r="AN250" t="inlineStr">
        <is>
          <t>36.9</t>
        </is>
      </c>
      <c r="AO250" t="inlineStr">
        <is>
          <t>428</t>
        </is>
      </c>
      <c r="AP250" t="inlineStr">
        <is>
          <t>84.9</t>
        </is>
      </c>
      <c r="AQ250" t="inlineStr">
        <is>
          <t>95</t>
        </is>
      </c>
      <c r="AR250" t="inlineStr">
        <is>
          <t>100.0</t>
        </is>
      </c>
      <c r="AS250" t="inlineStr">
        <is>
          <t>66</t>
        </is>
      </c>
      <c r="AT250" t="inlineStr">
        <is>
          <t>89.3</t>
        </is>
      </c>
      <c r="AU250" t="inlineStr">
        <is>
          <t>121</t>
        </is>
      </c>
      <c r="AV250" t="inlineStr">
        <is>
          <t>91.4</t>
        </is>
      </c>
      <c r="AW250" t="inlineStr">
        <is>
          <t>72</t>
        </is>
      </c>
      <c r="AX250" t="inlineStr">
        <is>
          <t>42.1</t>
        </is>
      </c>
      <c r="AY250" t="inlineStr">
        <is>
          <t>170</t>
        </is>
      </c>
      <c r="AZ250" t="inlineStr">
        <is>
          <t>98.4</t>
        </is>
      </c>
      <c r="BA250" t="inlineStr">
        <is>
          <t>18=</t>
        </is>
      </c>
    </row>
    <row r="251">
      <c r="A251" t="inlineStr">
        <is>
          <t>Delta University for Science &amp; Technology</t>
        </is>
      </c>
      <c r="B251" t="inlineStr">
        <is>
          <t>Egypt</t>
        </is>
      </c>
      <c r="C251" t="inlineStr"/>
      <c r="D251" t="inlineStr">
        <is>
          <t>Africa</t>
        </is>
      </c>
      <c r="E251" t="inlineStr">
        <is>
          <t>L</t>
        </is>
      </c>
      <c r="F251" t="inlineStr">
        <is>
          <t>FO</t>
        </is>
      </c>
      <c r="G251" t="inlineStr">
        <is>
          <t>HI</t>
        </is>
      </c>
      <c r="H251" t="inlineStr"/>
      <c r="I251" t="inlineStr">
        <is>
          <t>Private not for Profit</t>
        </is>
      </c>
      <c r="J251" t="inlineStr">
        <is>
          <t>1201-1400</t>
        </is>
      </c>
      <c r="K251" t="inlineStr"/>
      <c r="L251" t="inlineStr"/>
      <c r="M251" t="inlineStr"/>
      <c r="N251" t="inlineStr">
        <is>
          <t>-</t>
        </is>
      </c>
      <c r="O251" t="inlineStr"/>
      <c r="P251" t="n">
        <v>26.2</v>
      </c>
      <c r="Q251" t="inlineStr">
        <is>
          <t>483</t>
        </is>
      </c>
      <c r="R251" t="n">
        <v>8.800000000000001</v>
      </c>
      <c r="S251" t="inlineStr">
        <is>
          <t>701+</t>
        </is>
      </c>
      <c r="T251" t="n">
        <v>5.7</v>
      </c>
      <c r="U251" t="inlineStr">
        <is>
          <t>801+</t>
        </is>
      </c>
      <c r="V251" t="n">
        <v>5.1</v>
      </c>
      <c r="W251" t="inlineStr">
        <is>
          <t>801+</t>
        </is>
      </c>
      <c r="X251" t="n">
        <v>8.5</v>
      </c>
      <c r="Y251" t="inlineStr">
        <is>
          <t>801+</t>
        </is>
      </c>
      <c r="Z251" t="n">
        <v>2.4</v>
      </c>
      <c r="AA251" t="inlineStr">
        <is>
          <t>801+</t>
        </is>
      </c>
      <c r="AB251" t="n">
        <v>6.6</v>
      </c>
      <c r="AC251" t="inlineStr">
        <is>
          <t>801+</t>
        </is>
      </c>
      <c r="AD251" t="n">
        <v>14</v>
      </c>
      <c r="AE251" t="inlineStr">
        <is>
          <t>801+</t>
        </is>
      </c>
      <c r="AF251" t="n">
        <v>3.2</v>
      </c>
      <c r="AG251" t="inlineStr">
        <is>
          <t>801+</t>
        </is>
      </c>
      <c r="AH251" t="n">
        <v>33.1</v>
      </c>
      <c r="AI251" t="inlineStr">
        <is>
          <t>801+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Dhofar University</t>
        </is>
      </c>
      <c r="B252" t="inlineStr">
        <is>
          <t>Oman</t>
        </is>
      </c>
      <c r="C252" t="inlineStr"/>
      <c r="D252" t="inlineStr">
        <is>
          <t>Asia</t>
        </is>
      </c>
      <c r="E252" t="inlineStr">
        <is>
          <t>S</t>
        </is>
      </c>
      <c r="F252" t="inlineStr">
        <is>
          <t>FO</t>
        </is>
      </c>
      <c r="G252" t="inlineStr">
        <is>
          <t>VH</t>
        </is>
      </c>
      <c r="H252" t="inlineStr"/>
      <c r="I252" t="inlineStr">
        <is>
          <t>Private not for Profit</t>
        </is>
      </c>
      <c r="J252" t="inlineStr">
        <is>
          <t>851-900</t>
        </is>
      </c>
      <c r="K252" t="inlineStr"/>
      <c r="L252" t="inlineStr"/>
      <c r="M252" t="inlineStr"/>
      <c r="N252" t="inlineStr">
        <is>
          <t>-</t>
        </is>
      </c>
      <c r="O252" t="inlineStr"/>
      <c r="P252" t="n">
        <v>10</v>
      </c>
      <c r="Q252" t="inlineStr">
        <is>
          <t>701+</t>
        </is>
      </c>
      <c r="R252" t="n">
        <v>9.5</v>
      </c>
      <c r="S252" t="inlineStr">
        <is>
          <t>701+</t>
        </is>
      </c>
      <c r="T252" t="n">
        <v>12.1</v>
      </c>
      <c r="U252" t="inlineStr">
        <is>
          <t>801+</t>
        </is>
      </c>
      <c r="V252" t="n">
        <v>19.6</v>
      </c>
      <c r="W252" t="inlineStr">
        <is>
          <t>719</t>
        </is>
      </c>
      <c r="X252" t="n">
        <v>100</v>
      </c>
      <c r="Y252" t="inlineStr">
        <is>
          <t>21</t>
        </is>
      </c>
      <c r="Z252" t="n">
        <v>11.1</v>
      </c>
      <c r="AA252" t="inlineStr">
        <is>
          <t>801+</t>
        </is>
      </c>
      <c r="AB252" t="n">
        <v>13.8</v>
      </c>
      <c r="AC252" t="inlineStr">
        <is>
          <t>801+</t>
        </is>
      </c>
      <c r="AD252" t="n">
        <v>35.1</v>
      </c>
      <c r="AE252" t="inlineStr">
        <is>
          <t>801+</t>
        </is>
      </c>
      <c r="AF252" t="n">
        <v>70.3</v>
      </c>
      <c r="AG252" t="inlineStr">
        <is>
          <t>208</t>
        </is>
      </c>
      <c r="AH252" t="n">
        <v>18.7</v>
      </c>
      <c r="AI252" t="inlineStr">
        <is>
          <t>801+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Diponegoro University</t>
        </is>
      </c>
      <c r="B253" t="inlineStr">
        <is>
          <t>Indonesia</t>
        </is>
      </c>
      <c r="C253" t="inlineStr">
        <is>
          <t>ID</t>
        </is>
      </c>
      <c r="D253" t="inlineStr">
        <is>
          <t>Asia</t>
        </is>
      </c>
      <c r="E253" t="inlineStr">
        <is>
          <t>XL</t>
        </is>
      </c>
      <c r="F253" t="inlineStr">
        <is>
          <t>FC</t>
        </is>
      </c>
      <c r="G253" t="inlineStr">
        <is>
          <t>HI</t>
        </is>
      </c>
      <c r="H253" t="inlineStr">
        <is>
          <t>4</t>
        </is>
      </c>
      <c r="I253" t="inlineStr">
        <is>
          <t>Public</t>
        </is>
      </c>
      <c r="J253" t="inlineStr">
        <is>
          <t>624</t>
        </is>
      </c>
      <c r="K253" t="inlineStr">
        <is>
          <t>721-730</t>
        </is>
      </c>
      <c r="L253" t="inlineStr">
        <is>
          <t>791-800</t>
        </is>
      </c>
      <c r="M253" t="inlineStr">
        <is>
          <t>801-1000</t>
        </is>
      </c>
      <c r="N253" t="inlineStr">
        <is>
          <t>27.5</t>
        </is>
      </c>
      <c r="O253" t="inlineStr">
        <is>
          <t>-</t>
        </is>
      </c>
      <c r="P253" t="n">
        <v>30</v>
      </c>
      <c r="Q253" t="inlineStr">
        <is>
          <t>405</t>
        </is>
      </c>
      <c r="R253" t="n">
        <v>53.2</v>
      </c>
      <c r="S253" t="inlineStr">
        <is>
          <t>229</t>
        </is>
      </c>
      <c r="T253" t="n">
        <v>30.5</v>
      </c>
      <c r="U253" t="inlineStr">
        <is>
          <t>622</t>
        </is>
      </c>
      <c r="V253" t="n">
        <v>2.3</v>
      </c>
      <c r="W253" t="inlineStr">
        <is>
          <t>801+</t>
        </is>
      </c>
      <c r="X253" t="n">
        <v>46.4</v>
      </c>
      <c r="Y253" t="inlineStr">
        <is>
          <t>461</t>
        </is>
      </c>
      <c r="Z253" t="n">
        <v>7.1</v>
      </c>
      <c r="AA253" t="inlineStr">
        <is>
          <t>801+</t>
        </is>
      </c>
      <c r="AB253" t="n">
        <v>12</v>
      </c>
      <c r="AC253" t="inlineStr">
        <is>
          <t>801+</t>
        </is>
      </c>
      <c r="AD253" t="n">
        <v>35.5</v>
      </c>
      <c r="AE253" t="inlineStr">
        <is>
          <t>801+</t>
        </is>
      </c>
      <c r="AF253" t="n">
        <v>24.2</v>
      </c>
      <c r="AG253" t="inlineStr">
        <is>
          <t>655</t>
        </is>
      </c>
      <c r="AH253" t="n">
        <v>51</v>
      </c>
      <c r="AI253" t="inlineStr">
        <is>
          <t>680=</t>
        </is>
      </c>
      <c r="AJ253" t="inlineStr">
        <is>
          <t>17.2</t>
        </is>
      </c>
      <c r="AK253" t="inlineStr">
        <is>
          <t>517</t>
        </is>
      </c>
      <c r="AL253" t="inlineStr">
        <is>
          <t>33.9</t>
        </is>
      </c>
      <c r="AM253" t="inlineStr">
        <is>
          <t>289</t>
        </is>
      </c>
      <c r="AN253" t="inlineStr">
        <is>
          <t>15.7</t>
        </is>
      </c>
      <c r="AO253" t="inlineStr">
        <is>
          <t>701+</t>
        </is>
      </c>
      <c r="AP253" t="inlineStr">
        <is>
          <t>1.4</t>
        </is>
      </c>
      <c r="AQ253" t="inlineStr">
        <is>
          <t>701+</t>
        </is>
      </c>
      <c r="AR253" t="inlineStr">
        <is>
          <t>22.8</t>
        </is>
      </c>
      <c r="AS253" t="inlineStr">
        <is>
          <t>566</t>
        </is>
      </c>
      <c r="AT253" t="inlineStr">
        <is>
          <t>2.8</t>
        </is>
      </c>
      <c r="AU253" t="inlineStr">
        <is>
          <t>701+</t>
        </is>
      </c>
      <c r="AV253" t="inlineStr">
        <is>
          <t>1.0</t>
        </is>
      </c>
      <c r="AW253" t="inlineStr">
        <is>
          <t>701+</t>
        </is>
      </c>
      <c r="AX253" t="inlineStr">
        <is>
          <t>15</t>
        </is>
      </c>
      <c r="AY253" t="inlineStr">
        <is>
          <t>558</t>
        </is>
      </c>
      <c r="AZ253" t="inlineStr">
        <is>
          <t>13.1</t>
        </is>
      </c>
      <c r="BA253" t="inlineStr">
        <is>
          <t>634</t>
        </is>
      </c>
    </row>
    <row r="254">
      <c r="A254" t="inlineStr">
        <is>
          <t>Dokuz Eylül Üniversitesi</t>
        </is>
      </c>
      <c r="B254" t="inlineStr">
        <is>
          <t>Turkey</t>
        </is>
      </c>
      <c r="C254" t="inlineStr">
        <is>
          <t>TR</t>
        </is>
      </c>
      <c r="D254" t="inlineStr">
        <is>
          <t>Asia</t>
        </is>
      </c>
      <c r="E254" t="inlineStr">
        <is>
          <t>XL</t>
        </is>
      </c>
      <c r="F254" t="inlineStr">
        <is>
          <t>FC</t>
        </is>
      </c>
      <c r="G254" t="inlineStr">
        <is>
          <t>HI</t>
        </is>
      </c>
      <c r="H254" t="inlineStr">
        <is>
          <t>3</t>
        </is>
      </c>
      <c r="I254" t="inlineStr">
        <is>
          <t>Public</t>
        </is>
      </c>
      <c r="J254" t="inlineStr">
        <is>
          <t>1201-1400</t>
        </is>
      </c>
      <c r="K254" t="inlineStr">
        <is>
          <t>1201-1400</t>
        </is>
      </c>
      <c r="L254" t="inlineStr">
        <is>
          <t>1201-1400</t>
        </is>
      </c>
      <c r="M254" t="inlineStr">
        <is>
          <t>1201-1400</t>
        </is>
      </c>
      <c r="N254" t="inlineStr">
        <is>
          <t>-</t>
        </is>
      </c>
      <c r="O254" t="inlineStr">
        <is>
          <t>-</t>
        </is>
      </c>
      <c r="P254" t="n">
        <v>9.5</v>
      </c>
      <c r="Q254" t="inlineStr">
        <is>
          <t>701+</t>
        </is>
      </c>
      <c r="R254" t="n">
        <v>13.8</v>
      </c>
      <c r="S254" t="inlineStr">
        <is>
          <t>701+</t>
        </is>
      </c>
      <c r="T254" t="n">
        <v>5.9</v>
      </c>
      <c r="U254" t="inlineStr">
        <is>
          <t>801+</t>
        </is>
      </c>
      <c r="V254" t="n">
        <v>3.5</v>
      </c>
      <c r="W254" t="inlineStr">
        <is>
          <t>801+</t>
        </is>
      </c>
      <c r="X254" t="n">
        <v>2.7</v>
      </c>
      <c r="Y254" t="inlineStr">
        <is>
          <t>801+</t>
        </is>
      </c>
      <c r="Z254" t="n">
        <v>19.4</v>
      </c>
      <c r="AA254" t="inlineStr">
        <is>
          <t>738</t>
        </is>
      </c>
      <c r="AB254" t="n">
        <v>25.6</v>
      </c>
      <c r="AC254" t="inlineStr">
        <is>
          <t>677</t>
        </is>
      </c>
      <c r="AD254" t="n">
        <v>51.6</v>
      </c>
      <c r="AE254" t="inlineStr">
        <is>
          <t>801+</t>
        </is>
      </c>
      <c r="AF254" t="n">
        <v>9.199999999999999</v>
      </c>
      <c r="AG254" t="inlineStr">
        <is>
          <t>801+</t>
        </is>
      </c>
      <c r="AH254" t="n">
        <v>56.8</v>
      </c>
      <c r="AI254" t="inlineStr">
        <is>
          <t>560=</t>
        </is>
      </c>
      <c r="AJ254" t="inlineStr">
        <is>
          <t>5.7</t>
        </is>
      </c>
      <c r="AK254" t="inlineStr">
        <is>
          <t>601+</t>
        </is>
      </c>
      <c r="AL254" t="inlineStr">
        <is>
          <t>5.9</t>
        </is>
      </c>
      <c r="AM254" t="inlineStr">
        <is>
          <t>601+</t>
        </is>
      </c>
      <c r="AN254" t="inlineStr">
        <is>
          <t>2.9</t>
        </is>
      </c>
      <c r="AO254" t="inlineStr">
        <is>
          <t>701+</t>
        </is>
      </c>
      <c r="AP254" t="inlineStr">
        <is>
          <t>2.4</t>
        </is>
      </c>
      <c r="AQ254" t="inlineStr">
        <is>
          <t>701+</t>
        </is>
      </c>
      <c r="AR254" t="inlineStr">
        <is>
          <t>3.2</t>
        </is>
      </c>
      <c r="AS254" t="inlineStr">
        <is>
          <t>701+</t>
        </is>
      </c>
      <c r="AT254" t="inlineStr">
        <is>
          <t>6.2</t>
        </is>
      </c>
      <c r="AU254" t="inlineStr">
        <is>
          <t>701+</t>
        </is>
      </c>
      <c r="AV254" t="inlineStr">
        <is>
          <t>2.1</t>
        </is>
      </c>
      <c r="AW254" t="inlineStr">
        <is>
          <t>701+</t>
        </is>
      </c>
      <c r="AX254" t="inlineStr">
        <is>
          <t>7.5</t>
        </is>
      </c>
      <c r="AY254" t="inlineStr">
        <is>
          <t>701+</t>
        </is>
      </c>
      <c r="AZ254" t="inlineStr">
        <is>
          <t>16.7</t>
        </is>
      </c>
      <c r="BA254" t="inlineStr">
        <is>
          <t>584=</t>
        </is>
      </c>
    </row>
    <row r="255">
      <c r="A255" t="inlineStr">
        <is>
          <t xml:space="preserve"> Don State Technical University</t>
        </is>
      </c>
      <c r="B255" t="inlineStr">
        <is>
          <t>Russia</t>
        </is>
      </c>
      <c r="C255" t="inlineStr">
        <is>
          <t>RU</t>
        </is>
      </c>
      <c r="D255" t="inlineStr"/>
      <c r="E255" t="inlineStr">
        <is>
          <t>L</t>
        </is>
      </c>
      <c r="F255" t="inlineStr">
        <is>
          <t>CO</t>
        </is>
      </c>
      <c r="G255" t="inlineStr">
        <is>
          <t>HI</t>
        </is>
      </c>
      <c r="H255" t="inlineStr">
        <is>
          <t>4</t>
        </is>
      </c>
      <c r="I255" t="inlineStr">
        <is>
          <t>A</t>
        </is>
      </c>
      <c r="J255" t="inlineStr"/>
      <c r="K255" t="inlineStr"/>
      <c r="L255" t="inlineStr">
        <is>
          <t>1201-1400</t>
        </is>
      </c>
      <c r="M255" t="inlineStr">
        <is>
          <t>1201-1400</t>
        </is>
      </c>
      <c r="N255" t="inlineStr"/>
      <c r="O255" t="inlineStr">
        <is>
          <t>-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4.2</t>
        </is>
      </c>
      <c r="AK255" t="inlineStr">
        <is>
          <t>601+</t>
        </is>
      </c>
      <c r="AL255" t="inlineStr">
        <is>
          <t>3.1</t>
        </is>
      </c>
      <c r="AM255" t="inlineStr">
        <is>
          <t>601+</t>
        </is>
      </c>
      <c r="AN255" t="inlineStr">
        <is>
          <t>13.3</t>
        </is>
      </c>
      <c r="AO255" t="inlineStr">
        <is>
          <t>701+</t>
        </is>
      </c>
      <c r="AP255" t="inlineStr">
        <is>
          <t>1.4</t>
        </is>
      </c>
      <c r="AQ255" t="inlineStr">
        <is>
          <t>701+</t>
        </is>
      </c>
      <c r="AR255" t="inlineStr">
        <is>
          <t>1.6</t>
        </is>
      </c>
      <c r="AS255" t="inlineStr">
        <is>
          <t>701+</t>
        </is>
      </c>
      <c r="AT255" t="inlineStr">
        <is>
          <t>14.8</t>
        </is>
      </c>
      <c r="AU255" t="inlineStr">
        <is>
          <t>624</t>
        </is>
      </c>
      <c r="AV255" t="inlineStr">
        <is>
          <t>1.0</t>
        </is>
      </c>
      <c r="AW255" t="inlineStr">
        <is>
          <t>701+</t>
        </is>
      </c>
      <c r="AX255" t="inlineStr">
        <is>
          <t>7.2</t>
        </is>
      </c>
      <c r="AY255" t="inlineStr">
        <is>
          <t>701+</t>
        </is>
      </c>
      <c r="AZ255" t="inlineStr">
        <is>
          <t>1.3</t>
        </is>
      </c>
      <c r="BA255" t="inlineStr">
        <is>
          <t>701+</t>
        </is>
      </c>
    </row>
    <row r="256">
      <c r="A256" t="inlineStr">
        <is>
          <t>Dongguk University</t>
        </is>
      </c>
      <c r="B256" t="inlineStr">
        <is>
          <t>Republic of Korea</t>
        </is>
      </c>
      <c r="C256" t="inlineStr"/>
      <c r="D256" t="inlineStr">
        <is>
          <t>Asia</t>
        </is>
      </c>
      <c r="E256" t="inlineStr">
        <is>
          <t>L</t>
        </is>
      </c>
      <c r="F256" t="inlineStr">
        <is>
          <t>FC</t>
        </is>
      </c>
      <c r="G256" t="inlineStr">
        <is>
          <t>HI</t>
        </is>
      </c>
      <c r="H256" t="inlineStr"/>
      <c r="I256" t="inlineStr">
        <is>
          <t>Private not for Profit</t>
        </is>
      </c>
      <c r="J256" t="inlineStr">
        <is>
          <t>618</t>
        </is>
      </c>
      <c r="K256" t="inlineStr">
        <is>
          <t>701-710</t>
        </is>
      </c>
      <c r="L256" t="inlineStr"/>
      <c r="M256" t="inlineStr"/>
      <c r="N256" t="inlineStr">
        <is>
          <t>27.7</t>
        </is>
      </c>
      <c r="O256" t="inlineStr"/>
      <c r="P256" t="n">
        <v>12.8</v>
      </c>
      <c r="Q256" t="inlineStr">
        <is>
          <t>701+</t>
        </is>
      </c>
      <c r="R256" t="n">
        <v>18</v>
      </c>
      <c r="S256" t="inlineStr">
        <is>
          <t>701+</t>
        </is>
      </c>
      <c r="T256" t="n">
        <v>76.3</v>
      </c>
      <c r="U256" t="inlineStr">
        <is>
          <t>189</t>
        </is>
      </c>
      <c r="V256" t="n">
        <v>29.9</v>
      </c>
      <c r="W256" t="inlineStr">
        <is>
          <t>589</t>
        </is>
      </c>
      <c r="X256" t="n">
        <v>22.9</v>
      </c>
      <c r="Y256" t="inlineStr">
        <is>
          <t>676</t>
        </is>
      </c>
      <c r="Z256" t="n">
        <v>52.3</v>
      </c>
      <c r="AA256" t="inlineStr">
        <is>
          <t>395</t>
        </is>
      </c>
      <c r="AB256" t="n">
        <v>56.8</v>
      </c>
      <c r="AC256" t="inlineStr">
        <is>
          <t>360</t>
        </is>
      </c>
      <c r="AD256" t="n">
        <v>36.2</v>
      </c>
      <c r="AE256" t="inlineStr">
        <is>
          <t>801+</t>
        </is>
      </c>
      <c r="AF256" t="n">
        <v>6.7</v>
      </c>
      <c r="AG256" t="inlineStr">
        <is>
          <t>801+</t>
        </is>
      </c>
      <c r="AH256" t="n">
        <v>56.5</v>
      </c>
      <c r="AI256" t="inlineStr">
        <is>
          <t>571=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 xml:space="preserve">Dongguk University </t>
        </is>
      </c>
      <c r="B257" t="inlineStr">
        <is>
          <t>South Korea</t>
        </is>
      </c>
      <c r="C257" t="inlineStr">
        <is>
          <t>KR</t>
        </is>
      </c>
      <c r="D257" t="inlineStr"/>
      <c r="E257" t="inlineStr">
        <is>
          <t>L</t>
        </is>
      </c>
      <c r="F257" t="inlineStr">
        <is>
          <t>FC</t>
        </is>
      </c>
      <c r="G257" t="inlineStr">
        <is>
          <t>HI</t>
        </is>
      </c>
      <c r="H257" t="inlineStr">
        <is>
          <t>4</t>
        </is>
      </c>
      <c r="I257" t="inlineStr">
        <is>
          <t>B</t>
        </is>
      </c>
      <c r="J257" t="inlineStr"/>
      <c r="K257" t="inlineStr"/>
      <c r="L257" t="inlineStr">
        <is>
          <t>671-680</t>
        </is>
      </c>
      <c r="M257" t="inlineStr">
        <is>
          <t>481=</t>
        </is>
      </c>
      <c r="N257" t="inlineStr"/>
      <c r="O257" t="inlineStr">
        <is>
          <t>-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10.4</t>
        </is>
      </c>
      <c r="AK257" t="inlineStr">
        <is>
          <t>601+</t>
        </is>
      </c>
      <c r="AL257" t="inlineStr">
        <is>
          <t>11.5</t>
        </is>
      </c>
      <c r="AM257" t="inlineStr">
        <is>
          <t>601+</t>
        </is>
      </c>
      <c r="AN257" t="inlineStr">
        <is>
          <t>88.5</t>
        </is>
      </c>
      <c r="AO257" t="inlineStr">
        <is>
          <t>90</t>
        </is>
      </c>
      <c r="AP257" t="inlineStr">
        <is>
          <t>8.5</t>
        </is>
      </c>
      <c r="AQ257" t="inlineStr">
        <is>
          <t>701+</t>
        </is>
      </c>
      <c r="AR257" t="inlineStr">
        <is>
          <t>8.5</t>
        </is>
      </c>
      <c r="AS257" t="inlineStr">
        <is>
          <t>701+</t>
        </is>
      </c>
      <c r="AT257" t="inlineStr">
        <is>
          <t>23.4</t>
        </is>
      </c>
      <c r="AU257" t="inlineStr">
        <is>
          <t>495</t>
        </is>
      </c>
      <c r="AV257" t="inlineStr">
        <is>
          <t>2.8</t>
        </is>
      </c>
      <c r="AW257" t="inlineStr">
        <is>
          <t>701+</t>
        </is>
      </c>
      <c r="AX257" t="inlineStr">
        <is>
          <t>4.9</t>
        </is>
      </c>
      <c r="AY257" t="inlineStr">
        <is>
          <t>701+</t>
        </is>
      </c>
      <c r="AZ257" t="inlineStr">
        <is>
          <t>1.6</t>
        </is>
      </c>
      <c r="BA257" t="inlineStr">
        <is>
          <t>701+</t>
        </is>
      </c>
    </row>
    <row r="258">
      <c r="A258" t="inlineStr">
        <is>
          <t>Donghua University</t>
        </is>
      </c>
      <c r="B258" t="inlineStr">
        <is>
          <t>China (Mainland)</t>
        </is>
      </c>
      <c r="C258" t="inlineStr">
        <is>
          <t>CN</t>
        </is>
      </c>
      <c r="D258" t="inlineStr">
        <is>
          <t>Asia</t>
        </is>
      </c>
      <c r="E258" t="inlineStr">
        <is>
          <t>L</t>
        </is>
      </c>
      <c r="F258" t="inlineStr">
        <is>
          <t>CO</t>
        </is>
      </c>
      <c r="G258" t="inlineStr">
        <is>
          <t>VH</t>
        </is>
      </c>
      <c r="H258" t="inlineStr">
        <is>
          <t>3</t>
        </is>
      </c>
      <c r="I258" t="inlineStr">
        <is>
          <t>Public</t>
        </is>
      </c>
      <c r="J258" t="inlineStr">
        <is>
          <t>801-850</t>
        </is>
      </c>
      <c r="K258" t="inlineStr">
        <is>
          <t>851-900</t>
        </is>
      </c>
      <c r="L258" t="inlineStr">
        <is>
          <t>901-950</t>
        </is>
      </c>
      <c r="M258" t="inlineStr">
        <is>
          <t>801-1000</t>
        </is>
      </c>
      <c r="N258" t="inlineStr">
        <is>
          <t>-</t>
        </is>
      </c>
      <c r="O258" t="inlineStr">
        <is>
          <t>-</t>
        </is>
      </c>
      <c r="P258" t="n">
        <v>4.5</v>
      </c>
      <c r="Q258" t="inlineStr">
        <is>
          <t>701+</t>
        </is>
      </c>
      <c r="R258" t="n">
        <v>4.4</v>
      </c>
      <c r="S258" t="inlineStr">
        <is>
          <t>701+</t>
        </is>
      </c>
      <c r="T258" t="n">
        <v>32.4</v>
      </c>
      <c r="U258" t="inlineStr">
        <is>
          <t>596</t>
        </is>
      </c>
      <c r="V258" t="n">
        <v>70.59999999999999</v>
      </c>
      <c r="W258" t="inlineStr">
        <is>
          <t>213</t>
        </is>
      </c>
      <c r="X258" t="n">
        <v>2</v>
      </c>
      <c r="Y258" t="inlineStr">
        <is>
          <t>801+</t>
        </is>
      </c>
      <c r="Z258" t="n">
        <v>4.2</v>
      </c>
      <c r="AA258" t="inlineStr">
        <is>
          <t>801+</t>
        </is>
      </c>
      <c r="AB258" t="n">
        <v>3.4</v>
      </c>
      <c r="AC258" t="inlineStr">
        <is>
          <t>801+</t>
        </is>
      </c>
      <c r="AD258" t="n">
        <v>32.1</v>
      </c>
      <c r="AE258" t="inlineStr">
        <is>
          <t>801+</t>
        </is>
      </c>
      <c r="AF258" t="n">
        <v>5.1</v>
      </c>
      <c r="AG258" t="inlineStr">
        <is>
          <t>801+</t>
        </is>
      </c>
      <c r="AH258" t="n">
        <v>28.5</v>
      </c>
      <c r="AI258" t="inlineStr">
        <is>
          <t>801+</t>
        </is>
      </c>
      <c r="AJ258" t="inlineStr">
        <is>
          <t>4.0</t>
        </is>
      </c>
      <c r="AK258" t="inlineStr">
        <is>
          <t>601+</t>
        </is>
      </c>
      <c r="AL258" t="inlineStr">
        <is>
          <t>1.5</t>
        </is>
      </c>
      <c r="AM258" t="inlineStr">
        <is>
          <t>601+</t>
        </is>
      </c>
      <c r="AN258" t="inlineStr">
        <is>
          <t>26.9</t>
        </is>
      </c>
      <c r="AO258" t="inlineStr">
        <is>
          <t>562</t>
        </is>
      </c>
      <c r="AP258" t="inlineStr">
        <is>
          <t>37.9</t>
        </is>
      </c>
      <c r="AQ258" t="inlineStr">
        <is>
          <t>370</t>
        </is>
      </c>
      <c r="AR258" t="inlineStr">
        <is>
          <t>2.3</t>
        </is>
      </c>
      <c r="AS258" t="inlineStr">
        <is>
          <t>701+</t>
        </is>
      </c>
      <c r="AT258" t="inlineStr">
        <is>
          <t>3.4</t>
        </is>
      </c>
      <c r="AU258" t="inlineStr">
        <is>
          <t>701+</t>
        </is>
      </c>
      <c r="AV258" t="inlineStr">
        <is>
          <t>1.9</t>
        </is>
      </c>
      <c r="AW258" t="inlineStr">
        <is>
          <t>701+</t>
        </is>
      </c>
      <c r="AX258" t="inlineStr">
        <is>
          <t>6.2</t>
        </is>
      </c>
      <c r="AY258" t="inlineStr">
        <is>
          <t>701+</t>
        </is>
      </c>
      <c r="AZ258" t="inlineStr">
        <is>
          <t>1.3</t>
        </is>
      </c>
      <c r="BA258" t="inlineStr">
        <is>
          <t>701+</t>
        </is>
      </c>
    </row>
    <row r="259">
      <c r="A259" t="inlineStr">
        <is>
          <t>Doshisha University</t>
        </is>
      </c>
      <c r="B259" t="inlineStr">
        <is>
          <t>Japan</t>
        </is>
      </c>
      <c r="C259" t="inlineStr">
        <is>
          <t>JP</t>
        </is>
      </c>
      <c r="D259" t="inlineStr">
        <is>
          <t>Asia</t>
        </is>
      </c>
      <c r="E259" t="inlineStr">
        <is>
          <t>L</t>
        </is>
      </c>
      <c r="F259" t="inlineStr">
        <is>
          <t>CO</t>
        </is>
      </c>
      <c r="G259" t="inlineStr">
        <is>
          <t>HI</t>
        </is>
      </c>
      <c r="H259" t="inlineStr">
        <is>
          <t>5</t>
        </is>
      </c>
      <c r="I259" t="inlineStr">
        <is>
          <t>Private not for Profit</t>
        </is>
      </c>
      <c r="J259" t="inlineStr">
        <is>
          <t>1201-1400</t>
        </is>
      </c>
      <c r="K259" t="inlineStr">
        <is>
          <t>1201-1400</t>
        </is>
      </c>
      <c r="L259" t="inlineStr">
        <is>
          <t>1001-1200</t>
        </is>
      </c>
      <c r="M259" t="inlineStr">
        <is>
          <t>1001-1200</t>
        </is>
      </c>
      <c r="N259" t="inlineStr">
        <is>
          <t>-</t>
        </is>
      </c>
      <c r="O259" t="inlineStr">
        <is>
          <t>-</t>
        </is>
      </c>
      <c r="P259" t="n">
        <v>11.1</v>
      </c>
      <c r="Q259" t="inlineStr">
        <is>
          <t>701+</t>
        </is>
      </c>
      <c r="R259" t="n">
        <v>16.2</v>
      </c>
      <c r="S259" t="inlineStr">
        <is>
          <t>701+</t>
        </is>
      </c>
      <c r="T259" t="n">
        <v>7</v>
      </c>
      <c r="U259" t="inlineStr">
        <is>
          <t>801+</t>
        </is>
      </c>
      <c r="V259" t="n">
        <v>2.5</v>
      </c>
      <c r="W259" t="inlineStr">
        <is>
          <t>801+</t>
        </is>
      </c>
      <c r="X259" t="n">
        <v>22.1</v>
      </c>
      <c r="Y259" t="inlineStr">
        <is>
          <t>685</t>
        </is>
      </c>
      <c r="Z259" t="n">
        <v>6.3</v>
      </c>
      <c r="AA259" t="inlineStr">
        <is>
          <t>801+</t>
        </is>
      </c>
      <c r="AB259" t="n">
        <v>11.6</v>
      </c>
      <c r="AC259" t="inlineStr">
        <is>
          <t>801+</t>
        </is>
      </c>
      <c r="AD259" t="n">
        <v>18.7</v>
      </c>
      <c r="AE259" t="inlineStr">
        <is>
          <t>801+</t>
        </is>
      </c>
      <c r="AF259" t="n">
        <v>26.3</v>
      </c>
      <c r="AG259" t="inlineStr">
        <is>
          <t>620</t>
        </is>
      </c>
      <c r="AH259" t="n">
        <v>22.1</v>
      </c>
      <c r="AI259" t="inlineStr">
        <is>
          <t>801+</t>
        </is>
      </c>
      <c r="AJ259" t="inlineStr">
        <is>
          <t>9.0</t>
        </is>
      </c>
      <c r="AK259" t="inlineStr">
        <is>
          <t>601+</t>
        </is>
      </c>
      <c r="AL259" t="inlineStr">
        <is>
          <t>13.7</t>
        </is>
      </c>
      <c r="AM259" t="inlineStr">
        <is>
          <t>592</t>
        </is>
      </c>
      <c r="AN259" t="inlineStr">
        <is>
          <t>5.3</t>
        </is>
      </c>
      <c r="AO259" t="inlineStr">
        <is>
          <t>701+</t>
        </is>
      </c>
      <c r="AP259" t="inlineStr">
        <is>
          <t>2.1</t>
        </is>
      </c>
      <c r="AQ259" t="inlineStr">
        <is>
          <t>701+</t>
        </is>
      </c>
      <c r="AR259" t="inlineStr">
        <is>
          <t>18.6</t>
        </is>
      </c>
      <c r="AS259" t="inlineStr">
        <is>
          <t>606</t>
        </is>
      </c>
      <c r="AT259" t="inlineStr">
        <is>
          <t>4.0</t>
        </is>
      </c>
      <c r="AU259" t="inlineStr">
        <is>
          <t>701+</t>
        </is>
      </c>
      <c r="AV259" t="inlineStr">
        <is>
          <t>1.1</t>
        </is>
      </c>
      <c r="AW259" t="inlineStr">
        <is>
          <t>701+</t>
        </is>
      </c>
      <c r="AX259" t="inlineStr">
        <is>
          <t>15.9</t>
        </is>
      </c>
      <c r="AY259" t="inlineStr">
        <is>
          <t>527</t>
        </is>
      </c>
      <c r="AZ259" t="inlineStr">
        <is>
          <t>1</t>
        </is>
      </c>
      <c r="BA259" t="inlineStr">
        <is>
          <t>701+</t>
        </is>
      </c>
    </row>
    <row r="260">
      <c r="A260" t="inlineStr">
        <is>
          <t>Drexel University</t>
        </is>
      </c>
      <c r="B260" t="inlineStr">
        <is>
          <t>United States</t>
        </is>
      </c>
      <c r="C260" t="inlineStr">
        <is>
          <t>US</t>
        </is>
      </c>
      <c r="D260" t="inlineStr">
        <is>
          <t>Americas</t>
        </is>
      </c>
      <c r="E260" t="inlineStr">
        <is>
          <t>L</t>
        </is>
      </c>
      <c r="F260" t="inlineStr">
        <is>
          <t>FC</t>
        </is>
      </c>
      <c r="G260" t="inlineStr">
        <is>
          <t>VH</t>
        </is>
      </c>
      <c r="H260" t="inlineStr">
        <is>
          <t>5</t>
        </is>
      </c>
      <c r="I260" t="inlineStr">
        <is>
          <t>Private not for Profit</t>
        </is>
      </c>
      <c r="J260" t="inlineStr">
        <is>
          <t>711-720</t>
        </is>
      </c>
      <c r="K260" t="inlineStr">
        <is>
          <t>721-730</t>
        </is>
      </c>
      <c r="L260" t="inlineStr">
        <is>
          <t>601-610</t>
        </is>
      </c>
      <c r="M260" t="inlineStr">
        <is>
          <t>651-700</t>
        </is>
      </c>
      <c r="N260" t="inlineStr">
        <is>
          <t>-</t>
        </is>
      </c>
      <c r="O260" t="inlineStr">
        <is>
          <t>-</t>
        </is>
      </c>
      <c r="P260" t="n">
        <v>8.9</v>
      </c>
      <c r="Q260" t="inlineStr">
        <is>
          <t>701+</t>
        </is>
      </c>
      <c r="R260" t="n">
        <v>11.2</v>
      </c>
      <c r="S260" t="inlineStr">
        <is>
          <t>701+</t>
        </is>
      </c>
      <c r="T260" t="n">
        <v>30.2</v>
      </c>
      <c r="U260" t="inlineStr">
        <is>
          <t>630</t>
        </is>
      </c>
      <c r="V260" t="n">
        <v>36.9</v>
      </c>
      <c r="W260" t="inlineStr">
        <is>
          <t>503</t>
        </is>
      </c>
      <c r="X260" t="n">
        <v>31.3</v>
      </c>
      <c r="Y260" t="inlineStr">
        <is>
          <t>572</t>
        </is>
      </c>
      <c r="Z260" t="n">
        <v>37.4</v>
      </c>
      <c r="AA260" t="inlineStr">
        <is>
          <t>521</t>
        </is>
      </c>
      <c r="AB260" t="n">
        <v>43</v>
      </c>
      <c r="AC260" t="inlineStr">
        <is>
          <t>483</t>
        </is>
      </c>
      <c r="AD260" t="n">
        <v>68.8</v>
      </c>
      <c r="AE260" t="inlineStr">
        <is>
          <t>552</t>
        </is>
      </c>
      <c r="AF260" t="n">
        <v>35.3</v>
      </c>
      <c r="AG260" t="inlineStr">
        <is>
          <t>487</t>
        </is>
      </c>
      <c r="AH260" t="n">
        <v>48.7</v>
      </c>
      <c r="AI260" t="inlineStr">
        <is>
          <t>737=</t>
        </is>
      </c>
      <c r="AJ260" t="inlineStr">
        <is>
          <t>8.4</t>
        </is>
      </c>
      <c r="AK260" t="inlineStr">
        <is>
          <t>601+</t>
        </is>
      </c>
      <c r="AL260" t="inlineStr">
        <is>
          <t>6.1</t>
        </is>
      </c>
      <c r="AM260" t="inlineStr">
        <is>
          <t>601+</t>
        </is>
      </c>
      <c r="AN260" t="inlineStr">
        <is>
          <t>21.1</t>
        </is>
      </c>
      <c r="AO260" t="inlineStr">
        <is>
          <t>644</t>
        </is>
      </c>
      <c r="AP260" t="inlineStr">
        <is>
          <t>35.1</t>
        </is>
      </c>
      <c r="AQ260" t="inlineStr">
        <is>
          <t>388</t>
        </is>
      </c>
      <c r="AR260" t="inlineStr">
        <is>
          <t>32.8</t>
        </is>
      </c>
      <c r="AS260" t="inlineStr">
        <is>
          <t>468</t>
        </is>
      </c>
      <c r="AT260" t="inlineStr">
        <is>
          <t>22.3</t>
        </is>
      </c>
      <c r="AU260" t="inlineStr">
        <is>
          <t>511</t>
        </is>
      </c>
      <c r="AV260" t="inlineStr">
        <is>
          <t>28.4</t>
        </is>
      </c>
      <c r="AW260" t="inlineStr">
        <is>
          <t>467</t>
        </is>
      </c>
      <c r="AX260" t="inlineStr">
        <is>
          <t>26</t>
        </is>
      </c>
      <c r="AY260" t="inlineStr">
        <is>
          <t>316</t>
        </is>
      </c>
      <c r="AZ260" t="inlineStr">
        <is>
          <t>34.6</t>
        </is>
      </c>
      <c r="BA260" t="inlineStr">
        <is>
          <t>403=</t>
        </is>
      </c>
    </row>
    <row r="261">
      <c r="A261" t="inlineStr">
        <is>
          <t>Dublin City University</t>
        </is>
      </c>
      <c r="B261" t="inlineStr">
        <is>
          <t>Ireland</t>
        </is>
      </c>
      <c r="C261" t="inlineStr">
        <is>
          <t>IE</t>
        </is>
      </c>
      <c r="D261" t="inlineStr">
        <is>
          <t>Europe</t>
        </is>
      </c>
      <c r="E261" t="inlineStr">
        <is>
          <t>L</t>
        </is>
      </c>
      <c r="F261" t="inlineStr">
        <is>
          <t>FC</t>
        </is>
      </c>
      <c r="G261" t="inlineStr">
        <is>
          <t>HI</t>
        </is>
      </c>
      <c r="H261" t="inlineStr">
        <is>
          <t>3</t>
        </is>
      </c>
      <c r="I261" t="inlineStr">
        <is>
          <t>Public</t>
        </is>
      </c>
      <c r="J261" t="inlineStr">
        <is>
          <t>410</t>
        </is>
      </c>
      <c r="K261" t="inlineStr">
        <is>
          <t>421</t>
        </is>
      </c>
      <c r="L261">
        <f>436</f>
        <v/>
      </c>
      <c r="M261" t="inlineStr">
        <is>
          <t>471=</t>
        </is>
      </c>
      <c r="N261" t="inlineStr">
        <is>
          <t>36.7</t>
        </is>
      </c>
      <c r="O261" t="inlineStr">
        <is>
          <t>26.0</t>
        </is>
      </c>
      <c r="P261" t="n">
        <v>29.2</v>
      </c>
      <c r="Q261" t="inlineStr">
        <is>
          <t>423</t>
        </is>
      </c>
      <c r="R261" t="n">
        <v>37.5</v>
      </c>
      <c r="S261" t="inlineStr">
        <is>
          <t>376</t>
        </is>
      </c>
      <c r="T261" t="n">
        <v>27.8</v>
      </c>
      <c r="U261" t="inlineStr">
        <is>
          <t>683</t>
        </is>
      </c>
      <c r="V261" t="n">
        <v>22</v>
      </c>
      <c r="W261" t="inlineStr">
        <is>
          <t>685</t>
        </is>
      </c>
      <c r="X261" t="n">
        <v>80.8</v>
      </c>
      <c r="Y261" t="inlineStr">
        <is>
          <t>292</t>
        </is>
      </c>
      <c r="Z261" t="n">
        <v>43.2</v>
      </c>
      <c r="AA261" t="inlineStr">
        <is>
          <t>466</t>
        </is>
      </c>
      <c r="AB261" t="n">
        <v>48.4</v>
      </c>
      <c r="AC261" t="inlineStr">
        <is>
          <t>429</t>
        </is>
      </c>
      <c r="AD261" t="n">
        <v>78</v>
      </c>
      <c r="AE261" t="inlineStr">
        <is>
          <t>381</t>
        </is>
      </c>
      <c r="AF261" t="n">
        <v>40.2</v>
      </c>
      <c r="AG261" t="inlineStr">
        <is>
          <t>436</t>
        </is>
      </c>
      <c r="AH261" t="n">
        <v>79.7</v>
      </c>
      <c r="AI261" t="inlineStr">
        <is>
          <t>175=</t>
        </is>
      </c>
      <c r="AJ261" t="inlineStr">
        <is>
          <t>19.7</t>
        </is>
      </c>
      <c r="AK261" t="inlineStr">
        <is>
          <t>452</t>
        </is>
      </c>
      <c r="AL261" t="inlineStr">
        <is>
          <t>27.0</t>
        </is>
      </c>
      <c r="AM261" t="inlineStr">
        <is>
          <t>360</t>
        </is>
      </c>
      <c r="AN261" t="inlineStr">
        <is>
          <t>25.6</t>
        </is>
      </c>
      <c r="AO261" t="inlineStr">
        <is>
          <t>575</t>
        </is>
      </c>
      <c r="AP261" t="inlineStr">
        <is>
          <t>12.4</t>
        </is>
      </c>
      <c r="AQ261" t="inlineStr">
        <is>
          <t>690</t>
        </is>
      </c>
      <c r="AR261" t="inlineStr">
        <is>
          <t>76.0</t>
        </is>
      </c>
      <c r="AS261" t="inlineStr">
        <is>
          <t>248</t>
        </is>
      </c>
      <c r="AT261" t="inlineStr">
        <is>
          <t>19.3</t>
        </is>
      </c>
      <c r="AU261" t="inlineStr">
        <is>
          <t>557</t>
        </is>
      </c>
      <c r="AV261" t="inlineStr">
        <is>
          <t>19.3</t>
        </is>
      </c>
      <c r="AW261" t="inlineStr">
        <is>
          <t>548</t>
        </is>
      </c>
      <c r="AX261" t="inlineStr">
        <is>
          <t>24.8</t>
        </is>
      </c>
      <c r="AY261" t="inlineStr">
        <is>
          <t>334</t>
        </is>
      </c>
      <c r="AZ261" t="inlineStr">
        <is>
          <t>81.7</t>
        </is>
      </c>
      <c r="BA261" t="inlineStr">
        <is>
          <t>137=</t>
        </is>
      </c>
    </row>
    <row r="262">
      <c r="A262" t="inlineStr">
        <is>
          <t>Duke University</t>
        </is>
      </c>
      <c r="B262" t="inlineStr">
        <is>
          <t>United States</t>
        </is>
      </c>
      <c r="C262" t="inlineStr">
        <is>
          <t>US</t>
        </is>
      </c>
      <c r="D262" t="inlineStr">
        <is>
          <t>Americas</t>
        </is>
      </c>
      <c r="E262" t="inlineStr">
        <is>
          <t>L</t>
        </is>
      </c>
      <c r="F262" t="inlineStr">
        <is>
          <t>FC</t>
        </is>
      </c>
      <c r="G262" t="inlineStr">
        <is>
          <t>VH</t>
        </is>
      </c>
      <c r="H262" t="inlineStr">
        <is>
          <t>5</t>
        </is>
      </c>
      <c r="I262" t="inlineStr">
        <is>
          <t>Private not for Profit</t>
        </is>
      </c>
      <c r="J262" t="inlineStr">
        <is>
          <t>62</t>
        </is>
      </c>
      <c r="K262" t="inlineStr">
        <is>
          <t>61</t>
        </is>
      </c>
      <c r="L262" t="inlineStr">
        <is>
          <t>57</t>
        </is>
      </c>
      <c r="M262" t="inlineStr">
        <is>
          <t>50=</t>
        </is>
      </c>
      <c r="N262" t="inlineStr">
        <is>
          <t>79</t>
        </is>
      </c>
      <c r="O262" t="inlineStr">
        <is>
          <t>72.0</t>
        </is>
      </c>
      <c r="P262" t="n">
        <v>92.90000000000001</v>
      </c>
      <c r="Q262" t="inlineStr">
        <is>
          <t>54</t>
        </is>
      </c>
      <c r="R262" t="n">
        <v>91</v>
      </c>
      <c r="S262" t="inlineStr">
        <is>
          <t>68</t>
        </is>
      </c>
      <c r="T262" t="n">
        <v>100</v>
      </c>
      <c r="U262" t="inlineStr">
        <is>
          <t>7</t>
        </is>
      </c>
      <c r="V262" t="n">
        <v>47.1</v>
      </c>
      <c r="W262" t="inlineStr">
        <is>
          <t>402</t>
        </is>
      </c>
      <c r="X262" t="n">
        <v>28.3</v>
      </c>
      <c r="Y262" t="inlineStr">
        <is>
          <t>602</t>
        </is>
      </c>
      <c r="Z262" t="n">
        <v>62</v>
      </c>
      <c r="AA262" t="inlineStr">
        <is>
          <t>326</t>
        </is>
      </c>
      <c r="AB262" t="n">
        <v>46.2</v>
      </c>
      <c r="AC262" t="inlineStr">
        <is>
          <t>450</t>
        </is>
      </c>
      <c r="AD262" t="n">
        <v>90.8</v>
      </c>
      <c r="AE262" t="inlineStr">
        <is>
          <t>163</t>
        </is>
      </c>
      <c r="AF262" t="n">
        <v>95.59999999999999</v>
      </c>
      <c r="AG262" t="inlineStr">
        <is>
          <t>73</t>
        </is>
      </c>
      <c r="AH262" t="n">
        <v>77.59999999999999</v>
      </c>
      <c r="AI262" t="inlineStr">
        <is>
          <t>205</t>
        </is>
      </c>
      <c r="AJ262" t="inlineStr">
        <is>
          <t>85.7</t>
        </is>
      </c>
      <c r="AK262" t="inlineStr">
        <is>
          <t>53</t>
        </is>
      </c>
      <c r="AL262" t="inlineStr">
        <is>
          <t>69.3</t>
        </is>
      </c>
      <c r="AM262" t="inlineStr">
        <is>
          <t>106</t>
        </is>
      </c>
      <c r="AN262" t="inlineStr">
        <is>
          <t>100.0</t>
        </is>
      </c>
      <c r="AO262" t="inlineStr">
        <is>
          <t>7</t>
        </is>
      </c>
      <c r="AP262" t="inlineStr">
        <is>
          <t>40.2</t>
        </is>
      </c>
      <c r="AQ262" t="inlineStr">
        <is>
          <t>344</t>
        </is>
      </c>
      <c r="AR262" t="inlineStr">
        <is>
          <t>16.8</t>
        </is>
      </c>
      <c r="AS262" t="inlineStr">
        <is>
          <t>634</t>
        </is>
      </c>
      <c r="AT262" t="inlineStr">
        <is>
          <t>52.2</t>
        </is>
      </c>
      <c r="AU262" t="inlineStr">
        <is>
          <t>278</t>
        </is>
      </c>
      <c r="AV262" t="inlineStr">
        <is>
          <t>90.0</t>
        </is>
      </c>
      <c r="AW262" t="inlineStr">
        <is>
          <t>82</t>
        </is>
      </c>
      <c r="AX262" t="inlineStr">
        <is>
          <t>89.3</t>
        </is>
      </c>
      <c r="AY262" t="inlineStr">
        <is>
          <t>37</t>
        </is>
      </c>
      <c r="AZ262" t="inlineStr">
        <is>
          <t>95</t>
        </is>
      </c>
      <c r="BA262" t="inlineStr">
        <is>
          <t>53=</t>
        </is>
      </c>
    </row>
    <row r="263">
      <c r="A263" t="inlineStr">
        <is>
          <t>Durham University</t>
        </is>
      </c>
      <c r="B263" t="inlineStr">
        <is>
          <t>United Kingdom</t>
        </is>
      </c>
      <c r="C263" t="inlineStr">
        <is>
          <t>UK</t>
        </is>
      </c>
      <c r="D263" t="inlineStr">
        <is>
          <t>Europe</t>
        </is>
      </c>
      <c r="E263" t="inlineStr">
        <is>
          <t>L</t>
        </is>
      </c>
      <c r="F263" t="inlineStr">
        <is>
          <t>FC</t>
        </is>
      </c>
      <c r="G263" t="inlineStr">
        <is>
          <t>VH</t>
        </is>
      </c>
      <c r="H263" t="inlineStr">
        <is>
          <t>5</t>
        </is>
      </c>
      <c r="I263" t="inlineStr">
        <is>
          <t>Public</t>
        </is>
      </c>
      <c r="J263" t="inlineStr">
        <is>
          <t>94</t>
        </is>
      </c>
      <c r="K263" t="inlineStr">
        <is>
          <t>89</t>
        </is>
      </c>
      <c r="L263" t="inlineStr">
        <is>
          <t>78</t>
        </is>
      </c>
      <c r="M263" t="inlineStr">
        <is>
          <t>92</t>
        </is>
      </c>
      <c r="N263" t="inlineStr">
        <is>
          <t>70.1</t>
        </is>
      </c>
      <c r="O263" t="inlineStr">
        <is>
          <t>65.1</t>
        </is>
      </c>
      <c r="P263" t="n">
        <v>74.09999999999999</v>
      </c>
      <c r="Q263" t="inlineStr">
        <is>
          <t>117</t>
        </is>
      </c>
      <c r="R263" t="n">
        <v>91.90000000000001</v>
      </c>
      <c r="S263" t="inlineStr">
        <is>
          <t>64</t>
        </is>
      </c>
      <c r="T263" t="n">
        <v>37.3</v>
      </c>
      <c r="U263" t="inlineStr">
        <is>
          <t>539</t>
        </is>
      </c>
      <c r="V263" t="n">
        <v>42.9</v>
      </c>
      <c r="W263" t="inlineStr">
        <is>
          <t>441</t>
        </is>
      </c>
      <c r="X263" t="n">
        <v>99.2</v>
      </c>
      <c r="Y263" t="inlineStr">
        <is>
          <t>123</t>
        </is>
      </c>
      <c r="Z263" t="n">
        <v>94.5</v>
      </c>
      <c r="AA263" t="inlineStr">
        <is>
          <t>134</t>
        </is>
      </c>
      <c r="AB263" t="n">
        <v>94.90000000000001</v>
      </c>
      <c r="AC263" t="inlineStr">
        <is>
          <t>111</t>
        </is>
      </c>
      <c r="AD263" t="n">
        <v>90.90000000000001</v>
      </c>
      <c r="AE263" t="inlineStr">
        <is>
          <t>161</t>
        </is>
      </c>
      <c r="AF263" t="n">
        <v>53.6</v>
      </c>
      <c r="AG263" t="inlineStr">
        <is>
          <t>316</t>
        </is>
      </c>
      <c r="AH263" t="n">
        <v>95.2</v>
      </c>
      <c r="AI263" t="inlineStr">
        <is>
          <t>22</t>
        </is>
      </c>
      <c r="AJ263" t="inlineStr">
        <is>
          <t>59.5</t>
        </is>
      </c>
      <c r="AK263" t="inlineStr">
        <is>
          <t>124</t>
        </is>
      </c>
      <c r="AL263" t="inlineStr">
        <is>
          <t>89.3</t>
        </is>
      </c>
      <c r="AM263" t="inlineStr">
        <is>
          <t>50</t>
        </is>
      </c>
      <c r="AN263" t="inlineStr">
        <is>
          <t>27.8</t>
        </is>
      </c>
      <c r="AO263" t="inlineStr">
        <is>
          <t>548</t>
        </is>
      </c>
      <c r="AP263" t="inlineStr">
        <is>
          <t>53.3</t>
        </is>
      </c>
      <c r="AQ263" t="inlineStr">
        <is>
          <t>241</t>
        </is>
      </c>
      <c r="AR263" t="inlineStr">
        <is>
          <t>97.5</t>
        </is>
      </c>
      <c r="AS263" t="inlineStr">
        <is>
          <t>125</t>
        </is>
      </c>
      <c r="AT263" t="inlineStr">
        <is>
          <t>86.9</t>
        </is>
      </c>
      <c r="AU263" t="inlineStr">
        <is>
          <t>135</t>
        </is>
      </c>
      <c r="AV263" t="inlineStr">
        <is>
          <t>86.2</t>
        </is>
      </c>
      <c r="AW263" t="inlineStr">
        <is>
          <t>108</t>
        </is>
      </c>
      <c r="AX263" t="inlineStr">
        <is>
          <t>29.2</t>
        </is>
      </c>
      <c r="AY263" t="inlineStr">
        <is>
          <t>274</t>
        </is>
      </c>
      <c r="AZ263" t="inlineStr">
        <is>
          <t>97.6</t>
        </is>
      </c>
      <c r="BA263" t="inlineStr">
        <is>
          <t>30=</t>
        </is>
      </c>
    </row>
    <row r="264">
      <c r="A264" t="inlineStr">
        <is>
          <t>Duy Tan University</t>
        </is>
      </c>
      <c r="B264" t="inlineStr">
        <is>
          <t>Viet Nam</t>
        </is>
      </c>
      <c r="C264" t="inlineStr"/>
      <c r="D264" t="inlineStr">
        <is>
          <t>Asia</t>
        </is>
      </c>
      <c r="E264" t="inlineStr">
        <is>
          <t>L</t>
        </is>
      </c>
      <c r="F264" t="inlineStr">
        <is>
          <t>CO</t>
        </is>
      </c>
      <c r="G264" t="inlineStr">
        <is>
          <t>VH</t>
        </is>
      </c>
      <c r="H264" t="inlineStr"/>
      <c r="I264" t="inlineStr">
        <is>
          <t>Private for Profit</t>
        </is>
      </c>
      <c r="J264" t="inlineStr">
        <is>
          <t>482</t>
        </is>
      </c>
      <c r="K264" t="inlineStr">
        <is>
          <t>495</t>
        </is>
      </c>
      <c r="L264" t="inlineStr"/>
      <c r="M264" t="inlineStr"/>
      <c r="N264" t="inlineStr">
        <is>
          <t>33</t>
        </is>
      </c>
      <c r="O264" t="inlineStr"/>
      <c r="P264" t="n">
        <v>13.7</v>
      </c>
      <c r="Q264" t="inlineStr">
        <is>
          <t>701+</t>
        </is>
      </c>
      <c r="R264" t="n">
        <v>27.7</v>
      </c>
      <c r="S264" t="inlineStr">
        <is>
          <t>500</t>
        </is>
      </c>
      <c r="T264" t="n">
        <v>6.3</v>
      </c>
      <c r="U264" t="inlineStr">
        <is>
          <t>801+</t>
        </is>
      </c>
      <c r="V264" t="n">
        <v>76</v>
      </c>
      <c r="W264" t="inlineStr">
        <is>
          <t>172</t>
        </is>
      </c>
      <c r="X264" t="n">
        <v>43.4</v>
      </c>
      <c r="Y264" t="inlineStr">
        <is>
          <t>475</t>
        </is>
      </c>
      <c r="Z264" t="n">
        <v>2.1</v>
      </c>
      <c r="AA264" t="inlineStr">
        <is>
          <t>801+</t>
        </is>
      </c>
      <c r="AB264" t="n">
        <v>6.3</v>
      </c>
      <c r="AC264" t="inlineStr">
        <is>
          <t>801+</t>
        </is>
      </c>
      <c r="AD264" t="n">
        <v>87.7</v>
      </c>
      <c r="AE264" t="inlineStr">
        <is>
          <t>206</t>
        </is>
      </c>
      <c r="AF264" t="n">
        <v>6.4</v>
      </c>
      <c r="AG264" t="inlineStr">
        <is>
          <t>801+</t>
        </is>
      </c>
      <c r="AH264" t="n">
        <v>58.7</v>
      </c>
      <c r="AI264" t="inlineStr">
        <is>
          <t>528=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Duy Tan University</t>
        </is>
      </c>
      <c r="B265" t="inlineStr">
        <is>
          <t>Vietnam</t>
        </is>
      </c>
      <c r="C265" t="inlineStr">
        <is>
          <t>VN</t>
        </is>
      </c>
      <c r="D265" t="inlineStr"/>
      <c r="E265" t="inlineStr">
        <is>
          <t>L</t>
        </is>
      </c>
      <c r="F265" t="inlineStr">
        <is>
          <t>CO</t>
        </is>
      </c>
      <c r="G265" t="inlineStr">
        <is>
          <t>VH</t>
        </is>
      </c>
      <c r="H265" t="inlineStr">
        <is>
          <t>3</t>
        </is>
      </c>
      <c r="I265" t="inlineStr">
        <is>
          <t>C</t>
        </is>
      </c>
      <c r="J265" t="inlineStr"/>
      <c r="K265" t="inlineStr"/>
      <c r="L265">
        <f>514</f>
        <v/>
      </c>
      <c r="M265" t="inlineStr">
        <is>
          <t>801-1000</t>
        </is>
      </c>
      <c r="N265" t="inlineStr"/>
      <c r="O265" t="inlineStr">
        <is>
          <t>22.7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10.7</t>
        </is>
      </c>
      <c r="AK265" t="inlineStr">
        <is>
          <t>601+</t>
        </is>
      </c>
      <c r="AL265" t="inlineStr">
        <is>
          <t>26.3</t>
        </is>
      </c>
      <c r="AM265" t="inlineStr">
        <is>
          <t>367</t>
        </is>
      </c>
      <c r="AN265" t="inlineStr">
        <is>
          <t>3.8</t>
        </is>
      </c>
      <c r="AO265" t="inlineStr">
        <is>
          <t>701+</t>
        </is>
      </c>
      <c r="AP265" t="inlineStr">
        <is>
          <t>33.6</t>
        </is>
      </c>
      <c r="AQ265" t="inlineStr">
        <is>
          <t>408</t>
        </is>
      </c>
      <c r="AR265" t="inlineStr">
        <is>
          <t>37.0</t>
        </is>
      </c>
      <c r="AS265" t="inlineStr">
        <is>
          <t>436</t>
        </is>
      </c>
      <c r="AT265" t="inlineStr">
        <is>
          <t>1.2</t>
        </is>
      </c>
      <c r="AU265" t="inlineStr">
        <is>
          <t>701+</t>
        </is>
      </c>
      <c r="AV265" t="inlineStr">
        <is>
          <t>63.7</t>
        </is>
      </c>
      <c r="AW265" t="inlineStr">
        <is>
          <t>222</t>
        </is>
      </c>
      <c r="AX265" t="inlineStr">
        <is>
          <t>10.9</t>
        </is>
      </c>
      <c r="AY265" t="inlineStr">
        <is>
          <t>701+</t>
        </is>
      </c>
      <c r="AZ265" t="inlineStr">
        <is>
          <t>57.4</t>
        </is>
      </c>
      <c r="BA265" t="inlineStr">
        <is>
          <t>263=</t>
        </is>
      </c>
    </row>
    <row r="266">
      <c r="A266" t="inlineStr">
        <is>
          <t>East China Normal University</t>
        </is>
      </c>
      <c r="B266" t="inlineStr">
        <is>
          <t>China (Mainland)</t>
        </is>
      </c>
      <c r="C266" t="inlineStr">
        <is>
          <t>CN</t>
        </is>
      </c>
      <c r="D266" t="inlineStr">
        <is>
          <t>Asia</t>
        </is>
      </c>
      <c r="E266" t="inlineStr">
        <is>
          <t>XL</t>
        </is>
      </c>
      <c r="F266" t="inlineStr">
        <is>
          <t>CO</t>
        </is>
      </c>
      <c r="G266" t="inlineStr">
        <is>
          <t>VH</t>
        </is>
      </c>
      <c r="H266" t="inlineStr">
        <is>
          <t>4</t>
        </is>
      </c>
      <c r="I266" t="inlineStr">
        <is>
          <t>Public</t>
        </is>
      </c>
      <c r="J266" t="inlineStr">
        <is>
          <t>433</t>
        </is>
      </c>
      <c r="K266" t="inlineStr">
        <is>
          <t>501</t>
        </is>
      </c>
      <c r="L266">
        <f>511</f>
        <v/>
      </c>
      <c r="M266" t="inlineStr">
        <is>
          <t>541-550</t>
        </is>
      </c>
      <c r="N266" t="inlineStr">
        <is>
          <t>35.6</t>
        </is>
      </c>
      <c r="O266" t="inlineStr">
        <is>
          <t>22.8</t>
        </is>
      </c>
      <c r="P266" t="n">
        <v>19.9</v>
      </c>
      <c r="Q266" t="inlineStr">
        <is>
          <t>619</t>
        </is>
      </c>
      <c r="R266" t="n">
        <v>16.4</v>
      </c>
      <c r="S266" t="inlineStr">
        <is>
          <t>701+</t>
        </is>
      </c>
      <c r="T266" t="n">
        <v>20.2</v>
      </c>
      <c r="U266" t="inlineStr">
        <is>
          <t>801+</t>
        </is>
      </c>
      <c r="V266" t="n">
        <v>82.09999999999999</v>
      </c>
      <c r="W266" t="inlineStr">
        <is>
          <t>145</t>
        </is>
      </c>
      <c r="X266" t="n">
        <v>46.7</v>
      </c>
      <c r="Y266" t="inlineStr">
        <is>
          <t>457</t>
        </is>
      </c>
      <c r="Z266" t="n">
        <v>15.7</v>
      </c>
      <c r="AA266" t="inlineStr">
        <is>
          <t>801+</t>
        </is>
      </c>
      <c r="AB266" t="n">
        <v>11.9</v>
      </c>
      <c r="AC266" t="inlineStr">
        <is>
          <t>801+</t>
        </is>
      </c>
      <c r="AD266" t="n">
        <v>69.2</v>
      </c>
      <c r="AE266" t="inlineStr">
        <is>
          <t>544</t>
        </is>
      </c>
      <c r="AF266" t="n">
        <v>14.5</v>
      </c>
      <c r="AG266" t="inlineStr">
        <is>
          <t>801+</t>
        </is>
      </c>
      <c r="AH266" t="n">
        <v>47.7</v>
      </c>
      <c r="AI266" t="inlineStr">
        <is>
          <t>765=</t>
        </is>
      </c>
      <c r="AJ266" t="inlineStr">
        <is>
          <t>15.2</t>
        </is>
      </c>
      <c r="AK266" t="inlineStr">
        <is>
          <t>571</t>
        </is>
      </c>
      <c r="AL266" t="inlineStr">
        <is>
          <t>3.7</t>
        </is>
      </c>
      <c r="AM266" t="inlineStr">
        <is>
          <t>601+</t>
        </is>
      </c>
      <c r="AN266" t="inlineStr">
        <is>
          <t>19.1</t>
        </is>
      </c>
      <c r="AO266" t="inlineStr">
        <is>
          <t>693</t>
        </is>
      </c>
      <c r="AP266" t="inlineStr">
        <is>
          <t>53.1</t>
        </is>
      </c>
      <c r="AQ266" t="inlineStr">
        <is>
          <t>243</t>
        </is>
      </c>
      <c r="AR266" t="inlineStr">
        <is>
          <t>23.3</t>
        </is>
      </c>
      <c r="AS266" t="inlineStr">
        <is>
          <t>562</t>
        </is>
      </c>
      <c r="AT266" t="inlineStr">
        <is>
          <t>19.6</t>
        </is>
      </c>
      <c r="AU266" t="inlineStr">
        <is>
          <t>553</t>
        </is>
      </c>
      <c r="AV266" t="inlineStr">
        <is>
          <t>31.0</t>
        </is>
      </c>
      <c r="AW266" t="inlineStr">
        <is>
          <t>453</t>
        </is>
      </c>
      <c r="AX266" t="inlineStr">
        <is>
          <t>11.7</t>
        </is>
      </c>
      <c r="AY266" t="inlineStr">
        <is>
          <t>701+</t>
        </is>
      </c>
      <c r="AZ266" t="inlineStr">
        <is>
          <t>19.7</t>
        </is>
      </c>
      <c r="BA266" t="inlineStr">
        <is>
          <t>548</t>
        </is>
      </c>
    </row>
    <row r="267">
      <c r="A267" t="inlineStr">
        <is>
          <t>East China University of Science and Technology</t>
        </is>
      </c>
      <c r="B267" t="inlineStr">
        <is>
          <t>China (Mainland)</t>
        </is>
      </c>
      <c r="C267" t="inlineStr">
        <is>
          <t>CN</t>
        </is>
      </c>
      <c r="D267" t="inlineStr">
        <is>
          <t>Asia</t>
        </is>
      </c>
      <c r="E267" t="inlineStr">
        <is>
          <t>XL</t>
        </is>
      </c>
      <c r="F267" t="inlineStr">
        <is>
          <t>CO</t>
        </is>
      </c>
      <c r="G267" t="inlineStr">
        <is>
          <t>VH</t>
        </is>
      </c>
      <c r="H267" t="inlineStr">
        <is>
          <t>4</t>
        </is>
      </c>
      <c r="I267" t="inlineStr">
        <is>
          <t>Public</t>
        </is>
      </c>
      <c r="J267" t="inlineStr">
        <is>
          <t>673</t>
        </is>
      </c>
      <c r="K267" t="inlineStr">
        <is>
          <t>641-650</t>
        </is>
      </c>
      <c r="L267" t="inlineStr">
        <is>
          <t>681-690</t>
        </is>
      </c>
      <c r="M267" t="inlineStr">
        <is>
          <t>601-650</t>
        </is>
      </c>
      <c r="N267" t="inlineStr">
        <is>
          <t>26.2</t>
        </is>
      </c>
      <c r="O267" t="inlineStr">
        <is>
          <t>-</t>
        </is>
      </c>
      <c r="P267" t="n">
        <v>9.1</v>
      </c>
      <c r="Q267" t="inlineStr">
        <is>
          <t>701+</t>
        </is>
      </c>
      <c r="R267" t="n">
        <v>10.3</v>
      </c>
      <c r="S267" t="inlineStr">
        <is>
          <t>701+</t>
        </is>
      </c>
      <c r="T267" t="n">
        <v>15.4</v>
      </c>
      <c r="U267" t="inlineStr">
        <is>
          <t>801+</t>
        </is>
      </c>
      <c r="V267" t="n">
        <v>82.5</v>
      </c>
      <c r="W267" t="inlineStr">
        <is>
          <t>140</t>
        </is>
      </c>
      <c r="X267" t="n">
        <v>3.3</v>
      </c>
      <c r="Y267" t="inlineStr">
        <is>
          <t>801+</t>
        </is>
      </c>
      <c r="Z267" t="n">
        <v>2.5</v>
      </c>
      <c r="AA267" t="inlineStr">
        <is>
          <t>801+</t>
        </is>
      </c>
      <c r="AB267" t="n">
        <v>2.1</v>
      </c>
      <c r="AC267" t="inlineStr">
        <is>
          <t>801+</t>
        </is>
      </c>
      <c r="AD267" t="n">
        <v>43.5</v>
      </c>
      <c r="AE267" t="inlineStr">
        <is>
          <t>801+</t>
        </is>
      </c>
      <c r="AF267" t="n">
        <v>12.5</v>
      </c>
      <c r="AG267" t="inlineStr">
        <is>
          <t>801+</t>
        </is>
      </c>
      <c r="AH267" t="n">
        <v>40.2</v>
      </c>
      <c r="AI267" t="inlineStr">
        <is>
          <t>801+</t>
        </is>
      </c>
      <c r="AJ267" t="inlineStr">
        <is>
          <t>7.5</t>
        </is>
      </c>
      <c r="AK267" t="inlineStr">
        <is>
          <t>601+</t>
        </is>
      </c>
      <c r="AL267" t="inlineStr">
        <is>
          <t>2.6</t>
        </is>
      </c>
      <c r="AM267" t="inlineStr">
        <is>
          <t>601+</t>
        </is>
      </c>
      <c r="AN267" t="inlineStr">
        <is>
          <t>13.0</t>
        </is>
      </c>
      <c r="AO267" t="inlineStr">
        <is>
          <t>701+</t>
        </is>
      </c>
      <c r="AP267" t="inlineStr">
        <is>
          <t>61.4</t>
        </is>
      </c>
      <c r="AQ267" t="inlineStr">
        <is>
          <t>200</t>
        </is>
      </c>
      <c r="AR267" t="inlineStr">
        <is>
          <t>2.7</t>
        </is>
      </c>
      <c r="AS267" t="inlineStr">
        <is>
          <t>701+</t>
        </is>
      </c>
      <c r="AT267" t="inlineStr">
        <is>
          <t>1.8</t>
        </is>
      </c>
      <c r="AU267" t="inlineStr">
        <is>
          <t>701+</t>
        </is>
      </c>
      <c r="AV267" t="inlineStr">
        <is>
          <t>2.8</t>
        </is>
      </c>
      <c r="AW267" t="inlineStr">
        <is>
          <t>701+</t>
        </is>
      </c>
      <c r="AX267" t="inlineStr">
        <is>
          <t>11.7</t>
        </is>
      </c>
      <c r="AY267" t="inlineStr">
        <is>
          <t>701+</t>
        </is>
      </c>
      <c r="AZ267" t="inlineStr">
        <is>
          <t>3.6</t>
        </is>
      </c>
      <c r="BA267" t="inlineStr">
        <is>
          <t>701+</t>
        </is>
      </c>
    </row>
    <row r="268">
      <c r="A268" t="inlineStr">
        <is>
          <t>East West University</t>
        </is>
      </c>
      <c r="B268" t="inlineStr">
        <is>
          <t>Bangladesh</t>
        </is>
      </c>
      <c r="C268" t="inlineStr">
        <is>
          <t>BD</t>
        </is>
      </c>
      <c r="D268" t="inlineStr">
        <is>
          <t>Asia</t>
        </is>
      </c>
      <c r="E268" t="inlineStr">
        <is>
          <t>L</t>
        </is>
      </c>
      <c r="F268" t="inlineStr">
        <is>
          <t>FO</t>
        </is>
      </c>
      <c r="G268" t="inlineStr">
        <is>
          <t>HI</t>
        </is>
      </c>
      <c r="H268" t="inlineStr">
        <is>
          <t>3</t>
        </is>
      </c>
      <c r="I268" t="inlineStr">
        <is>
          <t>Private not for Profit</t>
        </is>
      </c>
      <c r="J268" t="inlineStr">
        <is>
          <t>1401+</t>
        </is>
      </c>
      <c r="K268" t="inlineStr">
        <is>
          <t>1401+</t>
        </is>
      </c>
      <c r="L268" t="inlineStr">
        <is>
          <t>1201-1400</t>
        </is>
      </c>
      <c r="M268" t="inlineStr"/>
      <c r="N268" t="inlineStr">
        <is>
          <t>-</t>
        </is>
      </c>
      <c r="O268" t="inlineStr">
        <is>
          <t>-</t>
        </is>
      </c>
      <c r="P268" t="n">
        <v>8.800000000000001</v>
      </c>
      <c r="Q268" t="inlineStr">
        <is>
          <t>701+</t>
        </is>
      </c>
      <c r="R268" t="n">
        <v>17.7</v>
      </c>
      <c r="S268" t="inlineStr">
        <is>
          <t>701+</t>
        </is>
      </c>
      <c r="T268" t="n">
        <v>3.7</v>
      </c>
      <c r="U268" t="inlineStr">
        <is>
          <t>801+</t>
        </is>
      </c>
      <c r="V268" t="n">
        <v>4.5</v>
      </c>
      <c r="W268" t="inlineStr">
        <is>
          <t>801+</t>
        </is>
      </c>
      <c r="X268" t="n">
        <v>1.4</v>
      </c>
      <c r="Y268" t="inlineStr">
        <is>
          <t>801+</t>
        </is>
      </c>
      <c r="Z268" t="n">
        <v>1</v>
      </c>
      <c r="AA268" t="inlineStr">
        <is>
          <t>801+</t>
        </is>
      </c>
      <c r="AB268" t="n">
        <v>5.5</v>
      </c>
      <c r="AC268" t="inlineStr">
        <is>
          <t>801+</t>
        </is>
      </c>
      <c r="AD268" t="n">
        <v>9.199999999999999</v>
      </c>
      <c r="AE268" t="inlineStr">
        <is>
          <t>801+</t>
        </is>
      </c>
      <c r="AF268" t="n">
        <v>8.300000000000001</v>
      </c>
      <c r="AG268" t="inlineStr">
        <is>
          <t>801+</t>
        </is>
      </c>
      <c r="AH268" t="n">
        <v>32.5</v>
      </c>
      <c r="AI268" t="inlineStr">
        <is>
          <t>801+</t>
        </is>
      </c>
      <c r="AJ268" t="inlineStr">
        <is>
          <t>5.8</t>
        </is>
      </c>
      <c r="AK268" t="inlineStr">
        <is>
          <t>601+</t>
        </is>
      </c>
      <c r="AL268" t="inlineStr">
        <is>
          <t>14.6</t>
        </is>
      </c>
      <c r="AM268" t="inlineStr">
        <is>
          <t>559</t>
        </is>
      </c>
      <c r="AN268" t="inlineStr">
        <is>
          <t>3.1</t>
        </is>
      </c>
      <c r="AO268" t="inlineStr">
        <is>
          <t>701+</t>
        </is>
      </c>
      <c r="AP268" t="inlineStr">
        <is>
          <t>2.5</t>
        </is>
      </c>
      <c r="AQ268" t="inlineStr">
        <is>
          <t>701+</t>
        </is>
      </c>
      <c r="AR268" t="inlineStr">
        <is>
          <t>1.3</t>
        </is>
      </c>
      <c r="AS268" t="inlineStr">
        <is>
          <t>701+</t>
        </is>
      </c>
      <c r="AT268" t="inlineStr">
        <is>
          <t>1.0</t>
        </is>
      </c>
      <c r="AU268" t="inlineStr">
        <is>
          <t>701+</t>
        </is>
      </c>
      <c r="AV268" t="inlineStr">
        <is>
          <t>1.0</t>
        </is>
      </c>
      <c r="AW268" t="inlineStr">
        <is>
          <t>701+</t>
        </is>
      </c>
      <c r="AX268" t="inlineStr">
        <is>
          <t>10.5</t>
        </is>
      </c>
      <c r="AY268" t="inlineStr">
        <is>
          <t>701+</t>
        </is>
      </c>
      <c r="AZ268" t="inlineStr">
        <is>
          <t>1</t>
        </is>
      </c>
      <c r="BA268" t="inlineStr">
        <is>
          <t>701+</t>
        </is>
      </c>
    </row>
    <row r="269">
      <c r="A269" t="inlineStr">
        <is>
          <t>Eastern Mediterranean University</t>
        </is>
      </c>
      <c r="B269" t="inlineStr">
        <is>
          <t>Northern Cyprus</t>
        </is>
      </c>
      <c r="C269" t="inlineStr"/>
      <c r="D269" t="inlineStr">
        <is>
          <t>Asia</t>
        </is>
      </c>
      <c r="E269" t="inlineStr">
        <is>
          <t>L</t>
        </is>
      </c>
      <c r="F269" t="inlineStr">
        <is>
          <t>FC</t>
        </is>
      </c>
      <c r="G269" t="inlineStr">
        <is>
          <t>HI</t>
        </is>
      </c>
      <c r="H269" t="inlineStr"/>
      <c r="I269" t="inlineStr">
        <is>
          <t>Public</t>
        </is>
      </c>
      <c r="J269" t="inlineStr">
        <is>
          <t>691</t>
        </is>
      </c>
      <c r="K269" t="inlineStr">
        <is>
          <t>611-620</t>
        </is>
      </c>
      <c r="L269" t="inlineStr"/>
      <c r="M269" t="inlineStr"/>
      <c r="N269" t="inlineStr">
        <is>
          <t>25.4</t>
        </is>
      </c>
      <c r="O269" t="inlineStr"/>
      <c r="P269" t="n">
        <v>9.199999999999999</v>
      </c>
      <c r="Q269" t="inlineStr">
        <is>
          <t>701+</t>
        </is>
      </c>
      <c r="R269" t="n">
        <v>4.5</v>
      </c>
      <c r="S269" t="inlineStr">
        <is>
          <t>701+</t>
        </is>
      </c>
      <c r="T269" t="n">
        <v>5.6</v>
      </c>
      <c r="U269" t="inlineStr">
        <is>
          <t>801+</t>
        </is>
      </c>
      <c r="V269" t="n">
        <v>31.3</v>
      </c>
      <c r="W269" t="inlineStr">
        <is>
          <t>571</t>
        </is>
      </c>
      <c r="X269" t="n">
        <v>77.09999999999999</v>
      </c>
      <c r="Y269" t="inlineStr">
        <is>
          <t>311</t>
        </is>
      </c>
      <c r="Z269" t="n">
        <v>100</v>
      </c>
      <c r="AA269" t="inlineStr">
        <is>
          <t>19</t>
        </is>
      </c>
      <c r="AB269" t="n">
        <v>100</v>
      </c>
      <c r="AC269" t="inlineStr">
        <is>
          <t>13</t>
        </is>
      </c>
      <c r="AD269" t="n">
        <v>51.3</v>
      </c>
      <c r="AE269" t="inlineStr">
        <is>
          <t>801+</t>
        </is>
      </c>
      <c r="AF269" t="n">
        <v>53.6</v>
      </c>
      <c r="AG269" t="inlineStr">
        <is>
          <t>315</t>
        </is>
      </c>
      <c r="AH269" t="n">
        <v>45.4</v>
      </c>
      <c r="AI269" t="inlineStr">
        <is>
          <t>801+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Eberhard Karls Universität Tübingen</t>
        </is>
      </c>
      <c r="B270" t="inlineStr">
        <is>
          <t>Germany</t>
        </is>
      </c>
      <c r="C270" t="inlineStr">
        <is>
          <t>DE</t>
        </is>
      </c>
      <c r="D270" t="inlineStr">
        <is>
          <t>Europe</t>
        </is>
      </c>
      <c r="E270" t="inlineStr">
        <is>
          <t>L</t>
        </is>
      </c>
      <c r="F270" t="inlineStr">
        <is>
          <t>FC</t>
        </is>
      </c>
      <c r="G270" t="inlineStr">
        <is>
          <t>VH</t>
        </is>
      </c>
      <c r="H270" t="inlineStr">
        <is>
          <t>5</t>
        </is>
      </c>
      <c r="I270" t="inlineStr">
        <is>
          <t>Public</t>
        </is>
      </c>
      <c r="J270" t="inlineStr">
        <is>
          <t>215</t>
        </is>
      </c>
      <c r="K270" t="inlineStr">
        <is>
          <t>222</t>
        </is>
      </c>
      <c r="L270" t="inlineStr">
        <is>
          <t>213</t>
        </is>
      </c>
      <c r="M270" t="inlineStr">
        <is>
          <t>169</t>
        </is>
      </c>
      <c r="N270" t="inlineStr">
        <is>
          <t>54.5</t>
        </is>
      </c>
      <c r="O270" t="inlineStr">
        <is>
          <t>44.1</t>
        </is>
      </c>
      <c r="P270" t="n">
        <v>61</v>
      </c>
      <c r="Q270" t="inlineStr">
        <is>
          <t>169</t>
        </is>
      </c>
      <c r="R270" t="n">
        <v>36.1</v>
      </c>
      <c r="S270" t="inlineStr">
        <is>
          <t>397</t>
        </is>
      </c>
      <c r="T270" t="n">
        <v>85.7</v>
      </c>
      <c r="U270" t="inlineStr">
        <is>
          <t>126</t>
        </is>
      </c>
      <c r="V270" t="n">
        <v>32.2</v>
      </c>
      <c r="W270" t="inlineStr">
        <is>
          <t>560</t>
        </is>
      </c>
      <c r="X270" t="n">
        <v>88.2</v>
      </c>
      <c r="Y270" t="inlineStr">
        <is>
          <t>235</t>
        </is>
      </c>
      <c r="Z270" t="n">
        <v>40.5</v>
      </c>
      <c r="AA270" t="inlineStr">
        <is>
          <t>486</t>
        </is>
      </c>
      <c r="AB270" t="n">
        <v>30.3</v>
      </c>
      <c r="AC270" t="inlineStr">
        <is>
          <t>611</t>
        </is>
      </c>
      <c r="AD270" t="n">
        <v>93.59999999999999</v>
      </c>
      <c r="AE270" t="inlineStr">
        <is>
          <t>112</t>
        </is>
      </c>
      <c r="AF270" t="n">
        <v>36.5</v>
      </c>
      <c r="AG270" t="inlineStr">
        <is>
          <t>473</t>
        </is>
      </c>
      <c r="AH270" t="n">
        <v>64.5</v>
      </c>
      <c r="AI270" t="inlineStr">
        <is>
          <t>409=</t>
        </is>
      </c>
      <c r="AJ270" t="inlineStr">
        <is>
          <t>45.8</t>
        </is>
      </c>
      <c r="AK270" t="inlineStr">
        <is>
          <t>180</t>
        </is>
      </c>
      <c r="AL270" t="inlineStr">
        <is>
          <t>29.9</t>
        </is>
      </c>
      <c r="AM270" t="inlineStr">
        <is>
          <t>325</t>
        </is>
      </c>
      <c r="AN270" t="inlineStr">
        <is>
          <t>92.9</t>
        </is>
      </c>
      <c r="AO270" t="inlineStr">
        <is>
          <t>71</t>
        </is>
      </c>
      <c r="AP270" t="inlineStr">
        <is>
          <t>19.7</t>
        </is>
      </c>
      <c r="AQ270" t="inlineStr">
        <is>
          <t>560</t>
        </is>
      </c>
      <c r="AR270" t="inlineStr">
        <is>
          <t>67.6</t>
        </is>
      </c>
      <c r="AS270" t="inlineStr">
        <is>
          <t>289</t>
        </is>
      </c>
      <c r="AT270" t="inlineStr">
        <is>
          <t>26.7</t>
        </is>
      </c>
      <c r="AU270" t="inlineStr">
        <is>
          <t>454</t>
        </is>
      </c>
      <c r="AV270" t="inlineStr">
        <is>
          <t>89.9</t>
        </is>
      </c>
      <c r="AW270" t="inlineStr">
        <is>
          <t>84</t>
        </is>
      </c>
      <c r="AX270" t="inlineStr">
        <is>
          <t>21.1</t>
        </is>
      </c>
      <c r="AY270" t="inlineStr">
        <is>
          <t>393</t>
        </is>
      </c>
      <c r="AZ270" t="inlineStr">
        <is>
          <t>42.3</t>
        </is>
      </c>
      <c r="BA270" t="inlineStr">
        <is>
          <t>351=</t>
        </is>
      </c>
    </row>
    <row r="271">
      <c r="A271" t="inlineStr">
        <is>
          <t>Ecole des Ponts ParisTech</t>
        </is>
      </c>
      <c r="B271" t="inlineStr">
        <is>
          <t>France</t>
        </is>
      </c>
      <c r="C271" t="inlineStr">
        <is>
          <t>FR</t>
        </is>
      </c>
      <c r="D271" t="inlineStr"/>
      <c r="E271" t="inlineStr">
        <is>
          <t>S</t>
        </is>
      </c>
      <c r="F271" t="inlineStr">
        <is>
          <t>FO</t>
        </is>
      </c>
      <c r="G271" t="inlineStr">
        <is>
          <t>VH</t>
        </is>
      </c>
      <c r="H271" t="inlineStr">
        <is>
          <t>5</t>
        </is>
      </c>
      <c r="I271" t="inlineStr">
        <is>
          <t>A</t>
        </is>
      </c>
      <c r="J271" t="inlineStr"/>
      <c r="K271" t="inlineStr"/>
      <c r="L271">
        <f>192</f>
        <v/>
      </c>
      <c r="M271" t="inlineStr">
        <is>
          <t>174=</t>
        </is>
      </c>
      <c r="N271" t="inlineStr"/>
      <c r="O271" t="inlineStr">
        <is>
          <t>46.7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8.3</t>
        </is>
      </c>
      <c r="AK271" t="inlineStr">
        <is>
          <t>601+</t>
        </is>
      </c>
      <c r="AL271" t="inlineStr">
        <is>
          <t>57.9</t>
        </is>
      </c>
      <c r="AM271" t="inlineStr">
        <is>
          <t>142</t>
        </is>
      </c>
      <c r="AN271" t="inlineStr">
        <is>
          <t>98.2</t>
        </is>
      </c>
      <c r="AO271" t="inlineStr">
        <is>
          <t>45</t>
        </is>
      </c>
      <c r="AP271" t="inlineStr">
        <is>
          <t>80.7</t>
        </is>
      </c>
      <c r="AQ271" t="inlineStr">
        <is>
          <t>109</t>
        </is>
      </c>
      <c r="AR271" t="inlineStr">
        <is>
          <t>34.6</t>
        </is>
      </c>
      <c r="AS271" t="inlineStr">
        <is>
          <t>458</t>
        </is>
      </c>
      <c r="AT271" t="inlineStr">
        <is>
          <t>96.8</t>
        </is>
      </c>
      <c r="AU271" t="inlineStr">
        <is>
          <t>75</t>
        </is>
      </c>
      <c r="AV271" t="inlineStr">
        <is>
          <t>5.6</t>
        </is>
      </c>
      <c r="AW271" t="inlineStr">
        <is>
          <t>701+</t>
        </is>
      </c>
      <c r="AX271" t="inlineStr">
        <is>
          <t>30</t>
        </is>
      </c>
      <c r="AY271" t="inlineStr">
        <is>
          <t>261</t>
        </is>
      </c>
      <c r="AZ271" t="inlineStr">
        <is>
          <t>19.2</t>
        </is>
      </c>
      <c r="BA271" t="inlineStr">
        <is>
          <t>549=</t>
        </is>
      </c>
    </row>
    <row r="272">
      <c r="A272" t="inlineStr">
        <is>
          <t>Ecole Normale Supérieure de Lyon</t>
        </is>
      </c>
      <c r="B272" t="inlineStr">
        <is>
          <t>France</t>
        </is>
      </c>
      <c r="C272" t="inlineStr"/>
      <c r="D272" t="inlineStr">
        <is>
          <t>Europe</t>
        </is>
      </c>
      <c r="E272" t="inlineStr">
        <is>
          <t>S</t>
        </is>
      </c>
      <c r="F272" t="inlineStr">
        <is>
          <t>CO</t>
        </is>
      </c>
      <c r="G272" t="inlineStr">
        <is>
          <t>VH</t>
        </is>
      </c>
      <c r="H272" t="inlineStr"/>
      <c r="I272" t="inlineStr">
        <is>
          <t>Public</t>
        </is>
      </c>
      <c r="J272" t="inlineStr">
        <is>
          <t>205</t>
        </is>
      </c>
      <c r="K272" t="inlineStr">
        <is>
          <t>187</t>
        </is>
      </c>
      <c r="L272" t="inlineStr"/>
      <c r="M272" t="inlineStr"/>
      <c r="N272" t="inlineStr">
        <is>
          <t>55.1</t>
        </is>
      </c>
      <c r="O272" t="inlineStr"/>
      <c r="P272" t="n">
        <v>41.7</v>
      </c>
      <c r="Q272" t="inlineStr">
        <is>
          <t>286</t>
        </is>
      </c>
      <c r="R272" t="n">
        <v>25.7</v>
      </c>
      <c r="S272" t="inlineStr">
        <is>
          <t>528</t>
        </is>
      </c>
      <c r="T272" t="n">
        <v>98.8</v>
      </c>
      <c r="U272" t="inlineStr">
        <is>
          <t>46</t>
        </is>
      </c>
      <c r="V272" t="n">
        <v>89.2</v>
      </c>
      <c r="W272" t="inlineStr">
        <is>
          <t>106</t>
        </is>
      </c>
      <c r="X272" t="n">
        <v>61.5</v>
      </c>
      <c r="Y272" t="inlineStr">
        <is>
          <t>380</t>
        </is>
      </c>
      <c r="Z272" t="n">
        <v>23.9</v>
      </c>
      <c r="AA272" t="inlineStr">
        <is>
          <t>677</t>
        </is>
      </c>
      <c r="AB272" t="n">
        <v>26.7</v>
      </c>
      <c r="AC272" t="inlineStr">
        <is>
          <t>662</t>
        </is>
      </c>
      <c r="AD272" t="n">
        <v>73.09999999999999</v>
      </c>
      <c r="AE272" t="inlineStr">
        <is>
          <t>485</t>
        </is>
      </c>
      <c r="AF272" t="n">
        <v>17.9</v>
      </c>
      <c r="AG272" t="inlineStr">
        <is>
          <t>760</t>
        </is>
      </c>
      <c r="AH272" t="n">
        <v>50.2</v>
      </c>
      <c r="AI272" t="inlineStr">
        <is>
          <t>699=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Edinburgh Napier University</t>
        </is>
      </c>
      <c r="B273" t="inlineStr">
        <is>
          <t>United Kingdom</t>
        </is>
      </c>
      <c r="C273" t="inlineStr">
        <is>
          <t>UK</t>
        </is>
      </c>
      <c r="D273" t="inlineStr">
        <is>
          <t>Europe</t>
        </is>
      </c>
      <c r="E273" t="inlineStr">
        <is>
          <t>L</t>
        </is>
      </c>
      <c r="F273" t="inlineStr">
        <is>
          <t>CO</t>
        </is>
      </c>
      <c r="G273" t="inlineStr">
        <is>
          <t>HI</t>
        </is>
      </c>
      <c r="H273" t="inlineStr">
        <is>
          <t>3</t>
        </is>
      </c>
      <c r="I273" t="inlineStr">
        <is>
          <t>Public</t>
        </is>
      </c>
      <c r="J273" t="inlineStr">
        <is>
          <t>851-900</t>
        </is>
      </c>
      <c r="K273" t="inlineStr">
        <is>
          <t>801-850</t>
        </is>
      </c>
      <c r="L273" t="inlineStr">
        <is>
          <t>801-850</t>
        </is>
      </c>
      <c r="M273" t="inlineStr">
        <is>
          <t>801-1000</t>
        </is>
      </c>
      <c r="N273" t="inlineStr">
        <is>
          <t>-</t>
        </is>
      </c>
      <c r="O273" t="inlineStr">
        <is>
          <t>-</t>
        </is>
      </c>
      <c r="P273" t="n">
        <v>7.9</v>
      </c>
      <c r="Q273" t="inlineStr">
        <is>
          <t>701+</t>
        </is>
      </c>
      <c r="R273" t="n">
        <v>5.5</v>
      </c>
      <c r="S273" t="inlineStr">
        <is>
          <t>701+</t>
        </is>
      </c>
      <c r="T273" t="n">
        <v>6.1</v>
      </c>
      <c r="U273" t="inlineStr">
        <is>
          <t>801+</t>
        </is>
      </c>
      <c r="V273" t="n">
        <v>21.9</v>
      </c>
      <c r="W273" t="inlineStr">
        <is>
          <t>686</t>
        </is>
      </c>
      <c r="X273" t="n">
        <v>89.5</v>
      </c>
      <c r="Y273" t="inlineStr">
        <is>
          <t>227</t>
        </is>
      </c>
      <c r="Z273" t="n">
        <v>84.7</v>
      </c>
      <c r="AA273" t="inlineStr">
        <is>
          <t>196</t>
        </is>
      </c>
      <c r="AB273" t="n">
        <v>86.09999999999999</v>
      </c>
      <c r="AC273" t="inlineStr">
        <is>
          <t>167</t>
        </is>
      </c>
      <c r="AD273" t="n">
        <v>59.4</v>
      </c>
      <c r="AE273" t="inlineStr">
        <is>
          <t>702</t>
        </is>
      </c>
      <c r="AF273" t="n">
        <v>8.6</v>
      </c>
      <c r="AG273" t="inlineStr">
        <is>
          <t>801+</t>
        </is>
      </c>
      <c r="AH273" t="n">
        <v>40.1</v>
      </c>
      <c r="AI273" t="inlineStr">
        <is>
          <t>801+</t>
        </is>
      </c>
      <c r="AJ273" t="inlineStr">
        <is>
          <t>4.9</t>
        </is>
      </c>
      <c r="AK273" t="inlineStr">
        <is>
          <t>601+</t>
        </is>
      </c>
      <c r="AL273" t="inlineStr">
        <is>
          <t>4.2</t>
        </is>
      </c>
      <c r="AM273" t="inlineStr">
        <is>
          <t>601+</t>
        </is>
      </c>
      <c r="AN273" t="inlineStr">
        <is>
          <t>4.1</t>
        </is>
      </c>
      <c r="AO273" t="inlineStr">
        <is>
          <t>701+</t>
        </is>
      </c>
      <c r="AP273" t="inlineStr">
        <is>
          <t>10.4</t>
        </is>
      </c>
      <c r="AQ273" t="inlineStr">
        <is>
          <t>701+</t>
        </is>
      </c>
      <c r="AR273" t="inlineStr">
        <is>
          <t>73.8</t>
        </is>
      </c>
      <c r="AS273" t="inlineStr">
        <is>
          <t>259</t>
        </is>
      </c>
      <c r="AT273" t="inlineStr">
        <is>
          <t>87.9</t>
        </is>
      </c>
      <c r="AU273" t="inlineStr">
        <is>
          <t>130</t>
        </is>
      </c>
      <c r="AV273" t="inlineStr">
        <is>
          <t>5.9</t>
        </is>
      </c>
      <c r="AW273" t="inlineStr">
        <is>
          <t>701+</t>
        </is>
      </c>
      <c r="AX273" t="inlineStr">
        <is>
          <t>10.8</t>
        </is>
      </c>
      <c r="AY273" t="inlineStr">
        <is>
          <t>701+</t>
        </is>
      </c>
      <c r="AZ273" t="inlineStr">
        <is>
          <t>2.9</t>
        </is>
      </c>
      <c r="BA273" t="inlineStr">
        <is>
          <t>701+</t>
        </is>
      </c>
    </row>
    <row r="274">
      <c r="A274" t="inlineStr">
        <is>
          <t>Edith Cowan University</t>
        </is>
      </c>
      <c r="B274" t="inlineStr">
        <is>
          <t>Australia</t>
        </is>
      </c>
      <c r="C274" t="inlineStr">
        <is>
          <t>AU</t>
        </is>
      </c>
      <c r="D274" t="inlineStr">
        <is>
          <t>Oceania</t>
        </is>
      </c>
      <c r="E274" t="inlineStr">
        <is>
          <t>L</t>
        </is>
      </c>
      <c r="F274" t="inlineStr">
        <is>
          <t>CO</t>
        </is>
      </c>
      <c r="G274" t="inlineStr">
        <is>
          <t>VH</t>
        </is>
      </c>
      <c r="H274" t="inlineStr">
        <is>
          <t>3</t>
        </is>
      </c>
      <c r="I274" t="inlineStr">
        <is>
          <t>Public</t>
        </is>
      </c>
      <c r="J274" t="inlineStr">
        <is>
          <t>487</t>
        </is>
      </c>
      <c r="K274" t="inlineStr">
        <is>
          <t>516</t>
        </is>
      </c>
      <c r="L274" t="inlineStr">
        <is>
          <t>529</t>
        </is>
      </c>
      <c r="M274" t="inlineStr">
        <is>
          <t>601-650</t>
        </is>
      </c>
      <c r="N274" t="inlineStr">
        <is>
          <t>32.8</t>
        </is>
      </c>
      <c r="O274" t="inlineStr">
        <is>
          <t>22.2</t>
        </is>
      </c>
      <c r="P274" t="n">
        <v>13.7</v>
      </c>
      <c r="Q274" t="inlineStr">
        <is>
          <t>701+</t>
        </is>
      </c>
      <c r="R274" t="n">
        <v>13.1</v>
      </c>
      <c r="S274" t="inlineStr">
        <is>
          <t>701+</t>
        </is>
      </c>
      <c r="T274" t="n">
        <v>6</v>
      </c>
      <c r="U274" t="inlineStr">
        <is>
          <t>801+</t>
        </is>
      </c>
      <c r="V274" t="n">
        <v>60.4</v>
      </c>
      <c r="W274" t="inlineStr">
        <is>
          <t>285</t>
        </is>
      </c>
      <c r="X274" t="n">
        <v>96.40000000000001</v>
      </c>
      <c r="Y274" t="inlineStr">
        <is>
          <t>160</t>
        </is>
      </c>
      <c r="Z274" t="n">
        <v>82.40000000000001</v>
      </c>
      <c r="AA274" t="inlineStr">
        <is>
          <t>210</t>
        </is>
      </c>
      <c r="AB274" t="n">
        <v>84</v>
      </c>
      <c r="AC274" t="inlineStr">
        <is>
          <t>176</t>
        </is>
      </c>
      <c r="AD274" t="n">
        <v>63.8</v>
      </c>
      <c r="AE274" t="inlineStr">
        <is>
          <t>637</t>
        </is>
      </c>
      <c r="AF274" t="n">
        <v>7.4</v>
      </c>
      <c r="AG274" t="inlineStr">
        <is>
          <t>801+</t>
        </is>
      </c>
      <c r="AH274" t="n">
        <v>51</v>
      </c>
      <c r="AI274" t="inlineStr">
        <is>
          <t>680=</t>
        </is>
      </c>
      <c r="AJ274" t="inlineStr">
        <is>
          <t>8.7</t>
        </is>
      </c>
      <c r="AK274" t="inlineStr">
        <is>
          <t>601+</t>
        </is>
      </c>
      <c r="AL274" t="inlineStr">
        <is>
          <t>8.1</t>
        </is>
      </c>
      <c r="AM274" t="inlineStr">
        <is>
          <t>601+</t>
        </is>
      </c>
      <c r="AN274" t="inlineStr">
        <is>
          <t>6.2</t>
        </is>
      </c>
      <c r="AO274" t="inlineStr">
        <is>
          <t>701+</t>
        </is>
      </c>
      <c r="AP274" t="inlineStr">
        <is>
          <t>41.0</t>
        </is>
      </c>
      <c r="AQ274" t="inlineStr">
        <is>
          <t>335</t>
        </is>
      </c>
      <c r="AR274" t="inlineStr">
        <is>
          <t>77.5</t>
        </is>
      </c>
      <c r="AS274" t="inlineStr">
        <is>
          <t>240</t>
        </is>
      </c>
      <c r="AT274" t="inlineStr">
        <is>
          <t>72.6</t>
        </is>
      </c>
      <c r="AU274" t="inlineStr">
        <is>
          <t>197</t>
        </is>
      </c>
      <c r="AV274" t="inlineStr">
        <is>
          <t>18.7</t>
        </is>
      </c>
      <c r="AW274" t="inlineStr">
        <is>
          <t>554</t>
        </is>
      </c>
      <c r="AX274" t="inlineStr">
        <is>
          <t>12</t>
        </is>
      </c>
      <c r="AY274" t="inlineStr">
        <is>
          <t>701+</t>
        </is>
      </c>
      <c r="AZ274" t="inlineStr">
        <is>
          <t>11.7</t>
        </is>
      </c>
      <c r="BA274" t="inlineStr">
        <is>
          <t>647=</t>
        </is>
      </c>
    </row>
    <row r="275">
      <c r="A275" t="inlineStr">
        <is>
          <t>Effat University</t>
        </is>
      </c>
      <c r="B275" t="inlineStr">
        <is>
          <t>Saudi Arabia</t>
        </is>
      </c>
      <c r="C275" t="inlineStr"/>
      <c r="D275" t="inlineStr">
        <is>
          <t>Asia</t>
        </is>
      </c>
      <c r="E275" t="inlineStr">
        <is>
          <t>S</t>
        </is>
      </c>
      <c r="F275" t="inlineStr">
        <is>
          <t>FO</t>
        </is>
      </c>
      <c r="G275" t="inlineStr">
        <is>
          <t>VH</t>
        </is>
      </c>
      <c r="H275" t="inlineStr"/>
      <c r="I275" t="inlineStr">
        <is>
          <t>Private not for Profit</t>
        </is>
      </c>
      <c r="J275" t="inlineStr">
        <is>
          <t>851-900</t>
        </is>
      </c>
      <c r="K275" t="inlineStr">
        <is>
          <t>721-730</t>
        </is>
      </c>
      <c r="L275" t="inlineStr"/>
      <c r="M275" t="inlineStr"/>
      <c r="N275" t="inlineStr">
        <is>
          <t>-</t>
        </is>
      </c>
      <c r="O275" t="inlineStr"/>
      <c r="P275" t="n">
        <v>4.9</v>
      </c>
      <c r="Q275" t="inlineStr">
        <is>
          <t>701+</t>
        </is>
      </c>
      <c r="R275" t="n">
        <v>5.4</v>
      </c>
      <c r="S275" t="inlineStr">
        <is>
          <t>701+</t>
        </is>
      </c>
      <c r="T275" t="n">
        <v>25.3</v>
      </c>
      <c r="U275" t="inlineStr">
        <is>
          <t>728</t>
        </is>
      </c>
      <c r="V275" t="n">
        <v>22.7</v>
      </c>
      <c r="W275" t="inlineStr">
        <is>
          <t>674</t>
        </is>
      </c>
      <c r="X275" t="n">
        <v>100</v>
      </c>
      <c r="Y275" t="inlineStr">
        <is>
          <t>20</t>
        </is>
      </c>
      <c r="Z275" t="n">
        <v>98.90000000000001</v>
      </c>
      <c r="AA275" t="inlineStr">
        <is>
          <t>73</t>
        </is>
      </c>
      <c r="AB275" t="n">
        <v>91.3</v>
      </c>
      <c r="AC275" t="inlineStr">
        <is>
          <t>138</t>
        </is>
      </c>
      <c r="AD275" t="n">
        <v>18.8</v>
      </c>
      <c r="AE275" t="inlineStr">
        <is>
          <t>801+</t>
        </is>
      </c>
      <c r="AF275" t="n">
        <v>3.4</v>
      </c>
      <c r="AG275" t="inlineStr">
        <is>
          <t>801+</t>
        </is>
      </c>
      <c r="AH275" t="n">
        <v>26.1</v>
      </c>
      <c r="AI275" t="inlineStr">
        <is>
          <t>801+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EGE UNIVERSITY</t>
        </is>
      </c>
      <c r="B276" t="inlineStr">
        <is>
          <t>Turkey</t>
        </is>
      </c>
      <c r="C276" t="inlineStr">
        <is>
          <t>TR</t>
        </is>
      </c>
      <c r="D276" t="inlineStr"/>
      <c r="E276" t="inlineStr">
        <is>
          <t>XL</t>
        </is>
      </c>
      <c r="F276" t="inlineStr">
        <is>
          <t>FC</t>
        </is>
      </c>
      <c r="G276" t="inlineStr">
        <is>
          <t>HI</t>
        </is>
      </c>
      <c r="H276" t="inlineStr">
        <is>
          <t>3</t>
        </is>
      </c>
      <c r="I276" t="inlineStr">
        <is>
          <t>A</t>
        </is>
      </c>
      <c r="J276" t="inlineStr"/>
      <c r="K276" t="inlineStr"/>
      <c r="L276" t="inlineStr">
        <is>
          <t>1001-1200</t>
        </is>
      </c>
      <c r="M276" t="inlineStr">
        <is>
          <t>1201-1400</t>
        </is>
      </c>
      <c r="N276" t="inlineStr"/>
      <c r="O276" t="inlineStr">
        <is>
          <t>-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8.6</t>
        </is>
      </c>
      <c r="AK276" t="inlineStr">
        <is>
          <t>601+</t>
        </is>
      </c>
      <c r="AL276" t="inlineStr">
        <is>
          <t>10.3</t>
        </is>
      </c>
      <c r="AM276" t="inlineStr">
        <is>
          <t>601+</t>
        </is>
      </c>
      <c r="AN276" t="inlineStr">
        <is>
          <t>13.8</t>
        </is>
      </c>
      <c r="AO276" t="inlineStr">
        <is>
          <t>701+</t>
        </is>
      </c>
      <c r="AP276" t="inlineStr">
        <is>
          <t>3.0</t>
        </is>
      </c>
      <c r="AQ276" t="inlineStr">
        <is>
          <t>701+</t>
        </is>
      </c>
      <c r="AR276" t="inlineStr">
        <is>
          <t>1.3</t>
        </is>
      </c>
      <c r="AS276" t="inlineStr">
        <is>
          <t>701+</t>
        </is>
      </c>
      <c r="AT276" t="inlineStr">
        <is>
          <t>3.3</t>
        </is>
      </c>
      <c r="AU276" t="inlineStr">
        <is>
          <t>701+</t>
        </is>
      </c>
      <c r="AV276" t="inlineStr">
        <is>
          <t>10.6</t>
        </is>
      </c>
      <c r="AW276" t="inlineStr">
        <is>
          <t>661</t>
        </is>
      </c>
      <c r="AX276" t="inlineStr">
        <is>
          <t>8.5</t>
        </is>
      </c>
      <c r="AY276" t="inlineStr">
        <is>
          <t>701+</t>
        </is>
      </c>
      <c r="AZ276" t="inlineStr">
        <is>
          <t>17.2</t>
        </is>
      </c>
      <c r="BA276" t="inlineStr">
        <is>
          <t>574=</t>
        </is>
      </c>
    </row>
    <row r="277">
      <c r="A277" t="inlineStr">
        <is>
          <t>Ege Üniversitesi</t>
        </is>
      </c>
      <c r="B277" t="inlineStr">
        <is>
          <t>Turkey</t>
        </is>
      </c>
      <c r="C277" t="inlineStr"/>
      <c r="D277" t="inlineStr">
        <is>
          <t>Asia</t>
        </is>
      </c>
      <c r="E277" t="inlineStr">
        <is>
          <t>XL</t>
        </is>
      </c>
      <c r="F277" t="inlineStr">
        <is>
          <t>FC</t>
        </is>
      </c>
      <c r="G277" t="inlineStr">
        <is>
          <t>HI</t>
        </is>
      </c>
      <c r="H277" t="inlineStr"/>
      <c r="I277" t="inlineStr">
        <is>
          <t>Public</t>
        </is>
      </c>
      <c r="J277" t="inlineStr">
        <is>
          <t>1001-1200</t>
        </is>
      </c>
      <c r="K277" t="inlineStr">
        <is>
          <t>1001-1200</t>
        </is>
      </c>
      <c r="L277" t="inlineStr"/>
      <c r="M277" t="inlineStr"/>
      <c r="N277" t="inlineStr">
        <is>
          <t>-</t>
        </is>
      </c>
      <c r="O277" t="inlineStr"/>
      <c r="P277" t="n">
        <v>14.5</v>
      </c>
      <c r="Q277" t="inlineStr">
        <is>
          <t>701+</t>
        </is>
      </c>
      <c r="R277" t="n">
        <v>24.4</v>
      </c>
      <c r="S277" t="inlineStr">
        <is>
          <t>549</t>
        </is>
      </c>
      <c r="T277" t="n">
        <v>21</v>
      </c>
      <c r="U277" t="inlineStr">
        <is>
          <t>801+</t>
        </is>
      </c>
      <c r="V277" t="n">
        <v>5.1</v>
      </c>
      <c r="W277" t="inlineStr">
        <is>
          <t>801+</t>
        </is>
      </c>
      <c r="X277" t="n">
        <v>1.4</v>
      </c>
      <c r="Y277" t="inlineStr">
        <is>
          <t>801+</t>
        </is>
      </c>
      <c r="Z277" t="n">
        <v>9.199999999999999</v>
      </c>
      <c r="AA277" t="inlineStr">
        <is>
          <t>801+</t>
        </is>
      </c>
      <c r="AB277" t="n">
        <v>14.9</v>
      </c>
      <c r="AC277" t="inlineStr">
        <is>
          <t>801+</t>
        </is>
      </c>
      <c r="AD277" t="n">
        <v>71.3</v>
      </c>
      <c r="AE277" t="inlineStr">
        <is>
          <t>511</t>
        </is>
      </c>
      <c r="AF277" t="n">
        <v>6.6</v>
      </c>
      <c r="AG277" t="inlineStr">
        <is>
          <t>801+</t>
        </is>
      </c>
      <c r="AH277" t="n">
        <v>33</v>
      </c>
      <c r="AI277" t="inlineStr">
        <is>
          <t>801+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Eindhoven University of Technology</t>
        </is>
      </c>
      <c r="B278" t="inlineStr">
        <is>
          <t>Netherlands</t>
        </is>
      </c>
      <c r="C278" t="inlineStr">
        <is>
          <t>NL</t>
        </is>
      </c>
      <c r="D278" t="inlineStr">
        <is>
          <t>Europe</t>
        </is>
      </c>
      <c r="E278" t="inlineStr">
        <is>
          <t>M</t>
        </is>
      </c>
      <c r="F278" t="inlineStr">
        <is>
          <t>FO</t>
        </is>
      </c>
      <c r="G278" t="inlineStr">
        <is>
          <t>VH</t>
        </is>
      </c>
      <c r="H278" t="inlineStr">
        <is>
          <t>4</t>
        </is>
      </c>
      <c r="I278" t="inlineStr">
        <is>
          <t>Public</t>
        </is>
      </c>
      <c r="J278" t="inlineStr">
        <is>
          <t>140</t>
        </is>
      </c>
      <c r="K278" t="inlineStr">
        <is>
          <t>136</t>
        </is>
      </c>
      <c r="L278">
        <f>124</f>
        <v/>
      </c>
      <c r="M278" t="inlineStr">
        <is>
          <t>138</t>
        </is>
      </c>
      <c r="N278" t="inlineStr">
        <is>
          <t>63.2</t>
        </is>
      </c>
      <c r="O278" t="inlineStr">
        <is>
          <t>55.0</t>
        </is>
      </c>
      <c r="P278" t="n">
        <v>40.5</v>
      </c>
      <c r="Q278" t="inlineStr">
        <is>
          <t>296</t>
        </is>
      </c>
      <c r="R278" t="n">
        <v>77.3</v>
      </c>
      <c r="S278" t="inlineStr">
        <is>
          <t>115</t>
        </is>
      </c>
      <c r="T278" t="n">
        <v>43.6</v>
      </c>
      <c r="U278" t="inlineStr">
        <is>
          <t>455</t>
        </is>
      </c>
      <c r="V278" t="n">
        <v>81.90000000000001</v>
      </c>
      <c r="W278" t="inlineStr">
        <is>
          <t>146</t>
        </is>
      </c>
      <c r="X278" t="n">
        <v>100</v>
      </c>
      <c r="Y278" t="inlineStr">
        <is>
          <t>87</t>
        </is>
      </c>
      <c r="Z278" t="n">
        <v>95.7</v>
      </c>
      <c r="AA278" t="inlineStr">
        <is>
          <t>119</t>
        </is>
      </c>
      <c r="AB278" t="n">
        <v>95.90000000000001</v>
      </c>
      <c r="AC278" t="inlineStr">
        <is>
          <t>101</t>
        </is>
      </c>
      <c r="AD278" t="n">
        <v>74.3</v>
      </c>
      <c r="AE278" t="inlineStr">
        <is>
          <t>459</t>
        </is>
      </c>
      <c r="AF278" t="n">
        <v>33.1</v>
      </c>
      <c r="AG278" t="inlineStr">
        <is>
          <t>512</t>
        </is>
      </c>
      <c r="AH278" t="n">
        <v>74.09999999999999</v>
      </c>
      <c r="AI278" t="inlineStr">
        <is>
          <t>255=</t>
        </is>
      </c>
      <c r="AJ278" t="inlineStr">
        <is>
          <t>29.3</t>
        </is>
      </c>
      <c r="AK278" t="inlineStr">
        <is>
          <t>295</t>
        </is>
      </c>
      <c r="AL278" t="inlineStr">
        <is>
          <t>76.2</t>
        </is>
      </c>
      <c r="AM278" t="inlineStr">
        <is>
          <t>78</t>
        </is>
      </c>
      <c r="AN278" t="inlineStr">
        <is>
          <t>40.4</t>
        </is>
      </c>
      <c r="AO278" t="inlineStr">
        <is>
          <t>390</t>
        </is>
      </c>
      <c r="AP278" t="inlineStr">
        <is>
          <t>89.7</t>
        </is>
      </c>
      <c r="AQ278" t="inlineStr">
        <is>
          <t>75</t>
        </is>
      </c>
      <c r="AR278" t="inlineStr">
        <is>
          <t>100.0</t>
        </is>
      </c>
      <c r="AS278" t="inlineStr">
        <is>
          <t>30</t>
        </is>
      </c>
      <c r="AT278" t="inlineStr">
        <is>
          <t>70.8</t>
        </is>
      </c>
      <c r="AU278" t="inlineStr">
        <is>
          <t>205</t>
        </is>
      </c>
      <c r="AV278" t="inlineStr">
        <is>
          <t>40.1</t>
        </is>
      </c>
      <c r="AW278" t="inlineStr">
        <is>
          <t>377</t>
        </is>
      </c>
      <c r="AX278" t="inlineStr">
        <is>
          <t>19.7</t>
        </is>
      </c>
      <c r="AY278" t="inlineStr">
        <is>
          <t>426</t>
        </is>
      </c>
      <c r="AZ278" t="inlineStr">
        <is>
          <t>18</t>
        </is>
      </c>
      <c r="BA278" t="inlineStr">
        <is>
          <t>567=</t>
        </is>
      </c>
    </row>
    <row r="279">
      <c r="A279" t="inlineStr">
        <is>
          <t>Emory University</t>
        </is>
      </c>
      <c r="B279" t="inlineStr">
        <is>
          <t>United States</t>
        </is>
      </c>
      <c r="C279" t="inlineStr">
        <is>
          <t>US</t>
        </is>
      </c>
      <c r="D279" t="inlineStr">
        <is>
          <t>Americas</t>
        </is>
      </c>
      <c r="E279" t="inlineStr">
        <is>
          <t>L</t>
        </is>
      </c>
      <c r="F279" t="inlineStr">
        <is>
          <t>FC</t>
        </is>
      </c>
      <c r="G279" t="inlineStr">
        <is>
          <t>VH</t>
        </is>
      </c>
      <c r="H279" t="inlineStr">
        <is>
          <t>5</t>
        </is>
      </c>
      <c r="I279" t="inlineStr">
        <is>
          <t>Private not for Profit</t>
        </is>
      </c>
      <c r="J279" t="inlineStr">
        <is>
          <t>182</t>
        </is>
      </c>
      <c r="K279" t="inlineStr">
        <is>
          <t>196</t>
        </is>
      </c>
      <c r="L279">
        <f>199</f>
        <v/>
      </c>
      <c r="M279" t="inlineStr">
        <is>
          <t>155=</t>
        </is>
      </c>
      <c r="N279" t="inlineStr">
        <is>
          <t>57.7</t>
        </is>
      </c>
      <c r="O279" t="inlineStr">
        <is>
          <t>45.9</t>
        </is>
      </c>
      <c r="P279" t="n">
        <v>34.5</v>
      </c>
      <c r="Q279" t="inlineStr">
        <is>
          <t>353</t>
        </is>
      </c>
      <c r="R279" t="n">
        <v>37.7</v>
      </c>
      <c r="S279" t="inlineStr">
        <is>
          <t>369</t>
        </is>
      </c>
      <c r="T279" t="n">
        <v>92.8</v>
      </c>
      <c r="U279" t="inlineStr">
        <is>
          <t>88</t>
        </is>
      </c>
      <c r="V279" t="n">
        <v>85.7</v>
      </c>
      <c r="W279" t="inlineStr">
        <is>
          <t>120</t>
        </is>
      </c>
      <c r="X279" t="n">
        <v>70</v>
      </c>
      <c r="Y279" t="inlineStr">
        <is>
          <t>335</t>
        </is>
      </c>
      <c r="Z279" t="n">
        <v>49.6</v>
      </c>
      <c r="AA279" t="inlineStr">
        <is>
          <t>411</t>
        </is>
      </c>
      <c r="AB279" t="n">
        <v>54.3</v>
      </c>
      <c r="AC279" t="inlineStr">
        <is>
          <t>378</t>
        </is>
      </c>
      <c r="AD279" t="n">
        <v>85</v>
      </c>
      <c r="AE279" t="inlineStr">
        <is>
          <t>255</t>
        </is>
      </c>
      <c r="AF279" t="n">
        <v>42.4</v>
      </c>
      <c r="AG279" t="inlineStr">
        <is>
          <t>413</t>
        </is>
      </c>
      <c r="AH279" t="n">
        <v>63.5</v>
      </c>
      <c r="AI279" t="inlineStr">
        <is>
          <t>432</t>
        </is>
      </c>
      <c r="AJ279" t="inlineStr">
        <is>
          <t>25.6</t>
        </is>
      </c>
      <c r="AK279" t="inlineStr">
        <is>
          <t>342</t>
        </is>
      </c>
      <c r="AL279" t="inlineStr">
        <is>
          <t>16.4</t>
        </is>
      </c>
      <c r="AM279" t="inlineStr">
        <is>
          <t>522</t>
        </is>
      </c>
      <c r="AN279" t="inlineStr">
        <is>
          <t>97.7</t>
        </is>
      </c>
      <c r="AO279" t="inlineStr">
        <is>
          <t>50</t>
        </is>
      </c>
      <c r="AP279" t="inlineStr">
        <is>
          <t>69.7</t>
        </is>
      </c>
      <c r="AQ279" t="inlineStr">
        <is>
          <t>149</t>
        </is>
      </c>
      <c r="AR279" t="inlineStr">
        <is>
          <t>37.3</t>
        </is>
      </c>
      <c r="AS279" t="inlineStr">
        <is>
          <t>431</t>
        </is>
      </c>
      <c r="AT279" t="inlineStr">
        <is>
          <t>31.1</t>
        </is>
      </c>
      <c r="AU279" t="inlineStr">
        <is>
          <t>409</t>
        </is>
      </c>
      <c r="AV279" t="inlineStr">
        <is>
          <t>57.0</t>
        </is>
      </c>
      <c r="AW279" t="inlineStr">
        <is>
          <t>268</t>
        </is>
      </c>
      <c r="AX279" t="inlineStr">
        <is>
          <t>23.6</t>
        </is>
      </c>
      <c r="AY279" t="inlineStr">
        <is>
          <t>357</t>
        </is>
      </c>
      <c r="AZ279" t="inlineStr">
        <is>
          <t>85.7</t>
        </is>
      </c>
      <c r="BA279" t="inlineStr">
        <is>
          <t>115</t>
        </is>
      </c>
    </row>
    <row r="280">
      <c r="A280" t="inlineStr">
        <is>
          <t>Eotvos Lorand University</t>
        </is>
      </c>
      <c r="B280" t="inlineStr">
        <is>
          <t>Hungary</t>
        </is>
      </c>
      <c r="C280" t="inlineStr"/>
      <c r="D280" t="inlineStr">
        <is>
          <t>Europe</t>
        </is>
      </c>
      <c r="E280" t="inlineStr">
        <is>
          <t>XL</t>
        </is>
      </c>
      <c r="F280" t="inlineStr">
        <is>
          <t>CO</t>
        </is>
      </c>
      <c r="G280" t="inlineStr">
        <is>
          <t>VH</t>
        </is>
      </c>
      <c r="H280" t="inlineStr"/>
      <c r="I280" t="inlineStr">
        <is>
          <t>Public</t>
        </is>
      </c>
      <c r="J280" t="inlineStr">
        <is>
          <t>584</t>
        </is>
      </c>
      <c r="K280" t="inlineStr">
        <is>
          <t>564</t>
        </is>
      </c>
      <c r="L280" t="inlineStr"/>
      <c r="M280" t="inlineStr"/>
      <c r="N280" t="inlineStr">
        <is>
          <t>28.7</t>
        </is>
      </c>
      <c r="O280" t="inlineStr"/>
      <c r="P280" t="n">
        <v>31.6</v>
      </c>
      <c r="Q280" t="inlineStr">
        <is>
          <t>390</t>
        </is>
      </c>
      <c r="R280" t="n">
        <v>29.7</v>
      </c>
      <c r="S280" t="inlineStr">
        <is>
          <t>479</t>
        </is>
      </c>
      <c r="T280" t="n">
        <v>16.6</v>
      </c>
      <c r="U280" t="inlineStr">
        <is>
          <t>801+</t>
        </is>
      </c>
      <c r="V280" t="n">
        <v>9.300000000000001</v>
      </c>
      <c r="W280" t="inlineStr">
        <is>
          <t>801+</t>
        </is>
      </c>
      <c r="X280" t="n">
        <v>5.7</v>
      </c>
      <c r="Y280" t="inlineStr">
        <is>
          <t>801+</t>
        </is>
      </c>
      <c r="Z280" t="n">
        <v>26.1</v>
      </c>
      <c r="AA280" t="inlineStr">
        <is>
          <t>644</t>
        </is>
      </c>
      <c r="AB280" t="n">
        <v>32.2</v>
      </c>
      <c r="AC280" t="inlineStr">
        <is>
          <t>588</t>
        </is>
      </c>
      <c r="AD280" t="n">
        <v>79.8</v>
      </c>
      <c r="AE280" t="inlineStr">
        <is>
          <t>354</t>
        </is>
      </c>
      <c r="AF280" t="n">
        <v>69.2</v>
      </c>
      <c r="AG280" t="inlineStr">
        <is>
          <t>220</t>
        </is>
      </c>
      <c r="AH280" t="n">
        <v>68.09999999999999</v>
      </c>
      <c r="AI280" t="inlineStr">
        <is>
          <t>349=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EPFL</t>
        </is>
      </c>
      <c r="B281" t="inlineStr">
        <is>
          <t>Switzerland</t>
        </is>
      </c>
      <c r="C281" t="inlineStr">
        <is>
          <t>CH</t>
        </is>
      </c>
      <c r="D281" t="inlineStr"/>
      <c r="E281" t="inlineStr">
        <is>
          <t>M</t>
        </is>
      </c>
      <c r="F281" t="inlineStr">
        <is>
          <t>FO</t>
        </is>
      </c>
      <c r="G281" t="inlineStr">
        <is>
          <t>VH</t>
        </is>
      </c>
      <c r="H281" t="inlineStr">
        <is>
          <t>5</t>
        </is>
      </c>
      <c r="I281" t="inlineStr">
        <is>
          <t>A</t>
        </is>
      </c>
      <c r="J281" t="inlineStr"/>
      <c r="K281" t="inlineStr"/>
      <c r="L281" t="inlineStr">
        <is>
          <t>36</t>
        </is>
      </c>
      <c r="M281" t="inlineStr">
        <is>
          <t>16=</t>
        </is>
      </c>
      <c r="N281" t="inlineStr"/>
      <c r="O281" t="inlineStr">
        <is>
          <t>80.4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84.6</t>
        </is>
      </c>
      <c r="AK281" t="inlineStr">
        <is>
          <t>57</t>
        </is>
      </c>
      <c r="AL281" t="inlineStr">
        <is>
          <t>59.9</t>
        </is>
      </c>
      <c r="AM281" t="inlineStr">
        <is>
          <t>133</t>
        </is>
      </c>
      <c r="AN281" t="inlineStr">
        <is>
          <t>92.4</t>
        </is>
      </c>
      <c r="AO281" t="inlineStr">
        <is>
          <t>73</t>
        </is>
      </c>
      <c r="AP281" t="inlineStr">
        <is>
          <t>98.0</t>
        </is>
      </c>
      <c r="AQ281" t="inlineStr">
        <is>
          <t>34</t>
        </is>
      </c>
      <c r="AR281" t="inlineStr">
        <is>
          <t>100.0</t>
        </is>
      </c>
      <c r="AS281" t="inlineStr">
        <is>
          <t>25</t>
        </is>
      </c>
      <c r="AT281" t="inlineStr">
        <is>
          <t>100.0</t>
        </is>
      </c>
      <c r="AU281" t="inlineStr">
        <is>
          <t>12</t>
        </is>
      </c>
      <c r="AV281" t="inlineStr">
        <is>
          <t>65.6</t>
        </is>
      </c>
      <c r="AW281" t="inlineStr">
        <is>
          <t>213</t>
        </is>
      </c>
      <c r="AX281" t="inlineStr">
        <is>
          <t>19.4</t>
        </is>
      </c>
      <c r="AY281" t="inlineStr">
        <is>
          <t>431</t>
        </is>
      </c>
      <c r="AZ281" t="inlineStr">
        <is>
          <t>42.3</t>
        </is>
      </c>
      <c r="BA281" t="inlineStr">
        <is>
          <t>351=</t>
        </is>
      </c>
    </row>
    <row r="282">
      <c r="A282" t="inlineStr">
        <is>
          <t>Erasmus University Rotterdam</t>
        </is>
      </c>
      <c r="B282" t="inlineStr">
        <is>
          <t>Netherlands</t>
        </is>
      </c>
      <c r="C282" t="inlineStr">
        <is>
          <t>NL</t>
        </is>
      </c>
      <c r="D282" t="inlineStr">
        <is>
          <t>Europe</t>
        </is>
      </c>
      <c r="E282" t="inlineStr">
        <is>
          <t>L</t>
        </is>
      </c>
      <c r="F282" t="inlineStr">
        <is>
          <t>FO</t>
        </is>
      </c>
      <c r="G282" t="inlineStr">
        <is>
          <t>VH</t>
        </is>
      </c>
      <c r="H282" t="inlineStr">
        <is>
          <t>5</t>
        </is>
      </c>
      <c r="I282" t="inlineStr">
        <is>
          <t>Public</t>
        </is>
      </c>
      <c r="J282" t="inlineStr">
        <is>
          <t>140</t>
        </is>
      </c>
      <c r="K282" t="inlineStr">
        <is>
          <t>158</t>
        </is>
      </c>
      <c r="L282">
        <f>176</f>
        <v/>
      </c>
      <c r="M282" t="inlineStr">
        <is>
          <t>208=</t>
        </is>
      </c>
      <c r="N282" t="inlineStr">
        <is>
          <t>63.2</t>
        </is>
      </c>
      <c r="O282" t="inlineStr">
        <is>
          <t>48.5</t>
        </is>
      </c>
      <c r="P282" t="n">
        <v>49.4</v>
      </c>
      <c r="Q282" t="inlineStr">
        <is>
          <t>230</t>
        </is>
      </c>
      <c r="R282" t="n">
        <v>74.8</v>
      </c>
      <c r="S282" t="inlineStr">
        <is>
          <t>129</t>
        </is>
      </c>
      <c r="T282" t="n">
        <v>20.7</v>
      </c>
      <c r="U282" t="inlineStr">
        <is>
          <t>801+</t>
        </is>
      </c>
      <c r="V282" t="n">
        <v>75.7</v>
      </c>
      <c r="W282" t="inlineStr">
        <is>
          <t>174</t>
        </is>
      </c>
      <c r="X282" t="n">
        <v>81.8</v>
      </c>
      <c r="Y282" t="inlineStr">
        <is>
          <t>280</t>
        </is>
      </c>
      <c r="Z282" t="n">
        <v>81.59999999999999</v>
      </c>
      <c r="AA282" t="inlineStr">
        <is>
          <t>216</t>
        </is>
      </c>
      <c r="AB282" t="n">
        <v>60.8</v>
      </c>
      <c r="AC282" t="inlineStr">
        <is>
          <t>333</t>
        </is>
      </c>
      <c r="AD282" t="n">
        <v>81.8</v>
      </c>
      <c r="AE282" t="inlineStr">
        <is>
          <t>318</t>
        </is>
      </c>
      <c r="AF282" t="n">
        <v>94</v>
      </c>
      <c r="AG282" t="inlineStr">
        <is>
          <t>81</t>
        </is>
      </c>
      <c r="AH282" t="n">
        <v>62.2</v>
      </c>
      <c r="AI282" t="inlineStr">
        <is>
          <t>454=</t>
        </is>
      </c>
      <c r="AJ282" t="inlineStr">
        <is>
          <t>37.3</t>
        </is>
      </c>
      <c r="AK282" t="inlineStr">
        <is>
          <t>232</t>
        </is>
      </c>
      <c r="AL282" t="inlineStr">
        <is>
          <t>50.9</t>
        </is>
      </c>
      <c r="AM282" t="inlineStr">
        <is>
          <t>165</t>
        </is>
      </c>
      <c r="AN282" t="inlineStr">
        <is>
          <t>22.5</t>
        </is>
      </c>
      <c r="AO282" t="inlineStr">
        <is>
          <t>624</t>
        </is>
      </c>
      <c r="AP282" t="inlineStr">
        <is>
          <t>53.4</t>
        </is>
      </c>
      <c r="AQ282" t="inlineStr">
        <is>
          <t>240</t>
        </is>
      </c>
      <c r="AR282" t="inlineStr">
        <is>
          <t>83.0</t>
        </is>
      </c>
      <c r="AS282" t="inlineStr">
        <is>
          <t>221</t>
        </is>
      </c>
      <c r="AT282" t="inlineStr">
        <is>
          <t>60.1</t>
        </is>
      </c>
      <c r="AU282" t="inlineStr">
        <is>
          <t>247</t>
        </is>
      </c>
      <c r="AV282" t="inlineStr">
        <is>
          <t>71.6</t>
        </is>
      </c>
      <c r="AW282" t="inlineStr">
        <is>
          <t>190</t>
        </is>
      </c>
      <c r="AX282" t="inlineStr">
        <is>
          <t>63.7</t>
        </is>
      </c>
      <c r="AY282" t="inlineStr">
        <is>
          <t>91</t>
        </is>
      </c>
      <c r="AZ282" t="inlineStr">
        <is>
          <t>49.4</t>
        </is>
      </c>
      <c r="BA282" t="inlineStr">
        <is>
          <t>312=</t>
        </is>
      </c>
    </row>
    <row r="283">
      <c r="A283" t="inlineStr">
        <is>
          <t>Erciyes Üniversitesi</t>
        </is>
      </c>
      <c r="B283" t="inlineStr">
        <is>
          <t>Turkey</t>
        </is>
      </c>
      <c r="C283" t="inlineStr">
        <is>
          <t>TR</t>
        </is>
      </c>
      <c r="D283" t="inlineStr">
        <is>
          <t>Asia</t>
        </is>
      </c>
      <c r="E283" t="inlineStr">
        <is>
          <t>XL</t>
        </is>
      </c>
      <c r="F283" t="inlineStr">
        <is>
          <t>FC</t>
        </is>
      </c>
      <c r="G283" t="inlineStr">
        <is>
          <t>HI</t>
        </is>
      </c>
      <c r="H283" t="inlineStr">
        <is>
          <t>3</t>
        </is>
      </c>
      <c r="I283" t="inlineStr">
        <is>
          <t>Public</t>
        </is>
      </c>
      <c r="J283" t="inlineStr">
        <is>
          <t>1201-1400</t>
        </is>
      </c>
      <c r="K283" t="inlineStr">
        <is>
          <t>1201-1400</t>
        </is>
      </c>
      <c r="L283" t="inlineStr">
        <is>
          <t>1201-1400</t>
        </is>
      </c>
      <c r="M283" t="inlineStr">
        <is>
          <t>1401+</t>
        </is>
      </c>
      <c r="N283" t="inlineStr">
        <is>
          <t>-</t>
        </is>
      </c>
      <c r="O283" t="inlineStr">
        <is>
          <t>-</t>
        </is>
      </c>
      <c r="P283" t="n">
        <v>6.8</v>
      </c>
      <c r="Q283" t="inlineStr">
        <is>
          <t>701+</t>
        </is>
      </c>
      <c r="R283" t="n">
        <v>4.5</v>
      </c>
      <c r="S283" t="inlineStr">
        <is>
          <t>701+</t>
        </is>
      </c>
      <c r="T283" t="n">
        <v>3.7</v>
      </c>
      <c r="U283" t="inlineStr">
        <is>
          <t>801+</t>
        </is>
      </c>
      <c r="V283" t="n">
        <v>11.5</v>
      </c>
      <c r="W283" t="inlineStr">
        <is>
          <t>801+</t>
        </is>
      </c>
      <c r="X283" t="n">
        <v>9.9</v>
      </c>
      <c r="Y283" t="inlineStr">
        <is>
          <t>801+</t>
        </is>
      </c>
      <c r="Z283" t="n">
        <v>14.7</v>
      </c>
      <c r="AA283" t="inlineStr">
        <is>
          <t>801+</t>
        </is>
      </c>
      <c r="AB283" t="n">
        <v>20.8</v>
      </c>
      <c r="AC283" t="inlineStr">
        <is>
          <t>751</t>
        </is>
      </c>
      <c r="AD283" t="n">
        <v>53.1</v>
      </c>
      <c r="AE283" t="inlineStr">
        <is>
          <t>794</t>
        </is>
      </c>
      <c r="AF283" t="n">
        <v>2.1</v>
      </c>
      <c r="AG283" t="inlineStr">
        <is>
          <t>801+</t>
        </is>
      </c>
      <c r="AH283" t="n">
        <v>52.3</v>
      </c>
      <c r="AI283" t="inlineStr">
        <is>
          <t>656=</t>
        </is>
      </c>
      <c r="AJ283" t="inlineStr">
        <is>
          <t>3.9</t>
        </is>
      </c>
      <c r="AK283" t="inlineStr">
        <is>
          <t>601+</t>
        </is>
      </c>
      <c r="AL283" t="inlineStr">
        <is>
          <t>3.1</t>
        </is>
      </c>
      <c r="AM283" t="inlineStr">
        <is>
          <t>601+</t>
        </is>
      </c>
      <c r="AN283" t="inlineStr">
        <is>
          <t>1.9</t>
        </is>
      </c>
      <c r="AO283" t="inlineStr">
        <is>
          <t>701+</t>
        </is>
      </c>
      <c r="AP283" t="inlineStr">
        <is>
          <t>4.9</t>
        </is>
      </c>
      <c r="AQ283" t="inlineStr">
        <is>
          <t>701+</t>
        </is>
      </c>
      <c r="AR283" t="inlineStr">
        <is>
          <t>3.5</t>
        </is>
      </c>
      <c r="AS283" t="inlineStr">
        <is>
          <t>701+</t>
        </is>
      </c>
      <c r="AT283" t="inlineStr">
        <is>
          <t>6.5</t>
        </is>
      </c>
      <c r="AU283" t="inlineStr">
        <is>
          <t>701+</t>
        </is>
      </c>
      <c r="AV283" t="inlineStr">
        <is>
          <t>3.0</t>
        </is>
      </c>
      <c r="AW283" t="inlineStr">
        <is>
          <t>701+</t>
        </is>
      </c>
      <c r="AX283" t="inlineStr">
        <is>
          <t>7.5</t>
        </is>
      </c>
      <c r="AY283" t="inlineStr">
        <is>
          <t>701+</t>
        </is>
      </c>
      <c r="AZ283" t="inlineStr">
        <is>
          <t>10.3</t>
        </is>
      </c>
      <c r="BA283" t="inlineStr">
        <is>
          <t>665=</t>
        </is>
      </c>
    </row>
    <row r="284">
      <c r="A284" t="inlineStr">
        <is>
          <t>Escuela Politécnica Nacional</t>
        </is>
      </c>
      <c r="B284" t="inlineStr">
        <is>
          <t>Ecuador</t>
        </is>
      </c>
      <c r="C284" t="inlineStr">
        <is>
          <t>EC</t>
        </is>
      </c>
      <c r="D284" t="inlineStr">
        <is>
          <t>Americas</t>
        </is>
      </c>
      <c r="E284" t="inlineStr">
        <is>
          <t>M</t>
        </is>
      </c>
      <c r="F284" t="inlineStr">
        <is>
          <t>FO</t>
        </is>
      </c>
      <c r="G284" t="inlineStr">
        <is>
          <t>VH</t>
        </is>
      </c>
      <c r="H284" t="inlineStr">
        <is>
          <t>5</t>
        </is>
      </c>
      <c r="I284" t="inlineStr">
        <is>
          <t>Public</t>
        </is>
      </c>
      <c r="J284" t="inlineStr">
        <is>
          <t>1401+</t>
        </is>
      </c>
      <c r="K284" t="inlineStr">
        <is>
          <t>1201-1400</t>
        </is>
      </c>
      <c r="L284" t="inlineStr">
        <is>
          <t>1001-1200</t>
        </is>
      </c>
      <c r="M284" t="inlineStr">
        <is>
          <t>1001-1200</t>
        </is>
      </c>
      <c r="N284" t="inlineStr">
        <is>
          <t>-</t>
        </is>
      </c>
      <c r="O284" t="inlineStr">
        <is>
          <t>-</t>
        </is>
      </c>
      <c r="P284" t="n">
        <v>10.2</v>
      </c>
      <c r="Q284" t="inlineStr">
        <is>
          <t>701+</t>
        </is>
      </c>
      <c r="R284" t="n">
        <v>10.8</v>
      </c>
      <c r="S284" t="inlineStr">
        <is>
          <t>701+</t>
        </is>
      </c>
      <c r="T284" t="n">
        <v>18.8</v>
      </c>
      <c r="U284" t="inlineStr">
        <is>
          <t>801+</t>
        </is>
      </c>
      <c r="V284" t="n">
        <v>5.7</v>
      </c>
      <c r="W284" t="inlineStr">
        <is>
          <t>801+</t>
        </is>
      </c>
      <c r="X284" t="n">
        <v>6.3</v>
      </c>
      <c r="Y284" t="inlineStr">
        <is>
          <t>801+</t>
        </is>
      </c>
      <c r="Z284" t="n">
        <v>3</v>
      </c>
      <c r="AA284" t="inlineStr">
        <is>
          <t>801+</t>
        </is>
      </c>
      <c r="AB284" t="n">
        <v>7.1</v>
      </c>
      <c r="AC284" t="inlineStr">
        <is>
          <t>801+</t>
        </is>
      </c>
      <c r="AD284" t="n">
        <v>16.9</v>
      </c>
      <c r="AE284" t="inlineStr">
        <is>
          <t>801+</t>
        </is>
      </c>
      <c r="AF284" t="n">
        <v>6.6</v>
      </c>
      <c r="AG284" t="inlineStr">
        <is>
          <t>801+</t>
        </is>
      </c>
      <c r="AH284" t="n">
        <v>25.2</v>
      </c>
      <c r="AI284" t="inlineStr">
        <is>
          <t>801+</t>
        </is>
      </c>
      <c r="AJ284" t="inlineStr">
        <is>
          <t>6.3</t>
        </is>
      </c>
      <c r="AK284" t="inlineStr">
        <is>
          <t>601+</t>
        </is>
      </c>
      <c r="AL284" t="inlineStr">
        <is>
          <t>17.6</t>
        </is>
      </c>
      <c r="AM284" t="inlineStr">
        <is>
          <t>498</t>
        </is>
      </c>
      <c r="AN284" t="inlineStr">
        <is>
          <t>16.6</t>
        </is>
      </c>
      <c r="AO284" t="inlineStr">
        <is>
          <t>701+</t>
        </is>
      </c>
      <c r="AP284" t="inlineStr">
        <is>
          <t>3.3</t>
        </is>
      </c>
      <c r="AQ284" t="inlineStr">
        <is>
          <t>701+</t>
        </is>
      </c>
      <c r="AR284" t="inlineStr">
        <is>
          <t>6.7</t>
        </is>
      </c>
      <c r="AS284" t="inlineStr">
        <is>
          <t>701+</t>
        </is>
      </c>
      <c r="AT284" t="inlineStr">
        <is>
          <t>1.9</t>
        </is>
      </c>
      <c r="AU284" t="inlineStr">
        <is>
          <t>701+</t>
        </is>
      </c>
      <c r="AV284" t="inlineStr">
        <is>
          <t>1.1</t>
        </is>
      </c>
      <c r="AW284" t="inlineStr">
        <is>
          <t>701+</t>
        </is>
      </c>
      <c r="AX284" t="inlineStr">
        <is>
          <t>10.6</t>
        </is>
      </c>
      <c r="AY284" t="inlineStr">
        <is>
          <t>701+</t>
        </is>
      </c>
      <c r="AZ284" t="inlineStr">
        <is>
          <t>1.1</t>
        </is>
      </c>
      <c r="BA284" t="inlineStr">
        <is>
          <t>701+</t>
        </is>
      </c>
    </row>
    <row r="285">
      <c r="A285" t="inlineStr">
        <is>
          <t>Escuela Superior Politécnica del Litoral - ESPOL</t>
        </is>
      </c>
      <c r="B285" t="inlineStr">
        <is>
          <t>Ecuador</t>
        </is>
      </c>
      <c r="C285" t="inlineStr">
        <is>
          <t>EC</t>
        </is>
      </c>
      <c r="D285" t="inlineStr">
        <is>
          <t>Americas</t>
        </is>
      </c>
      <c r="E285" t="inlineStr">
        <is>
          <t>M</t>
        </is>
      </c>
      <c r="F285" t="inlineStr">
        <is>
          <t>CO</t>
        </is>
      </c>
      <c r="G285" t="inlineStr">
        <is>
          <t>VH</t>
        </is>
      </c>
      <c r="H285" t="inlineStr">
        <is>
          <t>4</t>
        </is>
      </c>
      <c r="I285" t="inlineStr">
        <is>
          <t>Public</t>
        </is>
      </c>
      <c r="J285" t="inlineStr">
        <is>
          <t>951-1000</t>
        </is>
      </c>
      <c r="K285" t="inlineStr">
        <is>
          <t>1001-1200</t>
        </is>
      </c>
      <c r="L285" t="inlineStr">
        <is>
          <t>1001-1200</t>
        </is>
      </c>
      <c r="M285" t="inlineStr">
        <is>
          <t>1001-1200</t>
        </is>
      </c>
      <c r="N285" t="inlineStr">
        <is>
          <t>-</t>
        </is>
      </c>
      <c r="O285" t="inlineStr">
        <is>
          <t>-</t>
        </is>
      </c>
      <c r="P285" t="n">
        <v>22.7</v>
      </c>
      <c r="Q285" t="inlineStr">
        <is>
          <t>552</t>
        </is>
      </c>
      <c r="R285" t="n">
        <v>21.5</v>
      </c>
      <c r="S285" t="inlineStr">
        <is>
          <t>612</t>
        </is>
      </c>
      <c r="T285" t="n">
        <v>32.6</v>
      </c>
      <c r="U285" t="inlineStr">
        <is>
          <t>593</t>
        </is>
      </c>
      <c r="V285" t="n">
        <v>5</v>
      </c>
      <c r="W285" t="inlineStr">
        <is>
          <t>801+</t>
        </is>
      </c>
      <c r="X285" t="n">
        <v>20.1</v>
      </c>
      <c r="Y285" t="inlineStr">
        <is>
          <t>712</t>
        </is>
      </c>
      <c r="Z285" t="n">
        <v>2.4</v>
      </c>
      <c r="AA285" t="inlineStr">
        <is>
          <t>801+</t>
        </is>
      </c>
      <c r="AB285" t="n">
        <v>6.7</v>
      </c>
      <c r="AC285" t="inlineStr">
        <is>
          <t>801+</t>
        </is>
      </c>
      <c r="AD285" t="n">
        <v>27.4</v>
      </c>
      <c r="AE285" t="inlineStr">
        <is>
          <t>801+</t>
        </is>
      </c>
      <c r="AF285" t="n">
        <v>12.3</v>
      </c>
      <c r="AG285" t="inlineStr">
        <is>
          <t>801+</t>
        </is>
      </c>
      <c r="AH285" t="n">
        <v>49.3</v>
      </c>
      <c r="AI285" t="inlineStr">
        <is>
          <t>725=</t>
        </is>
      </c>
      <c r="AJ285" t="inlineStr">
        <is>
          <t>12.9</t>
        </is>
      </c>
      <c r="AK285" t="inlineStr">
        <is>
          <t>601+</t>
        </is>
      </c>
      <c r="AL285" t="inlineStr">
        <is>
          <t>9.1</t>
        </is>
      </c>
      <c r="AM285" t="inlineStr">
        <is>
          <t>601+</t>
        </is>
      </c>
      <c r="AN285" t="inlineStr">
        <is>
          <t>19.2</t>
        </is>
      </c>
      <c r="AO285" t="inlineStr">
        <is>
          <t>690</t>
        </is>
      </c>
      <c r="AP285" t="inlineStr">
        <is>
          <t>2.7</t>
        </is>
      </c>
      <c r="AQ285" t="inlineStr">
        <is>
          <t>701+</t>
        </is>
      </c>
      <c r="AR285" t="inlineStr">
        <is>
          <t>13.0</t>
        </is>
      </c>
      <c r="AS285" t="inlineStr">
        <is>
          <t>701+</t>
        </is>
      </c>
      <c r="AT285" t="inlineStr">
        <is>
          <t>1.7</t>
        </is>
      </c>
      <c r="AU285" t="inlineStr">
        <is>
          <t>701+</t>
        </is>
      </c>
      <c r="AV285" t="inlineStr">
        <is>
          <t>1.4</t>
        </is>
      </c>
      <c r="AW285" t="inlineStr">
        <is>
          <t>701+</t>
        </is>
      </c>
      <c r="AX285" t="inlineStr">
        <is>
          <t>11.9</t>
        </is>
      </c>
      <c r="AY285" t="inlineStr">
        <is>
          <t>701+</t>
        </is>
      </c>
      <c r="AZ285" t="inlineStr">
        <is>
          <t>23</t>
        </is>
      </c>
      <c r="BA285" t="inlineStr">
        <is>
          <t>514=</t>
        </is>
      </c>
    </row>
    <row r="286">
      <c r="A286" t="inlineStr">
        <is>
          <t>Essex, University of</t>
        </is>
      </c>
      <c r="B286" t="inlineStr">
        <is>
          <t>United Kingdom</t>
        </is>
      </c>
      <c r="C286" t="inlineStr">
        <is>
          <t>UK</t>
        </is>
      </c>
      <c r="D286" t="inlineStr"/>
      <c r="E286" t="inlineStr">
        <is>
          <t>L</t>
        </is>
      </c>
      <c r="F286" t="inlineStr">
        <is>
          <t>CO</t>
        </is>
      </c>
      <c r="G286" t="inlineStr">
        <is>
          <t>VH</t>
        </is>
      </c>
      <c r="H286" t="inlineStr">
        <is>
          <t>4</t>
        </is>
      </c>
      <c r="I286" t="inlineStr">
        <is>
          <t>A</t>
        </is>
      </c>
      <c r="J286" t="inlineStr"/>
      <c r="K286" t="inlineStr"/>
      <c r="L286" t="inlineStr">
        <is>
          <t>459</t>
        </is>
      </c>
      <c r="M286" t="inlineStr">
        <is>
          <t>465=</t>
        </is>
      </c>
      <c r="N286" t="inlineStr"/>
      <c r="O286" t="inlineStr">
        <is>
          <t>25.1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16.4</t>
        </is>
      </c>
      <c r="AK286" t="inlineStr">
        <is>
          <t>535</t>
        </is>
      </c>
      <c r="AL286" t="inlineStr">
        <is>
          <t>5.1</t>
        </is>
      </c>
      <c r="AM286" t="inlineStr">
        <is>
          <t>601+</t>
        </is>
      </c>
      <c r="AN286" t="inlineStr">
        <is>
          <t>13.0</t>
        </is>
      </c>
      <c r="AO286" t="inlineStr">
        <is>
          <t>701+</t>
        </is>
      </c>
      <c r="AP286" t="inlineStr">
        <is>
          <t>25.6</t>
        </is>
      </c>
      <c r="AQ286" t="inlineStr">
        <is>
          <t>475</t>
        </is>
      </c>
      <c r="AR286" t="inlineStr">
        <is>
          <t>99.8</t>
        </is>
      </c>
      <c r="AS286" t="inlineStr">
        <is>
          <t>82</t>
        </is>
      </c>
      <c r="AT286" t="inlineStr">
        <is>
          <t>99.0</t>
        </is>
      </c>
      <c r="AU286" t="inlineStr">
        <is>
          <t>53</t>
        </is>
      </c>
      <c r="AV286" t="inlineStr">
        <is>
          <t>40.1</t>
        </is>
      </c>
      <c r="AW286" t="inlineStr">
        <is>
          <t>380</t>
        </is>
      </c>
      <c r="AX286" t="inlineStr">
        <is>
          <t>13.4</t>
        </is>
      </c>
      <c r="AY286" t="inlineStr">
        <is>
          <t>638</t>
        </is>
      </c>
      <c r="AZ286" t="inlineStr">
        <is>
          <t>9.6</t>
        </is>
      </c>
      <c r="BA286" t="inlineStr">
        <is>
          <t>678=</t>
        </is>
      </c>
    </row>
    <row r="287">
      <c r="A287" t="inlineStr">
        <is>
          <t>ETH Zurich (Swiss Federal Institute of Technology)</t>
        </is>
      </c>
      <c r="B287" t="inlineStr">
        <is>
          <t>Switzerland</t>
        </is>
      </c>
      <c r="C287" t="inlineStr">
        <is>
          <t>CH</t>
        </is>
      </c>
      <c r="D287" t="inlineStr">
        <is>
          <t>Europe</t>
        </is>
      </c>
      <c r="E287" t="inlineStr">
        <is>
          <t>L</t>
        </is>
      </c>
      <c r="F287" t="inlineStr">
        <is>
          <t>FO</t>
        </is>
      </c>
      <c r="G287" t="inlineStr">
        <is>
          <t>VH</t>
        </is>
      </c>
      <c r="H287" t="inlineStr">
        <is>
          <t>5</t>
        </is>
      </c>
      <c r="I287" t="inlineStr">
        <is>
          <t>Public</t>
        </is>
      </c>
      <c r="J287" t="inlineStr">
        <is>
          <t>7</t>
        </is>
      </c>
      <c r="K287" t="inlineStr">
        <is>
          <t>7</t>
        </is>
      </c>
      <c r="L287" t="inlineStr">
        <is>
          <t>7</t>
        </is>
      </c>
      <c r="M287" t="inlineStr">
        <is>
          <t>9</t>
        </is>
      </c>
      <c r="N287" t="inlineStr">
        <is>
          <t>96.7</t>
        </is>
      </c>
      <c r="O287" t="inlineStr">
        <is>
          <t>93.3</t>
        </is>
      </c>
      <c r="P287" t="n">
        <v>99.7</v>
      </c>
      <c r="Q287" t="inlineStr">
        <is>
          <t>18</t>
        </is>
      </c>
      <c r="R287" t="n">
        <v>96.3</v>
      </c>
      <c r="S287" t="inlineStr">
        <is>
          <t>42</t>
        </is>
      </c>
      <c r="T287" t="n">
        <v>71.7</v>
      </c>
      <c r="U287" t="inlineStr">
        <is>
          <t>214</t>
        </is>
      </c>
      <c r="V287" t="n">
        <v>98.8</v>
      </c>
      <c r="W287" t="inlineStr">
        <is>
          <t>40</t>
        </is>
      </c>
      <c r="X287" t="n">
        <v>100</v>
      </c>
      <c r="Y287" t="inlineStr">
        <is>
          <t>28</t>
        </is>
      </c>
      <c r="Z287" t="n">
        <v>99.3</v>
      </c>
      <c r="AA287" t="inlineStr">
        <is>
          <t>58</t>
        </is>
      </c>
      <c r="AB287" t="n">
        <v>73.90000000000001</v>
      </c>
      <c r="AC287" t="inlineStr">
        <is>
          <t>241</t>
        </is>
      </c>
      <c r="AD287" t="n">
        <v>95.8</v>
      </c>
      <c r="AE287" t="inlineStr">
        <is>
          <t>64</t>
        </is>
      </c>
      <c r="AF287" t="n">
        <v>95</v>
      </c>
      <c r="AG287" t="inlineStr">
        <is>
          <t>76</t>
        </is>
      </c>
      <c r="AH287" t="n">
        <v>99.59999999999999</v>
      </c>
      <c r="AI287" t="inlineStr">
        <is>
          <t>2</t>
        </is>
      </c>
      <c r="AJ287" t="inlineStr">
        <is>
          <t>98.8</t>
        </is>
      </c>
      <c r="AK287" t="inlineStr">
        <is>
          <t>19</t>
        </is>
      </c>
      <c r="AL287" t="inlineStr">
        <is>
          <t>83.6</t>
        </is>
      </c>
      <c r="AM287" t="inlineStr">
        <is>
          <t>62</t>
        </is>
      </c>
      <c r="AN287" t="inlineStr">
        <is>
          <t>72.1</t>
        </is>
      </c>
      <c r="AO287" t="inlineStr">
        <is>
          <t>177</t>
        </is>
      </c>
      <c r="AP287" t="inlineStr">
        <is>
          <t>98.9</t>
        </is>
      </c>
      <c r="AQ287" t="inlineStr">
        <is>
          <t>21</t>
        </is>
      </c>
      <c r="AR287" t="inlineStr">
        <is>
          <t>100.0</t>
        </is>
      </c>
      <c r="AS287" t="inlineStr">
        <is>
          <t>22</t>
        </is>
      </c>
      <c r="AT287" t="inlineStr">
        <is>
          <t>98.5</t>
        </is>
      </c>
      <c r="AU287" t="inlineStr">
        <is>
          <t>56</t>
        </is>
      </c>
      <c r="AV287" t="inlineStr">
        <is>
          <t>96.0</t>
        </is>
      </c>
      <c r="AW287" t="inlineStr">
        <is>
          <t>42</t>
        </is>
      </c>
      <c r="AX287" t="inlineStr">
        <is>
          <t>79.1</t>
        </is>
      </c>
      <c r="AY287" t="inlineStr">
        <is>
          <t>52</t>
        </is>
      </c>
      <c r="AZ287" t="inlineStr">
        <is>
          <t>88.4</t>
        </is>
      </c>
      <c r="BA287" t="inlineStr">
        <is>
          <t>103=</t>
        </is>
      </c>
    </row>
    <row r="288">
      <c r="A288" t="inlineStr">
        <is>
          <t>European University of Lefke (EUL)</t>
        </is>
      </c>
      <c r="B288" t="inlineStr">
        <is>
          <t>Northern Cyprus</t>
        </is>
      </c>
      <c r="C288" t="inlineStr"/>
      <c r="D288" t="inlineStr">
        <is>
          <t>Asia</t>
        </is>
      </c>
      <c r="E288" t="inlineStr">
        <is>
          <t>M</t>
        </is>
      </c>
      <c r="F288" t="inlineStr">
        <is>
          <t>FO</t>
        </is>
      </c>
      <c r="G288" t="inlineStr">
        <is>
          <t>HI</t>
        </is>
      </c>
      <c r="H288" t="inlineStr"/>
      <c r="I288" t="inlineStr">
        <is>
          <t>Public</t>
        </is>
      </c>
      <c r="J288" t="inlineStr">
        <is>
          <t>851-900</t>
        </is>
      </c>
      <c r="K288" t="inlineStr"/>
      <c r="L288" t="inlineStr"/>
      <c r="M288" t="inlineStr"/>
      <c r="N288" t="inlineStr">
        <is>
          <t>-</t>
        </is>
      </c>
      <c r="O288" t="inlineStr"/>
      <c r="P288" t="n">
        <v>6.7</v>
      </c>
      <c r="Q288" t="inlineStr">
        <is>
          <t>701+</t>
        </is>
      </c>
      <c r="R288" t="n">
        <v>14.4</v>
      </c>
      <c r="S288" t="inlineStr">
        <is>
          <t>701+</t>
        </is>
      </c>
      <c r="T288" t="n">
        <v>10</v>
      </c>
      <c r="U288" t="inlineStr">
        <is>
          <t>801+</t>
        </is>
      </c>
      <c r="V288" t="n">
        <v>11.5</v>
      </c>
      <c r="W288" t="inlineStr">
        <is>
          <t>801+</t>
        </is>
      </c>
      <c r="X288" t="n">
        <v>100</v>
      </c>
      <c r="Y288" t="inlineStr">
        <is>
          <t>66</t>
        </is>
      </c>
      <c r="Z288" t="n">
        <v>100</v>
      </c>
      <c r="AA288" t="inlineStr">
        <is>
          <t>2</t>
        </is>
      </c>
      <c r="AB288" t="n">
        <v>100</v>
      </c>
      <c r="AC288" t="inlineStr">
        <is>
          <t>26</t>
        </is>
      </c>
      <c r="AD288" t="n">
        <v>13.7</v>
      </c>
      <c r="AE288" t="inlineStr">
        <is>
          <t>801+</t>
        </is>
      </c>
      <c r="AF288" t="n">
        <v>55</v>
      </c>
      <c r="AG288" t="inlineStr">
        <is>
          <t>303</t>
        </is>
      </c>
      <c r="AH288" t="n">
        <v>18.7</v>
      </c>
      <c r="AI288" t="inlineStr">
        <is>
          <t>801+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Ewha Womans University</t>
        </is>
      </c>
      <c r="B289" t="inlineStr">
        <is>
          <t>Republic of Korea</t>
        </is>
      </c>
      <c r="C289" t="inlineStr"/>
      <c r="D289" t="inlineStr">
        <is>
          <t>Asia</t>
        </is>
      </c>
      <c r="E289" t="inlineStr">
        <is>
          <t>L</t>
        </is>
      </c>
      <c r="F289" t="inlineStr">
        <is>
          <t>FC</t>
        </is>
      </c>
      <c r="G289" t="inlineStr">
        <is>
          <t>HI</t>
        </is>
      </c>
      <c r="H289" t="inlineStr"/>
      <c r="I289" t="inlineStr">
        <is>
          <t>Private not for Profit</t>
        </is>
      </c>
      <c r="J289" t="inlineStr">
        <is>
          <t>504</t>
        </is>
      </c>
      <c r="K289" t="inlineStr">
        <is>
          <t>511</t>
        </is>
      </c>
      <c r="L289" t="inlineStr"/>
      <c r="M289" t="inlineStr"/>
      <c r="N289" t="inlineStr">
        <is>
          <t>32</t>
        </is>
      </c>
      <c r="O289" t="inlineStr"/>
      <c r="P289" t="n">
        <v>33.5</v>
      </c>
      <c r="Q289" t="inlineStr">
        <is>
          <t>363</t>
        </is>
      </c>
      <c r="R289" t="n">
        <v>26.6</v>
      </c>
      <c r="S289" t="inlineStr">
        <is>
          <t>515</t>
        </is>
      </c>
      <c r="T289" t="n">
        <v>75.09999999999999</v>
      </c>
      <c r="U289" t="inlineStr">
        <is>
          <t>195</t>
        </is>
      </c>
      <c r="V289" t="n">
        <v>13.6</v>
      </c>
      <c r="W289" t="inlineStr">
        <is>
          <t>801+</t>
        </is>
      </c>
      <c r="X289" t="n">
        <v>9.6</v>
      </c>
      <c r="Y289" t="inlineStr">
        <is>
          <t>801+</t>
        </is>
      </c>
      <c r="Z289" t="n">
        <v>37.5</v>
      </c>
      <c r="AA289" t="inlineStr">
        <is>
          <t>519</t>
        </is>
      </c>
      <c r="AB289" t="n">
        <v>43.1</v>
      </c>
      <c r="AC289" t="inlineStr">
        <is>
          <t>481</t>
        </is>
      </c>
      <c r="AD289" t="n">
        <v>32.9</v>
      </c>
      <c r="AE289" t="inlineStr">
        <is>
          <t>801+</t>
        </is>
      </c>
      <c r="AF289" t="n">
        <v>28.4</v>
      </c>
      <c r="AG289" t="inlineStr">
        <is>
          <t>586</t>
        </is>
      </c>
      <c r="AH289" t="n">
        <v>67.09999999999999</v>
      </c>
      <c r="AI289" t="inlineStr">
        <is>
          <t>361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Ewha Womans University</t>
        </is>
      </c>
      <c r="B290" t="inlineStr">
        <is>
          <t>South Korea</t>
        </is>
      </c>
      <c r="C290" t="inlineStr">
        <is>
          <t>KR</t>
        </is>
      </c>
      <c r="D290" t="inlineStr"/>
      <c r="E290" t="inlineStr">
        <is>
          <t>L</t>
        </is>
      </c>
      <c r="F290" t="inlineStr">
        <is>
          <t>FC</t>
        </is>
      </c>
      <c r="G290" t="inlineStr">
        <is>
          <t>HI</t>
        </is>
      </c>
      <c r="H290" t="inlineStr">
        <is>
          <t>4</t>
        </is>
      </c>
      <c r="I290" t="inlineStr">
        <is>
          <t>B</t>
        </is>
      </c>
      <c r="J290" t="inlineStr"/>
      <c r="K290" t="inlineStr"/>
      <c r="L290">
        <f>498</f>
        <v/>
      </c>
      <c r="M290" t="inlineStr">
        <is>
          <t>346</t>
        </is>
      </c>
      <c r="N290" t="inlineStr"/>
      <c r="O290" t="inlineStr">
        <is>
          <t>23.2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26.7</t>
        </is>
      </c>
      <c r="AK290" t="inlineStr">
        <is>
          <t>325</t>
        </is>
      </c>
      <c r="AL290" t="inlineStr">
        <is>
          <t>23.0</t>
        </is>
      </c>
      <c r="AM290" t="inlineStr">
        <is>
          <t>413</t>
        </is>
      </c>
      <c r="AN290" t="inlineStr">
        <is>
          <t>77.4</t>
        </is>
      </c>
      <c r="AO290" t="inlineStr">
        <is>
          <t>150</t>
        </is>
      </c>
      <c r="AP290" t="inlineStr">
        <is>
          <t>7.7</t>
        </is>
      </c>
      <c r="AQ290" t="inlineStr">
        <is>
          <t>701+</t>
        </is>
      </c>
      <c r="AR290" t="inlineStr">
        <is>
          <t>7.8</t>
        </is>
      </c>
      <c r="AS290" t="inlineStr">
        <is>
          <t>701+</t>
        </is>
      </c>
      <c r="AT290" t="inlineStr">
        <is>
          <t>19.8</t>
        </is>
      </c>
      <c r="AU290" t="inlineStr">
        <is>
          <t>551</t>
        </is>
      </c>
      <c r="AV290" t="inlineStr">
        <is>
          <t>1.6</t>
        </is>
      </c>
      <c r="AW290" t="inlineStr">
        <is>
          <t>701+</t>
        </is>
      </c>
      <c r="AX290" t="inlineStr">
        <is>
          <t>15.3</t>
        </is>
      </c>
      <c r="AY290" t="inlineStr">
        <is>
          <t>552</t>
        </is>
      </c>
      <c r="AZ290" t="inlineStr">
        <is>
          <t>6.9</t>
        </is>
      </c>
      <c r="BA290" t="inlineStr">
        <is>
          <t>701+</t>
        </is>
      </c>
    </row>
    <row r="291">
      <c r="A291" t="inlineStr">
        <is>
          <t>Eötvös Loránd University</t>
        </is>
      </c>
      <c r="B291" t="inlineStr">
        <is>
          <t>Hungary</t>
        </is>
      </c>
      <c r="C291" t="inlineStr">
        <is>
          <t>HU</t>
        </is>
      </c>
      <c r="D291" t="inlineStr"/>
      <c r="E291" t="inlineStr">
        <is>
          <t>L</t>
        </is>
      </c>
      <c r="F291" t="inlineStr">
        <is>
          <t>CO</t>
        </is>
      </c>
      <c r="G291" t="inlineStr">
        <is>
          <t>VH</t>
        </is>
      </c>
      <c r="H291" t="inlineStr">
        <is>
          <t>5</t>
        </is>
      </c>
      <c r="I291" t="inlineStr">
        <is>
          <t>A</t>
        </is>
      </c>
      <c r="J291" t="inlineStr"/>
      <c r="K291" t="inlineStr"/>
      <c r="L291" t="inlineStr">
        <is>
          <t>701-710</t>
        </is>
      </c>
      <c r="M291" t="inlineStr">
        <is>
          <t>701-750</t>
        </is>
      </c>
      <c r="N291" t="inlineStr"/>
      <c r="O291" t="inlineStr">
        <is>
          <t>-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23.9</t>
        </is>
      </c>
      <c r="AK291" t="inlineStr">
        <is>
          <t>359</t>
        </is>
      </c>
      <c r="AL291" t="inlineStr">
        <is>
          <t>16.8</t>
        </is>
      </c>
      <c r="AM291" t="inlineStr">
        <is>
          <t>515</t>
        </is>
      </c>
      <c r="AN291" t="inlineStr">
        <is>
          <t>13.2</t>
        </is>
      </c>
      <c r="AO291" t="inlineStr">
        <is>
          <t>701+</t>
        </is>
      </c>
      <c r="AP291" t="inlineStr">
        <is>
          <t>7.8</t>
        </is>
      </c>
      <c r="AQ291" t="inlineStr">
        <is>
          <t>701+</t>
        </is>
      </c>
      <c r="AR291" t="inlineStr">
        <is>
          <t>5.0</t>
        </is>
      </c>
      <c r="AS291" t="inlineStr">
        <is>
          <t>701+</t>
        </is>
      </c>
      <c r="AT291" t="inlineStr">
        <is>
          <t>11.3</t>
        </is>
      </c>
      <c r="AU291" t="inlineStr">
        <is>
          <t>685</t>
        </is>
      </c>
      <c r="AV291" t="inlineStr">
        <is>
          <t>31.1</t>
        </is>
      </c>
      <c r="AW291" t="inlineStr">
        <is>
          <t>452</t>
        </is>
      </c>
      <c r="AX291" t="inlineStr">
        <is>
          <t>30.8</t>
        </is>
      </c>
      <c r="AY291" t="inlineStr">
        <is>
          <t>248</t>
        </is>
      </c>
      <c r="AZ291" t="inlineStr">
        <is>
          <t>10.2</t>
        </is>
      </c>
      <c r="BA291" t="inlineStr">
        <is>
          <t>667=</t>
        </is>
      </c>
    </row>
    <row r="292">
      <c r="A292" t="inlineStr">
        <is>
          <t>Far Eastern Federal University</t>
        </is>
      </c>
      <c r="B292" t="inlineStr">
        <is>
          <t>Russia</t>
        </is>
      </c>
      <c r="C292" t="inlineStr">
        <is>
          <t>RU</t>
        </is>
      </c>
      <c r="D292" t="inlineStr">
        <is>
          <t>Europe</t>
        </is>
      </c>
      <c r="E292" t="inlineStr">
        <is>
          <t>L</t>
        </is>
      </c>
      <c r="F292" t="inlineStr">
        <is>
          <t>CO</t>
        </is>
      </c>
      <c r="G292" t="inlineStr">
        <is>
          <t>HI</t>
        </is>
      </c>
      <c r="H292" t="inlineStr">
        <is>
          <t>5</t>
        </is>
      </c>
      <c r="I292" t="inlineStr">
        <is>
          <t>Public</t>
        </is>
      </c>
      <c r="J292" t="inlineStr">
        <is>
          <t>731-740</t>
        </is>
      </c>
      <c r="K292" t="inlineStr">
        <is>
          <t>631-640</t>
        </is>
      </c>
      <c r="L292" t="inlineStr">
        <is>
          <t>641-650</t>
        </is>
      </c>
      <c r="M292" t="inlineStr">
        <is>
          <t>434=</t>
        </is>
      </c>
      <c r="N292" t="inlineStr">
        <is>
          <t>-</t>
        </is>
      </c>
      <c r="O292" t="inlineStr">
        <is>
          <t>-</t>
        </is>
      </c>
      <c r="P292" t="n">
        <v>13.9</v>
      </c>
      <c r="Q292" t="inlineStr">
        <is>
          <t>701+</t>
        </is>
      </c>
      <c r="R292" t="n">
        <v>9.5</v>
      </c>
      <c r="S292" t="inlineStr">
        <is>
          <t>701+</t>
        </is>
      </c>
      <c r="T292" t="n">
        <v>98.7</v>
      </c>
      <c r="U292" t="inlineStr">
        <is>
          <t>47</t>
        </is>
      </c>
      <c r="V292" t="n">
        <v>2.6</v>
      </c>
      <c r="W292" t="inlineStr">
        <is>
          <t>801+</t>
        </is>
      </c>
      <c r="X292" t="n">
        <v>16.7</v>
      </c>
      <c r="Y292" t="inlineStr">
        <is>
          <t>769</t>
        </is>
      </c>
      <c r="Z292" t="n">
        <v>79.3</v>
      </c>
      <c r="AA292" t="inlineStr">
        <is>
          <t>226</t>
        </is>
      </c>
      <c r="AB292" t="n">
        <v>80.5</v>
      </c>
      <c r="AC292" t="inlineStr">
        <is>
          <t>204</t>
        </is>
      </c>
      <c r="AD292" t="n">
        <v>48</v>
      </c>
      <c r="AE292" t="inlineStr">
        <is>
          <t>801+</t>
        </is>
      </c>
      <c r="AF292" t="n">
        <v>7.1</v>
      </c>
      <c r="AG292" t="inlineStr">
        <is>
          <t>801+</t>
        </is>
      </c>
      <c r="AH292" t="n">
        <v>37.5</v>
      </c>
      <c r="AI292" t="inlineStr">
        <is>
          <t>801+</t>
        </is>
      </c>
      <c r="AJ292" t="inlineStr">
        <is>
          <t>10.6</t>
        </is>
      </c>
      <c r="AK292" t="inlineStr">
        <is>
          <t>601+</t>
        </is>
      </c>
      <c r="AL292" t="inlineStr">
        <is>
          <t>3.5</t>
        </is>
      </c>
      <c r="AM292" t="inlineStr">
        <is>
          <t>601+</t>
        </is>
      </c>
      <c r="AN292" t="inlineStr">
        <is>
          <t>94.9</t>
        </is>
      </c>
      <c r="AO292" t="inlineStr">
        <is>
          <t>62</t>
        </is>
      </c>
      <c r="AP292" t="inlineStr">
        <is>
          <t>1.8</t>
        </is>
      </c>
      <c r="AQ292" t="inlineStr">
        <is>
          <t>701+</t>
        </is>
      </c>
      <c r="AR292" t="inlineStr">
        <is>
          <t>14.1</t>
        </is>
      </c>
      <c r="AS292" t="inlineStr">
        <is>
          <t>685</t>
        </is>
      </c>
      <c r="AT292" t="inlineStr">
        <is>
          <t>66.1</t>
        </is>
      </c>
      <c r="AU292" t="inlineStr">
        <is>
          <t>227</t>
        </is>
      </c>
      <c r="AV292" t="inlineStr">
        <is>
          <t>5.1</t>
        </is>
      </c>
      <c r="AW292" t="inlineStr">
        <is>
          <t>701+</t>
        </is>
      </c>
      <c r="AX292" t="inlineStr">
        <is>
          <t>8.2</t>
        </is>
      </c>
      <c r="AY292" t="inlineStr">
        <is>
          <t>701+</t>
        </is>
      </c>
      <c r="AZ292" t="inlineStr">
        <is>
          <t>1.2</t>
        </is>
      </c>
      <c r="BA292" t="inlineStr">
        <is>
          <t>701+</t>
        </is>
      </c>
    </row>
    <row r="293">
      <c r="A293" t="inlineStr">
        <is>
          <t>Feng Chia University</t>
        </is>
      </c>
      <c r="B293" t="inlineStr">
        <is>
          <t>Taiwan</t>
        </is>
      </c>
      <c r="C293" t="inlineStr">
        <is>
          <t>TW</t>
        </is>
      </c>
      <c r="D293" t="inlineStr">
        <is>
          <t>Asia</t>
        </is>
      </c>
      <c r="E293" t="inlineStr">
        <is>
          <t>L</t>
        </is>
      </c>
      <c r="F293" t="inlineStr">
        <is>
          <t>FO</t>
        </is>
      </c>
      <c r="G293" t="inlineStr">
        <is>
          <t>VH</t>
        </is>
      </c>
      <c r="H293" t="inlineStr">
        <is>
          <t>3</t>
        </is>
      </c>
      <c r="I293" t="inlineStr">
        <is>
          <t>Private for Profit</t>
        </is>
      </c>
      <c r="J293" t="inlineStr">
        <is>
          <t>1201-1400</t>
        </is>
      </c>
      <c r="K293" t="inlineStr">
        <is>
          <t>1201-1400</t>
        </is>
      </c>
      <c r="L293" t="inlineStr">
        <is>
          <t>1201-1400</t>
        </is>
      </c>
      <c r="M293" t="inlineStr">
        <is>
          <t>1201-1400</t>
        </is>
      </c>
      <c r="N293" t="inlineStr">
        <is>
          <t>-</t>
        </is>
      </c>
      <c r="O293" t="inlineStr">
        <is>
          <t>-</t>
        </is>
      </c>
      <c r="P293" t="n">
        <v>12.3</v>
      </c>
      <c r="Q293" t="inlineStr">
        <is>
          <t>701+</t>
        </is>
      </c>
      <c r="R293" t="n">
        <v>11.8</v>
      </c>
      <c r="S293" t="inlineStr">
        <is>
          <t>701+</t>
        </is>
      </c>
      <c r="T293" t="n">
        <v>6.4</v>
      </c>
      <c r="U293" t="inlineStr">
        <is>
          <t>801+</t>
        </is>
      </c>
      <c r="V293" t="n">
        <v>11.7</v>
      </c>
      <c r="W293" t="inlineStr">
        <is>
          <t>801+</t>
        </is>
      </c>
      <c r="X293" t="n">
        <v>5.6</v>
      </c>
      <c r="Y293" t="inlineStr">
        <is>
          <t>801+</t>
        </is>
      </c>
      <c r="Z293" t="n">
        <v>6.8</v>
      </c>
      <c r="AA293" t="inlineStr">
        <is>
          <t>801+</t>
        </is>
      </c>
      <c r="AB293" t="n">
        <v>11</v>
      </c>
      <c r="AC293" t="inlineStr">
        <is>
          <t>801+</t>
        </is>
      </c>
      <c r="AD293" t="n">
        <v>10.1</v>
      </c>
      <c r="AE293" t="inlineStr">
        <is>
          <t>801+</t>
        </is>
      </c>
      <c r="AF293" t="n">
        <v>21</v>
      </c>
      <c r="AG293" t="inlineStr">
        <is>
          <t>707</t>
        </is>
      </c>
      <c r="AH293" t="n">
        <v>53.9</v>
      </c>
      <c r="AI293" t="inlineStr">
        <is>
          <t>624=</t>
        </is>
      </c>
      <c r="AJ293" t="inlineStr">
        <is>
          <t>10.0</t>
        </is>
      </c>
      <c r="AK293" t="inlineStr">
        <is>
          <t>601+</t>
        </is>
      </c>
      <c r="AL293" t="inlineStr">
        <is>
          <t>7.5</t>
        </is>
      </c>
      <c r="AM293" t="inlineStr">
        <is>
          <t>601+</t>
        </is>
      </c>
      <c r="AN293" t="inlineStr">
        <is>
          <t>4.5</t>
        </is>
      </c>
      <c r="AO293" t="inlineStr">
        <is>
          <t>701+</t>
        </is>
      </c>
      <c r="AP293" t="inlineStr">
        <is>
          <t>6.0</t>
        </is>
      </c>
      <c r="AQ293" t="inlineStr">
        <is>
          <t>701+</t>
        </is>
      </c>
      <c r="AR293" t="inlineStr">
        <is>
          <t>3.9</t>
        </is>
      </c>
      <c r="AS293" t="inlineStr">
        <is>
          <t>701+</t>
        </is>
      </c>
      <c r="AT293" t="inlineStr">
        <is>
          <t>5.8</t>
        </is>
      </c>
      <c r="AU293" t="inlineStr">
        <is>
          <t>701+</t>
        </is>
      </c>
      <c r="AV293" t="inlineStr">
        <is>
          <t>1.0</t>
        </is>
      </c>
      <c r="AW293" t="inlineStr">
        <is>
          <t>701+</t>
        </is>
      </c>
      <c r="AX293" t="inlineStr">
        <is>
          <t>14.4</t>
        </is>
      </c>
      <c r="AY293" t="inlineStr">
        <is>
          <t>584</t>
        </is>
      </c>
      <c r="AZ293" t="inlineStr">
        <is>
          <t>1.1</t>
        </is>
      </c>
      <c r="BA293" t="inlineStr">
        <is>
          <t>701+</t>
        </is>
      </c>
    </row>
    <row r="294">
      <c r="A294" t="inlineStr">
        <is>
          <t>Ferdowsi University of Mashhad</t>
        </is>
      </c>
      <c r="B294" t="inlineStr">
        <is>
          <t>Iran (Islamic Republic of)</t>
        </is>
      </c>
      <c r="C294" t="inlineStr"/>
      <c r="D294" t="inlineStr">
        <is>
          <t>Asia</t>
        </is>
      </c>
      <c r="E294" t="inlineStr">
        <is>
          <t>L</t>
        </is>
      </c>
      <c r="F294" t="inlineStr">
        <is>
          <t>CO</t>
        </is>
      </c>
      <c r="G294" t="inlineStr">
        <is>
          <t>VH</t>
        </is>
      </c>
      <c r="H294" t="inlineStr"/>
      <c r="I294" t="inlineStr">
        <is>
          <t>Public</t>
        </is>
      </c>
      <c r="J294" t="inlineStr">
        <is>
          <t>951-1000</t>
        </is>
      </c>
      <c r="K294" t="inlineStr">
        <is>
          <t>951-1000</t>
        </is>
      </c>
      <c r="L294" t="inlineStr"/>
      <c r="M294" t="inlineStr"/>
      <c r="N294" t="inlineStr">
        <is>
          <t>-</t>
        </is>
      </c>
      <c r="O294" t="inlineStr"/>
      <c r="P294" t="n">
        <v>11.1</v>
      </c>
      <c r="Q294" t="inlineStr">
        <is>
          <t>701+</t>
        </is>
      </c>
      <c r="R294" t="n">
        <v>10.9</v>
      </c>
      <c r="S294" t="inlineStr">
        <is>
          <t>701+</t>
        </is>
      </c>
      <c r="T294" t="n">
        <v>5.7</v>
      </c>
      <c r="U294" t="inlineStr">
        <is>
          <t>801+</t>
        </is>
      </c>
      <c r="V294" t="n">
        <v>35.1</v>
      </c>
      <c r="W294" t="inlineStr">
        <is>
          <t>524</t>
        </is>
      </c>
      <c r="X294" t="inlineStr"/>
      <c r="Y294" t="inlineStr"/>
      <c r="Z294" t="n">
        <v>9.5</v>
      </c>
      <c r="AA294" t="inlineStr">
        <is>
          <t>801+</t>
        </is>
      </c>
      <c r="AB294" t="n">
        <v>12.4</v>
      </c>
      <c r="AC294" t="inlineStr">
        <is>
          <t>801+</t>
        </is>
      </c>
      <c r="AD294" t="n">
        <v>74.5</v>
      </c>
      <c r="AE294" t="inlineStr">
        <is>
          <t>453</t>
        </is>
      </c>
      <c r="AF294" t="n">
        <v>12.9</v>
      </c>
      <c r="AG294" t="inlineStr">
        <is>
          <t>801+</t>
        </is>
      </c>
      <c r="AH294" t="n">
        <v>33.3</v>
      </c>
      <c r="AI294" t="inlineStr">
        <is>
          <t>801+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Ferdowsi University of Mashhad</t>
        </is>
      </c>
      <c r="B295" t="inlineStr">
        <is>
          <t>Iran, Islamic Republic of</t>
        </is>
      </c>
      <c r="C295" t="inlineStr">
        <is>
          <t>IR</t>
        </is>
      </c>
      <c r="D295" t="inlineStr"/>
      <c r="E295" t="inlineStr">
        <is>
          <t>L</t>
        </is>
      </c>
      <c r="F295" t="inlineStr">
        <is>
          <t>CO</t>
        </is>
      </c>
      <c r="G295" t="inlineStr">
        <is>
          <t>VH</t>
        </is>
      </c>
      <c r="H295" t="inlineStr">
        <is>
          <t>4</t>
        </is>
      </c>
      <c r="I295" t="inlineStr">
        <is>
          <t>A</t>
        </is>
      </c>
      <c r="J295" t="inlineStr"/>
      <c r="K295" t="inlineStr"/>
      <c r="L295" t="inlineStr">
        <is>
          <t>1001-1200</t>
        </is>
      </c>
      <c r="M295" t="inlineStr"/>
      <c r="N295" t="inlineStr"/>
      <c r="O295" t="inlineStr">
        <is>
          <t>-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5.8</t>
        </is>
      </c>
      <c r="AK295" t="inlineStr">
        <is>
          <t>601+</t>
        </is>
      </c>
      <c r="AL295" t="inlineStr">
        <is>
          <t>10.3</t>
        </is>
      </c>
      <c r="AM295" t="inlineStr">
        <is>
          <t>601+</t>
        </is>
      </c>
      <c r="AN295" t="inlineStr">
        <is>
          <t>3.5</t>
        </is>
      </c>
      <c r="AO295" t="inlineStr">
        <is>
          <t>701+</t>
        </is>
      </c>
      <c r="AP295" t="inlineStr">
        <is>
          <t>25.8</t>
        </is>
      </c>
      <c r="AQ295" t="inlineStr">
        <is>
          <t>472</t>
        </is>
      </c>
      <c r="AR295" t="inlineStr">
        <is>
          <t>1.3</t>
        </is>
      </c>
      <c r="AS295" t="inlineStr">
        <is>
          <t>701+</t>
        </is>
      </c>
      <c r="AT295" t="inlineStr">
        <is>
          <t>7.9</t>
        </is>
      </c>
      <c r="AU295" t="inlineStr">
        <is>
          <t>701+</t>
        </is>
      </c>
      <c r="AV295" t="inlineStr">
        <is>
          <t>18.1</t>
        </is>
      </c>
      <c r="AW295" t="inlineStr">
        <is>
          <t>559</t>
        </is>
      </c>
      <c r="AX295" t="inlineStr">
        <is>
          <t>5.4</t>
        </is>
      </c>
      <c r="AY295" t="inlineStr">
        <is>
          <t>701+</t>
        </is>
      </c>
      <c r="AZ295" t="inlineStr"/>
      <c r="BA295" t="inlineStr"/>
    </row>
    <row r="296">
      <c r="A296" t="inlineStr">
        <is>
          <t>Financial University under the Government of the Russian Federation</t>
        </is>
      </c>
      <c r="B296" t="inlineStr">
        <is>
          <t>Russia</t>
        </is>
      </c>
      <c r="C296" t="inlineStr">
        <is>
          <t>RU</t>
        </is>
      </c>
      <c r="D296" t="inlineStr">
        <is>
          <t>Europe</t>
        </is>
      </c>
      <c r="E296" t="inlineStr">
        <is>
          <t>L</t>
        </is>
      </c>
      <c r="F296" t="inlineStr">
        <is>
          <t>FO</t>
        </is>
      </c>
      <c r="G296" t="inlineStr">
        <is>
          <t>VH</t>
        </is>
      </c>
      <c r="H296" t="inlineStr">
        <is>
          <t>5</t>
        </is>
      </c>
      <c r="I296" t="inlineStr">
        <is>
          <t>Public</t>
        </is>
      </c>
      <c r="J296" t="inlineStr">
        <is>
          <t>1001-1200</t>
        </is>
      </c>
      <c r="K296" t="inlineStr">
        <is>
          <t>951-1000</t>
        </is>
      </c>
      <c r="L296" t="inlineStr">
        <is>
          <t>1001-1200</t>
        </is>
      </c>
      <c r="M296" t="inlineStr">
        <is>
          <t>1001-1200</t>
        </is>
      </c>
      <c r="N296" t="inlineStr">
        <is>
          <t>-</t>
        </is>
      </c>
      <c r="O296" t="inlineStr">
        <is>
          <t>-</t>
        </is>
      </c>
      <c r="P296" t="n">
        <v>4.9</v>
      </c>
      <c r="Q296" t="inlineStr">
        <is>
          <t>701+</t>
        </is>
      </c>
      <c r="R296" t="n">
        <v>17.4</v>
      </c>
      <c r="S296" t="inlineStr">
        <is>
          <t>701+</t>
        </is>
      </c>
      <c r="T296" t="n">
        <v>44.1</v>
      </c>
      <c r="U296" t="inlineStr">
        <is>
          <t>450</t>
        </is>
      </c>
      <c r="V296" t="n">
        <v>2.7</v>
      </c>
      <c r="W296" t="inlineStr">
        <is>
          <t>801+</t>
        </is>
      </c>
      <c r="X296" t="n">
        <v>6.7</v>
      </c>
      <c r="Y296" t="inlineStr">
        <is>
          <t>801+</t>
        </is>
      </c>
      <c r="Z296" t="n">
        <v>39.2</v>
      </c>
      <c r="AA296" t="inlineStr">
        <is>
          <t>500</t>
        </is>
      </c>
      <c r="AB296" t="n">
        <v>44.7</v>
      </c>
      <c r="AC296" t="inlineStr">
        <is>
          <t>467</t>
        </is>
      </c>
      <c r="AD296" t="n">
        <v>37.6</v>
      </c>
      <c r="AE296" t="inlineStr">
        <is>
          <t>801+</t>
        </is>
      </c>
      <c r="AF296" t="n">
        <v>57.5</v>
      </c>
      <c r="AG296" t="inlineStr">
        <is>
          <t>291</t>
        </is>
      </c>
      <c r="AH296" t="n">
        <v>43.8</v>
      </c>
      <c r="AI296" t="inlineStr">
        <is>
          <t>801+</t>
        </is>
      </c>
      <c r="AJ296" t="inlineStr">
        <is>
          <t>5.5</t>
        </is>
      </c>
      <c r="AK296" t="inlineStr">
        <is>
          <t>601+</t>
        </is>
      </c>
      <c r="AL296" t="inlineStr">
        <is>
          <t>7.8</t>
        </is>
      </c>
      <c r="AM296" t="inlineStr">
        <is>
          <t>601+</t>
        </is>
      </c>
      <c r="AN296" t="inlineStr">
        <is>
          <t>37.1</t>
        </is>
      </c>
      <c r="AO296" t="inlineStr">
        <is>
          <t>426</t>
        </is>
      </c>
      <c r="AP296" t="inlineStr">
        <is>
          <t>1.6</t>
        </is>
      </c>
      <c r="AQ296" t="inlineStr">
        <is>
          <t>701+</t>
        </is>
      </c>
      <c r="AR296" t="inlineStr">
        <is>
          <t>4.1</t>
        </is>
      </c>
      <c r="AS296" t="inlineStr">
        <is>
          <t>701+</t>
        </is>
      </c>
      <c r="AT296" t="inlineStr">
        <is>
          <t>13.1</t>
        </is>
      </c>
      <c r="AU296" t="inlineStr">
        <is>
          <t>660</t>
        </is>
      </c>
      <c r="AV296" t="inlineStr">
        <is>
          <t>1.9</t>
        </is>
      </c>
      <c r="AW296" t="inlineStr">
        <is>
          <t>701+</t>
        </is>
      </c>
      <c r="AX296" t="inlineStr">
        <is>
          <t>33.4</t>
        </is>
      </c>
      <c r="AY296" t="inlineStr">
        <is>
          <t>230</t>
        </is>
      </c>
      <c r="AZ296" t="inlineStr">
        <is>
          <t>5.2</t>
        </is>
      </c>
      <c r="BA296" t="inlineStr">
        <is>
          <t>701+</t>
        </is>
      </c>
    </row>
    <row r="297">
      <c r="A297" t="inlineStr">
        <is>
          <t>Flinders University</t>
        </is>
      </c>
      <c r="B297" t="inlineStr">
        <is>
          <t>Australia</t>
        </is>
      </c>
      <c r="C297" t="inlineStr">
        <is>
          <t>AU</t>
        </is>
      </c>
      <c r="D297" t="inlineStr">
        <is>
          <t>Oceania</t>
        </is>
      </c>
      <c r="E297" t="inlineStr">
        <is>
          <t>L</t>
        </is>
      </c>
      <c r="F297" t="inlineStr">
        <is>
          <t>FC</t>
        </is>
      </c>
      <c r="G297" t="inlineStr">
        <is>
          <t>VH</t>
        </is>
      </c>
      <c r="H297" t="inlineStr">
        <is>
          <t>4</t>
        </is>
      </c>
      <c r="I297" t="inlineStr">
        <is>
          <t>Public</t>
        </is>
      </c>
      <c r="J297" t="inlineStr">
        <is>
          <t>387</t>
        </is>
      </c>
      <c r="K297" t="inlineStr">
        <is>
          <t>336</t>
        </is>
      </c>
      <c r="L297" t="inlineStr">
        <is>
          <t>380</t>
        </is>
      </c>
      <c r="M297" t="inlineStr">
        <is>
          <t>425=</t>
        </is>
      </c>
      <c r="N297" t="inlineStr">
        <is>
          <t>39</t>
        </is>
      </c>
      <c r="O297" t="inlineStr">
        <is>
          <t>29.2</t>
        </is>
      </c>
      <c r="P297" t="n">
        <v>19.6</v>
      </c>
      <c r="Q297" t="inlineStr">
        <is>
          <t>629</t>
        </is>
      </c>
      <c r="R297" t="n">
        <v>9.699999999999999</v>
      </c>
      <c r="S297" t="inlineStr">
        <is>
          <t>701+</t>
        </is>
      </c>
      <c r="T297" t="n">
        <v>11.3</v>
      </c>
      <c r="U297" t="inlineStr">
        <is>
          <t>801+</t>
        </is>
      </c>
      <c r="V297" t="n">
        <v>64.3</v>
      </c>
      <c r="W297" t="inlineStr">
        <is>
          <t>252</t>
        </is>
      </c>
      <c r="X297" t="n">
        <v>97.90000000000001</v>
      </c>
      <c r="Y297" t="inlineStr">
        <is>
          <t>144</t>
        </is>
      </c>
      <c r="Z297" t="n">
        <v>97.3</v>
      </c>
      <c r="AA297" t="inlineStr">
        <is>
          <t>99</t>
        </is>
      </c>
      <c r="AB297" t="n">
        <v>97.40000000000001</v>
      </c>
      <c r="AC297" t="inlineStr">
        <is>
          <t>87</t>
        </is>
      </c>
      <c r="AD297" t="n">
        <v>77.3</v>
      </c>
      <c r="AE297" t="inlineStr">
        <is>
          <t>400</t>
        </is>
      </c>
      <c r="AF297" t="n">
        <v>15.5</v>
      </c>
      <c r="AG297" t="inlineStr">
        <is>
          <t>801+</t>
        </is>
      </c>
      <c r="AH297" t="n">
        <v>81.59999999999999</v>
      </c>
      <c r="AI297" t="inlineStr">
        <is>
          <t>154=</t>
        </is>
      </c>
      <c r="AJ297" t="inlineStr">
        <is>
          <t>13.3</t>
        </is>
      </c>
      <c r="AK297" t="inlineStr">
        <is>
          <t>601+</t>
        </is>
      </c>
      <c r="AL297" t="inlineStr">
        <is>
          <t>6.7</t>
        </is>
      </c>
      <c r="AM297" t="inlineStr">
        <is>
          <t>601+</t>
        </is>
      </c>
      <c r="AN297" t="inlineStr">
        <is>
          <t>6.5</t>
        </is>
      </c>
      <c r="AO297" t="inlineStr">
        <is>
          <t>701+</t>
        </is>
      </c>
      <c r="AP297" t="inlineStr">
        <is>
          <t>42.6</t>
        </is>
      </c>
      <c r="AQ297" t="inlineStr">
        <is>
          <t>313</t>
        </is>
      </c>
      <c r="AR297" t="inlineStr">
        <is>
          <t>97.0</t>
        </is>
      </c>
      <c r="AS297" t="inlineStr">
        <is>
          <t>127</t>
        </is>
      </c>
      <c r="AT297" t="inlineStr">
        <is>
          <t>89.5</t>
        </is>
      </c>
      <c r="AU297" t="inlineStr">
        <is>
          <t>119</t>
        </is>
      </c>
      <c r="AV297" t="inlineStr">
        <is>
          <t>38.9</t>
        </is>
      </c>
      <c r="AW297" t="inlineStr">
        <is>
          <t>385</t>
        </is>
      </c>
      <c r="AX297" t="inlineStr">
        <is>
          <t>10.5</t>
        </is>
      </c>
      <c r="AY297" t="inlineStr">
        <is>
          <t>701+</t>
        </is>
      </c>
      <c r="AZ297" t="inlineStr">
        <is>
          <t>64.8</t>
        </is>
      </c>
      <c r="BA297" t="inlineStr">
        <is>
          <t>226=</t>
        </is>
      </c>
    </row>
    <row r="298">
      <c r="A298" t="inlineStr">
        <is>
          <t>Florida Atlantic University - Boca Raton</t>
        </is>
      </c>
      <c r="B298" t="inlineStr">
        <is>
          <t>United States</t>
        </is>
      </c>
      <c r="C298" t="inlineStr">
        <is>
          <t>US</t>
        </is>
      </c>
      <c r="D298" t="inlineStr">
        <is>
          <t>Americas</t>
        </is>
      </c>
      <c r="E298" t="inlineStr">
        <is>
          <t>L</t>
        </is>
      </c>
      <c r="F298" t="inlineStr">
        <is>
          <t>FC</t>
        </is>
      </c>
      <c r="G298" t="inlineStr">
        <is>
          <t>HI</t>
        </is>
      </c>
      <c r="H298" t="inlineStr">
        <is>
          <t>4</t>
        </is>
      </c>
      <c r="I298" t="inlineStr">
        <is>
          <t>Public</t>
        </is>
      </c>
      <c r="J298" t="inlineStr">
        <is>
          <t>1001-1200</t>
        </is>
      </c>
      <c r="K298" t="inlineStr">
        <is>
          <t>1201-1400</t>
        </is>
      </c>
      <c r="L298" t="inlineStr">
        <is>
          <t>1201-1400</t>
        </is>
      </c>
      <c r="M298" t="inlineStr">
        <is>
          <t>1201-1400</t>
        </is>
      </c>
      <c r="N298" t="inlineStr">
        <is>
          <t>-</t>
        </is>
      </c>
      <c r="O298" t="inlineStr">
        <is>
          <t>-</t>
        </is>
      </c>
      <c r="P298" t="n">
        <v>6.6</v>
      </c>
      <c r="Q298" t="inlineStr">
        <is>
          <t>701+</t>
        </is>
      </c>
      <c r="R298" t="n">
        <v>15.2</v>
      </c>
      <c r="S298" t="inlineStr">
        <is>
          <t>701+</t>
        </is>
      </c>
      <c r="T298" t="n">
        <v>6.2</v>
      </c>
      <c r="U298" t="inlineStr">
        <is>
          <t>801+</t>
        </is>
      </c>
      <c r="V298" t="n">
        <v>18.2</v>
      </c>
      <c r="W298" t="inlineStr">
        <is>
          <t>746</t>
        </is>
      </c>
      <c r="X298" t="n">
        <v>8.4</v>
      </c>
      <c r="Y298" t="inlineStr">
        <is>
          <t>801+</t>
        </is>
      </c>
      <c r="Z298" t="n">
        <v>13.1</v>
      </c>
      <c r="AA298" t="inlineStr">
        <is>
          <t>801+</t>
        </is>
      </c>
      <c r="AB298" t="n">
        <v>9.9</v>
      </c>
      <c r="AC298" t="inlineStr">
        <is>
          <t>801+</t>
        </is>
      </c>
      <c r="AD298" t="n">
        <v>65.3</v>
      </c>
      <c r="AE298" t="inlineStr">
        <is>
          <t>618</t>
        </is>
      </c>
      <c r="AF298" t="n">
        <v>13</v>
      </c>
      <c r="AG298" t="inlineStr">
        <is>
          <t>801+</t>
        </is>
      </c>
      <c r="AH298" t="n">
        <v>48.4</v>
      </c>
      <c r="AI298" t="inlineStr">
        <is>
          <t>746=</t>
        </is>
      </c>
      <c r="AJ298" t="inlineStr">
        <is>
          <t>4.9</t>
        </is>
      </c>
      <c r="AK298" t="inlineStr">
        <is>
          <t>601+</t>
        </is>
      </c>
      <c r="AL298" t="inlineStr">
        <is>
          <t>3.8</t>
        </is>
      </c>
      <c r="AM298" t="inlineStr">
        <is>
          <t>601+</t>
        </is>
      </c>
      <c r="AN298" t="inlineStr">
        <is>
          <t>5.6</t>
        </is>
      </c>
      <c r="AO298" t="inlineStr">
        <is>
          <t>701+</t>
        </is>
      </c>
      <c r="AP298" t="inlineStr">
        <is>
          <t>10.1</t>
        </is>
      </c>
      <c r="AQ298" t="inlineStr">
        <is>
          <t>701+</t>
        </is>
      </c>
      <c r="AR298" t="inlineStr">
        <is>
          <t>10.2</t>
        </is>
      </c>
      <c r="AS298" t="inlineStr">
        <is>
          <t>701+</t>
        </is>
      </c>
      <c r="AT298" t="inlineStr">
        <is>
          <t>3.6</t>
        </is>
      </c>
      <c r="AU298" t="inlineStr">
        <is>
          <t>701+</t>
        </is>
      </c>
      <c r="AV298" t="inlineStr">
        <is>
          <t>7.2</t>
        </is>
      </c>
      <c r="AW298" t="inlineStr">
        <is>
          <t>701+</t>
        </is>
      </c>
      <c r="AX298" t="inlineStr">
        <is>
          <t>9.5</t>
        </is>
      </c>
      <c r="AY298" t="inlineStr">
        <is>
          <t>701+</t>
        </is>
      </c>
      <c r="AZ298" t="inlineStr">
        <is>
          <t>3.4</t>
        </is>
      </c>
      <c r="BA298" t="inlineStr">
        <is>
          <t>701+</t>
        </is>
      </c>
    </row>
    <row r="299">
      <c r="A299" t="inlineStr">
        <is>
          <t>Florida International University</t>
        </is>
      </c>
      <c r="B299" t="inlineStr">
        <is>
          <t>United States</t>
        </is>
      </c>
      <c r="C299" t="inlineStr">
        <is>
          <t>US</t>
        </is>
      </c>
      <c r="D299" t="inlineStr">
        <is>
          <t>Americas</t>
        </is>
      </c>
      <c r="E299" t="inlineStr">
        <is>
          <t>XL</t>
        </is>
      </c>
      <c r="F299" t="inlineStr">
        <is>
          <t>FC</t>
        </is>
      </c>
      <c r="G299" t="inlineStr">
        <is>
          <t>HI</t>
        </is>
      </c>
      <c r="H299" t="inlineStr">
        <is>
          <t>4</t>
        </is>
      </c>
      <c r="I299" t="inlineStr">
        <is>
          <t>Public</t>
        </is>
      </c>
      <c r="J299" t="inlineStr">
        <is>
          <t>582</t>
        </is>
      </c>
      <c r="K299" t="inlineStr">
        <is>
          <t>574</t>
        </is>
      </c>
      <c r="L299">
        <f>556</f>
        <v/>
      </c>
      <c r="M299" t="inlineStr">
        <is>
          <t>751-800</t>
        </is>
      </c>
      <c r="N299" t="inlineStr">
        <is>
          <t>28.8</t>
        </is>
      </c>
      <c r="O299" t="inlineStr">
        <is>
          <t>21.1</t>
        </is>
      </c>
      <c r="P299" t="n">
        <v>22.7</v>
      </c>
      <c r="Q299" t="inlineStr">
        <is>
          <t>551</t>
        </is>
      </c>
      <c r="R299" t="n">
        <v>38.3</v>
      </c>
      <c r="S299" t="inlineStr">
        <is>
          <t>363</t>
        </is>
      </c>
      <c r="T299" t="n">
        <v>18.3</v>
      </c>
      <c r="U299" t="inlineStr">
        <is>
          <t>801+</t>
        </is>
      </c>
      <c r="V299" t="n">
        <v>17.5</v>
      </c>
      <c r="W299" t="inlineStr">
        <is>
          <t>759</t>
        </is>
      </c>
      <c r="X299" t="n">
        <v>27.7</v>
      </c>
      <c r="Y299" t="inlineStr">
        <is>
          <t>617</t>
        </is>
      </c>
      <c r="Z299" t="n">
        <v>22.6</v>
      </c>
      <c r="AA299" t="inlineStr">
        <is>
          <t>692</t>
        </is>
      </c>
      <c r="AB299" t="n">
        <v>28.7</v>
      </c>
      <c r="AC299" t="inlineStr">
        <is>
          <t>630</t>
        </is>
      </c>
      <c r="AD299" t="n">
        <v>84.7</v>
      </c>
      <c r="AE299" t="inlineStr">
        <is>
          <t>260</t>
        </is>
      </c>
      <c r="AF299" t="n">
        <v>28</v>
      </c>
      <c r="AG299" t="inlineStr">
        <is>
          <t>595</t>
        </is>
      </c>
      <c r="AH299" t="n">
        <v>79</v>
      </c>
      <c r="AI299" t="inlineStr">
        <is>
          <t>187</t>
        </is>
      </c>
      <c r="AJ299" t="inlineStr">
        <is>
          <t>14.9</t>
        </is>
      </c>
      <c r="AK299" t="inlineStr">
        <is>
          <t>586</t>
        </is>
      </c>
      <c r="AL299" t="inlineStr">
        <is>
          <t>35.4</t>
        </is>
      </c>
      <c r="AM299" t="inlineStr">
        <is>
          <t>274</t>
        </is>
      </c>
      <c r="AN299" t="inlineStr">
        <is>
          <t>12.0</t>
        </is>
      </c>
      <c r="AO299" t="inlineStr">
        <is>
          <t>701+</t>
        </is>
      </c>
      <c r="AP299" t="inlineStr">
        <is>
          <t>12.8</t>
        </is>
      </c>
      <c r="AQ299" t="inlineStr">
        <is>
          <t>682</t>
        </is>
      </c>
      <c r="AR299" t="inlineStr">
        <is>
          <t>21.1</t>
        </is>
      </c>
      <c r="AS299" t="inlineStr">
        <is>
          <t>581</t>
        </is>
      </c>
      <c r="AT299" t="inlineStr">
        <is>
          <t>12.1</t>
        </is>
      </c>
      <c r="AU299" t="inlineStr">
        <is>
          <t>676</t>
        </is>
      </c>
      <c r="AV299" t="inlineStr">
        <is>
          <t>68.1</t>
        </is>
      </c>
      <c r="AW299" t="inlineStr">
        <is>
          <t>207</t>
        </is>
      </c>
      <c r="AX299" t="inlineStr">
        <is>
          <t>14.2</t>
        </is>
      </c>
      <c r="AY299" t="inlineStr">
        <is>
          <t>594</t>
        </is>
      </c>
      <c r="AZ299" t="inlineStr">
        <is>
          <t>39</t>
        </is>
      </c>
      <c r="BA299" t="inlineStr">
        <is>
          <t>367=</t>
        </is>
      </c>
    </row>
    <row r="300">
      <c r="A300" t="inlineStr">
        <is>
          <t>Florida State University</t>
        </is>
      </c>
      <c r="B300" t="inlineStr">
        <is>
          <t>United States</t>
        </is>
      </c>
      <c r="C300" t="inlineStr">
        <is>
          <t>US</t>
        </is>
      </c>
      <c r="D300" t="inlineStr">
        <is>
          <t>Americas</t>
        </is>
      </c>
      <c r="E300" t="inlineStr">
        <is>
          <t>XL</t>
        </is>
      </c>
      <c r="F300" t="inlineStr">
        <is>
          <t>FC</t>
        </is>
      </c>
      <c r="G300" t="inlineStr">
        <is>
          <t>VH</t>
        </is>
      </c>
      <c r="H300" t="inlineStr">
        <is>
          <t>5</t>
        </is>
      </c>
      <c r="I300" t="inlineStr">
        <is>
          <t>Public</t>
        </is>
      </c>
      <c r="J300" t="inlineStr">
        <is>
          <t>549</t>
        </is>
      </c>
      <c r="K300" t="inlineStr">
        <is>
          <t>573</t>
        </is>
      </c>
      <c r="L300">
        <f>461</f>
        <v/>
      </c>
      <c r="M300" t="inlineStr">
        <is>
          <t>511-520</t>
        </is>
      </c>
      <c r="N300" t="inlineStr">
        <is>
          <t>30.1</t>
        </is>
      </c>
      <c r="O300" t="inlineStr">
        <is>
          <t>24.9</t>
        </is>
      </c>
      <c r="P300" t="n">
        <v>32.7</v>
      </c>
      <c r="Q300" t="inlineStr">
        <is>
          <t>375</t>
        </is>
      </c>
      <c r="R300" t="n">
        <v>24</v>
      </c>
      <c r="S300" t="inlineStr">
        <is>
          <t>562</t>
        </is>
      </c>
      <c r="T300" t="n">
        <v>11.4</v>
      </c>
      <c r="U300" t="inlineStr">
        <is>
          <t>801+</t>
        </is>
      </c>
      <c r="V300" t="n">
        <v>34.1</v>
      </c>
      <c r="W300" t="inlineStr">
        <is>
          <t>536</t>
        </is>
      </c>
      <c r="X300" t="n">
        <v>16.4</v>
      </c>
      <c r="Y300" t="inlineStr">
        <is>
          <t>772</t>
        </is>
      </c>
      <c r="Z300" t="n">
        <v>9</v>
      </c>
      <c r="AA300" t="inlineStr">
        <is>
          <t>801+</t>
        </is>
      </c>
      <c r="AB300" t="n">
        <v>14.7</v>
      </c>
      <c r="AC300" t="inlineStr">
        <is>
          <t>801+</t>
        </is>
      </c>
      <c r="AD300" t="n">
        <v>74.5</v>
      </c>
      <c r="AE300" t="inlineStr">
        <is>
          <t>454</t>
        </is>
      </c>
      <c r="AF300" t="n">
        <v>34.8</v>
      </c>
      <c r="AG300" t="inlineStr">
        <is>
          <t>493</t>
        </is>
      </c>
      <c r="AH300" t="n">
        <v>62.5</v>
      </c>
      <c r="AI300" t="inlineStr">
        <is>
          <t>449</t>
        </is>
      </c>
      <c r="AJ300" t="inlineStr">
        <is>
          <t>25.1</t>
        </is>
      </c>
      <c r="AK300" t="inlineStr">
        <is>
          <t>349</t>
        </is>
      </c>
      <c r="AL300" t="inlineStr">
        <is>
          <t>25.7</t>
        </is>
      </c>
      <c r="AM300" t="inlineStr">
        <is>
          <t>374</t>
        </is>
      </c>
      <c r="AN300" t="inlineStr">
        <is>
          <t>6.8</t>
        </is>
      </c>
      <c r="AO300" t="inlineStr">
        <is>
          <t>701+</t>
        </is>
      </c>
      <c r="AP300" t="inlineStr">
        <is>
          <t>30.7</t>
        </is>
      </c>
      <c r="AQ300" t="inlineStr">
        <is>
          <t>430</t>
        </is>
      </c>
      <c r="AR300" t="inlineStr">
        <is>
          <t>15.6</t>
        </is>
      </c>
      <c r="AS300" t="inlineStr">
        <is>
          <t>659</t>
        </is>
      </c>
      <c r="AT300" t="inlineStr">
        <is>
          <t>3.9</t>
        </is>
      </c>
      <c r="AU300" t="inlineStr">
        <is>
          <t>701+</t>
        </is>
      </c>
      <c r="AV300" t="inlineStr">
        <is>
          <t>40.1</t>
        </is>
      </c>
      <c r="AW300" t="inlineStr">
        <is>
          <t>379</t>
        </is>
      </c>
      <c r="AX300" t="inlineStr">
        <is>
          <t>20.5</t>
        </is>
      </c>
      <c r="AY300" t="inlineStr">
        <is>
          <t>407</t>
        </is>
      </c>
      <c r="AZ300" t="inlineStr">
        <is>
          <t>54.3</t>
        </is>
      </c>
      <c r="BA300" t="inlineStr">
        <is>
          <t>283=</t>
        </is>
      </c>
    </row>
    <row r="301">
      <c r="A301" t="inlineStr">
        <is>
          <t>Fordham University</t>
        </is>
      </c>
      <c r="B301" t="inlineStr">
        <is>
          <t>United States</t>
        </is>
      </c>
      <c r="C301" t="inlineStr">
        <is>
          <t>US</t>
        </is>
      </c>
      <c r="D301" t="inlineStr">
        <is>
          <t>Americas</t>
        </is>
      </c>
      <c r="E301" t="inlineStr">
        <is>
          <t>L</t>
        </is>
      </c>
      <c r="F301" t="inlineStr">
        <is>
          <t>CO</t>
        </is>
      </c>
      <c r="G301" t="inlineStr">
        <is>
          <t>HI</t>
        </is>
      </c>
      <c r="H301" t="inlineStr">
        <is>
          <t>5</t>
        </is>
      </c>
      <c r="I301" t="inlineStr">
        <is>
          <t>Private not for Profit</t>
        </is>
      </c>
      <c r="J301" t="inlineStr">
        <is>
          <t>1001-1200</t>
        </is>
      </c>
      <c r="K301" t="inlineStr">
        <is>
          <t>1001-1200</t>
        </is>
      </c>
      <c r="L301" t="inlineStr">
        <is>
          <t>1001-1200</t>
        </is>
      </c>
      <c r="M301" t="inlineStr">
        <is>
          <t>1001-1200</t>
        </is>
      </c>
      <c r="N301" t="inlineStr">
        <is>
          <t>-</t>
        </is>
      </c>
      <c r="O301" t="inlineStr">
        <is>
          <t>-</t>
        </is>
      </c>
      <c r="P301" t="n">
        <v>9.1</v>
      </c>
      <c r="Q301" t="inlineStr">
        <is>
          <t>701+</t>
        </is>
      </c>
      <c r="R301" t="n">
        <v>16.8</v>
      </c>
      <c r="S301" t="inlineStr">
        <is>
          <t>701+</t>
        </is>
      </c>
      <c r="T301" t="n">
        <v>19.3</v>
      </c>
      <c r="U301" t="inlineStr">
        <is>
          <t>801+</t>
        </is>
      </c>
      <c r="V301" t="n">
        <v>9.6</v>
      </c>
      <c r="W301" t="inlineStr">
        <is>
          <t>801+</t>
        </is>
      </c>
      <c r="X301" t="n">
        <v>10.5</v>
      </c>
      <c r="Y301" t="inlineStr">
        <is>
          <t>801+</t>
        </is>
      </c>
      <c r="Z301" t="n">
        <v>23.3</v>
      </c>
      <c r="AA301" t="inlineStr">
        <is>
          <t>685</t>
        </is>
      </c>
      <c r="AB301" t="n">
        <v>17.5</v>
      </c>
      <c r="AC301" t="inlineStr">
        <is>
          <t>801+</t>
        </is>
      </c>
      <c r="AD301" t="n">
        <v>23.3</v>
      </c>
      <c r="AE301" t="inlineStr">
        <is>
          <t>801+</t>
        </is>
      </c>
      <c r="AF301" t="n">
        <v>47.6</v>
      </c>
      <c r="AG301" t="inlineStr">
        <is>
          <t>369</t>
        </is>
      </c>
      <c r="AH301" t="n">
        <v>32.1</v>
      </c>
      <c r="AI301" t="inlineStr">
        <is>
          <t>801+</t>
        </is>
      </c>
      <c r="AJ301" t="inlineStr">
        <is>
          <t>6.4</t>
        </is>
      </c>
      <c r="AK301" t="inlineStr">
        <is>
          <t>601+</t>
        </is>
      </c>
      <c r="AL301" t="inlineStr">
        <is>
          <t>7.3</t>
        </is>
      </c>
      <c r="AM301" t="inlineStr">
        <is>
          <t>601+</t>
        </is>
      </c>
      <c r="AN301" t="inlineStr">
        <is>
          <t>15.4</t>
        </is>
      </c>
      <c r="AO301" t="inlineStr">
        <is>
          <t>701+</t>
        </is>
      </c>
      <c r="AP301" t="inlineStr">
        <is>
          <t>5.9</t>
        </is>
      </c>
      <c r="AQ301" t="inlineStr">
        <is>
          <t>701+</t>
        </is>
      </c>
      <c r="AR301" t="inlineStr">
        <is>
          <t>7.8</t>
        </is>
      </c>
      <c r="AS301" t="inlineStr">
        <is>
          <t>701+</t>
        </is>
      </c>
      <c r="AT301" t="inlineStr">
        <is>
          <t>14.6</t>
        </is>
      </c>
      <c r="AU301" t="inlineStr">
        <is>
          <t>629</t>
        </is>
      </c>
      <c r="AV301" t="inlineStr">
        <is>
          <t>1.5</t>
        </is>
      </c>
      <c r="AW301" t="inlineStr">
        <is>
          <t>701+</t>
        </is>
      </c>
      <c r="AX301" t="inlineStr">
        <is>
          <t>24.7</t>
        </is>
      </c>
      <c r="AY301" t="inlineStr">
        <is>
          <t>338</t>
        </is>
      </c>
      <c r="AZ301" t="inlineStr">
        <is>
          <t>1.3</t>
        </is>
      </c>
      <c r="BA301" t="inlineStr">
        <is>
          <t>701+</t>
        </is>
      </c>
    </row>
    <row r="302">
      <c r="A302" t="inlineStr">
        <is>
          <t>Free University of Bozen-Bolzano</t>
        </is>
      </c>
      <c r="B302" t="inlineStr">
        <is>
          <t>Italy</t>
        </is>
      </c>
      <c r="C302" t="inlineStr">
        <is>
          <t>IT</t>
        </is>
      </c>
      <c r="D302" t="inlineStr"/>
      <c r="E302" t="inlineStr">
        <is>
          <t>S</t>
        </is>
      </c>
      <c r="F302" t="inlineStr">
        <is>
          <t>FO</t>
        </is>
      </c>
      <c r="G302" t="inlineStr">
        <is>
          <t>VH</t>
        </is>
      </c>
      <c r="H302" t="inlineStr">
        <is>
          <t>3</t>
        </is>
      </c>
      <c r="I302" t="inlineStr">
        <is>
          <t>A</t>
        </is>
      </c>
      <c r="J302" t="inlineStr"/>
      <c r="K302" t="inlineStr"/>
      <c r="L302" t="inlineStr">
        <is>
          <t>641-650</t>
        </is>
      </c>
      <c r="M302" t="inlineStr">
        <is>
          <t>701-750</t>
        </is>
      </c>
      <c r="N302" t="inlineStr"/>
      <c r="O302" t="inlineStr">
        <is>
          <t>-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5.0</t>
        </is>
      </c>
      <c r="AK302" t="inlineStr">
        <is>
          <t>601+</t>
        </is>
      </c>
      <c r="AL302" t="inlineStr">
        <is>
          <t>1.5</t>
        </is>
      </c>
      <c r="AM302" t="inlineStr">
        <is>
          <t>601+</t>
        </is>
      </c>
      <c r="AN302" t="inlineStr">
        <is>
          <t>11.0</t>
        </is>
      </c>
      <c r="AO302" t="inlineStr">
        <is>
          <t>701+</t>
        </is>
      </c>
      <c r="AP302" t="inlineStr">
        <is>
          <t>47.6</t>
        </is>
      </c>
      <c r="AQ302" t="inlineStr">
        <is>
          <t>285</t>
        </is>
      </c>
      <c r="AR302" t="inlineStr">
        <is>
          <t>74.8</t>
        </is>
      </c>
      <c r="AS302" t="inlineStr">
        <is>
          <t>256</t>
        </is>
      </c>
      <c r="AT302" t="inlineStr">
        <is>
          <t>26.3</t>
        </is>
      </c>
      <c r="AU302" t="inlineStr">
        <is>
          <t>460</t>
        </is>
      </c>
      <c r="AV302" t="inlineStr">
        <is>
          <t>11.1</t>
        </is>
      </c>
      <c r="AW302" t="inlineStr">
        <is>
          <t>651</t>
        </is>
      </c>
      <c r="AX302" t="inlineStr">
        <is>
          <t>8</t>
        </is>
      </c>
      <c r="AY302" t="inlineStr">
        <is>
          <t>701+</t>
        </is>
      </c>
      <c r="AZ302" t="inlineStr">
        <is>
          <t>1.9</t>
        </is>
      </c>
      <c r="BA302" t="inlineStr">
        <is>
          <t>701+</t>
        </is>
      </c>
    </row>
    <row r="303">
      <c r="A303" t="inlineStr">
        <is>
          <t>Freie Universitaet Berlin</t>
        </is>
      </c>
      <c r="B303" t="inlineStr">
        <is>
          <t>Germany</t>
        </is>
      </c>
      <c r="C303" t="inlineStr">
        <is>
          <t>DE</t>
        </is>
      </c>
      <c r="D303" t="inlineStr"/>
      <c r="E303" t="inlineStr">
        <is>
          <t>L</t>
        </is>
      </c>
      <c r="F303" t="inlineStr">
        <is>
          <t>FC</t>
        </is>
      </c>
      <c r="G303" t="inlineStr">
        <is>
          <t>VH</t>
        </is>
      </c>
      <c r="H303" t="inlineStr">
        <is>
          <t>4</t>
        </is>
      </c>
      <c r="I303" t="inlineStr">
        <is>
          <t>A</t>
        </is>
      </c>
      <c r="J303" t="inlineStr"/>
      <c r="K303" t="inlineStr"/>
      <c r="L303" t="inlineStr">
        <is>
          <t>98</t>
        </is>
      </c>
      <c r="M303" t="inlineStr">
        <is>
          <t>118=</t>
        </is>
      </c>
      <c r="N303" t="inlineStr"/>
      <c r="O303" t="inlineStr">
        <is>
          <t>60.8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80.8</t>
        </is>
      </c>
      <c r="AK303" t="inlineStr">
        <is>
          <t>70</t>
        </is>
      </c>
      <c r="AL303" t="inlineStr">
        <is>
          <t>51.0</t>
        </is>
      </c>
      <c r="AM303" t="inlineStr">
        <is>
          <t>163</t>
        </is>
      </c>
      <c r="AN303" t="inlineStr">
        <is>
          <t>4.4</t>
        </is>
      </c>
      <c r="AO303" t="inlineStr">
        <is>
          <t>701+</t>
        </is>
      </c>
      <c r="AP303" t="inlineStr">
        <is>
          <t>71.4</t>
        </is>
      </c>
      <c r="AQ303" t="inlineStr">
        <is>
          <t>141</t>
        </is>
      </c>
      <c r="AR303" t="inlineStr">
        <is>
          <t>62.8</t>
        </is>
      </c>
      <c r="AS303" t="inlineStr">
        <is>
          <t>308</t>
        </is>
      </c>
      <c r="AT303" t="inlineStr">
        <is>
          <t>43.6</t>
        </is>
      </c>
      <c r="AU303" t="inlineStr">
        <is>
          <t>332</t>
        </is>
      </c>
      <c r="AV303" t="inlineStr">
        <is>
          <t>84.9</t>
        </is>
      </c>
      <c r="AW303" t="inlineStr">
        <is>
          <t>118</t>
        </is>
      </c>
      <c r="AX303" t="inlineStr">
        <is>
          <t>21.9</t>
        </is>
      </c>
      <c r="AY303" t="inlineStr">
        <is>
          <t>378</t>
        </is>
      </c>
      <c r="AZ303" t="inlineStr">
        <is>
          <t>60.1</t>
        </is>
      </c>
      <c r="BA303" t="inlineStr">
        <is>
          <t>251</t>
        </is>
      </c>
    </row>
    <row r="304">
      <c r="A304" t="inlineStr">
        <is>
          <t>Freie Universität Berlin</t>
        </is>
      </c>
      <c r="B304" t="inlineStr">
        <is>
          <t>Germany</t>
        </is>
      </c>
      <c r="C304" t="inlineStr"/>
      <c r="D304" t="inlineStr">
        <is>
          <t>Europe</t>
        </is>
      </c>
      <c r="E304" t="inlineStr">
        <is>
          <t>L</t>
        </is>
      </c>
      <c r="F304" t="inlineStr">
        <is>
          <t>FC</t>
        </is>
      </c>
      <c r="G304" t="inlineStr">
        <is>
          <t>VH</t>
        </is>
      </c>
      <c r="H304" t="inlineStr"/>
      <c r="I304" t="inlineStr">
        <is>
          <t>Public</t>
        </is>
      </c>
      <c r="J304" t="inlineStr">
        <is>
          <t>88</t>
        </is>
      </c>
      <c r="K304" t="inlineStr">
        <is>
          <t>97</t>
        </is>
      </c>
      <c r="L304" t="inlineStr"/>
      <c r="M304" t="inlineStr"/>
      <c r="N304" t="inlineStr">
        <is>
          <t>71.1</t>
        </is>
      </c>
      <c r="O304" t="inlineStr"/>
      <c r="P304" t="n">
        <v>88.3</v>
      </c>
      <c r="Q304" t="inlineStr">
        <is>
          <t>71</t>
        </is>
      </c>
      <c r="R304" t="n">
        <v>66.40000000000001</v>
      </c>
      <c r="S304" t="inlineStr">
        <is>
          <t>160</t>
        </is>
      </c>
      <c r="T304" t="n">
        <v>8.300000000000001</v>
      </c>
      <c r="U304" t="inlineStr">
        <is>
          <t>801+</t>
        </is>
      </c>
      <c r="V304" t="n">
        <v>84.3</v>
      </c>
      <c r="W304" t="inlineStr">
        <is>
          <t>128</t>
        </is>
      </c>
      <c r="X304" t="n">
        <v>73.8</v>
      </c>
      <c r="Y304" t="inlineStr">
        <is>
          <t>322</t>
        </is>
      </c>
      <c r="Z304" t="n">
        <v>56</v>
      </c>
      <c r="AA304" t="inlineStr">
        <is>
          <t>373</t>
        </is>
      </c>
      <c r="AB304" t="n">
        <v>60.2</v>
      </c>
      <c r="AC304" t="inlineStr">
        <is>
          <t>340</t>
        </is>
      </c>
      <c r="AD304" t="n">
        <v>94.40000000000001</v>
      </c>
      <c r="AE304" t="inlineStr">
        <is>
          <t>92</t>
        </is>
      </c>
      <c r="AF304" t="n">
        <v>46.9</v>
      </c>
      <c r="AG304" t="inlineStr">
        <is>
          <t>374</t>
        </is>
      </c>
      <c r="AH304" t="n">
        <v>65.40000000000001</v>
      </c>
      <c r="AI304" t="inlineStr">
        <is>
          <t>391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Friedrich-Alexander-Universität Erlangen-Nürnberg</t>
        </is>
      </c>
      <c r="B305" t="inlineStr">
        <is>
          <t>Germany</t>
        </is>
      </c>
      <c r="C305" t="inlineStr">
        <is>
          <t>DE</t>
        </is>
      </c>
      <c r="D305" t="inlineStr"/>
      <c r="E305" t="inlineStr">
        <is>
          <t>L</t>
        </is>
      </c>
      <c r="F305" t="inlineStr">
        <is>
          <t>FC</t>
        </is>
      </c>
      <c r="G305" t="inlineStr">
        <is>
          <t>VH</t>
        </is>
      </c>
      <c r="H305" t="inlineStr">
        <is>
          <t>5</t>
        </is>
      </c>
      <c r="I305" t="inlineStr">
        <is>
          <t>A</t>
        </is>
      </c>
      <c r="J305" t="inlineStr"/>
      <c r="K305" t="inlineStr"/>
      <c r="L305" t="inlineStr">
        <is>
          <t>229</t>
        </is>
      </c>
      <c r="M305" t="inlineStr">
        <is>
          <t>340=</t>
        </is>
      </c>
      <c r="N305" t="inlineStr"/>
      <c r="O305" t="inlineStr">
        <is>
          <t>41.7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25.2</t>
        </is>
      </c>
      <c r="AK305" t="inlineStr">
        <is>
          <t>347</t>
        </is>
      </c>
      <c r="AL305" t="inlineStr">
        <is>
          <t>20.9</t>
        </is>
      </c>
      <c r="AM305" t="inlineStr">
        <is>
          <t>446</t>
        </is>
      </c>
      <c r="AN305" t="inlineStr">
        <is>
          <t>2.8</t>
        </is>
      </c>
      <c r="AO305" t="inlineStr">
        <is>
          <t>701+</t>
        </is>
      </c>
      <c r="AP305" t="inlineStr">
        <is>
          <t>95.8</t>
        </is>
      </c>
      <c r="AQ305" t="inlineStr">
        <is>
          <t>48</t>
        </is>
      </c>
      <c r="AR305" t="inlineStr">
        <is>
          <t>26.8</t>
        </is>
      </c>
      <c r="AS305" t="inlineStr">
        <is>
          <t>511</t>
        </is>
      </c>
      <c r="AT305" t="inlineStr">
        <is>
          <t>39.9</t>
        </is>
      </c>
      <c r="AU305" t="inlineStr">
        <is>
          <t>342</t>
        </is>
      </c>
      <c r="AV305" t="inlineStr">
        <is>
          <t>75.1</t>
        </is>
      </c>
      <c r="AW305" t="inlineStr">
        <is>
          <t>172</t>
        </is>
      </c>
      <c r="AX305" t="inlineStr">
        <is>
          <t>15.5</t>
        </is>
      </c>
      <c r="AY305" t="inlineStr">
        <is>
          <t>541</t>
        </is>
      </c>
      <c r="AZ305" t="inlineStr">
        <is>
          <t>69.9</t>
        </is>
      </c>
      <c r="BA305" t="inlineStr">
        <is>
          <t>207=</t>
        </is>
      </c>
    </row>
    <row r="306">
      <c r="A306" t="inlineStr">
        <is>
          <t>Fu Jen Catholic University</t>
        </is>
      </c>
      <c r="B306" t="inlineStr">
        <is>
          <t>Taiwan</t>
        </is>
      </c>
      <c r="C306" t="inlineStr">
        <is>
          <t>TW</t>
        </is>
      </c>
      <c r="D306" t="inlineStr">
        <is>
          <t>Asia</t>
        </is>
      </c>
      <c r="E306" t="inlineStr">
        <is>
          <t>L</t>
        </is>
      </c>
      <c r="F306" t="inlineStr">
        <is>
          <t>FC</t>
        </is>
      </c>
      <c r="G306" t="inlineStr">
        <is>
          <t>HI</t>
        </is>
      </c>
      <c r="H306" t="inlineStr">
        <is>
          <t>4</t>
        </is>
      </c>
      <c r="I306" t="inlineStr">
        <is>
          <t>Private not for Profit</t>
        </is>
      </c>
      <c r="J306" t="inlineStr">
        <is>
          <t>1201-1400</t>
        </is>
      </c>
      <c r="K306" t="inlineStr">
        <is>
          <t>1201-1400</t>
        </is>
      </c>
      <c r="L306" t="inlineStr">
        <is>
          <t>1201-1400</t>
        </is>
      </c>
      <c r="M306" t="inlineStr">
        <is>
          <t>1201-1400</t>
        </is>
      </c>
      <c r="N306" t="inlineStr">
        <is>
          <t>-</t>
        </is>
      </c>
      <c r="O306" t="inlineStr">
        <is>
          <t>-</t>
        </is>
      </c>
      <c r="P306" t="n">
        <v>10.6</v>
      </c>
      <c r="Q306" t="inlineStr">
        <is>
          <t>701+</t>
        </is>
      </c>
      <c r="R306" t="n">
        <v>10.8</v>
      </c>
      <c r="S306" t="inlineStr">
        <is>
          <t>701+</t>
        </is>
      </c>
      <c r="T306" t="n">
        <v>4.5</v>
      </c>
      <c r="U306" t="inlineStr">
        <is>
          <t>801+</t>
        </is>
      </c>
      <c r="V306" t="n">
        <v>14.9</v>
      </c>
      <c r="W306" t="inlineStr">
        <is>
          <t>801+</t>
        </is>
      </c>
      <c r="X306" t="n">
        <v>13.2</v>
      </c>
      <c r="Y306" t="inlineStr">
        <is>
          <t>801+</t>
        </is>
      </c>
      <c r="Z306" t="n">
        <v>8.1</v>
      </c>
      <c r="AA306" t="inlineStr">
        <is>
          <t>801+</t>
        </is>
      </c>
      <c r="AB306" t="n">
        <v>12.5</v>
      </c>
      <c r="AC306" t="inlineStr">
        <is>
          <t>801+</t>
        </is>
      </c>
      <c r="AD306" t="n">
        <v>9.300000000000001</v>
      </c>
      <c r="AE306" t="inlineStr">
        <is>
          <t>801+</t>
        </is>
      </c>
      <c r="AF306" t="n">
        <v>35.8</v>
      </c>
      <c r="AG306" t="inlineStr">
        <is>
          <t>479</t>
        </is>
      </c>
      <c r="AH306" t="n">
        <v>44.5</v>
      </c>
      <c r="AI306" t="inlineStr">
        <is>
          <t>801+</t>
        </is>
      </c>
      <c r="AJ306" t="inlineStr">
        <is>
          <t>7.3</t>
        </is>
      </c>
      <c r="AK306" t="inlineStr">
        <is>
          <t>601+</t>
        </is>
      </c>
      <c r="AL306" t="inlineStr">
        <is>
          <t>7.5</t>
        </is>
      </c>
      <c r="AM306" t="inlineStr">
        <is>
          <t>601+</t>
        </is>
      </c>
      <c r="AN306" t="inlineStr">
        <is>
          <t>4.3</t>
        </is>
      </c>
      <c r="AO306" t="inlineStr">
        <is>
          <t>701+</t>
        </is>
      </c>
      <c r="AP306" t="inlineStr">
        <is>
          <t>6.8</t>
        </is>
      </c>
      <c r="AQ306" t="inlineStr">
        <is>
          <t>701+</t>
        </is>
      </c>
      <c r="AR306" t="inlineStr">
        <is>
          <t>7.9</t>
        </is>
      </c>
      <c r="AS306" t="inlineStr">
        <is>
          <t>701+</t>
        </is>
      </c>
      <c r="AT306" t="inlineStr">
        <is>
          <t>7.4</t>
        </is>
      </c>
      <c r="AU306" t="inlineStr">
        <is>
          <t>701+</t>
        </is>
      </c>
      <c r="AV306" t="inlineStr">
        <is>
          <t>1.0</t>
        </is>
      </c>
      <c r="AW306" t="inlineStr">
        <is>
          <t>701+</t>
        </is>
      </c>
      <c r="AX306" t="inlineStr">
        <is>
          <t>21.8</t>
        </is>
      </c>
      <c r="AY306" t="inlineStr">
        <is>
          <t>381</t>
        </is>
      </c>
      <c r="AZ306" t="inlineStr">
        <is>
          <t>1.5</t>
        </is>
      </c>
      <c r="BA306" t="inlineStr">
        <is>
          <t>701+</t>
        </is>
      </c>
    </row>
    <row r="307">
      <c r="A307" t="inlineStr">
        <is>
          <t>Fudan University</t>
        </is>
      </c>
      <c r="B307" t="inlineStr">
        <is>
          <t>China (Mainland)</t>
        </is>
      </c>
      <c r="C307" t="inlineStr">
        <is>
          <t>CN</t>
        </is>
      </c>
      <c r="D307" t="inlineStr">
        <is>
          <t>Asia</t>
        </is>
      </c>
      <c r="E307" t="inlineStr">
        <is>
          <t>XL</t>
        </is>
      </c>
      <c r="F307" t="inlineStr">
        <is>
          <t>FC</t>
        </is>
      </c>
      <c r="G307" t="inlineStr">
        <is>
          <t>VH</t>
        </is>
      </c>
      <c r="H307" t="inlineStr">
        <is>
          <t>4</t>
        </is>
      </c>
      <c r="I307" t="inlineStr">
        <is>
          <t>Public</t>
        </is>
      </c>
      <c r="J307" t="inlineStr">
        <is>
          <t>30</t>
        </is>
      </c>
      <c r="K307" t="inlineStr">
        <is>
          <t>39</t>
        </is>
      </c>
      <c r="L307" t="inlineStr">
        <is>
          <t>50</t>
        </is>
      </c>
      <c r="M307" t="inlineStr">
        <is>
          <t>34=</t>
        </is>
      </c>
      <c r="N307" t="inlineStr">
        <is>
          <t>88.4</t>
        </is>
      </c>
      <c r="O307" t="inlineStr">
        <is>
          <t>74.4</t>
        </is>
      </c>
      <c r="P307" t="n">
        <v>93.7</v>
      </c>
      <c r="Q307" t="inlineStr">
        <is>
          <t>50</t>
        </is>
      </c>
      <c r="R307" t="n">
        <v>95.09999999999999</v>
      </c>
      <c r="S307" t="inlineStr">
        <is>
          <t>49</t>
        </is>
      </c>
      <c r="T307" t="n">
        <v>84.8</v>
      </c>
      <c r="U307" t="inlineStr">
        <is>
          <t>137</t>
        </is>
      </c>
      <c r="V307" t="n">
        <v>92.8</v>
      </c>
      <c r="W307" t="inlineStr">
        <is>
          <t>89</t>
        </is>
      </c>
      <c r="X307" t="n">
        <v>88.5</v>
      </c>
      <c r="Y307" t="inlineStr">
        <is>
          <t>234</t>
        </is>
      </c>
      <c r="Z307" t="n">
        <v>46.4</v>
      </c>
      <c r="AA307" t="inlineStr">
        <is>
          <t>433</t>
        </is>
      </c>
      <c r="AB307" t="n">
        <v>51.4</v>
      </c>
      <c r="AC307" t="inlineStr">
        <is>
          <t>402</t>
        </is>
      </c>
      <c r="AD307" t="n">
        <v>75.5</v>
      </c>
      <c r="AE307" t="inlineStr">
        <is>
          <t>431</t>
        </is>
      </c>
      <c r="AF307" t="n">
        <v>73.3</v>
      </c>
      <c r="AG307" t="inlineStr">
        <is>
          <t>193</t>
        </is>
      </c>
      <c r="AH307" t="n">
        <v>83.09999999999999</v>
      </c>
      <c r="AI307" t="inlineStr">
        <is>
          <t>134</t>
        </is>
      </c>
      <c r="AJ307" t="inlineStr">
        <is>
          <t>84.7</t>
        </is>
      </c>
      <c r="AK307" t="inlineStr">
        <is>
          <t>55</t>
        </is>
      </c>
      <c r="AL307" t="inlineStr">
        <is>
          <t>89.8</t>
        </is>
      </c>
      <c r="AM307" t="inlineStr">
        <is>
          <t>49</t>
        </is>
      </c>
      <c r="AN307" t="inlineStr">
        <is>
          <t>84.5</t>
        </is>
      </c>
      <c r="AO307" t="inlineStr">
        <is>
          <t>108</t>
        </is>
      </c>
      <c r="AP307" t="inlineStr">
        <is>
          <t>72.4</t>
        </is>
      </c>
      <c r="AQ307" t="inlineStr">
        <is>
          <t>136</t>
        </is>
      </c>
      <c r="AR307" t="inlineStr">
        <is>
          <t>88.3</t>
        </is>
      </c>
      <c r="AS307" t="inlineStr">
        <is>
          <t>193</t>
        </is>
      </c>
      <c r="AT307" t="inlineStr">
        <is>
          <t>33.0</t>
        </is>
      </c>
      <c r="AU307" t="inlineStr">
        <is>
          <t>393</t>
        </is>
      </c>
      <c r="AV307" t="inlineStr">
        <is>
          <t>22.7</t>
        </is>
      </c>
      <c r="AW307" t="inlineStr">
        <is>
          <t>522</t>
        </is>
      </c>
      <c r="AX307" t="inlineStr">
        <is>
          <t>49.6</t>
        </is>
      </c>
      <c r="AY307" t="inlineStr">
        <is>
          <t>134</t>
        </is>
      </c>
      <c r="AZ307" t="inlineStr">
        <is>
          <t>43.8</t>
        </is>
      </c>
      <c r="BA307" t="inlineStr">
        <is>
          <t>341</t>
        </is>
      </c>
    </row>
    <row r="308">
      <c r="A308" t="inlineStr">
        <is>
          <t>Fundación CEU San Pablo</t>
        </is>
      </c>
      <c r="B308" t="inlineStr">
        <is>
          <t>Spain</t>
        </is>
      </c>
      <c r="C308" t="inlineStr">
        <is>
          <t>ES</t>
        </is>
      </c>
      <c r="D308" t="inlineStr"/>
      <c r="E308" t="inlineStr">
        <is>
          <t>L</t>
        </is>
      </c>
      <c r="F308" t="inlineStr">
        <is>
          <t>CO</t>
        </is>
      </c>
      <c r="G308" t="inlineStr">
        <is>
          <t>HI</t>
        </is>
      </c>
      <c r="H308" t="inlineStr">
        <is>
          <t>5</t>
        </is>
      </c>
      <c r="I308" t="inlineStr"/>
      <c r="J308" t="inlineStr"/>
      <c r="K308" t="inlineStr"/>
      <c r="L308" t="inlineStr">
        <is>
          <t>1001-1200</t>
        </is>
      </c>
      <c r="M308" t="inlineStr">
        <is>
          <t>1001-1200</t>
        </is>
      </c>
      <c r="N308" t="inlineStr"/>
      <c r="O308" t="inlineStr">
        <is>
          <t>-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4.5</t>
        </is>
      </c>
      <c r="AK308" t="inlineStr">
        <is>
          <t>601+</t>
        </is>
      </c>
      <c r="AL308" t="inlineStr">
        <is>
          <t>7.3</t>
        </is>
      </c>
      <c r="AM308" t="inlineStr">
        <is>
          <t>601+</t>
        </is>
      </c>
      <c r="AN308" t="inlineStr">
        <is>
          <t>16.6</t>
        </is>
      </c>
      <c r="AO308" t="inlineStr">
        <is>
          <t>701+</t>
        </is>
      </c>
      <c r="AP308" t="inlineStr">
        <is>
          <t>2.2</t>
        </is>
      </c>
      <c r="AQ308" t="inlineStr">
        <is>
          <t>701+</t>
        </is>
      </c>
      <c r="AR308" t="inlineStr">
        <is>
          <t>4.0</t>
        </is>
      </c>
      <c r="AS308" t="inlineStr">
        <is>
          <t>701+</t>
        </is>
      </c>
      <c r="AT308" t="inlineStr">
        <is>
          <t>50.6</t>
        </is>
      </c>
      <c r="AU308" t="inlineStr">
        <is>
          <t>287</t>
        </is>
      </c>
      <c r="AV308" t="inlineStr">
        <is>
          <t>1.0</t>
        </is>
      </c>
      <c r="AW308" t="inlineStr">
        <is>
          <t>701+</t>
        </is>
      </c>
      <c r="AX308" t="inlineStr">
        <is>
          <t>5.1</t>
        </is>
      </c>
      <c r="AY308" t="inlineStr">
        <is>
          <t>701+</t>
        </is>
      </c>
      <c r="AZ308" t="inlineStr"/>
      <c r="BA308" t="inlineStr"/>
    </row>
    <row r="309">
      <c r="A309" t="inlineStr">
        <is>
          <t>Fundación Universidad De Bogotá-Jorge Tadeo Lozano</t>
        </is>
      </c>
      <c r="B309" t="inlineStr">
        <is>
          <t>Colombia</t>
        </is>
      </c>
      <c r="C309" t="inlineStr">
        <is>
          <t>CO</t>
        </is>
      </c>
      <c r="D309" t="inlineStr"/>
      <c r="E309" t="inlineStr">
        <is>
          <t>M</t>
        </is>
      </c>
      <c r="F309" t="inlineStr">
        <is>
          <t>FO</t>
        </is>
      </c>
      <c r="G309" t="inlineStr">
        <is>
          <t>HI</t>
        </is>
      </c>
      <c r="H309" t="inlineStr">
        <is>
          <t>4</t>
        </is>
      </c>
      <c r="I309" t="inlineStr">
        <is>
          <t>C</t>
        </is>
      </c>
      <c r="J309" t="inlineStr"/>
      <c r="K309" t="inlineStr"/>
      <c r="L309" t="inlineStr">
        <is>
          <t>1201-1400</t>
        </is>
      </c>
      <c r="M309" t="inlineStr">
        <is>
          <t>1201-1400</t>
        </is>
      </c>
      <c r="N309" t="inlineStr"/>
      <c r="O309" t="inlineStr">
        <is>
          <t>-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6.0</t>
        </is>
      </c>
      <c r="AK309" t="inlineStr">
        <is>
          <t>601+</t>
        </is>
      </c>
      <c r="AL309" t="inlineStr">
        <is>
          <t>4.5</t>
        </is>
      </c>
      <c r="AM309" t="inlineStr">
        <is>
          <t>601+</t>
        </is>
      </c>
      <c r="AN309" t="inlineStr">
        <is>
          <t>9.2</t>
        </is>
      </c>
      <c r="AO309" t="inlineStr">
        <is>
          <t>701+</t>
        </is>
      </c>
      <c r="AP309" t="inlineStr">
        <is>
          <t>1.7</t>
        </is>
      </c>
      <c r="AQ309" t="inlineStr">
        <is>
          <t>701+</t>
        </is>
      </c>
      <c r="AR309" t="inlineStr">
        <is>
          <t>2.3</t>
        </is>
      </c>
      <c r="AS309" t="inlineStr">
        <is>
          <t>701+</t>
        </is>
      </c>
      <c r="AT309" t="inlineStr">
        <is>
          <t>1.1</t>
        </is>
      </c>
      <c r="AU309" t="inlineStr">
        <is>
          <t>701+</t>
        </is>
      </c>
      <c r="AV309" t="inlineStr">
        <is>
          <t>1.0</t>
        </is>
      </c>
      <c r="AW309" t="inlineStr">
        <is>
          <t>701+</t>
        </is>
      </c>
      <c r="AX309" t="inlineStr">
        <is>
          <t>7.8</t>
        </is>
      </c>
      <c r="AY309" t="inlineStr">
        <is>
          <t>701+</t>
        </is>
      </c>
      <c r="AZ309" t="inlineStr">
        <is>
          <t>1</t>
        </is>
      </c>
      <c r="BA309" t="inlineStr">
        <is>
          <t>701+</t>
        </is>
      </c>
    </row>
    <row r="310">
      <c r="A310" t="inlineStr">
        <is>
          <t>Future University in Egypt</t>
        </is>
      </c>
      <c r="B310" t="inlineStr">
        <is>
          <t>Egypt</t>
        </is>
      </c>
      <c r="C310" t="inlineStr">
        <is>
          <t>EG</t>
        </is>
      </c>
      <c r="D310" t="inlineStr">
        <is>
          <t>Africa</t>
        </is>
      </c>
      <c r="E310" t="inlineStr">
        <is>
          <t>M</t>
        </is>
      </c>
      <c r="F310" t="inlineStr">
        <is>
          <t>FO</t>
        </is>
      </c>
      <c r="G310" t="inlineStr">
        <is>
          <t>VH</t>
        </is>
      </c>
      <c r="H310" t="inlineStr">
        <is>
          <t>2</t>
        </is>
      </c>
      <c r="I310" t="inlineStr">
        <is>
          <t>Private not for Profit</t>
        </is>
      </c>
      <c r="J310" t="inlineStr">
        <is>
          <t>901-950</t>
        </is>
      </c>
      <c r="K310" t="inlineStr">
        <is>
          <t>901-950</t>
        </is>
      </c>
      <c r="L310" t="inlineStr">
        <is>
          <t>1001-1200</t>
        </is>
      </c>
      <c r="M310" t="inlineStr">
        <is>
          <t>1001-1200</t>
        </is>
      </c>
      <c r="N310" t="inlineStr">
        <is>
          <t>-</t>
        </is>
      </c>
      <c r="O310" t="inlineStr">
        <is>
          <t>-</t>
        </is>
      </c>
      <c r="P310" t="n">
        <v>7.1</v>
      </c>
      <c r="Q310" t="inlineStr">
        <is>
          <t>701+</t>
        </is>
      </c>
      <c r="R310" t="n">
        <v>40.5</v>
      </c>
      <c r="S310" t="inlineStr">
        <is>
          <t>334</t>
        </is>
      </c>
      <c r="T310" t="n">
        <v>47.2</v>
      </c>
      <c r="U310" t="inlineStr">
        <is>
          <t>416</t>
        </is>
      </c>
      <c r="V310" t="n">
        <v>5.3</v>
      </c>
      <c r="W310" t="inlineStr">
        <is>
          <t>801+</t>
        </is>
      </c>
      <c r="X310" t="n">
        <v>18.2</v>
      </c>
      <c r="Y310" t="inlineStr">
        <is>
          <t>738</t>
        </is>
      </c>
      <c r="Z310" t="n">
        <v>33</v>
      </c>
      <c r="AA310" t="inlineStr">
        <is>
          <t>558</t>
        </is>
      </c>
      <c r="AB310" t="n">
        <v>34.5</v>
      </c>
      <c r="AC310" t="inlineStr">
        <is>
          <t>558</t>
        </is>
      </c>
      <c r="AD310" t="n">
        <v>50.4</v>
      </c>
      <c r="AE310" t="inlineStr">
        <is>
          <t>801+</t>
        </is>
      </c>
      <c r="AF310" t="n">
        <v>3.3</v>
      </c>
      <c r="AG310" t="inlineStr">
        <is>
          <t>801+</t>
        </is>
      </c>
      <c r="AH310" t="n">
        <v>35.7</v>
      </c>
      <c r="AI310" t="inlineStr">
        <is>
          <t>801+</t>
        </is>
      </c>
      <c r="AJ310" t="inlineStr">
        <is>
          <t>4.5</t>
        </is>
      </c>
      <c r="AK310" t="inlineStr">
        <is>
          <t>601+</t>
        </is>
      </c>
      <c r="AL310" t="inlineStr">
        <is>
          <t>27.8</t>
        </is>
      </c>
      <c r="AM310" t="inlineStr">
        <is>
          <t>349</t>
        </is>
      </c>
      <c r="AN310" t="inlineStr">
        <is>
          <t>31.4</t>
        </is>
      </c>
      <c r="AO310" t="inlineStr">
        <is>
          <t>503</t>
        </is>
      </c>
      <c r="AP310" t="inlineStr">
        <is>
          <t>1.8</t>
        </is>
      </c>
      <c r="AQ310" t="inlineStr">
        <is>
          <t>701+</t>
        </is>
      </c>
      <c r="AR310" t="inlineStr">
        <is>
          <t>6.9</t>
        </is>
      </c>
      <c r="AS310" t="inlineStr">
        <is>
          <t>701+</t>
        </is>
      </c>
      <c r="AT310" t="inlineStr">
        <is>
          <t>14.7</t>
        </is>
      </c>
      <c r="AU310" t="inlineStr">
        <is>
          <t>627</t>
        </is>
      </c>
      <c r="AV310" t="inlineStr">
        <is>
          <t>1.0</t>
        </is>
      </c>
      <c r="AW310" t="inlineStr">
        <is>
          <t>701+</t>
        </is>
      </c>
      <c r="AX310" t="inlineStr">
        <is>
          <t>8.8</t>
        </is>
      </c>
      <c r="AY310" t="inlineStr">
        <is>
          <t>701+</t>
        </is>
      </c>
      <c r="AZ310" t="inlineStr">
        <is>
          <t>1.6</t>
        </is>
      </c>
      <c r="BA310" t="inlineStr">
        <is>
          <t>701+</t>
        </is>
      </c>
    </row>
    <row r="311">
      <c r="A311" t="inlineStr">
        <is>
          <t>Gadjah Mada University</t>
        </is>
      </c>
      <c r="B311" t="inlineStr">
        <is>
          <t>Indonesia</t>
        </is>
      </c>
      <c r="C311" t="inlineStr">
        <is>
          <t>ID</t>
        </is>
      </c>
      <c r="D311" t="inlineStr"/>
      <c r="E311" t="inlineStr">
        <is>
          <t>XL</t>
        </is>
      </c>
      <c r="F311" t="inlineStr">
        <is>
          <t>FC</t>
        </is>
      </c>
      <c r="G311" t="inlineStr">
        <is>
          <t>HI</t>
        </is>
      </c>
      <c r="H311" t="inlineStr">
        <is>
          <t>4</t>
        </is>
      </c>
      <c r="I311" t="inlineStr">
        <is>
          <t>A</t>
        </is>
      </c>
      <c r="J311" t="inlineStr"/>
      <c r="K311" t="inlineStr"/>
      <c r="L311" t="inlineStr">
        <is>
          <t>263</t>
        </is>
      </c>
      <c r="M311" t="inlineStr">
        <is>
          <t>231</t>
        </is>
      </c>
      <c r="N311" t="inlineStr"/>
      <c r="O311" t="inlineStr">
        <is>
          <t>38.0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51.7</t>
        </is>
      </c>
      <c r="AK311" t="inlineStr">
        <is>
          <t>152</t>
        </is>
      </c>
      <c r="AL311" t="inlineStr">
        <is>
          <t>66.5</t>
        </is>
      </c>
      <c r="AM311" t="inlineStr">
        <is>
          <t>118</t>
        </is>
      </c>
      <c r="AN311" t="inlineStr">
        <is>
          <t>54.4</t>
        </is>
      </c>
      <c r="AO311" t="inlineStr">
        <is>
          <t>282</t>
        </is>
      </c>
      <c r="AP311" t="inlineStr">
        <is>
          <t>1.7</t>
        </is>
      </c>
      <c r="AQ311" t="inlineStr">
        <is>
          <t>701+</t>
        </is>
      </c>
      <c r="AR311" t="inlineStr">
        <is>
          <t>38.5</t>
        </is>
      </c>
      <c r="AS311" t="inlineStr">
        <is>
          <t>419</t>
        </is>
      </c>
      <c r="AT311" t="inlineStr">
        <is>
          <t>1.6</t>
        </is>
      </c>
      <c r="AU311" t="inlineStr">
        <is>
          <t>701+</t>
        </is>
      </c>
      <c r="AV311" t="inlineStr">
        <is>
          <t>2.1</t>
        </is>
      </c>
      <c r="AW311" t="inlineStr">
        <is>
          <t>701+</t>
        </is>
      </c>
      <c r="AX311" t="inlineStr">
        <is>
          <t>42.6</t>
        </is>
      </c>
      <c r="AY311" t="inlineStr">
        <is>
          <t>169</t>
        </is>
      </c>
      <c r="AZ311" t="inlineStr">
        <is>
          <t>47.2</t>
        </is>
      </c>
      <c r="BA311" t="inlineStr">
        <is>
          <t>323=</t>
        </is>
      </c>
    </row>
    <row r="312">
      <c r="A312" t="inlineStr">
        <is>
          <t>Galgotias University</t>
        </is>
      </c>
      <c r="B312" t="inlineStr">
        <is>
          <t>India</t>
        </is>
      </c>
      <c r="C312" t="inlineStr"/>
      <c r="D312" t="inlineStr">
        <is>
          <t>Asia</t>
        </is>
      </c>
      <c r="E312" t="inlineStr">
        <is>
          <t>L</t>
        </is>
      </c>
      <c r="F312" t="inlineStr">
        <is>
          <t>CO</t>
        </is>
      </c>
      <c r="G312" t="inlineStr">
        <is>
          <t>HI</t>
        </is>
      </c>
      <c r="H312" t="inlineStr"/>
      <c r="I312" t="inlineStr">
        <is>
          <t>Private not for Profit</t>
        </is>
      </c>
      <c r="J312" t="inlineStr">
        <is>
          <t>1201-1400</t>
        </is>
      </c>
      <c r="K312" t="inlineStr"/>
      <c r="L312" t="inlineStr"/>
      <c r="M312" t="inlineStr"/>
      <c r="N312" t="inlineStr">
        <is>
          <t>-</t>
        </is>
      </c>
      <c r="O312" t="inlineStr"/>
      <c r="P312" t="n">
        <v>16.6</v>
      </c>
      <c r="Q312" t="inlineStr">
        <is>
          <t>701+</t>
        </is>
      </c>
      <c r="R312" t="n">
        <v>4.6</v>
      </c>
      <c r="S312" t="inlineStr">
        <is>
          <t>701+</t>
        </is>
      </c>
      <c r="T312" t="n">
        <v>36.2</v>
      </c>
      <c r="U312" t="inlineStr">
        <is>
          <t>553</t>
        </is>
      </c>
      <c r="V312" t="n">
        <v>3.2</v>
      </c>
      <c r="W312" t="inlineStr">
        <is>
          <t>801+</t>
        </is>
      </c>
      <c r="X312" t="n">
        <v>21.1</v>
      </c>
      <c r="Y312" t="inlineStr">
        <is>
          <t>696</t>
        </is>
      </c>
      <c r="Z312" t="n">
        <v>15</v>
      </c>
      <c r="AA312" t="inlineStr">
        <is>
          <t>801+</t>
        </is>
      </c>
      <c r="AB312" t="n">
        <v>18.1</v>
      </c>
      <c r="AC312" t="inlineStr">
        <is>
          <t>793</t>
        </is>
      </c>
      <c r="AD312" t="n">
        <v>16.9</v>
      </c>
      <c r="AE312" t="inlineStr">
        <is>
          <t>801+</t>
        </is>
      </c>
      <c r="AF312" t="n">
        <v>3.3</v>
      </c>
      <c r="AG312" t="inlineStr">
        <is>
          <t>801+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Gazi Üniversitesi</t>
        </is>
      </c>
      <c r="B313" t="inlineStr">
        <is>
          <t>Turkey</t>
        </is>
      </c>
      <c r="C313" t="inlineStr">
        <is>
          <t>TR</t>
        </is>
      </c>
      <c r="D313" t="inlineStr">
        <is>
          <t>Asia</t>
        </is>
      </c>
      <c r="E313" t="inlineStr">
        <is>
          <t>XL</t>
        </is>
      </c>
      <c r="F313" t="inlineStr">
        <is>
          <t>FC</t>
        </is>
      </c>
      <c r="G313" t="inlineStr">
        <is>
          <t>HI</t>
        </is>
      </c>
      <c r="H313" t="inlineStr">
        <is>
          <t>4</t>
        </is>
      </c>
      <c r="I313" t="inlineStr">
        <is>
          <t>Public</t>
        </is>
      </c>
      <c r="J313" t="inlineStr">
        <is>
          <t>901-950</t>
        </is>
      </c>
      <c r="K313" t="inlineStr">
        <is>
          <t>901-950</t>
        </is>
      </c>
      <c r="L313" t="inlineStr">
        <is>
          <t>1001-1200</t>
        </is>
      </c>
      <c r="M313" t="inlineStr">
        <is>
          <t>1001-1200</t>
        </is>
      </c>
      <c r="N313" t="inlineStr">
        <is>
          <t>-</t>
        </is>
      </c>
      <c r="O313" t="inlineStr">
        <is>
          <t>-</t>
        </is>
      </c>
      <c r="P313" t="n">
        <v>23.7</v>
      </c>
      <c r="Q313" t="inlineStr">
        <is>
          <t>533</t>
        </is>
      </c>
      <c r="R313" t="n">
        <v>24.4</v>
      </c>
      <c r="S313" t="inlineStr">
        <is>
          <t>551</t>
        </is>
      </c>
      <c r="T313" t="n">
        <v>9.800000000000001</v>
      </c>
      <c r="U313" t="inlineStr">
        <is>
          <t>801+</t>
        </is>
      </c>
      <c r="V313" t="n">
        <v>7.6</v>
      </c>
      <c r="W313" t="inlineStr">
        <is>
          <t>801+</t>
        </is>
      </c>
      <c r="X313" t="n">
        <v>1.2</v>
      </c>
      <c r="Y313" t="inlineStr">
        <is>
          <t>801+</t>
        </is>
      </c>
      <c r="Z313" t="n">
        <v>7.5</v>
      </c>
      <c r="AA313" t="inlineStr">
        <is>
          <t>801+</t>
        </is>
      </c>
      <c r="AB313" t="n">
        <v>13.1</v>
      </c>
      <c r="AC313" t="inlineStr">
        <is>
          <t>801+</t>
        </is>
      </c>
      <c r="AD313" t="n">
        <v>61.2</v>
      </c>
      <c r="AE313" t="inlineStr">
        <is>
          <t>676</t>
        </is>
      </c>
      <c r="AF313" t="n">
        <v>28.9</v>
      </c>
      <c r="AG313" t="inlineStr">
        <is>
          <t>576</t>
        </is>
      </c>
      <c r="AH313" t="n">
        <v>55.6</v>
      </c>
      <c r="AI313" t="inlineStr">
        <is>
          <t>589=</t>
        </is>
      </c>
      <c r="AJ313" t="inlineStr">
        <is>
          <t>16.4</t>
        </is>
      </c>
      <c r="AK313" t="inlineStr">
        <is>
          <t>534</t>
        </is>
      </c>
      <c r="AL313" t="inlineStr">
        <is>
          <t>11.3</t>
        </is>
      </c>
      <c r="AM313" t="inlineStr">
        <is>
          <t>601+</t>
        </is>
      </c>
      <c r="AN313" t="inlineStr">
        <is>
          <t>5.5</t>
        </is>
      </c>
      <c r="AO313" t="inlineStr">
        <is>
          <t>701+</t>
        </is>
      </c>
      <c r="AP313" t="inlineStr">
        <is>
          <t>4.0</t>
        </is>
      </c>
      <c r="AQ313" t="inlineStr">
        <is>
          <t>701+</t>
        </is>
      </c>
      <c r="AR313" t="inlineStr">
        <is>
          <t>1.1</t>
        </is>
      </c>
      <c r="AS313" t="inlineStr">
        <is>
          <t>701+</t>
        </is>
      </c>
      <c r="AT313" t="inlineStr">
        <is>
          <t>2.8</t>
        </is>
      </c>
      <c r="AU313" t="inlineStr">
        <is>
          <t>701+</t>
        </is>
      </c>
      <c r="AV313" t="inlineStr">
        <is>
          <t>14.4</t>
        </is>
      </c>
      <c r="AW313" t="inlineStr">
        <is>
          <t>604</t>
        </is>
      </c>
      <c r="AX313" t="inlineStr">
        <is>
          <t>14.5</t>
        </is>
      </c>
      <c r="AY313" t="inlineStr">
        <is>
          <t>580</t>
        </is>
      </c>
      <c r="AZ313" t="inlineStr">
        <is>
          <t>14.5</t>
        </is>
      </c>
      <c r="BA313" t="inlineStr">
        <is>
          <t>617=</t>
        </is>
      </c>
    </row>
    <row r="314">
      <c r="A314" t="inlineStr">
        <is>
          <t>Gdansk University of Technology</t>
        </is>
      </c>
      <c r="B314" t="inlineStr">
        <is>
          <t>Poland</t>
        </is>
      </c>
      <c r="C314" t="inlineStr"/>
      <c r="D314" t="inlineStr">
        <is>
          <t>Europe</t>
        </is>
      </c>
      <c r="E314" t="inlineStr">
        <is>
          <t>L</t>
        </is>
      </c>
      <c r="F314" t="inlineStr">
        <is>
          <t>FO</t>
        </is>
      </c>
      <c r="G314" t="inlineStr">
        <is>
          <t>VH</t>
        </is>
      </c>
      <c r="H314" t="inlineStr"/>
      <c r="I314" t="inlineStr">
        <is>
          <t>Public</t>
        </is>
      </c>
      <c r="J314" t="inlineStr">
        <is>
          <t>801-850</t>
        </is>
      </c>
      <c r="K314" t="inlineStr">
        <is>
          <t>801-850</t>
        </is>
      </c>
      <c r="L314" t="inlineStr"/>
      <c r="M314" t="inlineStr"/>
      <c r="N314" t="inlineStr">
        <is>
          <t>-</t>
        </is>
      </c>
      <c r="O314" t="inlineStr"/>
      <c r="P314" t="n">
        <v>12</v>
      </c>
      <c r="Q314" t="inlineStr">
        <is>
          <t>701+</t>
        </is>
      </c>
      <c r="R314" t="n">
        <v>24.1</v>
      </c>
      <c r="S314" t="inlineStr">
        <is>
          <t>560</t>
        </is>
      </c>
      <c r="T314" t="n">
        <v>31.8</v>
      </c>
      <c r="U314" t="inlineStr">
        <is>
          <t>603</t>
        </is>
      </c>
      <c r="V314" t="n">
        <v>25.5</v>
      </c>
      <c r="W314" t="inlineStr">
        <is>
          <t>630</t>
        </is>
      </c>
      <c r="X314" t="n">
        <v>6.9</v>
      </c>
      <c r="Y314" t="inlineStr">
        <is>
          <t>801+</t>
        </is>
      </c>
      <c r="Z314" t="n">
        <v>7.8</v>
      </c>
      <c r="AA314" t="inlineStr">
        <is>
          <t>801+</t>
        </is>
      </c>
      <c r="AB314" t="n">
        <v>12.7</v>
      </c>
      <c r="AC314" t="inlineStr">
        <is>
          <t>801+</t>
        </is>
      </c>
      <c r="AD314" t="n">
        <v>70</v>
      </c>
      <c r="AE314" t="inlineStr">
        <is>
          <t>531</t>
        </is>
      </c>
      <c r="AF314" t="n">
        <v>4</v>
      </c>
      <c r="AG314" t="inlineStr">
        <is>
          <t>801+</t>
        </is>
      </c>
      <c r="AH314" t="n">
        <v>64</v>
      </c>
      <c r="AI314" t="inlineStr">
        <is>
          <t>422=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Gdańsk University of Technology</t>
        </is>
      </c>
      <c r="B315" t="inlineStr">
        <is>
          <t>Poland</t>
        </is>
      </c>
      <c r="C315" t="inlineStr">
        <is>
          <t>PL</t>
        </is>
      </c>
      <c r="D315" t="inlineStr"/>
      <c r="E315" t="inlineStr">
        <is>
          <t>M</t>
        </is>
      </c>
      <c r="F315" t="inlineStr">
        <is>
          <t>FO</t>
        </is>
      </c>
      <c r="G315" t="inlineStr">
        <is>
          <t>VH</t>
        </is>
      </c>
      <c r="H315" t="inlineStr">
        <is>
          <t>5</t>
        </is>
      </c>
      <c r="I315" t="inlineStr">
        <is>
          <t>A</t>
        </is>
      </c>
      <c r="J315" t="inlineStr"/>
      <c r="K315" t="inlineStr"/>
      <c r="L315" t="inlineStr">
        <is>
          <t>851-900</t>
        </is>
      </c>
      <c r="M315" t="inlineStr">
        <is>
          <t>801-1000</t>
        </is>
      </c>
      <c r="N315" t="inlineStr"/>
      <c r="O315" t="inlineStr">
        <is>
          <t>-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9.2</t>
        </is>
      </c>
      <c r="AK315" t="inlineStr">
        <is>
          <t>601+</t>
        </is>
      </c>
      <c r="AL315" t="inlineStr">
        <is>
          <t>14.4</t>
        </is>
      </c>
      <c r="AM315" t="inlineStr">
        <is>
          <t>566</t>
        </is>
      </c>
      <c r="AN315" t="inlineStr">
        <is>
          <t>36.3</t>
        </is>
      </c>
      <c r="AO315" t="inlineStr">
        <is>
          <t>437</t>
        </is>
      </c>
      <c r="AP315" t="inlineStr">
        <is>
          <t>11.8</t>
        </is>
      </c>
      <c r="AQ315" t="inlineStr">
        <is>
          <t>701+</t>
        </is>
      </c>
      <c r="AR315" t="inlineStr">
        <is>
          <t>3.3</t>
        </is>
      </c>
      <c r="AS315" t="inlineStr">
        <is>
          <t>701+</t>
        </is>
      </c>
      <c r="AT315" t="inlineStr">
        <is>
          <t>7.1</t>
        </is>
      </c>
      <c r="AU315" t="inlineStr">
        <is>
          <t>701+</t>
        </is>
      </c>
      <c r="AV315" t="inlineStr">
        <is>
          <t>11.8</t>
        </is>
      </c>
      <c r="AW315" t="inlineStr">
        <is>
          <t>638</t>
        </is>
      </c>
      <c r="AX315" t="inlineStr">
        <is>
          <t>8.6</t>
        </is>
      </c>
      <c r="AY315" t="inlineStr">
        <is>
          <t>701+</t>
        </is>
      </c>
      <c r="AZ315" t="inlineStr">
        <is>
          <t>14.9</t>
        </is>
      </c>
      <c r="BA315" t="inlineStr">
        <is>
          <t>614=</t>
        </is>
      </c>
    </row>
    <row r="316">
      <c r="A316" t="inlineStr">
        <is>
          <t>Gebze Technical University</t>
        </is>
      </c>
      <c r="B316" t="inlineStr">
        <is>
          <t>Turkey</t>
        </is>
      </c>
      <c r="C316" t="inlineStr"/>
      <c r="D316" t="inlineStr">
        <is>
          <t>Asia</t>
        </is>
      </c>
      <c r="E316" t="inlineStr">
        <is>
          <t>M</t>
        </is>
      </c>
      <c r="F316" t="inlineStr">
        <is>
          <t>CO</t>
        </is>
      </c>
      <c r="G316" t="inlineStr">
        <is>
          <t>VH</t>
        </is>
      </c>
      <c r="H316" t="inlineStr"/>
      <c r="I316" t="inlineStr">
        <is>
          <t>Public</t>
        </is>
      </c>
      <c r="J316" t="inlineStr">
        <is>
          <t>1001-1200</t>
        </is>
      </c>
      <c r="K316" t="inlineStr">
        <is>
          <t>1001-1200</t>
        </is>
      </c>
      <c r="L316" t="inlineStr"/>
      <c r="M316" t="inlineStr"/>
      <c r="N316" t="inlineStr">
        <is>
          <t>-</t>
        </is>
      </c>
      <c r="O316" t="inlineStr"/>
      <c r="P316" t="n">
        <v>7</v>
      </c>
      <c r="Q316" t="inlineStr">
        <is>
          <t>701+</t>
        </is>
      </c>
      <c r="R316" t="n">
        <v>9.5</v>
      </c>
      <c r="S316" t="inlineStr">
        <is>
          <t>701+</t>
        </is>
      </c>
      <c r="T316" t="n">
        <v>9.1</v>
      </c>
      <c r="U316" t="inlineStr">
        <is>
          <t>801+</t>
        </is>
      </c>
      <c r="V316" t="n">
        <v>40.3</v>
      </c>
      <c r="W316" t="inlineStr">
        <is>
          <t>463</t>
        </is>
      </c>
      <c r="X316" t="n">
        <v>19.7</v>
      </c>
      <c r="Y316" t="inlineStr">
        <is>
          <t>718</t>
        </is>
      </c>
      <c r="Z316" t="n">
        <v>10.6</v>
      </c>
      <c r="AA316" t="inlineStr">
        <is>
          <t>801+</t>
        </is>
      </c>
      <c r="AB316" t="n">
        <v>15.3</v>
      </c>
      <c r="AC316" t="inlineStr">
        <is>
          <t>801+</t>
        </is>
      </c>
      <c r="AD316" t="n">
        <v>41.4</v>
      </c>
      <c r="AE316" t="inlineStr">
        <is>
          <t>801+</t>
        </is>
      </c>
      <c r="AF316" t="n">
        <v>2.5</v>
      </c>
      <c r="AG316" t="inlineStr">
        <is>
          <t>801+</t>
        </is>
      </c>
      <c r="AH316" t="n">
        <v>42.2</v>
      </c>
      <c r="AI316" t="inlineStr">
        <is>
          <t>801+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Gebze Yüksek Teknoloji Enstitüsü (GYTE)</t>
        </is>
      </c>
      <c r="B317" t="inlineStr">
        <is>
          <t>Turkey</t>
        </is>
      </c>
      <c r="C317" t="inlineStr">
        <is>
          <t>TR</t>
        </is>
      </c>
      <c r="D317" t="inlineStr"/>
      <c r="E317" t="inlineStr">
        <is>
          <t>M</t>
        </is>
      </c>
      <c r="F317" t="inlineStr">
        <is>
          <t>CO</t>
        </is>
      </c>
      <c r="G317" t="inlineStr">
        <is>
          <t>VH</t>
        </is>
      </c>
      <c r="H317" t="inlineStr">
        <is>
          <t>3</t>
        </is>
      </c>
      <c r="I317" t="inlineStr">
        <is>
          <t>A</t>
        </is>
      </c>
      <c r="J317" t="inlineStr"/>
      <c r="K317" t="inlineStr"/>
      <c r="L317" t="inlineStr">
        <is>
          <t>1201-1400</t>
        </is>
      </c>
      <c r="M317" t="inlineStr">
        <is>
          <t>1201-1400</t>
        </is>
      </c>
      <c r="N317" t="inlineStr"/>
      <c r="O317" t="inlineStr">
        <is>
          <t>-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3.9</t>
        </is>
      </c>
      <c r="AK317" t="inlineStr">
        <is>
          <t>601+</t>
        </is>
      </c>
      <c r="AL317" t="inlineStr">
        <is>
          <t>2.7</t>
        </is>
      </c>
      <c r="AM317" t="inlineStr">
        <is>
          <t>601+</t>
        </is>
      </c>
      <c r="AN317" t="inlineStr">
        <is>
          <t>10.1</t>
        </is>
      </c>
      <c r="AO317" t="inlineStr">
        <is>
          <t>701+</t>
        </is>
      </c>
      <c r="AP317" t="inlineStr">
        <is>
          <t>13.2</t>
        </is>
      </c>
      <c r="AQ317" t="inlineStr">
        <is>
          <t>675</t>
        </is>
      </c>
      <c r="AR317" t="inlineStr">
        <is>
          <t>3.0</t>
        </is>
      </c>
      <c r="AS317" t="inlineStr">
        <is>
          <t>701+</t>
        </is>
      </c>
      <c r="AT317" t="inlineStr">
        <is>
          <t>2.7</t>
        </is>
      </c>
      <c r="AU317" t="inlineStr">
        <is>
          <t>701+</t>
        </is>
      </c>
      <c r="AV317" t="inlineStr">
        <is>
          <t>1.6</t>
        </is>
      </c>
      <c r="AW317" t="inlineStr">
        <is>
          <t>701+</t>
        </is>
      </c>
      <c r="AX317" t="inlineStr">
        <is>
          <t>9.1</t>
        </is>
      </c>
      <c r="AY317" t="inlineStr">
        <is>
          <t>701+</t>
        </is>
      </c>
      <c r="AZ317" t="inlineStr">
        <is>
          <t>1.1</t>
        </is>
      </c>
      <c r="BA317" t="inlineStr">
        <is>
          <t>701+</t>
        </is>
      </c>
    </row>
    <row r="318">
      <c r="A318" t="inlineStr">
        <is>
          <t>Georg-August-Universität Göttingen</t>
        </is>
      </c>
      <c r="B318" t="inlineStr">
        <is>
          <t>Germany</t>
        </is>
      </c>
      <c r="C318" t="inlineStr"/>
      <c r="D318" t="inlineStr">
        <is>
          <t>Europe</t>
        </is>
      </c>
      <c r="E318" t="inlineStr">
        <is>
          <t>L</t>
        </is>
      </c>
      <c r="F318" t="inlineStr">
        <is>
          <t>FC</t>
        </is>
      </c>
      <c r="G318" t="inlineStr">
        <is>
          <t>VH</t>
        </is>
      </c>
      <c r="H318" t="inlineStr"/>
      <c r="I318" t="inlineStr">
        <is>
          <t>Public</t>
        </is>
      </c>
      <c r="J318" t="inlineStr">
        <is>
          <t>243</t>
        </is>
      </c>
      <c r="K318" t="inlineStr">
        <is>
          <t>252</t>
        </is>
      </c>
      <c r="L318" t="inlineStr"/>
      <c r="M318" t="inlineStr"/>
      <c r="N318" t="inlineStr">
        <is>
          <t>51.1</t>
        </is>
      </c>
      <c r="O318" t="inlineStr"/>
      <c r="P318" t="n">
        <v>57.3</v>
      </c>
      <c r="Q318" t="inlineStr">
        <is>
          <t>190</t>
        </is>
      </c>
      <c r="R318" t="n">
        <v>35.6</v>
      </c>
      <c r="S318" t="inlineStr">
        <is>
          <t>405</t>
        </is>
      </c>
      <c r="T318" t="n">
        <v>87</v>
      </c>
      <c r="U318" t="inlineStr">
        <is>
          <t>122</t>
        </is>
      </c>
      <c r="V318" t="n">
        <v>25.8</v>
      </c>
      <c r="W318" t="inlineStr">
        <is>
          <t>626</t>
        </is>
      </c>
      <c r="X318" t="n">
        <v>59.2</v>
      </c>
      <c r="Y318" t="inlineStr">
        <is>
          <t>395</t>
        </is>
      </c>
      <c r="Z318" t="n">
        <v>37.9</v>
      </c>
      <c r="AA318" t="inlineStr">
        <is>
          <t>517</t>
        </is>
      </c>
      <c r="AB318" t="n">
        <v>43.4</v>
      </c>
      <c r="AC318" t="inlineStr">
        <is>
          <t>479</t>
        </is>
      </c>
      <c r="AD318" t="n">
        <v>95.2</v>
      </c>
      <c r="AE318" t="inlineStr">
        <is>
          <t>80</t>
        </is>
      </c>
      <c r="AF318" t="n">
        <v>51.2</v>
      </c>
      <c r="AG318" t="inlineStr">
        <is>
          <t>334</t>
        </is>
      </c>
      <c r="AH318" t="n">
        <v>61</v>
      </c>
      <c r="AI318" t="inlineStr">
        <is>
          <t>480=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George Mason University</t>
        </is>
      </c>
      <c r="B319" t="inlineStr">
        <is>
          <t>United States</t>
        </is>
      </c>
      <c r="C319" t="inlineStr">
        <is>
          <t>US</t>
        </is>
      </c>
      <c r="D319" t="inlineStr">
        <is>
          <t>Americas</t>
        </is>
      </c>
      <c r="E319" t="inlineStr">
        <is>
          <t>L</t>
        </is>
      </c>
      <c r="F319" t="inlineStr">
        <is>
          <t>CO</t>
        </is>
      </c>
      <c r="G319" t="inlineStr">
        <is>
          <t>VH</t>
        </is>
      </c>
      <c r="H319" t="inlineStr">
        <is>
          <t>4</t>
        </is>
      </c>
      <c r="I319" t="inlineStr">
        <is>
          <t>Public</t>
        </is>
      </c>
      <c r="J319" t="inlineStr">
        <is>
          <t>951-1000</t>
        </is>
      </c>
      <c r="K319" t="inlineStr">
        <is>
          <t>1001-1200</t>
        </is>
      </c>
      <c r="L319" t="inlineStr">
        <is>
          <t>951-1000</t>
        </is>
      </c>
      <c r="M319" t="inlineStr">
        <is>
          <t>1001-1200</t>
        </is>
      </c>
      <c r="N319" t="inlineStr">
        <is>
          <t>-</t>
        </is>
      </c>
      <c r="O319" t="inlineStr">
        <is>
          <t>-</t>
        </is>
      </c>
      <c r="P319" t="n">
        <v>12</v>
      </c>
      <c r="Q319" t="inlineStr">
        <is>
          <t>701+</t>
        </is>
      </c>
      <c r="R319" t="n">
        <v>11.6</v>
      </c>
      <c r="S319" t="inlineStr">
        <is>
          <t>701+</t>
        </is>
      </c>
      <c r="T319" t="n">
        <v>17.1</v>
      </c>
      <c r="U319" t="inlineStr">
        <is>
          <t>801+</t>
        </is>
      </c>
      <c r="V319" t="n">
        <v>18</v>
      </c>
      <c r="W319" t="inlineStr">
        <is>
          <t>753</t>
        </is>
      </c>
      <c r="X319" t="n">
        <v>15.6</v>
      </c>
      <c r="Y319" t="inlineStr">
        <is>
          <t>790</t>
        </is>
      </c>
      <c r="Z319" t="n">
        <v>17.1</v>
      </c>
      <c r="AA319" t="inlineStr">
        <is>
          <t>778</t>
        </is>
      </c>
      <c r="AB319" t="n">
        <v>12.9</v>
      </c>
      <c r="AC319" t="inlineStr">
        <is>
          <t>801+</t>
        </is>
      </c>
      <c r="AD319" t="n">
        <v>67.59999999999999</v>
      </c>
      <c r="AE319" t="inlineStr">
        <is>
          <t>575</t>
        </is>
      </c>
      <c r="AF319" t="n">
        <v>17.4</v>
      </c>
      <c r="AG319" t="inlineStr">
        <is>
          <t>776</t>
        </is>
      </c>
      <c r="AH319" t="n">
        <v>56.1</v>
      </c>
      <c r="AI319" t="inlineStr">
        <is>
          <t>578</t>
        </is>
      </c>
      <c r="AJ319" t="inlineStr">
        <is>
          <t>9.0</t>
        </is>
      </c>
      <c r="AK319" t="inlineStr">
        <is>
          <t>601+</t>
        </is>
      </c>
      <c r="AL319" t="inlineStr">
        <is>
          <t>6.0</t>
        </is>
      </c>
      <c r="AM319" t="inlineStr">
        <is>
          <t>601+</t>
        </is>
      </c>
      <c r="AN319" t="inlineStr">
        <is>
          <t>12.6</t>
        </is>
      </c>
      <c r="AO319" t="inlineStr">
        <is>
          <t>701+</t>
        </is>
      </c>
      <c r="AP319" t="inlineStr">
        <is>
          <t>11.4</t>
        </is>
      </c>
      <c r="AQ319" t="inlineStr">
        <is>
          <t>701+</t>
        </is>
      </c>
      <c r="AR319" t="inlineStr">
        <is>
          <t>12.4</t>
        </is>
      </c>
      <c r="AS319" t="inlineStr">
        <is>
          <t>701+</t>
        </is>
      </c>
      <c r="AT319" t="inlineStr">
        <is>
          <t>10.6</t>
        </is>
      </c>
      <c r="AU319" t="inlineStr">
        <is>
          <t>701+</t>
        </is>
      </c>
      <c r="AV319" t="inlineStr">
        <is>
          <t>17.2</t>
        </is>
      </c>
      <c r="AW319" t="inlineStr">
        <is>
          <t>571</t>
        </is>
      </c>
      <c r="AX319" t="inlineStr">
        <is>
          <t>14.5</t>
        </is>
      </c>
      <c r="AY319" t="inlineStr">
        <is>
          <t>581</t>
        </is>
      </c>
      <c r="AZ319" t="inlineStr">
        <is>
          <t>28.6</t>
        </is>
      </c>
      <c r="BA319" t="inlineStr">
        <is>
          <t>462</t>
        </is>
      </c>
    </row>
    <row r="320">
      <c r="A320" t="inlineStr">
        <is>
          <t>George Washington University</t>
        </is>
      </c>
      <c r="B320" t="inlineStr">
        <is>
          <t>United States</t>
        </is>
      </c>
      <c r="C320" t="inlineStr">
        <is>
          <t>US</t>
        </is>
      </c>
      <c r="D320" t="inlineStr">
        <is>
          <t>Americas</t>
        </is>
      </c>
      <c r="E320" t="inlineStr">
        <is>
          <t>L</t>
        </is>
      </c>
      <c r="F320" t="inlineStr">
        <is>
          <t>FC</t>
        </is>
      </c>
      <c r="G320" t="inlineStr">
        <is>
          <t>VH</t>
        </is>
      </c>
      <c r="H320" t="inlineStr">
        <is>
          <t>5</t>
        </is>
      </c>
      <c r="I320" t="inlineStr">
        <is>
          <t>Private not for Profit</t>
        </is>
      </c>
      <c r="J320" t="inlineStr">
        <is>
          <t>358</t>
        </is>
      </c>
      <c r="K320" t="inlineStr">
        <is>
          <t>371</t>
        </is>
      </c>
      <c r="L320">
        <f>340</f>
        <v/>
      </c>
      <c r="M320" t="inlineStr">
        <is>
          <t>362</t>
        </is>
      </c>
      <c r="N320" t="inlineStr">
        <is>
          <t>41.1</t>
        </is>
      </c>
      <c r="O320" t="inlineStr">
        <is>
          <t>32.1</t>
        </is>
      </c>
      <c r="P320" t="n">
        <v>31.7</v>
      </c>
      <c r="Q320" t="inlineStr">
        <is>
          <t>389</t>
        </is>
      </c>
      <c r="R320" t="n">
        <v>45.8</v>
      </c>
      <c r="S320" t="inlineStr">
        <is>
          <t>297</t>
        </is>
      </c>
      <c r="T320" t="n">
        <v>30.3</v>
      </c>
      <c r="U320" t="inlineStr">
        <is>
          <t>628</t>
        </is>
      </c>
      <c r="V320" t="n">
        <v>43.4</v>
      </c>
      <c r="W320" t="inlineStr">
        <is>
          <t>436</t>
        </is>
      </c>
      <c r="X320" t="n">
        <v>13</v>
      </c>
      <c r="Y320" t="inlineStr">
        <is>
          <t>801+</t>
        </is>
      </c>
      <c r="Z320" t="n">
        <v>39.2</v>
      </c>
      <c r="AA320" t="inlineStr">
        <is>
          <t>498</t>
        </is>
      </c>
      <c r="AB320" t="n">
        <v>44.7</v>
      </c>
      <c r="AC320" t="inlineStr">
        <is>
          <t>466</t>
        </is>
      </c>
      <c r="AD320" t="n">
        <v>78.7</v>
      </c>
      <c r="AE320" t="inlineStr">
        <is>
          <t>373</t>
        </is>
      </c>
      <c r="AF320" t="n">
        <v>85.8</v>
      </c>
      <c r="AG320" t="inlineStr">
        <is>
          <t>133</t>
        </is>
      </c>
      <c r="AH320" t="n">
        <v>60</v>
      </c>
      <c r="AI320" t="inlineStr">
        <is>
          <t>502=</t>
        </is>
      </c>
      <c r="AJ320" t="inlineStr">
        <is>
          <t>26.9</t>
        </is>
      </c>
      <c r="AK320" t="inlineStr">
        <is>
          <t>323</t>
        </is>
      </c>
      <c r="AL320" t="inlineStr">
        <is>
          <t>24.5</t>
        </is>
      </c>
      <c r="AM320" t="inlineStr">
        <is>
          <t>393</t>
        </is>
      </c>
      <c r="AN320" t="inlineStr">
        <is>
          <t>28.3</t>
        </is>
      </c>
      <c r="AO320" t="inlineStr">
        <is>
          <t>541</t>
        </is>
      </c>
      <c r="AP320" t="inlineStr">
        <is>
          <t>29.3</t>
        </is>
      </c>
      <c r="AQ320" t="inlineStr">
        <is>
          <t>439</t>
        </is>
      </c>
      <c r="AR320" t="inlineStr">
        <is>
          <t>31.6</t>
        </is>
      </c>
      <c r="AS320" t="inlineStr">
        <is>
          <t>478</t>
        </is>
      </c>
      <c r="AT320" t="inlineStr">
        <is>
          <t>27.6</t>
        </is>
      </c>
      <c r="AU320" t="inlineStr">
        <is>
          <t>444</t>
        </is>
      </c>
      <c r="AV320" t="inlineStr">
        <is>
          <t>61.0</t>
        </is>
      </c>
      <c r="AW320" t="inlineStr">
        <is>
          <t>239</t>
        </is>
      </c>
      <c r="AX320" t="inlineStr">
        <is>
          <t>49.5</t>
        </is>
      </c>
      <c r="AY320" t="inlineStr">
        <is>
          <t>135</t>
        </is>
      </c>
      <c r="AZ320" t="inlineStr">
        <is>
          <t>62.8</t>
        </is>
      </c>
      <c r="BA320" t="inlineStr">
        <is>
          <t>235=</t>
        </is>
      </c>
    </row>
    <row r="321">
      <c r="A321" t="inlineStr">
        <is>
          <t>Georgetown University</t>
        </is>
      </c>
      <c r="B321" t="inlineStr">
        <is>
          <t>United States</t>
        </is>
      </c>
      <c r="C321" t="inlineStr">
        <is>
          <t>US</t>
        </is>
      </c>
      <c r="D321" t="inlineStr">
        <is>
          <t>Americas</t>
        </is>
      </c>
      <c r="E321" t="inlineStr">
        <is>
          <t>L</t>
        </is>
      </c>
      <c r="F321" t="inlineStr">
        <is>
          <t>FC</t>
        </is>
      </c>
      <c r="G321" t="inlineStr">
        <is>
          <t>VH</t>
        </is>
      </c>
      <c r="H321" t="inlineStr">
        <is>
          <t>5</t>
        </is>
      </c>
      <c r="I321" t="inlineStr">
        <is>
          <t>Private not for Profit</t>
        </is>
      </c>
      <c r="J321" t="inlineStr">
        <is>
          <t>285</t>
        </is>
      </c>
      <c r="K321" t="inlineStr">
        <is>
          <t>301</t>
        </is>
      </c>
      <c r="L321" t="inlineStr">
        <is>
          <t>297</t>
        </is>
      </c>
      <c r="M321" t="inlineStr">
        <is>
          <t>281=</t>
        </is>
      </c>
      <c r="N321" t="inlineStr">
        <is>
          <t>47</t>
        </is>
      </c>
      <c r="O321" t="inlineStr">
        <is>
          <t>35.3</t>
        </is>
      </c>
      <c r="P321" t="n">
        <v>38.2</v>
      </c>
      <c r="Q321" t="inlineStr">
        <is>
          <t>312</t>
        </is>
      </c>
      <c r="R321" t="n">
        <v>60.6</v>
      </c>
      <c r="S321" t="inlineStr">
        <is>
          <t>190</t>
        </is>
      </c>
      <c r="T321" t="n">
        <v>74.2</v>
      </c>
      <c r="U321" t="inlineStr">
        <is>
          <t>203</t>
        </is>
      </c>
      <c r="V321" t="n">
        <v>21.7</v>
      </c>
      <c r="W321" t="inlineStr">
        <is>
          <t>689</t>
        </is>
      </c>
      <c r="X321" t="n">
        <v>22.8</v>
      </c>
      <c r="Y321" t="inlineStr">
        <is>
          <t>677</t>
        </is>
      </c>
      <c r="Z321" t="n">
        <v>51.1</v>
      </c>
      <c r="AA321" t="inlineStr">
        <is>
          <t>401</t>
        </is>
      </c>
      <c r="AB321" t="n">
        <v>55.8</v>
      </c>
      <c r="AC321" t="inlineStr">
        <is>
          <t>366</t>
        </is>
      </c>
      <c r="AD321" t="n">
        <v>67.40000000000001</v>
      </c>
      <c r="AE321" t="inlineStr">
        <is>
          <t>581</t>
        </is>
      </c>
      <c r="AF321" t="n">
        <v>96</v>
      </c>
      <c r="AG321" t="inlineStr">
        <is>
          <t>67</t>
        </is>
      </c>
      <c r="AH321" t="n">
        <v>69.09999999999999</v>
      </c>
      <c r="AI321" t="inlineStr">
        <is>
          <t>329=</t>
        </is>
      </c>
      <c r="AJ321" t="inlineStr">
        <is>
          <t>30.3</t>
        </is>
      </c>
      <c r="AK321" t="inlineStr">
        <is>
          <t>288</t>
        </is>
      </c>
      <c r="AL321" t="inlineStr">
        <is>
          <t>34.4</t>
        </is>
      </c>
      <c r="AM321" t="inlineStr">
        <is>
          <t>285</t>
        </is>
      </c>
      <c r="AN321" t="inlineStr">
        <is>
          <t>59.0</t>
        </is>
      </c>
      <c r="AO321" t="inlineStr">
        <is>
          <t>242</t>
        </is>
      </c>
      <c r="AP321" t="inlineStr">
        <is>
          <t>18.6</t>
        </is>
      </c>
      <c r="AQ321" t="inlineStr">
        <is>
          <t>574</t>
        </is>
      </c>
      <c r="AR321" t="inlineStr">
        <is>
          <t>17.0</t>
        </is>
      </c>
      <c r="AS321" t="inlineStr">
        <is>
          <t>629</t>
        </is>
      </c>
      <c r="AT321" t="inlineStr">
        <is>
          <t>39.8</t>
        </is>
      </c>
      <c r="AU321" t="inlineStr">
        <is>
          <t>344</t>
        </is>
      </c>
      <c r="AV321" t="inlineStr">
        <is>
          <t>14.4</t>
        </is>
      </c>
      <c r="AW321" t="inlineStr">
        <is>
          <t>606</t>
        </is>
      </c>
      <c r="AX321" t="inlineStr">
        <is>
          <t>87.8</t>
        </is>
      </c>
      <c r="AY321" t="inlineStr">
        <is>
          <t>43</t>
        </is>
      </c>
      <c r="AZ321" t="inlineStr">
        <is>
          <t>66.8</t>
        </is>
      </c>
      <c r="BA321" t="inlineStr">
        <is>
          <t>217=</t>
        </is>
      </c>
    </row>
    <row r="322">
      <c r="A322" t="inlineStr">
        <is>
          <t>Georgia Institute of Technology</t>
        </is>
      </c>
      <c r="B322" t="inlineStr">
        <is>
          <t>United States</t>
        </is>
      </c>
      <c r="C322" t="inlineStr">
        <is>
          <t>US</t>
        </is>
      </c>
      <c r="D322" t="inlineStr">
        <is>
          <t>Americas</t>
        </is>
      </c>
      <c r="E322" t="inlineStr">
        <is>
          <t>XL</t>
        </is>
      </c>
      <c r="F322" t="inlineStr">
        <is>
          <t>CO</t>
        </is>
      </c>
      <c r="G322" t="inlineStr">
        <is>
          <t>VH</t>
        </is>
      </c>
      <c r="H322" t="inlineStr">
        <is>
          <t>5</t>
        </is>
      </c>
      <c r="I322" t="inlineStr">
        <is>
          <t>Public</t>
        </is>
      </c>
      <c r="J322" t="inlineStr">
        <is>
          <t>123</t>
        </is>
      </c>
      <c r="K322" t="inlineStr">
        <is>
          <t>114</t>
        </is>
      </c>
      <c r="L322" t="inlineStr">
        <is>
          <t>97</t>
        </is>
      </c>
      <c r="M322" t="inlineStr">
        <is>
          <t>88</t>
        </is>
      </c>
      <c r="N322" t="inlineStr">
        <is>
          <t>65.5</t>
        </is>
      </c>
      <c r="O322" t="inlineStr">
        <is>
          <t>60.9</t>
        </is>
      </c>
      <c r="P322" t="n">
        <v>76</v>
      </c>
      <c r="Q322" t="inlineStr">
        <is>
          <t>107</t>
        </is>
      </c>
      <c r="R322" t="n">
        <v>92.8</v>
      </c>
      <c r="S322" t="inlineStr">
        <is>
          <t>61</t>
        </is>
      </c>
      <c r="T322" t="n">
        <v>32.4</v>
      </c>
      <c r="U322" t="inlineStr">
        <is>
          <t>595</t>
        </is>
      </c>
      <c r="V322" t="n">
        <v>54.2</v>
      </c>
      <c r="W322" t="inlineStr">
        <is>
          <t>340</t>
        </is>
      </c>
      <c r="X322" t="n">
        <v>21.5</v>
      </c>
      <c r="Y322" t="inlineStr">
        <is>
          <t>692</t>
        </is>
      </c>
      <c r="Z322" t="n">
        <v>60.4</v>
      </c>
      <c r="AA322" t="inlineStr">
        <is>
          <t>339</t>
        </is>
      </c>
      <c r="AB322" t="n">
        <v>64.2</v>
      </c>
      <c r="AC322" t="inlineStr">
        <is>
          <t>308</t>
        </is>
      </c>
      <c r="AD322" t="n">
        <v>79</v>
      </c>
      <c r="AE322" t="inlineStr">
        <is>
          <t>368</t>
        </is>
      </c>
      <c r="AF322" t="n">
        <v>67.5</v>
      </c>
      <c r="AG322" t="inlineStr">
        <is>
          <t>228</t>
        </is>
      </c>
      <c r="AH322" t="n">
        <v>66.09999999999999</v>
      </c>
      <c r="AI322" t="inlineStr">
        <is>
          <t>376=</t>
        </is>
      </c>
      <c r="AJ322" t="inlineStr">
        <is>
          <t>67.4</t>
        </is>
      </c>
      <c r="AK322" t="inlineStr">
        <is>
          <t>100</t>
        </is>
      </c>
      <c r="AL322" t="inlineStr">
        <is>
          <t>85.1</t>
        </is>
      </c>
      <c r="AM322" t="inlineStr">
        <is>
          <t>59</t>
        </is>
      </c>
      <c r="AN322" t="inlineStr">
        <is>
          <t>15.3</t>
        </is>
      </c>
      <c r="AO322" t="inlineStr">
        <is>
          <t>701+</t>
        </is>
      </c>
      <c r="AP322" t="inlineStr">
        <is>
          <t>67.1</t>
        </is>
      </c>
      <c r="AQ322" t="inlineStr">
        <is>
          <t>163</t>
        </is>
      </c>
      <c r="AR322" t="inlineStr">
        <is>
          <t>38.8</t>
        </is>
      </c>
      <c r="AS322" t="inlineStr">
        <is>
          <t>417</t>
        </is>
      </c>
      <c r="AT322" t="inlineStr">
        <is>
          <t>65.4</t>
        </is>
      </c>
      <c r="AU322" t="inlineStr">
        <is>
          <t>230</t>
        </is>
      </c>
      <c r="AV322" t="inlineStr">
        <is>
          <t>33.2</t>
        </is>
      </c>
      <c r="AW322" t="inlineStr">
        <is>
          <t>432</t>
        </is>
      </c>
      <c r="AX322" t="inlineStr">
        <is>
          <t>41.7</t>
        </is>
      </c>
      <c r="AY322" t="inlineStr">
        <is>
          <t>175</t>
        </is>
      </c>
      <c r="AZ322" t="inlineStr">
        <is>
          <t>70.4</t>
        </is>
      </c>
      <c r="BA322" t="inlineStr">
        <is>
          <t>201=</t>
        </is>
      </c>
    </row>
    <row r="323">
      <c r="A323" t="inlineStr">
        <is>
          <t>Georgia State University</t>
        </is>
      </c>
      <c r="B323" t="inlineStr">
        <is>
          <t>United States</t>
        </is>
      </c>
      <c r="C323" t="inlineStr">
        <is>
          <t>US</t>
        </is>
      </c>
      <c r="D323" t="inlineStr">
        <is>
          <t>Americas</t>
        </is>
      </c>
      <c r="E323" t="inlineStr">
        <is>
          <t>L</t>
        </is>
      </c>
      <c r="F323" t="inlineStr">
        <is>
          <t>FO</t>
        </is>
      </c>
      <c r="G323" t="inlineStr">
        <is>
          <t>VH</t>
        </is>
      </c>
      <c r="H323" t="inlineStr">
        <is>
          <t>4</t>
        </is>
      </c>
      <c r="I323" t="inlineStr">
        <is>
          <t>Public</t>
        </is>
      </c>
      <c r="J323" t="inlineStr">
        <is>
          <t>781-790</t>
        </is>
      </c>
      <c r="K323" t="inlineStr">
        <is>
          <t>851-900</t>
        </is>
      </c>
      <c r="L323" t="inlineStr">
        <is>
          <t>851-900</t>
        </is>
      </c>
      <c r="M323" t="inlineStr">
        <is>
          <t>801-1000</t>
        </is>
      </c>
      <c r="N323" t="inlineStr">
        <is>
          <t>-</t>
        </is>
      </c>
      <c r="O323" t="inlineStr">
        <is>
          <t>-</t>
        </is>
      </c>
      <c r="P323" t="n">
        <v>14.8</v>
      </c>
      <c r="Q323" t="inlineStr">
        <is>
          <t>701+</t>
        </is>
      </c>
      <c r="R323" t="n">
        <v>29.1</v>
      </c>
      <c r="S323" t="inlineStr">
        <is>
          <t>486</t>
        </is>
      </c>
      <c r="T323" t="n">
        <v>6</v>
      </c>
      <c r="U323" t="inlineStr">
        <is>
          <t>801+</t>
        </is>
      </c>
      <c r="V323" t="n">
        <v>33.2</v>
      </c>
      <c r="W323" t="inlineStr">
        <is>
          <t>547</t>
        </is>
      </c>
      <c r="X323" t="n">
        <v>6.6</v>
      </c>
      <c r="Y323" t="inlineStr">
        <is>
          <t>801+</t>
        </is>
      </c>
      <c r="Z323" t="n">
        <v>18.9</v>
      </c>
      <c r="AA323" t="inlineStr">
        <is>
          <t>747</t>
        </is>
      </c>
      <c r="AB323" t="n">
        <v>14.3</v>
      </c>
      <c r="AC323" t="inlineStr">
        <is>
          <t>801+</t>
        </is>
      </c>
      <c r="AD323" t="n">
        <v>64.59999999999999</v>
      </c>
      <c r="AE323" t="inlineStr">
        <is>
          <t>627</t>
        </is>
      </c>
      <c r="AF323" t="n">
        <v>29</v>
      </c>
      <c r="AG323" t="inlineStr">
        <is>
          <t>572</t>
        </is>
      </c>
      <c r="AH323" t="n">
        <v>47.3</v>
      </c>
      <c r="AI323" t="inlineStr">
        <is>
          <t>780=</t>
        </is>
      </c>
      <c r="AJ323" t="inlineStr">
        <is>
          <t>11.7</t>
        </is>
      </c>
      <c r="AK323" t="inlineStr">
        <is>
          <t>601+</t>
        </is>
      </c>
      <c r="AL323" t="inlineStr">
        <is>
          <t>13.6</t>
        </is>
      </c>
      <c r="AM323" t="inlineStr">
        <is>
          <t>594</t>
        </is>
      </c>
      <c r="AN323" t="inlineStr">
        <is>
          <t>4.9</t>
        </is>
      </c>
      <c r="AO323" t="inlineStr">
        <is>
          <t>701+</t>
        </is>
      </c>
      <c r="AP323" t="inlineStr">
        <is>
          <t>20.3</t>
        </is>
      </c>
      <c r="AQ323" t="inlineStr">
        <is>
          <t>556</t>
        </is>
      </c>
      <c r="AR323" t="inlineStr">
        <is>
          <t>10.5</t>
        </is>
      </c>
      <c r="AS323" t="inlineStr">
        <is>
          <t>701+</t>
        </is>
      </c>
      <c r="AT323" t="inlineStr">
        <is>
          <t>7.4</t>
        </is>
      </c>
      <c r="AU323" t="inlineStr">
        <is>
          <t>701+</t>
        </is>
      </c>
      <c r="AV323" t="inlineStr">
        <is>
          <t>17.0</t>
        </is>
      </c>
      <c r="AW323" t="inlineStr">
        <is>
          <t>573</t>
        </is>
      </c>
      <c r="AX323" t="inlineStr">
        <is>
          <t>16.1</t>
        </is>
      </c>
      <c r="AY323" t="inlineStr">
        <is>
          <t>519</t>
        </is>
      </c>
      <c r="AZ323" t="inlineStr">
        <is>
          <t>11.8</t>
        </is>
      </c>
      <c r="BA323" t="inlineStr">
        <is>
          <t>644=</t>
        </is>
      </c>
    </row>
    <row r="324">
      <c r="A324" t="inlineStr">
        <is>
          <t>Georgian Technical University</t>
        </is>
      </c>
      <c r="B324" t="inlineStr">
        <is>
          <t>Georgia</t>
        </is>
      </c>
      <c r="C324" t="inlineStr">
        <is>
          <t>GE</t>
        </is>
      </c>
      <c r="D324" t="inlineStr">
        <is>
          <t>Asia</t>
        </is>
      </c>
      <c r="E324" t="inlineStr">
        <is>
          <t>L</t>
        </is>
      </c>
      <c r="F324" t="inlineStr">
        <is>
          <t>FO</t>
        </is>
      </c>
      <c r="G324" t="inlineStr">
        <is>
          <t>HI</t>
        </is>
      </c>
      <c r="H324" t="inlineStr">
        <is>
          <t>5</t>
        </is>
      </c>
      <c r="I324" t="inlineStr">
        <is>
          <t>Public</t>
        </is>
      </c>
      <c r="J324" t="inlineStr">
        <is>
          <t>1001-1200</t>
        </is>
      </c>
      <c r="K324" t="inlineStr">
        <is>
          <t>901-950</t>
        </is>
      </c>
      <c r="L324" t="inlineStr">
        <is>
          <t>1401+</t>
        </is>
      </c>
      <c r="M324" t="inlineStr"/>
      <c r="N324" t="inlineStr">
        <is>
          <t>-</t>
        </is>
      </c>
      <c r="O324" t="inlineStr">
        <is>
          <t>-</t>
        </is>
      </c>
      <c r="P324" t="n">
        <v>7.1</v>
      </c>
      <c r="Q324" t="inlineStr">
        <is>
          <t>701+</t>
        </is>
      </c>
      <c r="R324" t="n">
        <v>7.1</v>
      </c>
      <c r="S324" t="inlineStr">
        <is>
          <t>701+</t>
        </is>
      </c>
      <c r="T324" t="n">
        <v>1</v>
      </c>
      <c r="U324" t="inlineStr">
        <is>
          <t>801+</t>
        </is>
      </c>
      <c r="V324" t="n">
        <v>54.4</v>
      </c>
      <c r="W324" t="inlineStr">
        <is>
          <t>336</t>
        </is>
      </c>
      <c r="X324" t="inlineStr"/>
      <c r="Y324" t="inlineStr"/>
      <c r="Z324" t="inlineStr"/>
      <c r="AA324" t="inlineStr"/>
      <c r="AB324" t="inlineStr"/>
      <c r="AC324" t="inlineStr"/>
      <c r="AD324" t="n">
        <v>7.8</v>
      </c>
      <c r="AE324" t="inlineStr">
        <is>
          <t>801+</t>
        </is>
      </c>
      <c r="AF324" t="n">
        <v>29.3</v>
      </c>
      <c r="AG324" t="inlineStr">
        <is>
          <t>562</t>
        </is>
      </c>
      <c r="AH324" t="n">
        <v>3</v>
      </c>
      <c r="AI324" t="inlineStr">
        <is>
          <t>801+</t>
        </is>
      </c>
      <c r="AJ324" t="inlineStr">
        <is>
          <t>6.3</t>
        </is>
      </c>
      <c r="AK324" t="inlineStr">
        <is>
          <t>601+</t>
        </is>
      </c>
      <c r="AL324" t="inlineStr">
        <is>
          <t>4.2</t>
        </is>
      </c>
      <c r="AM324" t="inlineStr">
        <is>
          <t>601+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>
        <is>
          <t>1.0</t>
        </is>
      </c>
      <c r="AW324" t="inlineStr">
        <is>
          <t>701+</t>
        </is>
      </c>
      <c r="AX324" t="inlineStr"/>
      <c r="AY324" t="inlineStr"/>
      <c r="AZ324" t="inlineStr"/>
      <c r="BA324" t="inlineStr"/>
    </row>
    <row r="325">
      <c r="A325" t="inlineStr">
        <is>
          <t>German Jordanian University</t>
        </is>
      </c>
      <c r="B325" t="inlineStr">
        <is>
          <t>Jordan</t>
        </is>
      </c>
      <c r="C325" t="inlineStr">
        <is>
          <t>JO</t>
        </is>
      </c>
      <c r="D325" t="inlineStr">
        <is>
          <t>Asia</t>
        </is>
      </c>
      <c r="E325" t="inlineStr">
        <is>
          <t>S</t>
        </is>
      </c>
      <c r="F325" t="inlineStr">
        <is>
          <t>FO</t>
        </is>
      </c>
      <c r="G325" t="inlineStr">
        <is>
          <t>VH</t>
        </is>
      </c>
      <c r="H325" t="inlineStr">
        <is>
          <t>2</t>
        </is>
      </c>
      <c r="I325" t="inlineStr">
        <is>
          <t>Public</t>
        </is>
      </c>
      <c r="J325" t="inlineStr">
        <is>
          <t>801-850</t>
        </is>
      </c>
      <c r="K325" t="inlineStr">
        <is>
          <t>901-950</t>
        </is>
      </c>
      <c r="L325" t="inlineStr">
        <is>
          <t>1001-1200</t>
        </is>
      </c>
      <c r="M325" t="inlineStr">
        <is>
          <t>801-1000</t>
        </is>
      </c>
      <c r="N325" t="inlineStr">
        <is>
          <t>-</t>
        </is>
      </c>
      <c r="O325" t="inlineStr">
        <is>
          <t>-</t>
        </is>
      </c>
      <c r="P325" t="n">
        <v>14.6</v>
      </c>
      <c r="Q325" t="inlineStr">
        <is>
          <t>701+</t>
        </is>
      </c>
      <c r="R325" t="n">
        <v>28.7</v>
      </c>
      <c r="S325" t="inlineStr">
        <is>
          <t>490</t>
        </is>
      </c>
      <c r="T325" t="n">
        <v>34.6</v>
      </c>
      <c r="U325" t="inlineStr">
        <is>
          <t>569</t>
        </is>
      </c>
      <c r="V325" t="n">
        <v>12.7</v>
      </c>
      <c r="W325" t="inlineStr">
        <is>
          <t>801+</t>
        </is>
      </c>
      <c r="X325" t="n">
        <v>85.3</v>
      </c>
      <c r="Y325" t="inlineStr">
        <is>
          <t>256</t>
        </is>
      </c>
      <c r="Z325" t="n">
        <v>23.9</v>
      </c>
      <c r="AA325" t="inlineStr">
        <is>
          <t>676</t>
        </is>
      </c>
      <c r="AB325" t="n">
        <v>26</v>
      </c>
      <c r="AC325" t="inlineStr">
        <is>
          <t>668</t>
        </is>
      </c>
      <c r="AD325" t="n">
        <v>18.3</v>
      </c>
      <c r="AE325" t="inlineStr">
        <is>
          <t>801+</t>
        </is>
      </c>
      <c r="AF325" t="n">
        <v>11.3</v>
      </c>
      <c r="AG325" t="inlineStr">
        <is>
          <t>801+</t>
        </is>
      </c>
      <c r="AH325" t="n">
        <v>22.1</v>
      </c>
      <c r="AI325" t="inlineStr">
        <is>
          <t>801+</t>
        </is>
      </c>
      <c r="AJ325" t="inlineStr">
        <is>
          <t>7.1</t>
        </is>
      </c>
      <c r="AK325" t="inlineStr">
        <is>
          <t>601+</t>
        </is>
      </c>
      <c r="AL325" t="inlineStr">
        <is>
          <t>13.4</t>
        </is>
      </c>
      <c r="AM325" t="inlineStr">
        <is>
          <t>601+</t>
        </is>
      </c>
      <c r="AN325" t="inlineStr">
        <is>
          <t>18.8</t>
        </is>
      </c>
      <c r="AO325" t="inlineStr">
        <is>
          <t>701+</t>
        </is>
      </c>
      <c r="AP325" t="inlineStr">
        <is>
          <t>4.8</t>
        </is>
      </c>
      <c r="AQ325" t="inlineStr">
        <is>
          <t>701+</t>
        </is>
      </c>
      <c r="AR325" t="inlineStr">
        <is>
          <t>44.1</t>
        </is>
      </c>
      <c r="AS325" t="inlineStr">
        <is>
          <t>382</t>
        </is>
      </c>
      <c r="AT325" t="inlineStr">
        <is>
          <t>14.4</t>
        </is>
      </c>
      <c r="AU325" t="inlineStr">
        <is>
          <t>632</t>
        </is>
      </c>
      <c r="AV325" t="inlineStr">
        <is>
          <t>1.1</t>
        </is>
      </c>
      <c r="AW325" t="inlineStr">
        <is>
          <t>701+</t>
        </is>
      </c>
      <c r="AX325" t="inlineStr">
        <is>
          <t>10.6</t>
        </is>
      </c>
      <c r="AY325" t="inlineStr">
        <is>
          <t>701+</t>
        </is>
      </c>
      <c r="AZ325" t="inlineStr">
        <is>
          <t>1</t>
        </is>
      </c>
      <c r="BA325" t="inlineStr">
        <is>
          <t>701+</t>
        </is>
      </c>
    </row>
    <row r="326">
      <c r="A326" t="inlineStr">
        <is>
          <t>German university in Cairo</t>
        </is>
      </c>
      <c r="B326" t="inlineStr">
        <is>
          <t>Egypt</t>
        </is>
      </c>
      <c r="C326" t="inlineStr">
        <is>
          <t>EG</t>
        </is>
      </c>
      <c r="D326" t="inlineStr">
        <is>
          <t>Africa</t>
        </is>
      </c>
      <c r="E326" t="inlineStr">
        <is>
          <t>L</t>
        </is>
      </c>
      <c r="F326" t="inlineStr">
        <is>
          <t>CO</t>
        </is>
      </c>
      <c r="G326" t="inlineStr">
        <is>
          <t>HI</t>
        </is>
      </c>
      <c r="H326" t="inlineStr">
        <is>
          <t>2</t>
        </is>
      </c>
      <c r="I326" t="inlineStr">
        <is>
          <t>Private not for Profit</t>
        </is>
      </c>
      <c r="J326" t="inlineStr">
        <is>
          <t>1201-1400</t>
        </is>
      </c>
      <c r="K326" t="inlineStr">
        <is>
          <t>1201-1400</t>
        </is>
      </c>
      <c r="L326" t="inlineStr">
        <is>
          <t>1201-1400</t>
        </is>
      </c>
      <c r="M326" t="inlineStr">
        <is>
          <t>1201-1400</t>
        </is>
      </c>
      <c r="N326" t="inlineStr">
        <is>
          <t>-</t>
        </is>
      </c>
      <c r="O326" t="inlineStr">
        <is>
          <t>-</t>
        </is>
      </c>
      <c r="P326" t="n">
        <v>11.6</v>
      </c>
      <c r="Q326" t="inlineStr">
        <is>
          <t>701+</t>
        </is>
      </c>
      <c r="R326" t="n">
        <v>21.3</v>
      </c>
      <c r="S326" t="inlineStr">
        <is>
          <t>617</t>
        </is>
      </c>
      <c r="T326" t="n">
        <v>9.800000000000001</v>
      </c>
      <c r="U326" t="inlineStr">
        <is>
          <t>801+</t>
        </is>
      </c>
      <c r="V326" t="n">
        <v>3.3</v>
      </c>
      <c r="W326" t="inlineStr">
        <is>
          <t>801+</t>
        </is>
      </c>
      <c r="X326" t="n">
        <v>17.8</v>
      </c>
      <c r="Y326" t="inlineStr">
        <is>
          <t>750</t>
        </is>
      </c>
      <c r="Z326" t="n">
        <v>1.4</v>
      </c>
      <c r="AA326" t="inlineStr">
        <is>
          <t>801+</t>
        </is>
      </c>
      <c r="AB326" t="n">
        <v>1.3</v>
      </c>
      <c r="AC326" t="inlineStr">
        <is>
          <t>801+</t>
        </is>
      </c>
      <c r="AD326" t="n">
        <v>20.4</v>
      </c>
      <c r="AE326" t="inlineStr">
        <is>
          <t>801+</t>
        </is>
      </c>
      <c r="AF326" t="n">
        <v>5.7</v>
      </c>
      <c r="AG326" t="inlineStr">
        <is>
          <t>801+</t>
        </is>
      </c>
      <c r="AH326" t="n">
        <v>9.5</v>
      </c>
      <c r="AI326" t="inlineStr">
        <is>
          <t>801+</t>
        </is>
      </c>
      <c r="AJ326" t="inlineStr">
        <is>
          <t>7.9</t>
        </is>
      </c>
      <c r="AK326" t="inlineStr">
        <is>
          <t>601+</t>
        </is>
      </c>
      <c r="AL326" t="inlineStr">
        <is>
          <t>11.4</t>
        </is>
      </c>
      <c r="AM326" t="inlineStr">
        <is>
          <t>601+</t>
        </is>
      </c>
      <c r="AN326" t="inlineStr">
        <is>
          <t>7.3</t>
        </is>
      </c>
      <c r="AO326" t="inlineStr">
        <is>
          <t>701+</t>
        </is>
      </c>
      <c r="AP326" t="inlineStr">
        <is>
          <t>2.1</t>
        </is>
      </c>
      <c r="AQ326" t="inlineStr">
        <is>
          <t>701+</t>
        </is>
      </c>
      <c r="AR326" t="inlineStr">
        <is>
          <t>14.2</t>
        </is>
      </c>
      <c r="AS326" t="inlineStr">
        <is>
          <t>680</t>
        </is>
      </c>
      <c r="AT326" t="inlineStr">
        <is>
          <t>1.2</t>
        </is>
      </c>
      <c r="AU326" t="inlineStr">
        <is>
          <t>701+</t>
        </is>
      </c>
      <c r="AV326" t="inlineStr">
        <is>
          <t>1.0</t>
        </is>
      </c>
      <c r="AW326" t="inlineStr">
        <is>
          <t>701+</t>
        </is>
      </c>
      <c r="AX326" t="inlineStr">
        <is>
          <t>6</t>
        </is>
      </c>
      <c r="AY326" t="inlineStr">
        <is>
          <t>701+</t>
        </is>
      </c>
      <c r="AZ326" t="inlineStr">
        <is>
          <t>1</t>
        </is>
      </c>
      <c r="BA326" t="inlineStr">
        <is>
          <t>701+</t>
        </is>
      </c>
    </row>
    <row r="327">
      <c r="A327" t="inlineStr">
        <is>
          <t>German University of Technology in Oman  (GUTECH)</t>
        </is>
      </c>
      <c r="B327" t="inlineStr">
        <is>
          <t>Oman</t>
        </is>
      </c>
      <c r="C327" t="inlineStr"/>
      <c r="D327" t="inlineStr">
        <is>
          <t>Asia</t>
        </is>
      </c>
      <c r="E327" t="inlineStr">
        <is>
          <t>S</t>
        </is>
      </c>
      <c r="F327" t="inlineStr">
        <is>
          <t>FO</t>
        </is>
      </c>
      <c r="G327" t="inlineStr">
        <is>
          <t>HI</t>
        </is>
      </c>
      <c r="H327" t="inlineStr"/>
      <c r="I327" t="inlineStr">
        <is>
          <t>Private for Profit</t>
        </is>
      </c>
      <c r="J327" t="inlineStr">
        <is>
          <t>1001-1200</t>
        </is>
      </c>
      <c r="K327" t="inlineStr"/>
      <c r="L327" t="inlineStr"/>
      <c r="M327" t="inlineStr"/>
      <c r="N327" t="inlineStr">
        <is>
          <t>-</t>
        </is>
      </c>
      <c r="O327" t="inlineStr"/>
      <c r="P327" t="n">
        <v>9.1</v>
      </c>
      <c r="Q327" t="inlineStr">
        <is>
          <t>701+</t>
        </is>
      </c>
      <c r="R327" t="n">
        <v>14.3</v>
      </c>
      <c r="S327" t="inlineStr">
        <is>
          <t>701+</t>
        </is>
      </c>
      <c r="T327" t="n">
        <v>5.7</v>
      </c>
      <c r="U327" t="inlineStr">
        <is>
          <t>801+</t>
        </is>
      </c>
      <c r="V327" t="n">
        <v>8.5</v>
      </c>
      <c r="W327" t="inlineStr">
        <is>
          <t>801+</t>
        </is>
      </c>
      <c r="X327" t="n">
        <v>100</v>
      </c>
      <c r="Y327" t="inlineStr">
        <is>
          <t>36</t>
        </is>
      </c>
      <c r="Z327" t="n">
        <v>5.9</v>
      </c>
      <c r="AA327" t="inlineStr">
        <is>
          <t>801+</t>
        </is>
      </c>
      <c r="AB327" t="n">
        <v>9.800000000000001</v>
      </c>
      <c r="AC327" t="inlineStr">
        <is>
          <t>801+</t>
        </is>
      </c>
      <c r="AD327" t="n">
        <v>14.4</v>
      </c>
      <c r="AE327" t="inlineStr">
        <is>
          <t>801+</t>
        </is>
      </c>
      <c r="AF327" t="n">
        <v>73.2</v>
      </c>
      <c r="AG327" t="inlineStr">
        <is>
          <t>195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Ghent University</t>
        </is>
      </c>
      <c r="B328" t="inlineStr">
        <is>
          <t>Belgium</t>
        </is>
      </c>
      <c r="C328" t="inlineStr">
        <is>
          <t>BE</t>
        </is>
      </c>
      <c r="D328" t="inlineStr">
        <is>
          <t>Europe</t>
        </is>
      </c>
      <c r="E328" t="inlineStr">
        <is>
          <t>XL</t>
        </is>
      </c>
      <c r="F328" t="inlineStr">
        <is>
          <t>FC</t>
        </is>
      </c>
      <c r="G328" t="inlineStr">
        <is>
          <t>VH</t>
        </is>
      </c>
      <c r="H328" t="inlineStr">
        <is>
          <t>5</t>
        </is>
      </c>
      <c r="I328" t="inlineStr">
        <is>
          <t>Public</t>
        </is>
      </c>
      <c r="J328" t="inlineStr">
        <is>
          <t>162</t>
        </is>
      </c>
      <c r="K328" t="inlineStr">
        <is>
          <t>169</t>
        </is>
      </c>
      <c r="L328">
        <f>159</f>
        <v/>
      </c>
      <c r="M328" t="inlineStr">
        <is>
          <t>143=</t>
        </is>
      </c>
      <c r="N328" t="inlineStr">
        <is>
          <t>60.8</t>
        </is>
      </c>
      <c r="O328" t="inlineStr">
        <is>
          <t>50.2</t>
        </is>
      </c>
      <c r="P328" t="n">
        <v>68.2</v>
      </c>
      <c r="Q328" t="inlineStr">
        <is>
          <t>141</t>
        </is>
      </c>
      <c r="R328" t="n">
        <v>39.1</v>
      </c>
      <c r="S328" t="inlineStr">
        <is>
          <t>350</t>
        </is>
      </c>
      <c r="T328" t="n">
        <v>84.5</v>
      </c>
      <c r="U328" t="inlineStr">
        <is>
          <t>140</t>
        </is>
      </c>
      <c r="V328" t="n">
        <v>32.4</v>
      </c>
      <c r="W328" t="inlineStr">
        <is>
          <t>557</t>
        </is>
      </c>
      <c r="X328" t="n">
        <v>83.40000000000001</v>
      </c>
      <c r="Y328" t="inlineStr">
        <is>
          <t>267</t>
        </is>
      </c>
      <c r="Z328" t="n">
        <v>33.8</v>
      </c>
      <c r="AA328" t="inlineStr">
        <is>
          <t>549</t>
        </is>
      </c>
      <c r="AB328" t="n">
        <v>39.5</v>
      </c>
      <c r="AC328" t="inlineStr">
        <is>
          <t>504</t>
        </is>
      </c>
      <c r="AD328" t="n">
        <v>99.2</v>
      </c>
      <c r="AE328" t="inlineStr">
        <is>
          <t>11</t>
        </is>
      </c>
      <c r="AF328" t="n">
        <v>84.90000000000001</v>
      </c>
      <c r="AG328" t="inlineStr">
        <is>
          <t>136</t>
        </is>
      </c>
      <c r="AH328" t="n">
        <v>94</v>
      </c>
      <c r="AI328" t="inlineStr">
        <is>
          <t>30=</t>
        </is>
      </c>
      <c r="AJ328" t="inlineStr">
        <is>
          <t>53.4</t>
        </is>
      </c>
      <c r="AK328" t="inlineStr">
        <is>
          <t>146</t>
        </is>
      </c>
      <c r="AL328" t="inlineStr">
        <is>
          <t>25.2</t>
        </is>
      </c>
      <c r="AM328" t="inlineStr">
        <is>
          <t>379</t>
        </is>
      </c>
      <c r="AN328" t="inlineStr">
        <is>
          <t>78.9</t>
        </is>
      </c>
      <c r="AO328" t="inlineStr">
        <is>
          <t>141</t>
        </is>
      </c>
      <c r="AP328" t="inlineStr">
        <is>
          <t>25.1</t>
        </is>
      </c>
      <c r="AQ328" t="inlineStr">
        <is>
          <t>486</t>
        </is>
      </c>
      <c r="AR328" t="inlineStr">
        <is>
          <t>79.6</t>
        </is>
      </c>
      <c r="AS328" t="inlineStr">
        <is>
          <t>231</t>
        </is>
      </c>
      <c r="AT328" t="inlineStr">
        <is>
          <t>21.2</t>
        </is>
      </c>
      <c r="AU328" t="inlineStr">
        <is>
          <t>528</t>
        </is>
      </c>
      <c r="AV328" t="inlineStr">
        <is>
          <t>99.8</t>
        </is>
      </c>
      <c r="AW328" t="inlineStr">
        <is>
          <t>8</t>
        </is>
      </c>
      <c r="AX328" t="inlineStr">
        <is>
          <t>52</t>
        </is>
      </c>
      <c r="AY328" t="inlineStr">
        <is>
          <t>124</t>
        </is>
      </c>
      <c r="AZ328" t="inlineStr">
        <is>
          <t>91.3</t>
        </is>
      </c>
      <c r="BA328" t="inlineStr">
        <is>
          <t>84=</t>
        </is>
      </c>
    </row>
    <row r="329">
      <c r="A329" t="inlineStr">
        <is>
          <t>Gifu University</t>
        </is>
      </c>
      <c r="B329" t="inlineStr">
        <is>
          <t>Japan</t>
        </is>
      </c>
      <c r="C329" t="inlineStr">
        <is>
          <t>JP</t>
        </is>
      </c>
      <c r="D329" t="inlineStr">
        <is>
          <t>Asia</t>
        </is>
      </c>
      <c r="E329" t="inlineStr">
        <is>
          <t>M</t>
        </is>
      </c>
      <c r="F329" t="inlineStr">
        <is>
          <t>FO</t>
        </is>
      </c>
      <c r="G329" t="inlineStr">
        <is>
          <t>VH</t>
        </is>
      </c>
      <c r="H329" t="inlineStr">
        <is>
          <t>4</t>
        </is>
      </c>
      <c r="I329" t="inlineStr">
        <is>
          <t>Public</t>
        </is>
      </c>
      <c r="J329" t="inlineStr">
        <is>
          <t>1001-1200</t>
        </is>
      </c>
      <c r="K329" t="inlineStr">
        <is>
          <t>1001-1200</t>
        </is>
      </c>
      <c r="L329" t="inlineStr">
        <is>
          <t>951-1000</t>
        </is>
      </c>
      <c r="M329" t="inlineStr">
        <is>
          <t>601-650</t>
        </is>
      </c>
      <c r="N329" t="inlineStr">
        <is>
          <t>-</t>
        </is>
      </c>
      <c r="O329" t="inlineStr">
        <is>
          <t>-</t>
        </is>
      </c>
      <c r="P329" t="n">
        <v>6.4</v>
      </c>
      <c r="Q329" t="inlineStr">
        <is>
          <t>701+</t>
        </is>
      </c>
      <c r="R329" t="n">
        <v>4.5</v>
      </c>
      <c r="S329" t="inlineStr">
        <is>
          <t>701+</t>
        </is>
      </c>
      <c r="T329" t="n">
        <v>58.9</v>
      </c>
      <c r="U329" t="inlineStr">
        <is>
          <t>308</t>
        </is>
      </c>
      <c r="V329" t="n">
        <v>14.3</v>
      </c>
      <c r="W329" t="inlineStr">
        <is>
          <t>801+</t>
        </is>
      </c>
      <c r="X329" t="n">
        <v>7.1</v>
      </c>
      <c r="Y329" t="inlineStr">
        <is>
          <t>801+</t>
        </is>
      </c>
      <c r="Z329" t="n">
        <v>6.2</v>
      </c>
      <c r="AA329" t="inlineStr">
        <is>
          <t>801+</t>
        </is>
      </c>
      <c r="AB329" t="n">
        <v>10.2</v>
      </c>
      <c r="AC329" t="inlineStr">
        <is>
          <t>801+</t>
        </is>
      </c>
      <c r="AD329" t="n">
        <v>23.4</v>
      </c>
      <c r="AE329" t="inlineStr">
        <is>
          <t>801+</t>
        </is>
      </c>
      <c r="AF329" t="n">
        <v>1.8</v>
      </c>
      <c r="AG329" t="inlineStr">
        <is>
          <t>801+</t>
        </is>
      </c>
      <c r="AH329" t="n">
        <v>44.1</v>
      </c>
      <c r="AI329" t="inlineStr">
        <is>
          <t>801+</t>
        </is>
      </c>
      <c r="AJ329" t="inlineStr">
        <is>
          <t>6.3</t>
        </is>
      </c>
      <c r="AK329" t="inlineStr">
        <is>
          <t>601+</t>
        </is>
      </c>
      <c r="AL329" t="inlineStr">
        <is>
          <t>2.5</t>
        </is>
      </c>
      <c r="AM329" t="inlineStr">
        <is>
          <t>601+</t>
        </is>
      </c>
      <c r="AN329" t="inlineStr">
        <is>
          <t>67.4</t>
        </is>
      </c>
      <c r="AO329" t="inlineStr">
        <is>
          <t>196</t>
        </is>
      </c>
      <c r="AP329" t="inlineStr">
        <is>
          <t>7.3</t>
        </is>
      </c>
      <c r="AQ329" t="inlineStr">
        <is>
          <t>701+</t>
        </is>
      </c>
      <c r="AR329" t="inlineStr">
        <is>
          <t>5.3</t>
        </is>
      </c>
      <c r="AS329" t="inlineStr">
        <is>
          <t>701+</t>
        </is>
      </c>
      <c r="AT329" t="inlineStr">
        <is>
          <t>3.7</t>
        </is>
      </c>
      <c r="AU329" t="inlineStr">
        <is>
          <t>701+</t>
        </is>
      </c>
      <c r="AV329" t="inlineStr">
        <is>
          <t>1.1</t>
        </is>
      </c>
      <c r="AW329" t="inlineStr">
        <is>
          <t>701+</t>
        </is>
      </c>
      <c r="AX329" t="inlineStr">
        <is>
          <t>7.9</t>
        </is>
      </c>
      <c r="AY329" t="inlineStr">
        <is>
          <t>701+</t>
        </is>
      </c>
      <c r="AZ329" t="inlineStr">
        <is>
          <t>1.1</t>
        </is>
      </c>
      <c r="BA329" t="inlineStr">
        <is>
          <t>701+</t>
        </is>
      </c>
    </row>
    <row r="330">
      <c r="A330" t="inlineStr">
        <is>
          <t>Glasgow Caledonian University</t>
        </is>
      </c>
      <c r="B330" t="inlineStr">
        <is>
          <t>United Kingdom</t>
        </is>
      </c>
      <c r="C330" t="inlineStr">
        <is>
          <t>UK</t>
        </is>
      </c>
      <c r="D330" t="inlineStr">
        <is>
          <t>Europe</t>
        </is>
      </c>
      <c r="E330" t="inlineStr">
        <is>
          <t>L</t>
        </is>
      </c>
      <c r="F330" t="inlineStr">
        <is>
          <t>FO</t>
        </is>
      </c>
      <c r="G330" t="inlineStr">
        <is>
          <t>VH</t>
        </is>
      </c>
      <c r="H330" t="inlineStr">
        <is>
          <t>3</t>
        </is>
      </c>
      <c r="I330" t="inlineStr">
        <is>
          <t>Public</t>
        </is>
      </c>
      <c r="J330" t="inlineStr">
        <is>
          <t>1001-1200</t>
        </is>
      </c>
      <c r="K330" t="inlineStr">
        <is>
          <t>1001-1200</t>
        </is>
      </c>
      <c r="L330" t="inlineStr">
        <is>
          <t>1001-1200</t>
        </is>
      </c>
      <c r="M330" t="inlineStr">
        <is>
          <t>1001-1200</t>
        </is>
      </c>
      <c r="N330" t="inlineStr">
        <is>
          <t>-</t>
        </is>
      </c>
      <c r="O330" t="inlineStr">
        <is>
          <t>-</t>
        </is>
      </c>
      <c r="P330" t="n">
        <v>7.2</v>
      </c>
      <c r="Q330" t="inlineStr">
        <is>
          <t>701+</t>
        </is>
      </c>
      <c r="R330" t="n">
        <v>9.5</v>
      </c>
      <c r="S330" t="inlineStr">
        <is>
          <t>701+</t>
        </is>
      </c>
      <c r="T330" t="n">
        <v>6.3</v>
      </c>
      <c r="U330" t="inlineStr">
        <is>
          <t>801+</t>
        </is>
      </c>
      <c r="V330" t="n">
        <v>11.2</v>
      </c>
      <c r="W330" t="inlineStr">
        <is>
          <t>801+</t>
        </is>
      </c>
      <c r="X330" t="n">
        <v>45.5</v>
      </c>
      <c r="Y330" t="inlineStr">
        <is>
          <t>465</t>
        </is>
      </c>
      <c r="Z330" t="n">
        <v>77.3</v>
      </c>
      <c r="AA330" t="inlineStr">
        <is>
          <t>242</t>
        </is>
      </c>
      <c r="AB330" t="n">
        <v>79.40000000000001</v>
      </c>
      <c r="AC330" t="inlineStr">
        <is>
          <t>212</t>
        </is>
      </c>
      <c r="AD330" t="n">
        <v>40.3</v>
      </c>
      <c r="AE330" t="inlineStr">
        <is>
          <t>801+</t>
        </is>
      </c>
      <c r="AF330" t="n">
        <v>8.5</v>
      </c>
      <c r="AG330" t="inlineStr">
        <is>
          <t>801+</t>
        </is>
      </c>
      <c r="AH330" t="n">
        <v>56.7</v>
      </c>
      <c r="AI330" t="inlineStr">
        <is>
          <t>562=</t>
        </is>
      </c>
      <c r="AJ330" t="inlineStr">
        <is>
          <t>5.5</t>
        </is>
      </c>
      <c r="AK330" t="inlineStr">
        <is>
          <t>601+</t>
        </is>
      </c>
      <c r="AL330" t="inlineStr">
        <is>
          <t>4.9</t>
        </is>
      </c>
      <c r="AM330" t="inlineStr">
        <is>
          <t>601+</t>
        </is>
      </c>
      <c r="AN330" t="inlineStr">
        <is>
          <t>4.4</t>
        </is>
      </c>
      <c r="AO330" t="inlineStr">
        <is>
          <t>701+</t>
        </is>
      </c>
      <c r="AP330" t="inlineStr">
        <is>
          <t>6.5</t>
        </is>
      </c>
      <c r="AQ330" t="inlineStr">
        <is>
          <t>701+</t>
        </is>
      </c>
      <c r="AR330" t="inlineStr">
        <is>
          <t>31.4</t>
        </is>
      </c>
      <c r="AS330" t="inlineStr">
        <is>
          <t>479</t>
        </is>
      </c>
      <c r="AT330" t="inlineStr">
        <is>
          <t>37.5</t>
        </is>
      </c>
      <c r="AU330" t="inlineStr">
        <is>
          <t>366</t>
        </is>
      </c>
      <c r="AV330" t="inlineStr">
        <is>
          <t>2.4</t>
        </is>
      </c>
      <c r="AW330" t="inlineStr">
        <is>
          <t>701+</t>
        </is>
      </c>
      <c r="AX330" t="inlineStr">
        <is>
          <t>11.2</t>
        </is>
      </c>
      <c r="AY330" t="inlineStr">
        <is>
          <t>701+</t>
        </is>
      </c>
      <c r="AZ330" t="inlineStr">
        <is>
          <t>14</t>
        </is>
      </c>
      <c r="BA330" t="inlineStr">
        <is>
          <t>624</t>
        </is>
      </c>
    </row>
    <row r="331">
      <c r="A331" t="inlineStr">
        <is>
          <t>Goethe-University Frankfurt am Main</t>
        </is>
      </c>
      <c r="B331" t="inlineStr">
        <is>
          <t>Germany</t>
        </is>
      </c>
      <c r="C331" t="inlineStr">
        <is>
          <t>DE</t>
        </is>
      </c>
      <c r="D331" t="inlineStr"/>
      <c r="E331" t="inlineStr">
        <is>
          <t>XL</t>
        </is>
      </c>
      <c r="F331" t="inlineStr">
        <is>
          <t>FC</t>
        </is>
      </c>
      <c r="G331" t="inlineStr">
        <is>
          <t>VH</t>
        </is>
      </c>
      <c r="H331" t="inlineStr">
        <is>
          <t>5</t>
        </is>
      </c>
      <c r="I331" t="inlineStr">
        <is>
          <t>A</t>
        </is>
      </c>
      <c r="J331" t="inlineStr"/>
      <c r="K331" t="inlineStr"/>
      <c r="L331">
        <f>302</f>
        <v/>
      </c>
      <c r="M331" t="inlineStr">
        <is>
          <t>328=</t>
        </is>
      </c>
      <c r="N331" t="inlineStr"/>
      <c r="O331" t="inlineStr">
        <is>
          <t>34.5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44.4</t>
        </is>
      </c>
      <c r="AK331" t="inlineStr">
        <is>
          <t>189</t>
        </is>
      </c>
      <c r="AL331" t="inlineStr">
        <is>
          <t>29.1</t>
        </is>
      </c>
      <c r="AM331" t="inlineStr">
        <is>
          <t>335</t>
        </is>
      </c>
      <c r="AN331" t="inlineStr">
        <is>
          <t>21.4</t>
        </is>
      </c>
      <c r="AO331" t="inlineStr">
        <is>
          <t>638</t>
        </is>
      </c>
      <c r="AP331" t="inlineStr">
        <is>
          <t>21.3</t>
        </is>
      </c>
      <c r="AQ331" t="inlineStr">
        <is>
          <t>539</t>
        </is>
      </c>
      <c r="AR331" t="inlineStr">
        <is>
          <t>41.3</t>
        </is>
      </c>
      <c r="AS331" t="inlineStr">
        <is>
          <t>402</t>
        </is>
      </c>
      <c r="AT331" t="inlineStr">
        <is>
          <t>25.6</t>
        </is>
      </c>
      <c r="AU331" t="inlineStr">
        <is>
          <t>468</t>
        </is>
      </c>
      <c r="AV331" t="inlineStr">
        <is>
          <t>82.1</t>
        </is>
      </c>
      <c r="AW331" t="inlineStr">
        <is>
          <t>134</t>
        </is>
      </c>
      <c r="AX331" t="inlineStr">
        <is>
          <t>11.5</t>
        </is>
      </c>
      <c r="AY331" t="inlineStr">
        <is>
          <t>701+</t>
        </is>
      </c>
      <c r="AZ331" t="inlineStr">
        <is>
          <t>46.6</t>
        </is>
      </c>
      <c r="BA331" t="inlineStr">
        <is>
          <t>327=</t>
        </is>
      </c>
    </row>
    <row r="332">
      <c r="A332" t="inlineStr">
        <is>
          <t>Goethe Universität Frankfurt am Main</t>
        </is>
      </c>
      <c r="B332" t="inlineStr">
        <is>
          <t>Germany</t>
        </is>
      </c>
      <c r="C332" t="inlineStr"/>
      <c r="D332" t="inlineStr">
        <is>
          <t>Europe</t>
        </is>
      </c>
      <c r="E332" t="inlineStr">
        <is>
          <t>L</t>
        </is>
      </c>
      <c r="F332" t="inlineStr">
        <is>
          <t>FC</t>
        </is>
      </c>
      <c r="G332" t="inlineStr">
        <is>
          <t>VH</t>
        </is>
      </c>
      <c r="H332" t="inlineStr"/>
      <c r="I332" t="inlineStr">
        <is>
          <t>Public</t>
        </is>
      </c>
      <c r="J332" t="inlineStr">
        <is>
          <t>316</t>
        </is>
      </c>
      <c r="K332" t="inlineStr">
        <is>
          <t>309</t>
        </is>
      </c>
      <c r="L332" t="inlineStr"/>
      <c r="M332" t="inlineStr"/>
      <c r="N332" t="inlineStr">
        <is>
          <t>44</t>
        </is>
      </c>
      <c r="O332" t="inlineStr"/>
      <c r="P332" t="n">
        <v>52.1</v>
      </c>
      <c r="Q332" t="inlineStr">
        <is>
          <t>214</t>
        </is>
      </c>
      <c r="R332" t="n">
        <v>38.6</v>
      </c>
      <c r="S332" t="inlineStr">
        <is>
          <t>362</t>
        </is>
      </c>
      <c r="T332" t="n">
        <v>27</v>
      </c>
      <c r="U332" t="inlineStr">
        <is>
          <t>697</t>
        </is>
      </c>
      <c r="V332" t="n">
        <v>31.7</v>
      </c>
      <c r="W332" t="inlineStr">
        <is>
          <t>567</t>
        </is>
      </c>
      <c r="X332" t="n">
        <v>54.9</v>
      </c>
      <c r="Y332" t="inlineStr">
        <is>
          <t>411</t>
        </is>
      </c>
      <c r="Z332" t="n">
        <v>30</v>
      </c>
      <c r="AA332" t="inlineStr">
        <is>
          <t>590</t>
        </is>
      </c>
      <c r="AB332" t="n">
        <v>36</v>
      </c>
      <c r="AC332" t="inlineStr">
        <is>
          <t>535</t>
        </is>
      </c>
      <c r="AD332" t="n">
        <v>87.7</v>
      </c>
      <c r="AE332" t="inlineStr">
        <is>
          <t>205</t>
        </is>
      </c>
      <c r="AF332" t="n">
        <v>28.7</v>
      </c>
      <c r="AG332" t="inlineStr">
        <is>
          <t>583</t>
        </is>
      </c>
      <c r="AH332" t="n">
        <v>82.90000000000001</v>
      </c>
      <c r="AI332" t="inlineStr">
        <is>
          <t>135=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Goldsmiths, University of London</t>
        </is>
      </c>
      <c r="B333" t="inlineStr">
        <is>
          <t>United Kingdom</t>
        </is>
      </c>
      <c r="C333" t="inlineStr">
        <is>
          <t>UK</t>
        </is>
      </c>
      <c r="D333" t="inlineStr">
        <is>
          <t>Europe</t>
        </is>
      </c>
      <c r="E333" t="inlineStr">
        <is>
          <t>M</t>
        </is>
      </c>
      <c r="F333" t="inlineStr">
        <is>
          <t>FO</t>
        </is>
      </c>
      <c r="G333" t="inlineStr">
        <is>
          <t>VH</t>
        </is>
      </c>
      <c r="H333" t="inlineStr">
        <is>
          <t>5</t>
        </is>
      </c>
      <c r="I333" t="inlineStr">
        <is>
          <t>Public</t>
        </is>
      </c>
      <c r="J333" t="inlineStr">
        <is>
          <t>711-720</t>
        </is>
      </c>
      <c r="K333" t="inlineStr">
        <is>
          <t>681-690</t>
        </is>
      </c>
      <c r="L333">
        <f>593</f>
        <v/>
      </c>
      <c r="M333" t="inlineStr">
        <is>
          <t>511-520</t>
        </is>
      </c>
      <c r="N333" t="inlineStr">
        <is>
          <t>-</t>
        </is>
      </c>
      <c r="O333" t="inlineStr">
        <is>
          <t>20.0</t>
        </is>
      </c>
      <c r="P333" t="n">
        <v>18.3</v>
      </c>
      <c r="Q333" t="inlineStr">
        <is>
          <t>668</t>
        </is>
      </c>
      <c r="R333" t="n">
        <v>7.5</v>
      </c>
      <c r="S333" t="inlineStr">
        <is>
          <t>701+</t>
        </is>
      </c>
      <c r="T333" t="n">
        <v>20.8</v>
      </c>
      <c r="U333" t="inlineStr">
        <is>
          <t>801+</t>
        </is>
      </c>
      <c r="V333" t="n">
        <v>17</v>
      </c>
      <c r="W333" t="inlineStr">
        <is>
          <t>765</t>
        </is>
      </c>
      <c r="X333" t="n">
        <v>89.09999999999999</v>
      </c>
      <c r="Y333" t="inlineStr">
        <is>
          <t>230</t>
        </is>
      </c>
      <c r="Z333" t="n">
        <v>97.8</v>
      </c>
      <c r="AA333" t="inlineStr">
        <is>
          <t>93</t>
        </is>
      </c>
      <c r="AB333" t="n">
        <v>97.90000000000001</v>
      </c>
      <c r="AC333" t="inlineStr">
        <is>
          <t>82</t>
        </is>
      </c>
      <c r="AD333" t="n">
        <v>22.7</v>
      </c>
      <c r="AE333" t="inlineStr">
        <is>
          <t>801+</t>
        </is>
      </c>
      <c r="AF333" t="n">
        <v>25.2</v>
      </c>
      <c r="AG333" t="inlineStr">
        <is>
          <t>637</t>
        </is>
      </c>
      <c r="AH333" t="n">
        <v>43</v>
      </c>
      <c r="AI333" t="inlineStr">
        <is>
          <t>801+</t>
        </is>
      </c>
      <c r="AJ333" t="inlineStr">
        <is>
          <t>14.9</t>
        </is>
      </c>
      <c r="AK333" t="inlineStr">
        <is>
          <t>587</t>
        </is>
      </c>
      <c r="AL333" t="inlineStr">
        <is>
          <t>6.0</t>
        </is>
      </c>
      <c r="AM333" t="inlineStr">
        <is>
          <t>601+</t>
        </is>
      </c>
      <c r="AN333" t="inlineStr">
        <is>
          <t>14.7</t>
        </is>
      </c>
      <c r="AO333" t="inlineStr">
        <is>
          <t>701+</t>
        </is>
      </c>
      <c r="AP333" t="inlineStr">
        <is>
          <t>13.6</t>
        </is>
      </c>
      <c r="AQ333" t="inlineStr">
        <is>
          <t>663</t>
        </is>
      </c>
      <c r="AR333" t="inlineStr">
        <is>
          <t>97.8</t>
        </is>
      </c>
      <c r="AS333" t="inlineStr">
        <is>
          <t>117</t>
        </is>
      </c>
      <c r="AT333" t="inlineStr">
        <is>
          <t>92.8</t>
        </is>
      </c>
      <c r="AU333" t="inlineStr">
        <is>
          <t>101</t>
        </is>
      </c>
      <c r="AV333" t="inlineStr">
        <is>
          <t>1.2</t>
        </is>
      </c>
      <c r="AW333" t="inlineStr">
        <is>
          <t>701+</t>
        </is>
      </c>
      <c r="AX333" t="inlineStr">
        <is>
          <t>17.2</t>
        </is>
      </c>
      <c r="AY333" t="inlineStr">
        <is>
          <t>490</t>
        </is>
      </c>
      <c r="AZ333" t="inlineStr">
        <is>
          <t>1.8</t>
        </is>
      </c>
      <c r="BA333" t="inlineStr">
        <is>
          <t>701+</t>
        </is>
      </c>
    </row>
    <row r="334">
      <c r="A334" t="inlineStr">
        <is>
          <t>Government College University, Faisalabad</t>
        </is>
      </c>
      <c r="B334" t="inlineStr">
        <is>
          <t>Pakistan</t>
        </is>
      </c>
      <c r="C334" t="inlineStr"/>
      <c r="D334" t="inlineStr">
        <is>
          <t>Asia</t>
        </is>
      </c>
      <c r="E334" t="inlineStr">
        <is>
          <t>L</t>
        </is>
      </c>
      <c r="F334" t="inlineStr">
        <is>
          <t>CO</t>
        </is>
      </c>
      <c r="G334" t="inlineStr">
        <is>
          <t>VH</t>
        </is>
      </c>
      <c r="H334" t="inlineStr"/>
      <c r="I334" t="inlineStr">
        <is>
          <t>Public</t>
        </is>
      </c>
      <c r="J334" t="inlineStr">
        <is>
          <t>761-770</t>
        </is>
      </c>
      <c r="K334" t="inlineStr"/>
      <c r="L334" t="inlineStr"/>
      <c r="M334" t="inlineStr"/>
      <c r="N334" t="inlineStr">
        <is>
          <t>-</t>
        </is>
      </c>
      <c r="O334" t="inlineStr"/>
      <c r="P334" t="n">
        <v>4.2</v>
      </c>
      <c r="Q334" t="inlineStr">
        <is>
          <t>701+</t>
        </is>
      </c>
      <c r="R334" t="n">
        <v>7.1</v>
      </c>
      <c r="S334" t="inlineStr">
        <is>
          <t>701+</t>
        </is>
      </c>
      <c r="T334" t="n">
        <v>7.6</v>
      </c>
      <c r="U334" t="inlineStr">
        <is>
          <t>801+</t>
        </is>
      </c>
      <c r="V334" t="n">
        <v>72.2</v>
      </c>
      <c r="W334" t="inlineStr">
        <is>
          <t>197</t>
        </is>
      </c>
      <c r="X334" t="n">
        <v>1.3</v>
      </c>
      <c r="Y334" t="inlineStr">
        <is>
          <t>801+</t>
        </is>
      </c>
      <c r="Z334" t="n">
        <v>1.1</v>
      </c>
      <c r="AA334" t="inlineStr">
        <is>
          <t>801+</t>
        </is>
      </c>
      <c r="AB334" t="n">
        <v>5.5</v>
      </c>
      <c r="AC334" t="inlineStr">
        <is>
          <t>801+</t>
        </is>
      </c>
      <c r="AD334" t="n">
        <v>77.59999999999999</v>
      </c>
      <c r="AE334" t="inlineStr">
        <is>
          <t>392</t>
        </is>
      </c>
      <c r="AF334" t="n">
        <v>33.5</v>
      </c>
      <c r="AG334" t="inlineStr">
        <is>
          <t>503</t>
        </is>
      </c>
      <c r="AH334" t="n">
        <v>32.2</v>
      </c>
      <c r="AI334" t="inlineStr">
        <is>
          <t>801+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Graz University of Technology</t>
        </is>
      </c>
      <c r="B335" t="inlineStr">
        <is>
          <t>Austria</t>
        </is>
      </c>
      <c r="C335" t="inlineStr">
        <is>
          <t>AT</t>
        </is>
      </c>
      <c r="D335" t="inlineStr">
        <is>
          <t>Europe</t>
        </is>
      </c>
      <c r="E335" t="inlineStr">
        <is>
          <t>M</t>
        </is>
      </c>
      <c r="F335" t="inlineStr">
        <is>
          <t>FO</t>
        </is>
      </c>
      <c r="G335" t="inlineStr">
        <is>
          <t>VH</t>
        </is>
      </c>
      <c r="H335" t="inlineStr">
        <is>
          <t>5</t>
        </is>
      </c>
      <c r="I335" t="inlineStr">
        <is>
          <t>Public</t>
        </is>
      </c>
      <c r="J335" t="inlineStr">
        <is>
          <t>427</t>
        </is>
      </c>
      <c r="K335" t="inlineStr">
        <is>
          <t>413</t>
        </is>
      </c>
      <c r="L335">
        <f>421</f>
        <v/>
      </c>
      <c r="M335" t="inlineStr">
        <is>
          <t>284=</t>
        </is>
      </c>
      <c r="N335" t="inlineStr">
        <is>
          <t>36</t>
        </is>
      </c>
      <c r="O335" t="inlineStr">
        <is>
          <t>26.7</t>
        </is>
      </c>
      <c r="P335" t="n">
        <v>21.9</v>
      </c>
      <c r="Q335" t="inlineStr">
        <is>
          <t>568</t>
        </is>
      </c>
      <c r="R335" t="n">
        <v>22.1</v>
      </c>
      <c r="S335" t="inlineStr">
        <is>
          <t>601</t>
        </is>
      </c>
      <c r="T335" t="n">
        <v>99.2</v>
      </c>
      <c r="U335" t="inlineStr">
        <is>
          <t>43</t>
        </is>
      </c>
      <c r="V335" t="n">
        <v>18.8</v>
      </c>
      <c r="W335" t="inlineStr">
        <is>
          <t>735</t>
        </is>
      </c>
      <c r="X335" t="n">
        <v>86.59999999999999</v>
      </c>
      <c r="Y335" t="inlineStr">
        <is>
          <t>248</t>
        </is>
      </c>
      <c r="Z335" t="n">
        <v>71.3</v>
      </c>
      <c r="AA335" t="inlineStr">
        <is>
          <t>267</t>
        </is>
      </c>
      <c r="AB335" t="n">
        <v>53.1</v>
      </c>
      <c r="AC335" t="inlineStr">
        <is>
          <t>388</t>
        </is>
      </c>
      <c r="AD335" t="n">
        <v>52.3</v>
      </c>
      <c r="AE335" t="inlineStr">
        <is>
          <t>801+</t>
        </is>
      </c>
      <c r="AF335" t="n">
        <v>15.2</v>
      </c>
      <c r="AG335" t="inlineStr">
        <is>
          <t>801+</t>
        </is>
      </c>
      <c r="AH335" t="n">
        <v>42.6</v>
      </c>
      <c r="AI335" t="inlineStr">
        <is>
          <t>801+</t>
        </is>
      </c>
      <c r="AJ335" t="inlineStr">
        <is>
          <t>14.5</t>
        </is>
      </c>
      <c r="AK335" t="inlineStr">
        <is>
          <t>595</t>
        </is>
      </c>
      <c r="AL335" t="inlineStr">
        <is>
          <t>11.0</t>
        </is>
      </c>
      <c r="AM335" t="inlineStr">
        <is>
          <t>601+</t>
        </is>
      </c>
      <c r="AN335" t="inlineStr">
        <is>
          <t>99.5</t>
        </is>
      </c>
      <c r="AO335" t="inlineStr">
        <is>
          <t>31</t>
        </is>
      </c>
      <c r="AP335" t="inlineStr">
        <is>
          <t>13.6</t>
        </is>
      </c>
      <c r="AQ335" t="inlineStr">
        <is>
          <t>664</t>
        </is>
      </c>
      <c r="AR335" t="inlineStr">
        <is>
          <t>75.0</t>
        </is>
      </c>
      <c r="AS335" t="inlineStr">
        <is>
          <t>255</t>
        </is>
      </c>
      <c r="AT335" t="inlineStr">
        <is>
          <t>58.8</t>
        </is>
      </c>
      <c r="AU335" t="inlineStr">
        <is>
          <t>258</t>
        </is>
      </c>
      <c r="AV335" t="inlineStr">
        <is>
          <t>10.4</t>
        </is>
      </c>
      <c r="AW335" t="inlineStr">
        <is>
          <t>664</t>
        </is>
      </c>
      <c r="AX335" t="inlineStr">
        <is>
          <t>13.6</t>
        </is>
      </c>
      <c r="AY335" t="inlineStr">
        <is>
          <t>629</t>
        </is>
      </c>
      <c r="AZ335" t="inlineStr">
        <is>
          <t>4.2</t>
        </is>
      </c>
      <c r="BA335" t="inlineStr">
        <is>
          <t>701+</t>
        </is>
      </c>
    </row>
    <row r="336">
      <c r="A336" t="inlineStr">
        <is>
          <t>Griffith University</t>
        </is>
      </c>
      <c r="B336" t="inlineStr">
        <is>
          <t>Australia</t>
        </is>
      </c>
      <c r="C336" t="inlineStr">
        <is>
          <t>AU</t>
        </is>
      </c>
      <c r="D336" t="inlineStr">
        <is>
          <t>Oceania</t>
        </is>
      </c>
      <c r="E336" t="inlineStr">
        <is>
          <t>L</t>
        </is>
      </c>
      <c r="F336" t="inlineStr">
        <is>
          <t>FC</t>
        </is>
      </c>
      <c r="G336" t="inlineStr">
        <is>
          <t>VH</t>
        </is>
      </c>
      <c r="H336" t="inlineStr">
        <is>
          <t>4</t>
        </is>
      </c>
      <c r="I336" t="inlineStr">
        <is>
          <t>Public</t>
        </is>
      </c>
      <c r="J336" t="inlineStr">
        <is>
          <t>268</t>
        </is>
      </c>
      <c r="K336" t="inlineStr">
        <is>
          <t>255</t>
        </is>
      </c>
      <c r="L336" t="inlineStr">
        <is>
          <t>243</t>
        </is>
      </c>
      <c r="M336" t="inlineStr">
        <is>
          <t>300=</t>
        </is>
      </c>
      <c r="N336" t="inlineStr">
        <is>
          <t>48.7</t>
        </is>
      </c>
      <c r="O336" t="inlineStr">
        <is>
          <t>40.1</t>
        </is>
      </c>
      <c r="P336" t="n">
        <v>37.7</v>
      </c>
      <c r="Q336" t="inlineStr">
        <is>
          <t>318</t>
        </is>
      </c>
      <c r="R336" t="n">
        <v>16.6</v>
      </c>
      <c r="S336" t="inlineStr">
        <is>
          <t>701+</t>
        </is>
      </c>
      <c r="T336" t="n">
        <v>13.3</v>
      </c>
      <c r="U336" t="inlineStr">
        <is>
          <t>801+</t>
        </is>
      </c>
      <c r="V336" t="n">
        <v>75.09999999999999</v>
      </c>
      <c r="W336" t="inlineStr">
        <is>
          <t>178</t>
        </is>
      </c>
      <c r="X336" t="n">
        <v>100</v>
      </c>
      <c r="Y336" t="inlineStr">
        <is>
          <t>91</t>
        </is>
      </c>
      <c r="Z336" t="n">
        <v>70.7</v>
      </c>
      <c r="AA336" t="inlineStr">
        <is>
          <t>271</t>
        </is>
      </c>
      <c r="AB336" t="n">
        <v>73.5</v>
      </c>
      <c r="AC336" t="inlineStr">
        <is>
          <t>243</t>
        </is>
      </c>
      <c r="AD336" t="n">
        <v>93.40000000000001</v>
      </c>
      <c r="AE336" t="inlineStr">
        <is>
          <t>119</t>
        </is>
      </c>
      <c r="AF336" t="n">
        <v>26.6</v>
      </c>
      <c r="AG336" t="inlineStr">
        <is>
          <t>615</t>
        </is>
      </c>
      <c r="AH336" t="n">
        <v>91.7</v>
      </c>
      <c r="AI336" t="inlineStr">
        <is>
          <t>49=</t>
        </is>
      </c>
      <c r="AJ336" t="inlineStr">
        <is>
          <t>26.5</t>
        </is>
      </c>
      <c r="AK336" t="inlineStr">
        <is>
          <t>332</t>
        </is>
      </c>
      <c r="AL336" t="inlineStr">
        <is>
          <t>16.2</t>
        </is>
      </c>
      <c r="AM336" t="inlineStr">
        <is>
          <t>526</t>
        </is>
      </c>
      <c r="AN336" t="inlineStr">
        <is>
          <t>7.5</t>
        </is>
      </c>
      <c r="AO336" t="inlineStr">
        <is>
          <t>701+</t>
        </is>
      </c>
      <c r="AP336" t="inlineStr">
        <is>
          <t>65.8</t>
        </is>
      </c>
      <c r="AQ336" t="inlineStr">
        <is>
          <t>166</t>
        </is>
      </c>
      <c r="AR336" t="inlineStr">
        <is>
          <t>100.0</t>
        </is>
      </c>
      <c r="AS336" t="inlineStr">
        <is>
          <t>70</t>
        </is>
      </c>
      <c r="AT336" t="inlineStr">
        <is>
          <t>31.7</t>
        </is>
      </c>
      <c r="AU336" t="inlineStr">
        <is>
          <t>403</t>
        </is>
      </c>
      <c r="AV336" t="inlineStr">
        <is>
          <t>72.7</t>
        </is>
      </c>
      <c r="AW336" t="inlineStr">
        <is>
          <t>185</t>
        </is>
      </c>
      <c r="AX336" t="inlineStr">
        <is>
          <t>15.5</t>
        </is>
      </c>
      <c r="AY336" t="inlineStr">
        <is>
          <t>539</t>
        </is>
      </c>
      <c r="AZ336" t="inlineStr">
        <is>
          <t>93.3</t>
        </is>
      </c>
      <c r="BA336" t="inlineStr">
        <is>
          <t>69</t>
        </is>
      </c>
    </row>
    <row r="337">
      <c r="A337" t="inlineStr">
        <is>
          <t>Gulf University for Science and Technology</t>
        </is>
      </c>
      <c r="B337" t="inlineStr">
        <is>
          <t>Kuwait</t>
        </is>
      </c>
      <c r="C337" t="inlineStr">
        <is>
          <t>KW</t>
        </is>
      </c>
      <c r="D337" t="inlineStr"/>
      <c r="E337" t="inlineStr">
        <is>
          <t>S</t>
        </is>
      </c>
      <c r="F337" t="inlineStr">
        <is>
          <t>FO</t>
        </is>
      </c>
      <c r="G337" t="inlineStr">
        <is>
          <t>HI</t>
        </is>
      </c>
      <c r="H337" t="inlineStr">
        <is>
          <t>2</t>
        </is>
      </c>
      <c r="I337" t="inlineStr">
        <is>
          <t>C</t>
        </is>
      </c>
      <c r="J337" t="inlineStr"/>
      <c r="K337" t="inlineStr"/>
      <c r="L337" t="inlineStr">
        <is>
          <t>851-900</t>
        </is>
      </c>
      <c r="M337" t="inlineStr">
        <is>
          <t>801-1000</t>
        </is>
      </c>
      <c r="N337" t="inlineStr"/>
      <c r="O337" t="inlineStr">
        <is>
          <t>-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10.7</t>
        </is>
      </c>
      <c r="AK337" t="inlineStr">
        <is>
          <t>601+</t>
        </is>
      </c>
      <c r="AL337" t="inlineStr">
        <is>
          <t>7.3</t>
        </is>
      </c>
      <c r="AM337" t="inlineStr">
        <is>
          <t>601+</t>
        </is>
      </c>
      <c r="AN337" t="inlineStr">
        <is>
          <t>9.3</t>
        </is>
      </c>
      <c r="AO337" t="inlineStr">
        <is>
          <t>701+</t>
        </is>
      </c>
      <c r="AP337" t="inlineStr">
        <is>
          <t>4.3</t>
        </is>
      </c>
      <c r="AQ337" t="inlineStr">
        <is>
          <t>701+</t>
        </is>
      </c>
      <c r="AR337" t="inlineStr">
        <is>
          <t>100.0</t>
        </is>
      </c>
      <c r="AS337" t="inlineStr">
        <is>
          <t>15</t>
        </is>
      </c>
      <c r="AT337" t="inlineStr">
        <is>
          <t>23.3</t>
        </is>
      </c>
      <c r="AU337" t="inlineStr">
        <is>
          <t>497</t>
        </is>
      </c>
      <c r="AV337" t="inlineStr">
        <is>
          <t>1.0</t>
        </is>
      </c>
      <c r="AW337" t="inlineStr">
        <is>
          <t>701+</t>
        </is>
      </c>
      <c r="AX337" t="inlineStr">
        <is>
          <t>14</t>
        </is>
      </c>
      <c r="AY337" t="inlineStr">
        <is>
          <t>610</t>
        </is>
      </c>
      <c r="AZ337" t="inlineStr">
        <is>
          <t>1.9</t>
        </is>
      </c>
      <c r="BA337" t="inlineStr">
        <is>
          <t>701+</t>
        </is>
      </c>
    </row>
    <row r="338">
      <c r="A338" t="inlineStr">
        <is>
          <t>Gulf University for Science and Technology (GUST)</t>
        </is>
      </c>
      <c r="B338" t="inlineStr">
        <is>
          <t>Kuwait</t>
        </is>
      </c>
      <c r="C338" t="inlineStr"/>
      <c r="D338" t="inlineStr">
        <is>
          <t>Asia</t>
        </is>
      </c>
      <c r="E338" t="inlineStr">
        <is>
          <t>S</t>
        </is>
      </c>
      <c r="F338" t="inlineStr">
        <is>
          <t>FO</t>
        </is>
      </c>
      <c r="G338" t="inlineStr">
        <is>
          <t>VH</t>
        </is>
      </c>
      <c r="H338" t="inlineStr"/>
      <c r="I338" t="inlineStr">
        <is>
          <t>Private for Profit</t>
        </is>
      </c>
      <c r="J338" t="inlineStr">
        <is>
          <t>901-950</t>
        </is>
      </c>
      <c r="K338" t="inlineStr">
        <is>
          <t>851-900</t>
        </is>
      </c>
      <c r="L338" t="inlineStr"/>
      <c r="M338" t="inlineStr"/>
      <c r="N338" t="inlineStr">
        <is>
          <t>-</t>
        </is>
      </c>
      <c r="O338" t="inlineStr"/>
      <c r="P338" t="n">
        <v>15.9</v>
      </c>
      <c r="Q338" t="inlineStr">
        <is>
          <t>701+</t>
        </is>
      </c>
      <c r="R338" t="n">
        <v>15.1</v>
      </c>
      <c r="S338" t="inlineStr">
        <is>
          <t>701+</t>
        </is>
      </c>
      <c r="T338" t="n">
        <v>18.4</v>
      </c>
      <c r="U338" t="inlineStr">
        <is>
          <t>801+</t>
        </is>
      </c>
      <c r="V338" t="n">
        <v>10.6</v>
      </c>
      <c r="W338" t="inlineStr">
        <is>
          <t>801+</t>
        </is>
      </c>
      <c r="X338" t="n">
        <v>100</v>
      </c>
      <c r="Y338" t="inlineStr">
        <is>
          <t>22</t>
        </is>
      </c>
      <c r="Z338" t="n">
        <v>34.6</v>
      </c>
      <c r="AA338" t="inlineStr">
        <is>
          <t>545</t>
        </is>
      </c>
      <c r="AB338" t="n">
        <v>37.8</v>
      </c>
      <c r="AC338" t="inlineStr">
        <is>
          <t>517</t>
        </is>
      </c>
      <c r="AD338" t="n">
        <v>19.5</v>
      </c>
      <c r="AE338" t="inlineStr">
        <is>
          <t>801+</t>
        </is>
      </c>
      <c r="AF338" t="n">
        <v>11.8</v>
      </c>
      <c r="AG338" t="inlineStr">
        <is>
          <t>801+</t>
        </is>
      </c>
      <c r="AH338" t="n">
        <v>28.7</v>
      </c>
      <c r="AI338" t="inlineStr">
        <is>
          <t>801+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Gunma University</t>
        </is>
      </c>
      <c r="B339" t="inlineStr">
        <is>
          <t>Japan</t>
        </is>
      </c>
      <c r="C339" t="inlineStr">
        <is>
          <t>JP</t>
        </is>
      </c>
      <c r="D339" t="inlineStr">
        <is>
          <t>Asia</t>
        </is>
      </c>
      <c r="E339" t="inlineStr">
        <is>
          <t>M</t>
        </is>
      </c>
      <c r="F339" t="inlineStr">
        <is>
          <t>FO</t>
        </is>
      </c>
      <c r="G339" t="inlineStr">
        <is>
          <t>VH</t>
        </is>
      </c>
      <c r="H339" t="inlineStr">
        <is>
          <t>4</t>
        </is>
      </c>
      <c r="I339" t="inlineStr">
        <is>
          <t>Public</t>
        </is>
      </c>
      <c r="J339" t="inlineStr">
        <is>
          <t>1201-1400</t>
        </is>
      </c>
      <c r="K339" t="inlineStr">
        <is>
          <t>1001-1200</t>
        </is>
      </c>
      <c r="L339" t="inlineStr">
        <is>
          <t>951-1000</t>
        </is>
      </c>
      <c r="M339" t="inlineStr">
        <is>
          <t>651-700</t>
        </is>
      </c>
      <c r="N339" t="inlineStr">
        <is>
          <t>-</t>
        </is>
      </c>
      <c r="O339" t="inlineStr">
        <is>
          <t>-</t>
        </is>
      </c>
      <c r="P339" t="n">
        <v>3.8</v>
      </c>
      <c r="Q339" t="inlineStr">
        <is>
          <t>701+</t>
        </is>
      </c>
      <c r="R339" t="n">
        <v>2.8</v>
      </c>
      <c r="S339" t="inlineStr">
        <is>
          <t>701+</t>
        </is>
      </c>
      <c r="T339" t="n">
        <v>89.8</v>
      </c>
      <c r="U339" t="inlineStr">
        <is>
          <t>104</t>
        </is>
      </c>
      <c r="V339" t="n">
        <v>9</v>
      </c>
      <c r="W339" t="inlineStr">
        <is>
          <t>801+</t>
        </is>
      </c>
      <c r="X339" t="n">
        <v>5.5</v>
      </c>
      <c r="Y339" t="inlineStr">
        <is>
          <t>801+</t>
        </is>
      </c>
      <c r="Z339" t="n">
        <v>5.2</v>
      </c>
      <c r="AA339" t="inlineStr">
        <is>
          <t>801+</t>
        </is>
      </c>
      <c r="AB339" t="n">
        <v>8.6</v>
      </c>
      <c r="AC339" t="inlineStr">
        <is>
          <t>801+</t>
        </is>
      </c>
      <c r="AD339" t="n">
        <v>10.5</v>
      </c>
      <c r="AE339" t="inlineStr">
        <is>
          <t>801+</t>
        </is>
      </c>
      <c r="AF339" t="n">
        <v>1.8</v>
      </c>
      <c r="AG339" t="inlineStr">
        <is>
          <t>801+</t>
        </is>
      </c>
      <c r="AH339" t="n">
        <v>15.4</v>
      </c>
      <c r="AI339" t="inlineStr">
        <is>
          <t>801+</t>
        </is>
      </c>
      <c r="AJ339" t="inlineStr">
        <is>
          <t>3.8</t>
        </is>
      </c>
      <c r="AK339" t="inlineStr">
        <is>
          <t>601+</t>
        </is>
      </c>
      <c r="AL339" t="inlineStr">
        <is>
          <t>2.2</t>
        </is>
      </c>
      <c r="AM339" t="inlineStr">
        <is>
          <t>601+</t>
        </is>
      </c>
      <c r="AN339" t="inlineStr">
        <is>
          <t>82.0</t>
        </is>
      </c>
      <c r="AO339" t="inlineStr">
        <is>
          <t>128</t>
        </is>
      </c>
      <c r="AP339" t="inlineStr">
        <is>
          <t>4.7</t>
        </is>
      </c>
      <c r="AQ339" t="inlineStr">
        <is>
          <t>701+</t>
        </is>
      </c>
      <c r="AR339" t="inlineStr">
        <is>
          <t>4.5</t>
        </is>
      </c>
      <c r="AS339" t="inlineStr">
        <is>
          <t>701+</t>
        </is>
      </c>
      <c r="AT339" t="inlineStr">
        <is>
          <t>3.7</t>
        </is>
      </c>
      <c r="AU339" t="inlineStr">
        <is>
          <t>701+</t>
        </is>
      </c>
      <c r="AV339" t="inlineStr">
        <is>
          <t>1.0</t>
        </is>
      </c>
      <c r="AW339" t="inlineStr">
        <is>
          <t>701+</t>
        </is>
      </c>
      <c r="AX339" t="inlineStr">
        <is>
          <t>7.9</t>
        </is>
      </c>
      <c r="AY339" t="inlineStr">
        <is>
          <t>701+</t>
        </is>
      </c>
      <c r="AZ339" t="inlineStr">
        <is>
          <t>1</t>
        </is>
      </c>
      <c r="BA339" t="inlineStr">
        <is>
          <t>701+</t>
        </is>
      </c>
    </row>
    <row r="340">
      <c r="A340" t="inlineStr">
        <is>
          <t>Guru Gobind Singh Indraprastha University</t>
        </is>
      </c>
      <c r="B340" t="inlineStr">
        <is>
          <t>India</t>
        </is>
      </c>
      <c r="C340" t="inlineStr">
        <is>
          <t>IN</t>
        </is>
      </c>
      <c r="D340" t="inlineStr">
        <is>
          <t>Asia</t>
        </is>
      </c>
      <c r="E340" t="inlineStr">
        <is>
          <t>S</t>
        </is>
      </c>
      <c r="F340" t="inlineStr">
        <is>
          <t>CO</t>
        </is>
      </c>
      <c r="G340" t="inlineStr">
        <is>
          <t>VH</t>
        </is>
      </c>
      <c r="H340" t="inlineStr">
        <is>
          <t>3</t>
        </is>
      </c>
      <c r="I340" t="inlineStr">
        <is>
          <t>Public</t>
        </is>
      </c>
      <c r="J340" t="inlineStr">
        <is>
          <t>951-1000</t>
        </is>
      </c>
      <c r="K340" t="inlineStr">
        <is>
          <t>1001-1200</t>
        </is>
      </c>
      <c r="L340" t="inlineStr">
        <is>
          <t>1401+</t>
        </is>
      </c>
      <c r="M340" t="inlineStr"/>
      <c r="N340" t="inlineStr">
        <is>
          <t>-</t>
        </is>
      </c>
      <c r="O340" t="inlineStr">
        <is>
          <t>-</t>
        </is>
      </c>
      <c r="P340" t="n">
        <v>5.8</v>
      </c>
      <c r="Q340" t="inlineStr">
        <is>
          <t>701+</t>
        </is>
      </c>
      <c r="R340" t="n">
        <v>14.6</v>
      </c>
      <c r="S340" t="inlineStr">
        <is>
          <t>701+</t>
        </is>
      </c>
      <c r="T340" t="n">
        <v>12.5</v>
      </c>
      <c r="U340" t="inlineStr">
        <is>
          <t>801+</t>
        </is>
      </c>
      <c r="V340" t="n">
        <v>48.5</v>
      </c>
      <c r="W340" t="inlineStr">
        <is>
          <t>384</t>
        </is>
      </c>
      <c r="X340" t="n">
        <v>5</v>
      </c>
      <c r="Y340" t="inlineStr">
        <is>
          <t>801+</t>
        </is>
      </c>
      <c r="Z340" t="n">
        <v>9.4</v>
      </c>
      <c r="AA340" t="inlineStr">
        <is>
          <t>801+</t>
        </is>
      </c>
      <c r="AB340" t="n">
        <v>12.6</v>
      </c>
      <c r="AC340" t="inlineStr">
        <is>
          <t>801+</t>
        </is>
      </c>
      <c r="AD340" t="n">
        <v>26.9</v>
      </c>
      <c r="AE340" t="inlineStr">
        <is>
          <t>801+</t>
        </is>
      </c>
      <c r="AF340" t="n">
        <v>12.8</v>
      </c>
      <c r="AG340" t="inlineStr">
        <is>
          <t>801+</t>
        </is>
      </c>
      <c r="AH340" t="n">
        <v>43</v>
      </c>
      <c r="AI340" t="inlineStr">
        <is>
          <t>801+</t>
        </is>
      </c>
      <c r="AJ340" t="inlineStr">
        <is>
          <t>3.3</t>
        </is>
      </c>
      <c r="AK340" t="inlineStr">
        <is>
          <t>601+</t>
        </is>
      </c>
      <c r="AL340" t="inlineStr">
        <is>
          <t>2.6</t>
        </is>
      </c>
      <c r="AM340" t="inlineStr">
        <is>
          <t>601+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>
        <is>
          <t>1.0</t>
        </is>
      </c>
      <c r="AW340" t="inlineStr">
        <is>
          <t>701+</t>
        </is>
      </c>
      <c r="AX340" t="inlineStr"/>
      <c r="AY340" t="inlineStr"/>
      <c r="AZ340" t="inlineStr"/>
      <c r="BA340" t="inlineStr"/>
    </row>
    <row r="341">
      <c r="A341" t="inlineStr">
        <is>
          <t>Gwangju Institute of Science and Technology (GIST)</t>
        </is>
      </c>
      <c r="B341" t="inlineStr">
        <is>
          <t>Republic of Korea</t>
        </is>
      </c>
      <c r="C341" t="inlineStr"/>
      <c r="D341" t="inlineStr">
        <is>
          <t>Asia</t>
        </is>
      </c>
      <c r="E341" t="inlineStr">
        <is>
          <t>S</t>
        </is>
      </c>
      <c r="F341" t="inlineStr">
        <is>
          <t>SP</t>
        </is>
      </c>
      <c r="G341" t="inlineStr">
        <is>
          <t>VH</t>
        </is>
      </c>
      <c r="H341" t="inlineStr"/>
      <c r="I341" t="inlineStr">
        <is>
          <t>Public</t>
        </is>
      </c>
      <c r="J341" t="inlineStr">
        <is>
          <t>385</t>
        </is>
      </c>
      <c r="K341" t="inlineStr">
        <is>
          <t>359</t>
        </is>
      </c>
      <c r="L341" t="inlineStr"/>
      <c r="M341" t="inlineStr"/>
      <c r="N341" t="inlineStr">
        <is>
          <t>39.1</t>
        </is>
      </c>
      <c r="O341" t="inlineStr"/>
      <c r="P341" t="n">
        <v>21.3</v>
      </c>
      <c r="Q341" t="inlineStr">
        <is>
          <t>584</t>
        </is>
      </c>
      <c r="R341" t="n">
        <v>12.4</v>
      </c>
      <c r="S341" t="inlineStr">
        <is>
          <t>701+</t>
        </is>
      </c>
      <c r="T341" t="n">
        <v>56.7</v>
      </c>
      <c r="U341" t="inlineStr">
        <is>
          <t>326</t>
        </is>
      </c>
      <c r="V341" t="n">
        <v>99.90000000000001</v>
      </c>
      <c r="W341" t="inlineStr">
        <is>
          <t>16</t>
        </is>
      </c>
      <c r="X341" t="n">
        <v>15.7</v>
      </c>
      <c r="Y341" t="inlineStr">
        <is>
          <t>787</t>
        </is>
      </c>
      <c r="Z341" t="n">
        <v>18.5</v>
      </c>
      <c r="AA341" t="inlineStr">
        <is>
          <t>751</t>
        </is>
      </c>
      <c r="AB341" t="n">
        <v>20.8</v>
      </c>
      <c r="AC341" t="inlineStr">
        <is>
          <t>750</t>
        </is>
      </c>
      <c r="AD341" t="n">
        <v>28.9</v>
      </c>
      <c r="AE341" t="inlineStr">
        <is>
          <t>801+</t>
        </is>
      </c>
      <c r="AF341" t="n">
        <v>2.2</v>
      </c>
      <c r="AG341" t="inlineStr">
        <is>
          <t>801+</t>
        </is>
      </c>
      <c r="AH341" t="n">
        <v>55.3</v>
      </c>
      <c r="AI341" t="inlineStr">
        <is>
          <t>596=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Gwangju Institute of Science and Technology (GIST)</t>
        </is>
      </c>
      <c r="B342" t="inlineStr">
        <is>
          <t>South Korea</t>
        </is>
      </c>
      <c r="C342" t="inlineStr">
        <is>
          <t>KR</t>
        </is>
      </c>
      <c r="D342" t="inlineStr"/>
      <c r="E342" t="inlineStr">
        <is>
          <t>S</t>
        </is>
      </c>
      <c r="F342" t="inlineStr">
        <is>
          <t>FO</t>
        </is>
      </c>
      <c r="G342" t="inlineStr">
        <is>
          <t>VH</t>
        </is>
      </c>
      <c r="H342" t="inlineStr">
        <is>
          <t>3</t>
        </is>
      </c>
      <c r="I342" t="inlineStr">
        <is>
          <t>A</t>
        </is>
      </c>
      <c r="J342" t="inlineStr"/>
      <c r="K342" t="inlineStr"/>
      <c r="L342">
        <f>328</f>
        <v/>
      </c>
      <c r="M342" t="inlineStr">
        <is>
          <t>288=</t>
        </is>
      </c>
      <c r="N342" t="inlineStr"/>
      <c r="O342" t="inlineStr">
        <is>
          <t>32.6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17.4</t>
        </is>
      </c>
      <c r="AK342" t="inlineStr">
        <is>
          <t>513</t>
        </is>
      </c>
      <c r="AL342" t="inlineStr">
        <is>
          <t>8.9</t>
        </is>
      </c>
      <c r="AM342" t="inlineStr">
        <is>
          <t>601+</t>
        </is>
      </c>
      <c r="AN342" t="inlineStr">
        <is>
          <t>38.4</t>
        </is>
      </c>
      <c r="AO342" t="inlineStr">
        <is>
          <t>411</t>
        </is>
      </c>
      <c r="AP342" t="inlineStr">
        <is>
          <t>100.0</t>
        </is>
      </c>
      <c r="AQ342" t="inlineStr">
        <is>
          <t>5</t>
        </is>
      </c>
      <c r="AR342" t="inlineStr">
        <is>
          <t>21.6</t>
        </is>
      </c>
      <c r="AS342" t="inlineStr">
        <is>
          <t>577</t>
        </is>
      </c>
      <c r="AT342" t="inlineStr">
        <is>
          <t>10.0</t>
        </is>
      </c>
      <c r="AU342" t="inlineStr">
        <is>
          <t>701+</t>
        </is>
      </c>
      <c r="AV342" t="inlineStr">
        <is>
          <t>1.3</t>
        </is>
      </c>
      <c r="AW342" t="inlineStr">
        <is>
          <t>701+</t>
        </is>
      </c>
      <c r="AX342" t="inlineStr">
        <is>
          <t>8.1</t>
        </is>
      </c>
      <c r="AY342" t="inlineStr">
        <is>
          <t>701+</t>
        </is>
      </c>
      <c r="AZ342" t="inlineStr">
        <is>
          <t>2.1</t>
        </is>
      </c>
      <c r="BA342" t="inlineStr">
        <is>
          <t>701+</t>
        </is>
      </c>
    </row>
    <row r="343">
      <c r="A343" t="inlineStr">
        <is>
          <t>Hacettepe University</t>
        </is>
      </c>
      <c r="B343" t="inlineStr">
        <is>
          <t>Turkey</t>
        </is>
      </c>
      <c r="C343" t="inlineStr">
        <is>
          <t>TR</t>
        </is>
      </c>
      <c r="D343" t="inlineStr">
        <is>
          <t>Asia</t>
        </is>
      </c>
      <c r="E343" t="inlineStr">
        <is>
          <t>L</t>
        </is>
      </c>
      <c r="F343" t="inlineStr">
        <is>
          <t>FC</t>
        </is>
      </c>
      <c r="G343" t="inlineStr">
        <is>
          <t>VH</t>
        </is>
      </c>
      <c r="H343" t="inlineStr">
        <is>
          <t>4</t>
        </is>
      </c>
      <c r="I343" t="inlineStr">
        <is>
          <t>Public</t>
        </is>
      </c>
      <c r="J343" t="inlineStr">
        <is>
          <t>571</t>
        </is>
      </c>
      <c r="K343" t="inlineStr">
        <is>
          <t>641-650</t>
        </is>
      </c>
      <c r="L343" t="inlineStr">
        <is>
          <t>761-770</t>
        </is>
      </c>
      <c r="M343" t="inlineStr">
        <is>
          <t>801-1000</t>
        </is>
      </c>
      <c r="N343" t="inlineStr">
        <is>
          <t>29.2</t>
        </is>
      </c>
      <c r="O343" t="inlineStr">
        <is>
          <t>-</t>
        </is>
      </c>
      <c r="P343" t="n">
        <v>33</v>
      </c>
      <c r="Q343" t="inlineStr">
        <is>
          <t>371</t>
        </is>
      </c>
      <c r="R343" t="n">
        <v>50.5</v>
      </c>
      <c r="S343" t="inlineStr">
        <is>
          <t>251</t>
        </is>
      </c>
      <c r="T343" t="n">
        <v>18.5</v>
      </c>
      <c r="U343" t="inlineStr">
        <is>
          <t>801+</t>
        </is>
      </c>
      <c r="V343" t="n">
        <v>11.8</v>
      </c>
      <c r="W343" t="inlineStr">
        <is>
          <t>801+</t>
        </is>
      </c>
      <c r="X343" t="n">
        <v>3.9</v>
      </c>
      <c r="Y343" t="inlineStr">
        <is>
          <t>801+</t>
        </is>
      </c>
      <c r="Z343" t="n">
        <v>6.1</v>
      </c>
      <c r="AA343" t="inlineStr">
        <is>
          <t>801+</t>
        </is>
      </c>
      <c r="AB343" t="n">
        <v>10.9</v>
      </c>
      <c r="AC343" t="inlineStr">
        <is>
          <t>801+</t>
        </is>
      </c>
      <c r="AD343" t="n">
        <v>73.5</v>
      </c>
      <c r="AE343" t="inlineStr">
        <is>
          <t>483</t>
        </is>
      </c>
      <c r="AF343" t="n">
        <v>30.8</v>
      </c>
      <c r="AG343" t="inlineStr">
        <is>
          <t>536</t>
        </is>
      </c>
      <c r="AH343" t="n">
        <v>58.3</v>
      </c>
      <c r="AI343" t="inlineStr">
        <is>
          <t>539=</t>
        </is>
      </c>
      <c r="AJ343" t="inlineStr">
        <is>
          <t>20.4</t>
        </is>
      </c>
      <c r="AK343" t="inlineStr">
        <is>
          <t>427</t>
        </is>
      </c>
      <c r="AL343" t="inlineStr">
        <is>
          <t>22.7</t>
        </is>
      </c>
      <c r="AM343" t="inlineStr">
        <is>
          <t>419</t>
        </is>
      </c>
      <c r="AN343" t="inlineStr">
        <is>
          <t>10.1</t>
        </is>
      </c>
      <c r="AO343" t="inlineStr">
        <is>
          <t>701+</t>
        </is>
      </c>
      <c r="AP343" t="inlineStr">
        <is>
          <t>6.0</t>
        </is>
      </c>
      <c r="AQ343" t="inlineStr">
        <is>
          <t>701+</t>
        </is>
      </c>
      <c r="AR343" t="inlineStr">
        <is>
          <t>3.2</t>
        </is>
      </c>
      <c r="AS343" t="inlineStr">
        <is>
          <t>701+</t>
        </is>
      </c>
      <c r="AT343" t="inlineStr">
        <is>
          <t>3.4</t>
        </is>
      </c>
      <c r="AU343" t="inlineStr">
        <is>
          <t>701+</t>
        </is>
      </c>
      <c r="AV343" t="inlineStr">
        <is>
          <t>27.0</t>
        </is>
      </c>
      <c r="AW343" t="inlineStr">
        <is>
          <t>483</t>
        </is>
      </c>
      <c r="AX343" t="inlineStr">
        <is>
          <t>13.8</t>
        </is>
      </c>
      <c r="AY343" t="inlineStr">
        <is>
          <t>619</t>
        </is>
      </c>
      <c r="AZ343" t="inlineStr">
        <is>
          <t>31.6</t>
        </is>
      </c>
      <c r="BA343" t="inlineStr">
        <is>
          <t>425=</t>
        </is>
      </c>
    </row>
    <row r="344">
      <c r="A344" t="inlineStr">
        <is>
          <t>Hallym University</t>
        </is>
      </c>
      <c r="B344" t="inlineStr">
        <is>
          <t>Republic of Korea</t>
        </is>
      </c>
      <c r="C344" t="inlineStr"/>
      <c r="D344" t="inlineStr">
        <is>
          <t>Asia</t>
        </is>
      </c>
      <c r="E344" t="inlineStr">
        <is>
          <t>M</t>
        </is>
      </c>
      <c r="F344" t="inlineStr">
        <is>
          <t>FC</t>
        </is>
      </c>
      <c r="G344" t="inlineStr">
        <is>
          <t>VH</t>
        </is>
      </c>
      <c r="H344" t="inlineStr"/>
      <c r="I344" t="inlineStr">
        <is>
          <t>Private not for Profit</t>
        </is>
      </c>
      <c r="J344" t="inlineStr">
        <is>
          <t>1001-1200</t>
        </is>
      </c>
      <c r="K344" t="inlineStr">
        <is>
          <t>951-1000</t>
        </is>
      </c>
      <c r="L344" t="inlineStr"/>
      <c r="M344" t="inlineStr"/>
      <c r="N344" t="inlineStr">
        <is>
          <t>-</t>
        </is>
      </c>
      <c r="O344" t="inlineStr"/>
      <c r="P344" t="n">
        <v>3.4</v>
      </c>
      <c r="Q344" t="inlineStr">
        <is>
          <t>701+</t>
        </is>
      </c>
      <c r="R344" t="n">
        <v>2.7</v>
      </c>
      <c r="S344" t="inlineStr">
        <is>
          <t>701+</t>
        </is>
      </c>
      <c r="T344" t="n">
        <v>95.59999999999999</v>
      </c>
      <c r="U344" t="inlineStr">
        <is>
          <t>70</t>
        </is>
      </c>
      <c r="V344" t="n">
        <v>13.1</v>
      </c>
      <c r="W344" t="inlineStr">
        <is>
          <t>801+</t>
        </is>
      </c>
      <c r="X344" t="n">
        <v>4.3</v>
      </c>
      <c r="Y344" t="inlineStr">
        <is>
          <t>801+</t>
        </is>
      </c>
      <c r="Z344" t="n">
        <v>3.5</v>
      </c>
      <c r="AA344" t="inlineStr">
        <is>
          <t>801+</t>
        </is>
      </c>
      <c r="AB344" t="n">
        <v>7.6</v>
      </c>
      <c r="AC344" t="inlineStr">
        <is>
          <t>801+</t>
        </is>
      </c>
      <c r="AD344" t="n">
        <v>9.1</v>
      </c>
      <c r="AE344" t="inlineStr">
        <is>
          <t>801+</t>
        </is>
      </c>
      <c r="AF344" t="n">
        <v>1.8</v>
      </c>
      <c r="AG344" t="inlineStr">
        <is>
          <t>801+</t>
        </is>
      </c>
      <c r="AH344" t="n">
        <v>41.4</v>
      </c>
      <c r="AI344" t="inlineStr">
        <is>
          <t>801+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 xml:space="preserve">Hallym University </t>
        </is>
      </c>
      <c r="B345" t="inlineStr">
        <is>
          <t>South Korea</t>
        </is>
      </c>
      <c r="C345" t="inlineStr">
        <is>
          <t>KR</t>
        </is>
      </c>
      <c r="D345" t="inlineStr"/>
      <c r="E345" t="inlineStr">
        <is>
          <t>M</t>
        </is>
      </c>
      <c r="F345" t="inlineStr">
        <is>
          <t>FC</t>
        </is>
      </c>
      <c r="G345" t="inlineStr">
        <is>
          <t>VH</t>
        </is>
      </c>
      <c r="H345" t="inlineStr">
        <is>
          <t>3</t>
        </is>
      </c>
      <c r="I345" t="inlineStr">
        <is>
          <t>B</t>
        </is>
      </c>
      <c r="J345" t="inlineStr"/>
      <c r="K345" t="inlineStr"/>
      <c r="L345" t="inlineStr">
        <is>
          <t>901-950</t>
        </is>
      </c>
      <c r="M345" t="inlineStr">
        <is>
          <t>571-580</t>
        </is>
      </c>
      <c r="N345" t="inlineStr"/>
      <c r="O345" t="inlineStr">
        <is>
          <t>-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2.6</t>
        </is>
      </c>
      <c r="AK345" t="inlineStr">
        <is>
          <t>601+</t>
        </is>
      </c>
      <c r="AL345" t="inlineStr">
        <is>
          <t>1.9</t>
        </is>
      </c>
      <c r="AM345" t="inlineStr">
        <is>
          <t>601+</t>
        </is>
      </c>
      <c r="AN345" t="inlineStr">
        <is>
          <t>94.0</t>
        </is>
      </c>
      <c r="AO345" t="inlineStr">
        <is>
          <t>65</t>
        </is>
      </c>
      <c r="AP345" t="inlineStr">
        <is>
          <t>6.9</t>
        </is>
      </c>
      <c r="AQ345" t="inlineStr">
        <is>
          <t>701+</t>
        </is>
      </c>
      <c r="AR345" t="inlineStr">
        <is>
          <t>4.2</t>
        </is>
      </c>
      <c r="AS345" t="inlineStr">
        <is>
          <t>701+</t>
        </is>
      </c>
      <c r="AT345" t="inlineStr">
        <is>
          <t>2.7</t>
        </is>
      </c>
      <c r="AU345" t="inlineStr">
        <is>
          <t>701+</t>
        </is>
      </c>
      <c r="AV345" t="inlineStr">
        <is>
          <t>1.0</t>
        </is>
      </c>
      <c r="AW345" t="inlineStr">
        <is>
          <t>701+</t>
        </is>
      </c>
      <c r="AX345" t="inlineStr">
        <is>
          <t>4.2</t>
        </is>
      </c>
      <c r="AY345" t="inlineStr">
        <is>
          <t>701+</t>
        </is>
      </c>
      <c r="AZ345" t="inlineStr">
        <is>
          <t>1</t>
        </is>
      </c>
      <c r="BA345" t="inlineStr">
        <is>
          <t>701+</t>
        </is>
      </c>
    </row>
    <row r="346">
      <c r="A346" t="inlineStr">
        <is>
          <t>Hamad Bin Khalifa University</t>
        </is>
      </c>
      <c r="B346" t="inlineStr">
        <is>
          <t>Qatar</t>
        </is>
      </c>
      <c r="C346" t="inlineStr">
        <is>
          <t>QA</t>
        </is>
      </c>
      <c r="D346" t="inlineStr">
        <is>
          <t>Asia</t>
        </is>
      </c>
      <c r="E346" t="inlineStr">
        <is>
          <t>S</t>
        </is>
      </c>
      <c r="F346" t="inlineStr">
        <is>
          <t>FO</t>
        </is>
      </c>
      <c r="G346" t="inlineStr">
        <is>
          <t>VH</t>
        </is>
      </c>
      <c r="H346" t="inlineStr">
        <is>
          <t>3</t>
        </is>
      </c>
      <c r="I346" t="inlineStr">
        <is>
          <t>Public</t>
        </is>
      </c>
      <c r="J346" t="inlineStr">
        <is>
          <t>244</t>
        </is>
      </c>
      <c r="K346" t="inlineStr">
        <is>
          <t>183</t>
        </is>
      </c>
      <c r="L346">
        <f>310</f>
        <v/>
      </c>
      <c r="M346" t="inlineStr"/>
      <c r="N346" t="inlineStr">
        <is>
          <t>50.9</t>
        </is>
      </c>
      <c r="O346" t="inlineStr">
        <is>
          <t>33.8</t>
        </is>
      </c>
      <c r="P346" t="n">
        <v>14.3</v>
      </c>
      <c r="Q346" t="inlineStr">
        <is>
          <t>701+</t>
        </is>
      </c>
      <c r="R346" t="n">
        <v>6.8</v>
      </c>
      <c r="S346" t="inlineStr">
        <is>
          <t>701+</t>
        </is>
      </c>
      <c r="T346" t="n">
        <v>100</v>
      </c>
      <c r="U346" t="inlineStr">
        <is>
          <t>20</t>
        </is>
      </c>
      <c r="V346" t="n">
        <v>100</v>
      </c>
      <c r="W346" t="inlineStr">
        <is>
          <t>6</t>
        </is>
      </c>
      <c r="X346" t="n">
        <v>100</v>
      </c>
      <c r="Y346" t="inlineStr">
        <is>
          <t>10</t>
        </is>
      </c>
      <c r="Z346" t="n">
        <v>100</v>
      </c>
      <c r="AA346" t="inlineStr">
        <is>
          <t>6</t>
        </is>
      </c>
      <c r="AB346" t="n">
        <v>99.90000000000001</v>
      </c>
      <c r="AC346" t="inlineStr">
        <is>
          <t>29</t>
        </is>
      </c>
      <c r="AD346" t="n">
        <v>75.7</v>
      </c>
      <c r="AE346" t="inlineStr">
        <is>
          <t>424</t>
        </is>
      </c>
      <c r="AF346" t="n">
        <v>6.8</v>
      </c>
      <c r="AG346" t="inlineStr">
        <is>
          <t>801+</t>
        </is>
      </c>
      <c r="AH346" t="n">
        <v>38.5</v>
      </c>
      <c r="AI346" t="inlineStr">
        <is>
          <t>801+</t>
        </is>
      </c>
      <c r="AJ346" t="inlineStr">
        <is>
          <t>11.5</t>
        </is>
      </c>
      <c r="AK346" t="inlineStr">
        <is>
          <t>601+</t>
        </is>
      </c>
      <c r="AL346" t="inlineStr">
        <is>
          <t>3.9</t>
        </is>
      </c>
      <c r="AM346" t="inlineStr">
        <is>
          <t>601+</t>
        </is>
      </c>
      <c r="AN346" t="inlineStr">
        <is>
          <t>100.0</t>
        </is>
      </c>
      <c r="AO346" t="inlineStr">
        <is>
          <t>4</t>
        </is>
      </c>
      <c r="AP346" t="inlineStr">
        <is>
          <t>88.6</t>
        </is>
      </c>
      <c r="AQ346" t="inlineStr">
        <is>
          <t>79</t>
        </is>
      </c>
      <c r="AR346" t="inlineStr"/>
      <c r="AS346" t="inlineStr"/>
      <c r="AT346" t="inlineStr"/>
      <c r="AU346" t="inlineStr"/>
      <c r="AV346" t="inlineStr">
        <is>
          <t>28.1</t>
        </is>
      </c>
      <c r="AW346" t="inlineStr">
        <is>
          <t>469</t>
        </is>
      </c>
      <c r="AX346" t="inlineStr">
        <is>
          <t>10.3</t>
        </is>
      </c>
      <c r="AY346" t="inlineStr">
        <is>
          <t>701+</t>
        </is>
      </c>
      <c r="AZ346" t="inlineStr"/>
      <c r="BA346" t="inlineStr"/>
    </row>
    <row r="347">
      <c r="A347" t="inlineStr">
        <is>
          <t>Hanoi University of Science and Technology</t>
        </is>
      </c>
      <c r="B347" t="inlineStr">
        <is>
          <t>Viet Nam</t>
        </is>
      </c>
      <c r="C347" t="inlineStr"/>
      <c r="D347" t="inlineStr">
        <is>
          <t>Asia</t>
        </is>
      </c>
      <c r="E347" t="inlineStr">
        <is>
          <t>XL</t>
        </is>
      </c>
      <c r="F347" t="inlineStr">
        <is>
          <t>FO</t>
        </is>
      </c>
      <c r="G347" t="inlineStr">
        <is>
          <t>VH</t>
        </is>
      </c>
      <c r="H347" t="inlineStr"/>
      <c r="I347" t="inlineStr">
        <is>
          <t>Public</t>
        </is>
      </c>
      <c r="J347" t="inlineStr">
        <is>
          <t>1201-1400</t>
        </is>
      </c>
      <c r="K347" t="inlineStr">
        <is>
          <t>1201-1400</t>
        </is>
      </c>
      <c r="L347" t="inlineStr"/>
      <c r="M347" t="inlineStr"/>
      <c r="N347" t="inlineStr">
        <is>
          <t>-</t>
        </is>
      </c>
      <c r="O347" t="inlineStr"/>
      <c r="P347" t="n">
        <v>12.3</v>
      </c>
      <c r="Q347" t="inlineStr">
        <is>
          <t>701+</t>
        </is>
      </c>
      <c r="R347" t="n">
        <v>15.9</v>
      </c>
      <c r="S347" t="inlineStr">
        <is>
          <t>701+</t>
        </is>
      </c>
      <c r="T347" t="n">
        <v>3.3</v>
      </c>
      <c r="U347" t="inlineStr">
        <is>
          <t>801+</t>
        </is>
      </c>
      <c r="V347" t="n">
        <v>10</v>
      </c>
      <c r="W347" t="inlineStr">
        <is>
          <t>801+</t>
        </is>
      </c>
      <c r="X347" t="n">
        <v>5.7</v>
      </c>
      <c r="Y347" t="inlineStr">
        <is>
          <t>801+</t>
        </is>
      </c>
      <c r="Z347" t="n">
        <v>1.5</v>
      </c>
      <c r="AA347" t="inlineStr">
        <is>
          <t>801+</t>
        </is>
      </c>
      <c r="AB347" t="n">
        <v>5.8</v>
      </c>
      <c r="AC347" t="inlineStr">
        <is>
          <t>801+</t>
        </is>
      </c>
      <c r="AD347" t="n">
        <v>23.3</v>
      </c>
      <c r="AE347" t="inlineStr">
        <is>
          <t>801+</t>
        </is>
      </c>
      <c r="AF347" t="n">
        <v>30.8</v>
      </c>
      <c r="AG347" t="inlineStr">
        <is>
          <t>537</t>
        </is>
      </c>
      <c r="AH347" t="n">
        <v>51.3</v>
      </c>
      <c r="AI347" t="inlineStr">
        <is>
          <t>677=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Hanoi University of Science and Technology</t>
        </is>
      </c>
      <c r="B348" t="inlineStr">
        <is>
          <t>Vietnam</t>
        </is>
      </c>
      <c r="C348" t="inlineStr">
        <is>
          <t>VN</t>
        </is>
      </c>
      <c r="D348" t="inlineStr"/>
      <c r="E348" t="inlineStr">
        <is>
          <t>XL</t>
        </is>
      </c>
      <c r="F348" t="inlineStr">
        <is>
          <t>FO</t>
        </is>
      </c>
      <c r="G348" t="inlineStr">
        <is>
          <t>VH</t>
        </is>
      </c>
      <c r="H348" t="inlineStr">
        <is>
          <t>4</t>
        </is>
      </c>
      <c r="I348" t="inlineStr">
        <is>
          <t>A</t>
        </is>
      </c>
      <c r="J348" t="inlineStr"/>
      <c r="K348" t="inlineStr"/>
      <c r="L348" t="inlineStr">
        <is>
          <t>1201-1400</t>
        </is>
      </c>
      <c r="M348" t="inlineStr">
        <is>
          <t>1201-1400</t>
        </is>
      </c>
      <c r="N348" t="inlineStr"/>
      <c r="O348" t="inlineStr">
        <is>
          <t>-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6.1</t>
        </is>
      </c>
      <c r="AK348" t="inlineStr">
        <is>
          <t>601+</t>
        </is>
      </c>
      <c r="AL348" t="inlineStr">
        <is>
          <t>8.7</t>
        </is>
      </c>
      <c r="AM348" t="inlineStr">
        <is>
          <t>601+</t>
        </is>
      </c>
      <c r="AN348" t="inlineStr">
        <is>
          <t>2.4</t>
        </is>
      </c>
      <c r="AO348" t="inlineStr">
        <is>
          <t>701+</t>
        </is>
      </c>
      <c r="AP348" t="inlineStr">
        <is>
          <t>4.3</t>
        </is>
      </c>
      <c r="AQ348" t="inlineStr">
        <is>
          <t>701+</t>
        </is>
      </c>
      <c r="AR348" t="inlineStr">
        <is>
          <t>3.8</t>
        </is>
      </c>
      <c r="AS348" t="inlineStr">
        <is>
          <t>701+</t>
        </is>
      </c>
      <c r="AT348" t="inlineStr">
        <is>
          <t>1.2</t>
        </is>
      </c>
      <c r="AU348" t="inlineStr">
        <is>
          <t>701+</t>
        </is>
      </c>
      <c r="AV348" t="inlineStr">
        <is>
          <t>1.6</t>
        </is>
      </c>
      <c r="AW348" t="inlineStr">
        <is>
          <t>701+</t>
        </is>
      </c>
      <c r="AX348" t="inlineStr">
        <is>
          <t>15.3</t>
        </is>
      </c>
      <c r="AY348" t="inlineStr">
        <is>
          <t>549</t>
        </is>
      </c>
      <c r="AZ348" t="inlineStr">
        <is>
          <t>1.2</t>
        </is>
      </c>
      <c r="BA348" t="inlineStr">
        <is>
          <t>701+</t>
        </is>
      </c>
    </row>
    <row r="349">
      <c r="A349" t="inlineStr">
        <is>
          <t>Hanyang University</t>
        </is>
      </c>
      <c r="B349" t="inlineStr">
        <is>
          <t>Republic of Korea</t>
        </is>
      </c>
      <c r="C349" t="inlineStr"/>
      <c r="D349" t="inlineStr">
        <is>
          <t>Asia</t>
        </is>
      </c>
      <c r="E349" t="inlineStr">
        <is>
          <t>L</t>
        </is>
      </c>
      <c r="F349" t="inlineStr">
        <is>
          <t>FC</t>
        </is>
      </c>
      <c r="G349" t="inlineStr">
        <is>
          <t>VH</t>
        </is>
      </c>
      <c r="H349" t="inlineStr"/>
      <c r="I349" t="inlineStr">
        <is>
          <t>Private not for Profit</t>
        </is>
      </c>
      <c r="J349" t="inlineStr">
        <is>
          <t>159</t>
        </is>
      </c>
      <c r="K349" t="inlineStr">
        <is>
          <t>162</t>
        </is>
      </c>
      <c r="L349" t="inlineStr"/>
      <c r="M349" t="inlineStr"/>
      <c r="N349" t="inlineStr">
        <is>
          <t>61.2</t>
        </is>
      </c>
      <c r="O349" t="inlineStr"/>
      <c r="P349" t="n">
        <v>58.2</v>
      </c>
      <c r="Q349" t="inlineStr">
        <is>
          <t>184</t>
        </is>
      </c>
      <c r="R349" t="n">
        <v>81.90000000000001</v>
      </c>
      <c r="S349" t="inlineStr">
        <is>
          <t>99</t>
        </is>
      </c>
      <c r="T349" t="n">
        <v>81.7</v>
      </c>
      <c r="U349" t="inlineStr">
        <is>
          <t>159</t>
        </is>
      </c>
      <c r="V349" t="n">
        <v>42.9</v>
      </c>
      <c r="W349" t="inlineStr">
        <is>
          <t>440</t>
        </is>
      </c>
      <c r="X349" t="n">
        <v>23.7</v>
      </c>
      <c r="Y349" t="inlineStr">
        <is>
          <t>664</t>
        </is>
      </c>
      <c r="Z349" t="n">
        <v>70.09999999999999</v>
      </c>
      <c r="AA349" t="inlineStr">
        <is>
          <t>279</t>
        </is>
      </c>
      <c r="AB349" t="n">
        <v>73</v>
      </c>
      <c r="AC349" t="inlineStr">
        <is>
          <t>249</t>
        </is>
      </c>
      <c r="AD349" t="n">
        <v>65.5</v>
      </c>
      <c r="AE349" t="inlineStr">
        <is>
          <t>615</t>
        </is>
      </c>
      <c r="AF349" t="n">
        <v>54.5</v>
      </c>
      <c r="AG349" t="inlineStr">
        <is>
          <t>307</t>
        </is>
      </c>
      <c r="AH349" t="n">
        <v>82.8</v>
      </c>
      <c r="AI349" t="inlineStr">
        <is>
          <t>137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Hanyang University</t>
        </is>
      </c>
      <c r="B350" t="inlineStr">
        <is>
          <t>South Korea</t>
        </is>
      </c>
      <c r="C350" t="inlineStr">
        <is>
          <t>KR</t>
        </is>
      </c>
      <c r="D350" t="inlineStr"/>
      <c r="E350" t="inlineStr">
        <is>
          <t>L</t>
        </is>
      </c>
      <c r="F350" t="inlineStr">
        <is>
          <t>FC</t>
        </is>
      </c>
      <c r="G350" t="inlineStr">
        <is>
          <t>VH</t>
        </is>
      </c>
      <c r="H350" t="inlineStr">
        <is>
          <t>4</t>
        </is>
      </c>
      <c r="I350" t="inlineStr">
        <is>
          <t>B</t>
        </is>
      </c>
      <c r="J350" t="inlineStr"/>
      <c r="K350" t="inlineStr"/>
      <c r="L350">
        <f>164</f>
        <v/>
      </c>
      <c r="M350" t="inlineStr">
        <is>
          <t>157</t>
        </is>
      </c>
      <c r="N350" t="inlineStr"/>
      <c r="O350" t="inlineStr">
        <is>
          <t>49.7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49.0</t>
        </is>
      </c>
      <c r="AK350" t="inlineStr">
        <is>
          <t>167</t>
        </is>
      </c>
      <c r="AL350" t="inlineStr">
        <is>
          <t>81.3</t>
        </is>
      </c>
      <c r="AM350" t="inlineStr">
        <is>
          <t>70</t>
        </is>
      </c>
      <c r="AN350" t="inlineStr">
        <is>
          <t>83.5</t>
        </is>
      </c>
      <c r="AO350" t="inlineStr">
        <is>
          <t>117</t>
        </is>
      </c>
      <c r="AP350" t="inlineStr">
        <is>
          <t>23.3</t>
        </is>
      </c>
      <c r="AQ350" t="inlineStr">
        <is>
          <t>510</t>
        </is>
      </c>
      <c r="AR350" t="inlineStr">
        <is>
          <t>16.9</t>
        </is>
      </c>
      <c r="AS350" t="inlineStr">
        <is>
          <t>632</t>
        </is>
      </c>
      <c r="AT350" t="inlineStr">
        <is>
          <t>54.3</t>
        </is>
      </c>
      <c r="AU350" t="inlineStr">
        <is>
          <t>269</t>
        </is>
      </c>
      <c r="AV350" t="inlineStr">
        <is>
          <t>15.6</t>
        </is>
      </c>
      <c r="AW350" t="inlineStr">
        <is>
          <t>587</t>
        </is>
      </c>
      <c r="AX350" t="inlineStr">
        <is>
          <t>24.8</t>
        </is>
      </c>
      <c r="AY350" t="inlineStr">
        <is>
          <t>336</t>
        </is>
      </c>
      <c r="AZ350" t="inlineStr">
        <is>
          <t>77.7</t>
        </is>
      </c>
      <c r="BA350" t="inlineStr">
        <is>
          <t>163=</t>
        </is>
      </c>
    </row>
    <row r="351">
      <c r="A351" t="inlineStr">
        <is>
          <t>Harbin Engineering University</t>
        </is>
      </c>
      <c r="B351" t="inlineStr">
        <is>
          <t>China (Mainland)</t>
        </is>
      </c>
      <c r="C351" t="inlineStr">
        <is>
          <t>CN</t>
        </is>
      </c>
      <c r="D351" t="inlineStr">
        <is>
          <t>Asia</t>
        </is>
      </c>
      <c r="E351" t="inlineStr">
        <is>
          <t>L</t>
        </is>
      </c>
      <c r="F351" t="inlineStr">
        <is>
          <t>FO</t>
        </is>
      </c>
      <c r="G351" t="inlineStr">
        <is>
          <t>VH</t>
        </is>
      </c>
      <c r="H351" t="inlineStr">
        <is>
          <t>4</t>
        </is>
      </c>
      <c r="I351" t="inlineStr">
        <is>
          <t>Public</t>
        </is>
      </c>
      <c r="J351" t="inlineStr">
        <is>
          <t>1001-1200</t>
        </is>
      </c>
      <c r="K351" t="inlineStr">
        <is>
          <t>1001-1200</t>
        </is>
      </c>
      <c r="L351" t="inlineStr">
        <is>
          <t>1001-1200</t>
        </is>
      </c>
      <c r="M351" t="inlineStr">
        <is>
          <t>801-1000</t>
        </is>
      </c>
      <c r="N351" t="inlineStr">
        <is>
          <t>-</t>
        </is>
      </c>
      <c r="O351" t="inlineStr">
        <is>
          <t>-</t>
        </is>
      </c>
      <c r="P351" t="n">
        <v>5.2</v>
      </c>
      <c r="Q351" t="inlineStr">
        <is>
          <t>701+</t>
        </is>
      </c>
      <c r="R351" t="n">
        <v>6.5</v>
      </c>
      <c r="S351" t="inlineStr">
        <is>
          <t>701+</t>
        </is>
      </c>
      <c r="T351" t="n">
        <v>24</v>
      </c>
      <c r="U351" t="inlineStr">
        <is>
          <t>752</t>
        </is>
      </c>
      <c r="V351" t="n">
        <v>46.8</v>
      </c>
      <c r="W351" t="inlineStr">
        <is>
          <t>406</t>
        </is>
      </c>
      <c r="X351" t="n">
        <v>3</v>
      </c>
      <c r="Y351" t="inlineStr">
        <is>
          <t>801+</t>
        </is>
      </c>
      <c r="Z351" t="n">
        <v>3.6</v>
      </c>
      <c r="AA351" t="inlineStr">
        <is>
          <t>801+</t>
        </is>
      </c>
      <c r="AB351" t="n">
        <v>8.6</v>
      </c>
      <c r="AC351" t="inlineStr">
        <is>
          <t>801+</t>
        </is>
      </c>
      <c r="AD351" t="n">
        <v>40</v>
      </c>
      <c r="AE351" t="inlineStr">
        <is>
          <t>801+</t>
        </is>
      </c>
      <c r="AF351" t="n">
        <v>7.2</v>
      </c>
      <c r="AG351" t="inlineStr">
        <is>
          <t>801+</t>
        </is>
      </c>
      <c r="AH351" t="n">
        <v>24.3</v>
      </c>
      <c r="AI351" t="inlineStr">
        <is>
          <t>801+</t>
        </is>
      </c>
      <c r="AJ351" t="inlineStr">
        <is>
          <t>4.6</t>
        </is>
      </c>
      <c r="AK351" t="inlineStr">
        <is>
          <t>601+</t>
        </is>
      </c>
      <c r="AL351" t="inlineStr">
        <is>
          <t>2.0</t>
        </is>
      </c>
      <c r="AM351" t="inlineStr">
        <is>
          <t>601+</t>
        </is>
      </c>
      <c r="AN351" t="inlineStr">
        <is>
          <t>14.6</t>
        </is>
      </c>
      <c r="AO351" t="inlineStr">
        <is>
          <t>701+</t>
        </is>
      </c>
      <c r="AP351" t="inlineStr">
        <is>
          <t>23.0</t>
        </is>
      </c>
      <c r="AQ351" t="inlineStr">
        <is>
          <t>513</t>
        </is>
      </c>
      <c r="AR351" t="inlineStr">
        <is>
          <t>2.5</t>
        </is>
      </c>
      <c r="AS351" t="inlineStr">
        <is>
          <t>701+</t>
        </is>
      </c>
      <c r="AT351" t="inlineStr">
        <is>
          <t>2.0</t>
        </is>
      </c>
      <c r="AU351" t="inlineStr">
        <is>
          <t>701+</t>
        </is>
      </c>
      <c r="AV351" t="inlineStr">
        <is>
          <t>2.1</t>
        </is>
      </c>
      <c r="AW351" t="inlineStr">
        <is>
          <t>701+</t>
        </is>
      </c>
      <c r="AX351" t="inlineStr">
        <is>
          <t>6.2</t>
        </is>
      </c>
      <c r="AY351" t="inlineStr">
        <is>
          <t>701+</t>
        </is>
      </c>
      <c r="AZ351" t="inlineStr">
        <is>
          <t>1.3</t>
        </is>
      </c>
      <c r="BA351" t="inlineStr">
        <is>
          <t>701+</t>
        </is>
      </c>
    </row>
    <row r="352">
      <c r="A352" t="inlineStr">
        <is>
          <t>Harbin Institute of Technology</t>
        </is>
      </c>
      <c r="B352" t="inlineStr">
        <is>
          <t>China (Mainland)</t>
        </is>
      </c>
      <c r="C352" t="inlineStr">
        <is>
          <t>CN</t>
        </is>
      </c>
      <c r="D352" t="inlineStr">
        <is>
          <t>Asia</t>
        </is>
      </c>
      <c r="E352" t="inlineStr">
        <is>
          <t>XL</t>
        </is>
      </c>
      <c r="F352" t="inlineStr">
        <is>
          <t>FO</t>
        </is>
      </c>
      <c r="G352" t="inlineStr">
        <is>
          <t>VH</t>
        </is>
      </c>
      <c r="H352" t="inlineStr">
        <is>
          <t>4</t>
        </is>
      </c>
      <c r="I352" t="inlineStr">
        <is>
          <t>Public</t>
        </is>
      </c>
      <c r="J352" t="inlineStr">
        <is>
          <t>256</t>
        </is>
      </c>
      <c r="K352" t="inlineStr">
        <is>
          <t>252</t>
        </is>
      </c>
      <c r="L352">
        <f>256</f>
        <v/>
      </c>
      <c r="M352" t="inlineStr">
        <is>
          <t>217=</t>
        </is>
      </c>
      <c r="N352" t="inlineStr">
        <is>
          <t>49.8</t>
        </is>
      </c>
      <c r="O352" t="inlineStr">
        <is>
          <t>38.7</t>
        </is>
      </c>
      <c r="P352" t="n">
        <v>33.3</v>
      </c>
      <c r="Q352" t="inlineStr">
        <is>
          <t>367</t>
        </is>
      </c>
      <c r="R352" t="n">
        <v>47.9</v>
      </c>
      <c r="S352" t="inlineStr">
        <is>
          <t>270</t>
        </is>
      </c>
      <c r="T352" t="n">
        <v>42</v>
      </c>
      <c r="U352" t="inlineStr">
        <is>
          <t>479</t>
        </is>
      </c>
      <c r="V352" t="n">
        <v>99.8</v>
      </c>
      <c r="W352" t="inlineStr">
        <is>
          <t>22</t>
        </is>
      </c>
      <c r="X352" t="n">
        <v>12.9</v>
      </c>
      <c r="Y352" t="inlineStr">
        <is>
          <t>801+</t>
        </is>
      </c>
      <c r="Z352" t="n">
        <v>9.199999999999999</v>
      </c>
      <c r="AA352" t="inlineStr">
        <is>
          <t>801+</t>
        </is>
      </c>
      <c r="AB352" t="n">
        <v>14.9</v>
      </c>
      <c r="AC352" t="inlineStr">
        <is>
          <t>801+</t>
        </is>
      </c>
      <c r="AD352" t="n">
        <v>73.59999999999999</v>
      </c>
      <c r="AE352" t="inlineStr">
        <is>
          <t>481</t>
        </is>
      </c>
      <c r="AF352" t="n">
        <v>35.2</v>
      </c>
      <c r="AG352" t="inlineStr">
        <is>
          <t>490</t>
        </is>
      </c>
      <c r="AH352" t="n">
        <v>48.1</v>
      </c>
      <c r="AI352" t="inlineStr">
        <is>
          <t>757=</t>
        </is>
      </c>
      <c r="AJ352" t="inlineStr">
        <is>
          <t>28.6</t>
        </is>
      </c>
      <c r="AK352" t="inlineStr">
        <is>
          <t>306</t>
        </is>
      </c>
      <c r="AL352" t="inlineStr">
        <is>
          <t>14.9</t>
        </is>
      </c>
      <c r="AM352" t="inlineStr">
        <is>
          <t>552</t>
        </is>
      </c>
      <c r="AN352" t="inlineStr">
        <is>
          <t>41.6</t>
        </is>
      </c>
      <c r="AO352" t="inlineStr">
        <is>
          <t>378</t>
        </is>
      </c>
      <c r="AP352" t="inlineStr">
        <is>
          <t>98.8</t>
        </is>
      </c>
      <c r="AQ352" t="inlineStr">
        <is>
          <t>24</t>
        </is>
      </c>
      <c r="AR352" t="inlineStr">
        <is>
          <t>8.6</t>
        </is>
      </c>
      <c r="AS352" t="inlineStr">
        <is>
          <t>701+</t>
        </is>
      </c>
      <c r="AT352" t="inlineStr">
        <is>
          <t>8.4</t>
        </is>
      </c>
      <c r="AU352" t="inlineStr">
        <is>
          <t>701+</t>
        </is>
      </c>
      <c r="AV352" t="inlineStr">
        <is>
          <t>23.2</t>
        </is>
      </c>
      <c r="AW352" t="inlineStr">
        <is>
          <t>517</t>
        </is>
      </c>
      <c r="AX352" t="inlineStr">
        <is>
          <t>20.3</t>
        </is>
      </c>
      <c r="AY352" t="inlineStr">
        <is>
          <t>412</t>
        </is>
      </c>
      <c r="AZ352" t="inlineStr">
        <is>
          <t>15.4</t>
        </is>
      </c>
      <c r="BA352" t="inlineStr">
        <is>
          <t>603=</t>
        </is>
      </c>
    </row>
    <row r="353">
      <c r="A353" t="inlineStr">
        <is>
          <t>Harper Adams University</t>
        </is>
      </c>
      <c r="B353" t="inlineStr">
        <is>
          <t>United Kingdom</t>
        </is>
      </c>
      <c r="C353" t="inlineStr">
        <is>
          <t>UK</t>
        </is>
      </c>
      <c r="D353" t="inlineStr">
        <is>
          <t>Europe</t>
        </is>
      </c>
      <c r="E353" t="inlineStr">
        <is>
          <t>M</t>
        </is>
      </c>
      <c r="F353" t="inlineStr">
        <is>
          <t>FO</t>
        </is>
      </c>
      <c r="G353" t="inlineStr">
        <is>
          <t>HI</t>
        </is>
      </c>
      <c r="H353" t="inlineStr">
        <is>
          <t>2</t>
        </is>
      </c>
      <c r="I353" t="inlineStr">
        <is>
          <t>Public</t>
        </is>
      </c>
      <c r="J353" t="inlineStr">
        <is>
          <t>1401+</t>
        </is>
      </c>
      <c r="K353" t="inlineStr">
        <is>
          <t>1201-1400</t>
        </is>
      </c>
      <c r="L353" t="inlineStr">
        <is>
          <t>1001-1200</t>
        </is>
      </c>
      <c r="M353" t="inlineStr">
        <is>
          <t>1001-1200</t>
        </is>
      </c>
      <c r="N353" t="inlineStr">
        <is>
          <t>-</t>
        </is>
      </c>
      <c r="O353" t="inlineStr">
        <is>
          <t>-</t>
        </is>
      </c>
      <c r="P353" t="n">
        <v>4</v>
      </c>
      <c r="Q353" t="inlineStr">
        <is>
          <t>701+</t>
        </is>
      </c>
      <c r="R353" t="n">
        <v>15.7</v>
      </c>
      <c r="S353" t="inlineStr">
        <is>
          <t>701+</t>
        </is>
      </c>
      <c r="T353" t="n">
        <v>7.1</v>
      </c>
      <c r="U353" t="inlineStr">
        <is>
          <t>801+</t>
        </is>
      </c>
      <c r="V353" t="n">
        <v>12.4</v>
      </c>
      <c r="W353" t="inlineStr">
        <is>
          <t>801+</t>
        </is>
      </c>
      <c r="X353" t="n">
        <v>21.8</v>
      </c>
      <c r="Y353" t="inlineStr">
        <is>
          <t>690</t>
        </is>
      </c>
      <c r="Z353" t="n">
        <v>5.9</v>
      </c>
      <c r="AA353" t="inlineStr">
        <is>
          <t>801+</t>
        </is>
      </c>
      <c r="AB353" t="n">
        <v>9.800000000000001</v>
      </c>
      <c r="AC353" t="inlineStr">
        <is>
          <t>801+</t>
        </is>
      </c>
      <c r="AD353" t="n">
        <v>14.1</v>
      </c>
      <c r="AE353" t="inlineStr">
        <is>
          <t>801+</t>
        </is>
      </c>
      <c r="AF353" t="n">
        <v>1</v>
      </c>
      <c r="AG353" t="inlineStr">
        <is>
          <t>801+</t>
        </is>
      </c>
      <c r="AH353" t="n">
        <v>18.6</v>
      </c>
      <c r="AI353" t="inlineStr">
        <is>
          <t>801+</t>
        </is>
      </c>
      <c r="AJ353" t="inlineStr">
        <is>
          <t>4.2</t>
        </is>
      </c>
      <c r="AK353" t="inlineStr">
        <is>
          <t>601+</t>
        </is>
      </c>
      <c r="AL353" t="inlineStr">
        <is>
          <t>12.6</t>
        </is>
      </c>
      <c r="AM353" t="inlineStr">
        <is>
          <t>601+</t>
        </is>
      </c>
      <c r="AN353" t="inlineStr">
        <is>
          <t>6.1</t>
        </is>
      </c>
      <c r="AO353" t="inlineStr">
        <is>
          <t>701+</t>
        </is>
      </c>
      <c r="AP353" t="inlineStr">
        <is>
          <t>8.5</t>
        </is>
      </c>
      <c r="AQ353" t="inlineStr">
        <is>
          <t>701+</t>
        </is>
      </c>
      <c r="AR353" t="inlineStr">
        <is>
          <t>18.5</t>
        </is>
      </c>
      <c r="AS353" t="inlineStr">
        <is>
          <t>607</t>
        </is>
      </c>
      <c r="AT353" t="inlineStr">
        <is>
          <t>9.1</t>
        </is>
      </c>
      <c r="AU353" t="inlineStr">
        <is>
          <t>701+</t>
        </is>
      </c>
      <c r="AV353" t="inlineStr">
        <is>
          <t>1.0</t>
        </is>
      </c>
      <c r="AW353" t="inlineStr">
        <is>
          <t>701+</t>
        </is>
      </c>
      <c r="AX353" t="inlineStr">
        <is>
          <t>9.3</t>
        </is>
      </c>
      <c r="AY353" t="inlineStr">
        <is>
          <t>701+</t>
        </is>
      </c>
      <c r="AZ353" t="inlineStr">
        <is>
          <t>1</t>
        </is>
      </c>
      <c r="BA353" t="inlineStr">
        <is>
          <t>701+</t>
        </is>
      </c>
    </row>
    <row r="354">
      <c r="A354" t="inlineStr">
        <is>
          <t>Harvard University</t>
        </is>
      </c>
      <c r="B354" t="inlineStr">
        <is>
          <t>United States</t>
        </is>
      </c>
      <c r="C354" t="inlineStr">
        <is>
          <t>US</t>
        </is>
      </c>
      <c r="D354" t="inlineStr">
        <is>
          <t>Americas</t>
        </is>
      </c>
      <c r="E354" t="inlineStr">
        <is>
          <t>L</t>
        </is>
      </c>
      <c r="F354" t="inlineStr">
        <is>
          <t>FC</t>
        </is>
      </c>
      <c r="G354" t="inlineStr">
        <is>
          <t>VH</t>
        </is>
      </c>
      <c r="H354" t="inlineStr">
        <is>
          <t>5</t>
        </is>
      </c>
      <c r="I354" t="inlineStr">
        <is>
          <t>Private not for Profit</t>
        </is>
      </c>
      <c r="J354" t="inlineStr">
        <is>
          <t>5</t>
        </is>
      </c>
      <c r="K354" t="inlineStr">
        <is>
          <t>4</t>
        </is>
      </c>
      <c r="L354" t="inlineStr">
        <is>
          <t>4</t>
        </is>
      </c>
      <c r="M354" t="inlineStr">
        <is>
          <t>5</t>
        </is>
      </c>
      <c r="N354" t="inlineStr">
        <is>
          <t>97.7</t>
        </is>
      </c>
      <c r="O354" t="inlineStr">
        <is>
          <t>98.3</t>
        </is>
      </c>
      <c r="P354" t="n">
        <v>100</v>
      </c>
      <c r="Q354" t="inlineStr">
        <is>
          <t>1</t>
        </is>
      </c>
      <c r="R354" t="n">
        <v>100</v>
      </c>
      <c r="S354" t="inlineStr">
        <is>
          <t>1</t>
        </is>
      </c>
      <c r="T354" t="n">
        <v>98.3</v>
      </c>
      <c r="U354" t="inlineStr">
        <is>
          <t>50</t>
        </is>
      </c>
      <c r="V354" t="n">
        <v>100</v>
      </c>
      <c r="W354" t="inlineStr">
        <is>
          <t>1</t>
        </is>
      </c>
      <c r="X354" t="n">
        <v>79.09999999999999</v>
      </c>
      <c r="Y354" t="inlineStr">
        <is>
          <t>300</t>
        </is>
      </c>
      <c r="Z354" t="n">
        <v>81.40000000000001</v>
      </c>
      <c r="AA354" t="inlineStr">
        <is>
          <t>217</t>
        </is>
      </c>
      <c r="AB354" t="n">
        <v>60.6</v>
      </c>
      <c r="AC354" t="inlineStr">
        <is>
          <t>335</t>
        </is>
      </c>
      <c r="AD354" t="n">
        <v>99.40000000000001</v>
      </c>
      <c r="AE354" t="inlineStr">
        <is>
          <t>8</t>
        </is>
      </c>
      <c r="AF354" t="n">
        <v>100</v>
      </c>
      <c r="AG354" t="inlineStr">
        <is>
          <t>1</t>
        </is>
      </c>
      <c r="AH354" t="n">
        <v>77.8</v>
      </c>
      <c r="AI354" t="inlineStr">
        <is>
          <t>201=</t>
        </is>
      </c>
      <c r="AJ354" t="inlineStr">
        <is>
          <t>100.0</t>
        </is>
      </c>
      <c r="AK354" t="inlineStr">
        <is>
          <t>1</t>
        </is>
      </c>
      <c r="AL354" t="inlineStr">
        <is>
          <t>100.0</t>
        </is>
      </c>
      <c r="AM354" t="inlineStr">
        <is>
          <t>1</t>
        </is>
      </c>
      <c r="AN354" t="inlineStr">
        <is>
          <t>98.3</t>
        </is>
      </c>
      <c r="AO354" t="inlineStr">
        <is>
          <t>44</t>
        </is>
      </c>
      <c r="AP354" t="inlineStr">
        <is>
          <t>100.0</t>
        </is>
      </c>
      <c r="AQ354" t="inlineStr">
        <is>
          <t>1</t>
        </is>
      </c>
      <c r="AR354" t="inlineStr">
        <is>
          <t>84.6</t>
        </is>
      </c>
      <c r="AS354" t="inlineStr">
        <is>
          <t>210</t>
        </is>
      </c>
      <c r="AT354" t="inlineStr">
        <is>
          <t>66.8</t>
        </is>
      </c>
      <c r="AU354" t="inlineStr">
        <is>
          <t>223</t>
        </is>
      </c>
      <c r="AV354" t="inlineStr">
        <is>
          <t>100.0</t>
        </is>
      </c>
      <c r="AW354" t="inlineStr">
        <is>
          <t>5</t>
        </is>
      </c>
      <c r="AX354" t="inlineStr">
        <is>
          <t>100</t>
        </is>
      </c>
      <c r="AY354" t="inlineStr">
        <is>
          <t>1</t>
        </is>
      </c>
      <c r="AZ354" t="inlineStr">
        <is>
          <t>96.7</t>
        </is>
      </c>
      <c r="BA354" t="inlineStr">
        <is>
          <t>39</t>
        </is>
      </c>
    </row>
    <row r="355">
      <c r="A355" t="inlineStr">
        <is>
          <t>Hasanuddin University</t>
        </is>
      </c>
      <c r="B355" t="inlineStr">
        <is>
          <t>Indonesia</t>
        </is>
      </c>
      <c r="C355" t="inlineStr"/>
      <c r="D355" t="inlineStr">
        <is>
          <t>Asia</t>
        </is>
      </c>
      <c r="E355" t="inlineStr">
        <is>
          <t>XL</t>
        </is>
      </c>
      <c r="F355" t="inlineStr">
        <is>
          <t>FC</t>
        </is>
      </c>
      <c r="G355" t="inlineStr">
        <is>
          <t>HI</t>
        </is>
      </c>
      <c r="H355" t="inlineStr"/>
      <c r="I355" t="inlineStr">
        <is>
          <t>Public</t>
        </is>
      </c>
      <c r="J355" t="inlineStr">
        <is>
          <t>951-1000</t>
        </is>
      </c>
      <c r="K355" t="inlineStr">
        <is>
          <t>1001-1200</t>
        </is>
      </c>
      <c r="L355" t="inlineStr"/>
      <c r="M355" t="inlineStr"/>
      <c r="N355" t="inlineStr">
        <is>
          <t>-</t>
        </is>
      </c>
      <c r="O355" t="inlineStr"/>
      <c r="P355" t="n">
        <v>23.5</v>
      </c>
      <c r="Q355" t="inlineStr">
        <is>
          <t>538</t>
        </is>
      </c>
      <c r="R355" t="n">
        <v>17.5</v>
      </c>
      <c r="S355" t="inlineStr">
        <is>
          <t>701+</t>
        </is>
      </c>
      <c r="T355" t="n">
        <v>41.9</v>
      </c>
      <c r="U355" t="inlineStr">
        <is>
          <t>484</t>
        </is>
      </c>
      <c r="V355" t="n">
        <v>1.7</v>
      </c>
      <c r="W355" t="inlineStr">
        <is>
          <t>801+</t>
        </is>
      </c>
      <c r="X355" t="n">
        <v>11.9</v>
      </c>
      <c r="Y355" t="inlineStr">
        <is>
          <t>801+</t>
        </is>
      </c>
      <c r="Z355" t="n">
        <v>3.1</v>
      </c>
      <c r="AA355" t="inlineStr">
        <is>
          <t>801+</t>
        </is>
      </c>
      <c r="AB355" t="n">
        <v>7.8</v>
      </c>
      <c r="AC355" t="inlineStr">
        <is>
          <t>801+</t>
        </is>
      </c>
      <c r="AD355" t="n">
        <v>20</v>
      </c>
      <c r="AE355" t="inlineStr">
        <is>
          <t>801+</t>
        </is>
      </c>
      <c r="AF355" t="n">
        <v>22</v>
      </c>
      <c r="AG355" t="inlineStr">
        <is>
          <t>695</t>
        </is>
      </c>
      <c r="AH355" t="n">
        <v>53</v>
      </c>
      <c r="AI355" t="inlineStr">
        <is>
          <t>646=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Hasselt University</t>
        </is>
      </c>
      <c r="B356" t="inlineStr">
        <is>
          <t>Belgium</t>
        </is>
      </c>
      <c r="C356" t="inlineStr">
        <is>
          <t>BE</t>
        </is>
      </c>
      <c r="D356" t="inlineStr">
        <is>
          <t>Europe</t>
        </is>
      </c>
      <c r="E356" t="inlineStr">
        <is>
          <t>M</t>
        </is>
      </c>
      <c r="F356" t="inlineStr">
        <is>
          <t>FC</t>
        </is>
      </c>
      <c r="G356" t="inlineStr">
        <is>
          <t>HI</t>
        </is>
      </c>
      <c r="H356" t="inlineStr">
        <is>
          <t>4</t>
        </is>
      </c>
      <c r="I356" t="inlineStr">
        <is>
          <t>Public</t>
        </is>
      </c>
      <c r="J356" t="inlineStr">
        <is>
          <t>597</t>
        </is>
      </c>
      <c r="K356" t="inlineStr">
        <is>
          <t>554</t>
        </is>
      </c>
      <c r="L356">
        <f>551</f>
        <v/>
      </c>
      <c r="M356" t="inlineStr">
        <is>
          <t>449=</t>
        </is>
      </c>
      <c r="N356" t="inlineStr">
        <is>
          <t>28.3</t>
        </is>
      </c>
      <c r="O356" t="inlineStr">
        <is>
          <t>21.3</t>
        </is>
      </c>
      <c r="P356" t="n">
        <v>8.800000000000001</v>
      </c>
      <c r="Q356" t="inlineStr">
        <is>
          <t>701+</t>
        </is>
      </c>
      <c r="R356" t="n">
        <v>5.2</v>
      </c>
      <c r="S356" t="inlineStr">
        <is>
          <t>701+</t>
        </is>
      </c>
      <c r="T356" t="n">
        <v>85.7</v>
      </c>
      <c r="U356" t="inlineStr">
        <is>
          <t>128</t>
        </is>
      </c>
      <c r="V356" t="n">
        <v>22.8</v>
      </c>
      <c r="W356" t="inlineStr">
        <is>
          <t>671</t>
        </is>
      </c>
      <c r="X356" t="n">
        <v>78.5</v>
      </c>
      <c r="Y356" t="inlineStr">
        <is>
          <t>306</t>
        </is>
      </c>
      <c r="Z356" t="n">
        <v>41.1</v>
      </c>
      <c r="AA356" t="inlineStr">
        <is>
          <t>483</t>
        </is>
      </c>
      <c r="AB356" t="n">
        <v>46.4</v>
      </c>
      <c r="AC356" t="inlineStr">
        <is>
          <t>448</t>
        </is>
      </c>
      <c r="AD356" t="n">
        <v>69.8</v>
      </c>
      <c r="AE356" t="inlineStr">
        <is>
          <t>533</t>
        </is>
      </c>
      <c r="AF356" t="n">
        <v>6.6</v>
      </c>
      <c r="AG356" t="inlineStr">
        <is>
          <t>801+</t>
        </is>
      </c>
      <c r="AH356" t="n">
        <v>62.7</v>
      </c>
      <c r="AI356" t="inlineStr">
        <is>
          <t>444=</t>
        </is>
      </c>
      <c r="AJ356" t="inlineStr">
        <is>
          <t>5.8</t>
        </is>
      </c>
      <c r="AK356" t="inlineStr">
        <is>
          <t>601+</t>
        </is>
      </c>
      <c r="AL356" t="inlineStr">
        <is>
          <t>3.4</t>
        </is>
      </c>
      <c r="AM356" t="inlineStr">
        <is>
          <t>601+</t>
        </is>
      </c>
      <c r="AN356" t="inlineStr">
        <is>
          <t>78.8</t>
        </is>
      </c>
      <c r="AO356" t="inlineStr">
        <is>
          <t>143</t>
        </is>
      </c>
      <c r="AP356" t="inlineStr">
        <is>
          <t>18.3</t>
        </is>
      </c>
      <c r="AQ356" t="inlineStr">
        <is>
          <t>579</t>
        </is>
      </c>
      <c r="AR356" t="inlineStr">
        <is>
          <t>76.0</t>
        </is>
      </c>
      <c r="AS356" t="inlineStr">
        <is>
          <t>247</t>
        </is>
      </c>
      <c r="AT356" t="inlineStr">
        <is>
          <t>23.9</t>
        </is>
      </c>
      <c r="AU356" t="inlineStr">
        <is>
          <t>488</t>
        </is>
      </c>
      <c r="AV356" t="inlineStr">
        <is>
          <t>27.2</t>
        </is>
      </c>
      <c r="AW356" t="inlineStr">
        <is>
          <t>478</t>
        </is>
      </c>
      <c r="AX356" t="inlineStr">
        <is>
          <t>10.2</t>
        </is>
      </c>
      <c r="AY356" t="inlineStr">
        <is>
          <t>701+</t>
        </is>
      </c>
      <c r="AZ356" t="inlineStr">
        <is>
          <t>15.9</t>
        </is>
      </c>
      <c r="BA356" t="inlineStr">
        <is>
          <t>596=</t>
        </is>
      </c>
    </row>
    <row r="357">
      <c r="A357" t="inlineStr">
        <is>
          <t>Hebrew University of Jerusalem</t>
        </is>
      </c>
      <c r="B357" t="inlineStr">
        <is>
          <t>Israel</t>
        </is>
      </c>
      <c r="C357" t="inlineStr"/>
      <c r="D357" t="inlineStr">
        <is>
          <t>Asia</t>
        </is>
      </c>
      <c r="E357" t="inlineStr">
        <is>
          <t>L</t>
        </is>
      </c>
      <c r="F357" t="inlineStr">
        <is>
          <t>FC</t>
        </is>
      </c>
      <c r="G357" t="inlineStr">
        <is>
          <t>VH</t>
        </is>
      </c>
      <c r="H357" t="inlineStr"/>
      <c r="I357" t="inlineStr">
        <is>
          <t>Public</t>
        </is>
      </c>
      <c r="J357" t="inlineStr">
        <is>
          <t>240</t>
        </is>
      </c>
      <c r="K357" t="inlineStr">
        <is>
          <t>281</t>
        </is>
      </c>
      <c r="L357" t="inlineStr"/>
      <c r="M357" t="inlineStr"/>
      <c r="N357" t="inlineStr">
        <is>
          <t>51.3</t>
        </is>
      </c>
      <c r="O357" t="inlineStr"/>
      <c r="P357" t="n">
        <v>42.9</v>
      </c>
      <c r="Q357" t="inlineStr">
        <is>
          <t>276</t>
        </is>
      </c>
      <c r="R357" t="n">
        <v>36.4</v>
      </c>
      <c r="S357" t="inlineStr">
        <is>
          <t>394</t>
        </is>
      </c>
      <c r="T357" t="n">
        <v>74.59999999999999</v>
      </c>
      <c r="U357" t="inlineStr">
        <is>
          <t>201</t>
        </is>
      </c>
      <c r="V357" t="n">
        <v>41.9</v>
      </c>
      <c r="W357" t="inlineStr">
        <is>
          <t>452</t>
        </is>
      </c>
      <c r="X357" t="n">
        <v>81.90000000000001</v>
      </c>
      <c r="Y357" t="inlineStr">
        <is>
          <t>279</t>
        </is>
      </c>
      <c r="Z357" t="n">
        <v>33.5</v>
      </c>
      <c r="AA357" t="inlineStr">
        <is>
          <t>551</t>
        </is>
      </c>
      <c r="AB357" t="n">
        <v>38.8</v>
      </c>
      <c r="AC357" t="inlineStr">
        <is>
          <t>509</t>
        </is>
      </c>
      <c r="AD357" t="n">
        <v>74.2</v>
      </c>
      <c r="AE357" t="inlineStr">
        <is>
          <t>460</t>
        </is>
      </c>
      <c r="AF357" t="n">
        <v>97.09999999999999</v>
      </c>
      <c r="AG357" t="inlineStr">
        <is>
          <t>57</t>
        </is>
      </c>
      <c r="AH357" t="n">
        <v>65.5</v>
      </c>
      <c r="AI357" t="inlineStr">
        <is>
          <t>387=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Helwan University</t>
        </is>
      </c>
      <c r="B358" t="inlineStr">
        <is>
          <t>Egypt</t>
        </is>
      </c>
      <c r="C358" t="inlineStr">
        <is>
          <t>EG</t>
        </is>
      </c>
      <c r="D358" t="inlineStr">
        <is>
          <t>Africa</t>
        </is>
      </c>
      <c r="E358" t="inlineStr">
        <is>
          <t>XL</t>
        </is>
      </c>
      <c r="F358" t="inlineStr">
        <is>
          <t>CO</t>
        </is>
      </c>
      <c r="G358" t="inlineStr">
        <is>
          <t>HI</t>
        </is>
      </c>
      <c r="H358" t="inlineStr">
        <is>
          <t>3</t>
        </is>
      </c>
      <c r="I358" t="inlineStr">
        <is>
          <t>Public</t>
        </is>
      </c>
      <c r="J358" t="inlineStr">
        <is>
          <t>1201-1400</t>
        </is>
      </c>
      <c r="K358" t="inlineStr">
        <is>
          <t>1201-1400</t>
        </is>
      </c>
      <c r="L358" t="inlineStr">
        <is>
          <t>1201-1400</t>
        </is>
      </c>
      <c r="M358" t="inlineStr">
        <is>
          <t>1201-1400</t>
        </is>
      </c>
      <c r="N358" t="inlineStr">
        <is>
          <t>-</t>
        </is>
      </c>
      <c r="O358" t="inlineStr">
        <is>
          <t>-</t>
        </is>
      </c>
      <c r="P358" t="n">
        <v>11</v>
      </c>
      <c r="Q358" t="inlineStr">
        <is>
          <t>701+</t>
        </is>
      </c>
      <c r="R358" t="n">
        <v>15</v>
      </c>
      <c r="S358" t="inlineStr">
        <is>
          <t>701+</t>
        </is>
      </c>
      <c r="T358" t="n">
        <v>4.9</v>
      </c>
      <c r="U358" t="inlineStr">
        <is>
          <t>801+</t>
        </is>
      </c>
      <c r="V358" t="n">
        <v>2.6</v>
      </c>
      <c r="W358" t="inlineStr">
        <is>
          <t>801+</t>
        </is>
      </c>
      <c r="X358" t="n">
        <v>1.2</v>
      </c>
      <c r="Y358" t="inlineStr">
        <is>
          <t>801+</t>
        </is>
      </c>
      <c r="Z358" t="n">
        <v>3.4</v>
      </c>
      <c r="AA358" t="inlineStr">
        <is>
          <t>801+</t>
        </is>
      </c>
      <c r="AB358" t="n">
        <v>2.8</v>
      </c>
      <c r="AC358" t="inlineStr">
        <is>
          <t>801+</t>
        </is>
      </c>
      <c r="AD358" t="n">
        <v>63.6</v>
      </c>
      <c r="AE358" t="inlineStr">
        <is>
          <t>642</t>
        </is>
      </c>
      <c r="AF358" t="n">
        <v>20.1</v>
      </c>
      <c r="AG358" t="inlineStr">
        <is>
          <t>724</t>
        </is>
      </c>
      <c r="AH358" t="n">
        <v>36.1</v>
      </c>
      <c r="AI358" t="inlineStr">
        <is>
          <t>801+</t>
        </is>
      </c>
      <c r="AJ358" t="inlineStr">
        <is>
          <t>7.0</t>
        </is>
      </c>
      <c r="AK358" t="inlineStr">
        <is>
          <t>601+</t>
        </is>
      </c>
      <c r="AL358" t="inlineStr">
        <is>
          <t>10.1</t>
        </is>
      </c>
      <c r="AM358" t="inlineStr">
        <is>
          <t>601+</t>
        </is>
      </c>
      <c r="AN358" t="inlineStr">
        <is>
          <t>4.4</t>
        </is>
      </c>
      <c r="AO358" t="inlineStr">
        <is>
          <t>701+</t>
        </is>
      </c>
      <c r="AP358" t="inlineStr">
        <is>
          <t>1.6</t>
        </is>
      </c>
      <c r="AQ358" t="inlineStr">
        <is>
          <t>701+</t>
        </is>
      </c>
      <c r="AR358" t="inlineStr">
        <is>
          <t>1.2</t>
        </is>
      </c>
      <c r="AS358" t="inlineStr">
        <is>
          <t>701+</t>
        </is>
      </c>
      <c r="AT358" t="inlineStr">
        <is>
          <t>2.3</t>
        </is>
      </c>
      <c r="AU358" t="inlineStr">
        <is>
          <t>701+</t>
        </is>
      </c>
      <c r="AV358" t="inlineStr">
        <is>
          <t>5.2</t>
        </is>
      </c>
      <c r="AW358" t="inlineStr">
        <is>
          <t>701+</t>
        </is>
      </c>
      <c r="AX358" t="inlineStr">
        <is>
          <t>9.2</t>
        </is>
      </c>
      <c r="AY358" t="inlineStr">
        <is>
          <t>701+</t>
        </is>
      </c>
      <c r="AZ358" t="inlineStr">
        <is>
          <t>1.2</t>
        </is>
      </c>
      <c r="BA358" t="inlineStr">
        <is>
          <t>701+</t>
        </is>
      </c>
    </row>
    <row r="359">
      <c r="A359" t="inlineStr">
        <is>
          <t>Heriot-Watt University</t>
        </is>
      </c>
      <c r="B359" t="inlineStr">
        <is>
          <t>United Kingdom</t>
        </is>
      </c>
      <c r="C359" t="inlineStr">
        <is>
          <t>UK</t>
        </is>
      </c>
      <c r="D359" t="inlineStr">
        <is>
          <t>Europe</t>
        </is>
      </c>
      <c r="E359" t="inlineStr">
        <is>
          <t>M</t>
        </is>
      </c>
      <c r="F359" t="inlineStr">
        <is>
          <t>CO</t>
        </is>
      </c>
      <c r="G359" t="inlineStr">
        <is>
          <t>VH</t>
        </is>
      </c>
      <c r="H359" t="inlineStr">
        <is>
          <t>4</t>
        </is>
      </c>
      <c r="I359" t="inlineStr">
        <is>
          <t>Public</t>
        </is>
      </c>
      <c r="J359" t="inlineStr">
        <is>
          <t>287</t>
        </is>
      </c>
      <c r="K359" t="inlineStr">
        <is>
          <t>256</t>
        </is>
      </c>
      <c r="L359" t="inlineStr">
        <is>
          <t>235</t>
        </is>
      </c>
      <c r="M359" t="inlineStr">
        <is>
          <t>281=</t>
        </is>
      </c>
      <c r="N359" t="inlineStr">
        <is>
          <t>46.8</t>
        </is>
      </c>
      <c r="O359" t="inlineStr">
        <is>
          <t>41.2</t>
        </is>
      </c>
      <c r="P359" t="n">
        <v>25.7</v>
      </c>
      <c r="Q359" t="inlineStr">
        <is>
          <t>490</t>
        </is>
      </c>
      <c r="R359" t="n">
        <v>34.8</v>
      </c>
      <c r="S359" t="inlineStr">
        <is>
          <t>415</t>
        </is>
      </c>
      <c r="T359" t="n">
        <v>27.3</v>
      </c>
      <c r="U359" t="inlineStr">
        <is>
          <t>692</t>
        </is>
      </c>
      <c r="V359" t="n">
        <v>61.8</v>
      </c>
      <c r="W359" t="inlineStr">
        <is>
          <t>275</t>
        </is>
      </c>
      <c r="X359" t="n">
        <v>100</v>
      </c>
      <c r="Y359" t="inlineStr">
        <is>
          <t>78</t>
        </is>
      </c>
      <c r="Z359" t="n">
        <v>97</v>
      </c>
      <c r="AA359" t="inlineStr">
        <is>
          <t>100</t>
        </is>
      </c>
      <c r="AB359" t="n">
        <v>97.2</v>
      </c>
      <c r="AC359" t="inlineStr">
        <is>
          <t>89</t>
        </is>
      </c>
      <c r="AD359" t="n">
        <v>75.7</v>
      </c>
      <c r="AE359" t="inlineStr">
        <is>
          <t>425</t>
        </is>
      </c>
      <c r="AF359" t="n">
        <v>37</v>
      </c>
      <c r="AG359" t="inlineStr">
        <is>
          <t>467</t>
        </is>
      </c>
      <c r="AH359" t="n">
        <v>77.2</v>
      </c>
      <c r="AI359" t="inlineStr">
        <is>
          <t>210=</t>
        </is>
      </c>
      <c r="AJ359" t="inlineStr">
        <is>
          <t>16.4</t>
        </is>
      </c>
      <c r="AK359" t="inlineStr">
        <is>
          <t>537</t>
        </is>
      </c>
      <c r="AL359" t="inlineStr">
        <is>
          <t>21.1</t>
        </is>
      </c>
      <c r="AM359" t="inlineStr">
        <is>
          <t>438</t>
        </is>
      </c>
      <c r="AN359" t="inlineStr">
        <is>
          <t>18.6</t>
        </is>
      </c>
      <c r="AO359" t="inlineStr">
        <is>
          <t>701+</t>
        </is>
      </c>
      <c r="AP359" t="inlineStr">
        <is>
          <t>79.4</t>
        </is>
      </c>
      <c r="AQ359" t="inlineStr">
        <is>
          <t>113</t>
        </is>
      </c>
      <c r="AR359" t="inlineStr">
        <is>
          <t>100.0</t>
        </is>
      </c>
      <c r="AS359" t="inlineStr">
        <is>
          <t>67</t>
        </is>
      </c>
      <c r="AT359" t="inlineStr">
        <is>
          <t>97.6</t>
        </is>
      </c>
      <c r="AU359" t="inlineStr">
        <is>
          <t>66</t>
        </is>
      </c>
      <c r="AV359" t="inlineStr">
        <is>
          <t>40.2</t>
        </is>
      </c>
      <c r="AW359" t="inlineStr">
        <is>
          <t>375</t>
        </is>
      </c>
      <c r="AX359" t="inlineStr">
        <is>
          <t>21.3</t>
        </is>
      </c>
      <c r="AY359" t="inlineStr">
        <is>
          <t>392</t>
        </is>
      </c>
      <c r="AZ359" t="inlineStr">
        <is>
          <t>43.5</t>
        </is>
      </c>
      <c r="BA359" t="inlineStr">
        <is>
          <t>342=</t>
        </is>
      </c>
    </row>
    <row r="360">
      <c r="A360" t="inlineStr">
        <is>
          <t>Herzen State Pedagogical University of Russia</t>
        </is>
      </c>
      <c r="B360" t="inlineStr">
        <is>
          <t>Russia</t>
        </is>
      </c>
      <c r="C360" t="inlineStr"/>
      <c r="D360" t="inlineStr">
        <is>
          <t>Europe</t>
        </is>
      </c>
      <c r="E360" t="inlineStr">
        <is>
          <t>L</t>
        </is>
      </c>
      <c r="F360" t="inlineStr">
        <is>
          <t>FO</t>
        </is>
      </c>
      <c r="G360" t="inlineStr">
        <is>
          <t>HI</t>
        </is>
      </c>
      <c r="H360" t="inlineStr"/>
      <c r="I360" t="inlineStr">
        <is>
          <t>Public</t>
        </is>
      </c>
      <c r="J360" t="inlineStr">
        <is>
          <t>1401+</t>
        </is>
      </c>
      <c r="K360" t="inlineStr">
        <is>
          <t>1201-1400</t>
        </is>
      </c>
      <c r="L360" t="inlineStr"/>
      <c r="M360" t="inlineStr"/>
      <c r="N360" t="inlineStr">
        <is>
          <t>-</t>
        </is>
      </c>
      <c r="O360" t="inlineStr"/>
      <c r="P360" t="n">
        <v>3.8</v>
      </c>
      <c r="Q360" t="inlineStr">
        <is>
          <t>701+</t>
        </is>
      </c>
      <c r="R360" t="n">
        <v>4.2</v>
      </c>
      <c r="S360" t="inlineStr">
        <is>
          <t>701+</t>
        </is>
      </c>
      <c r="T360" t="n">
        <v>22.2</v>
      </c>
      <c r="U360" t="inlineStr">
        <is>
          <t>785</t>
        </is>
      </c>
      <c r="V360" t="n">
        <v>1.5</v>
      </c>
      <c r="W360" t="inlineStr">
        <is>
          <t>801+</t>
        </is>
      </c>
      <c r="X360" t="n">
        <v>1.7</v>
      </c>
      <c r="Y360" t="inlineStr">
        <is>
          <t>801+</t>
        </is>
      </c>
      <c r="Z360" t="n">
        <v>59.8</v>
      </c>
      <c r="AA360" t="inlineStr">
        <is>
          <t>344</t>
        </is>
      </c>
      <c r="AB360" t="n">
        <v>56.4</v>
      </c>
      <c r="AC360" t="inlineStr">
        <is>
          <t>364</t>
        </is>
      </c>
      <c r="AD360" t="n">
        <v>11.4</v>
      </c>
      <c r="AE360" t="inlineStr">
        <is>
          <t>801+</t>
        </is>
      </c>
      <c r="AF360" t="n">
        <v>7.2</v>
      </c>
      <c r="AG360" t="inlineStr">
        <is>
          <t>801+</t>
        </is>
      </c>
      <c r="AH360" t="n">
        <v>25.4</v>
      </c>
      <c r="AI360" t="inlineStr">
        <is>
          <t>801+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Hiroshima University</t>
        </is>
      </c>
      <c r="B361" t="inlineStr">
        <is>
          <t>Japan</t>
        </is>
      </c>
      <c r="C361" t="inlineStr">
        <is>
          <t>JP</t>
        </is>
      </c>
      <c r="D361" t="inlineStr">
        <is>
          <t>Asia</t>
        </is>
      </c>
      <c r="E361" t="inlineStr">
        <is>
          <t>L</t>
        </is>
      </c>
      <c r="F361" t="inlineStr">
        <is>
          <t>FC</t>
        </is>
      </c>
      <c r="G361" t="inlineStr">
        <is>
          <t>VH</t>
        </is>
      </c>
      <c r="H361" t="inlineStr">
        <is>
          <t>4</t>
        </is>
      </c>
      <c r="I361" t="inlineStr">
        <is>
          <t>Public</t>
        </is>
      </c>
      <c r="J361" t="inlineStr">
        <is>
          <t>480</t>
        </is>
      </c>
      <c r="K361" t="inlineStr">
        <is>
          <t>474</t>
        </is>
      </c>
      <c r="L361" t="inlineStr">
        <is>
          <t>472</t>
        </is>
      </c>
      <c r="M361" t="inlineStr">
        <is>
          <t>338</t>
        </is>
      </c>
      <c r="N361" t="inlineStr">
        <is>
          <t>33.2</t>
        </is>
      </c>
      <c r="O361" t="inlineStr">
        <is>
          <t>24.5</t>
        </is>
      </c>
      <c r="P361" t="n">
        <v>34.6</v>
      </c>
      <c r="Q361" t="inlineStr">
        <is>
          <t>351</t>
        </is>
      </c>
      <c r="R361" t="n">
        <v>17.1</v>
      </c>
      <c r="S361" t="inlineStr">
        <is>
          <t>701+</t>
        </is>
      </c>
      <c r="T361" t="n">
        <v>79.8</v>
      </c>
      <c r="U361" t="inlineStr">
        <is>
          <t>168</t>
        </is>
      </c>
      <c r="V361" t="n">
        <v>17.2</v>
      </c>
      <c r="W361" t="inlineStr">
        <is>
          <t>762</t>
        </is>
      </c>
      <c r="X361" t="n">
        <v>19.2</v>
      </c>
      <c r="Y361" t="inlineStr">
        <is>
          <t>725</t>
        </is>
      </c>
      <c r="Z361" t="n">
        <v>22.7</v>
      </c>
      <c r="AA361" t="inlineStr">
        <is>
          <t>690</t>
        </is>
      </c>
      <c r="AB361" t="n">
        <v>17.1</v>
      </c>
      <c r="AC361" t="inlineStr">
        <is>
          <t>801+</t>
        </is>
      </c>
      <c r="AD361" t="n">
        <v>70.3</v>
      </c>
      <c r="AE361" t="inlineStr">
        <is>
          <t>525</t>
        </is>
      </c>
      <c r="AF361" t="n">
        <v>12.4</v>
      </c>
      <c r="AG361" t="inlineStr">
        <is>
          <t>801+</t>
        </is>
      </c>
      <c r="AH361" t="n">
        <v>73.2</v>
      </c>
      <c r="AI361" t="inlineStr">
        <is>
          <t>271=</t>
        </is>
      </c>
      <c r="AJ361" t="inlineStr">
        <is>
          <t>23.6</t>
        </is>
      </c>
      <c r="AK361" t="inlineStr">
        <is>
          <t>366</t>
        </is>
      </c>
      <c r="AL361" t="inlineStr">
        <is>
          <t>14.0</t>
        </is>
      </c>
      <c r="AM361" t="inlineStr">
        <is>
          <t>581</t>
        </is>
      </c>
      <c r="AN361" t="inlineStr">
        <is>
          <t>81.0</t>
        </is>
      </c>
      <c r="AO361" t="inlineStr">
        <is>
          <t>136</t>
        </is>
      </c>
      <c r="AP361" t="inlineStr">
        <is>
          <t>9.6</t>
        </is>
      </c>
      <c r="AQ361" t="inlineStr">
        <is>
          <t>701+</t>
        </is>
      </c>
      <c r="AR361" t="inlineStr">
        <is>
          <t>17.3</t>
        </is>
      </c>
      <c r="AS361" t="inlineStr">
        <is>
          <t>624</t>
        </is>
      </c>
      <c r="AT361" t="inlineStr">
        <is>
          <t>12.9</t>
        </is>
      </c>
      <c r="AU361" t="inlineStr">
        <is>
          <t>663</t>
        </is>
      </c>
      <c r="AV361" t="inlineStr">
        <is>
          <t>30.0</t>
        </is>
      </c>
      <c r="AW361" t="inlineStr">
        <is>
          <t>457</t>
        </is>
      </c>
      <c r="AX361" t="inlineStr">
        <is>
          <t>9.8</t>
        </is>
      </c>
      <c r="AY361" t="inlineStr">
        <is>
          <t>701+</t>
        </is>
      </c>
      <c r="AZ361" t="inlineStr">
        <is>
          <t>37.5</t>
        </is>
      </c>
      <c r="BA361" t="inlineStr">
        <is>
          <t>382=</t>
        </is>
      </c>
    </row>
    <row r="362">
      <c r="A362" t="inlineStr">
        <is>
          <t>Hitotsubashi University</t>
        </is>
      </c>
      <c r="B362" t="inlineStr">
        <is>
          <t>Japan</t>
        </is>
      </c>
      <c r="C362" t="inlineStr">
        <is>
          <t>JP</t>
        </is>
      </c>
      <c r="D362" t="inlineStr">
        <is>
          <t>Asia</t>
        </is>
      </c>
      <c r="E362" t="inlineStr">
        <is>
          <t>M</t>
        </is>
      </c>
      <c r="F362" t="inlineStr">
        <is>
          <t>SP</t>
        </is>
      </c>
      <c r="G362" t="inlineStr">
        <is>
          <t>VH</t>
        </is>
      </c>
      <c r="H362" t="inlineStr">
        <is>
          <t>4</t>
        </is>
      </c>
      <c r="I362" t="inlineStr">
        <is>
          <t>Public</t>
        </is>
      </c>
      <c r="J362" t="inlineStr">
        <is>
          <t>553</t>
        </is>
      </c>
      <c r="K362" t="inlineStr">
        <is>
          <t>539</t>
        </is>
      </c>
      <c r="L362">
        <f>481</f>
        <v/>
      </c>
      <c r="M362" t="inlineStr">
        <is>
          <t>531-540</t>
        </is>
      </c>
      <c r="N362" t="inlineStr">
        <is>
          <t>29.8</t>
        </is>
      </c>
      <c r="O362" t="inlineStr">
        <is>
          <t>23.9</t>
        </is>
      </c>
      <c r="P362" t="n">
        <v>19.7</v>
      </c>
      <c r="Q362" t="inlineStr">
        <is>
          <t>627</t>
        </is>
      </c>
      <c r="R362" t="n">
        <v>78.09999999999999</v>
      </c>
      <c r="S362" t="inlineStr">
        <is>
          <t>112</t>
        </is>
      </c>
      <c r="T362" t="n">
        <v>42.2</v>
      </c>
      <c r="U362" t="inlineStr">
        <is>
          <t>473</t>
        </is>
      </c>
      <c r="V362" t="n">
        <v>4</v>
      </c>
      <c r="W362" t="inlineStr">
        <is>
          <t>801+</t>
        </is>
      </c>
      <c r="X362" t="n">
        <v>31.3</v>
      </c>
      <c r="Y362" t="inlineStr">
        <is>
          <t>573</t>
        </is>
      </c>
      <c r="Z362" t="n">
        <v>33.5</v>
      </c>
      <c r="AA362" t="inlineStr">
        <is>
          <t>553</t>
        </is>
      </c>
      <c r="AB362" t="n">
        <v>36.1</v>
      </c>
      <c r="AC362" t="inlineStr">
        <is>
          <t>533</t>
        </is>
      </c>
      <c r="AD362" t="n">
        <v>11.7</v>
      </c>
      <c r="AE362" t="inlineStr">
        <is>
          <t>801+</t>
        </is>
      </c>
      <c r="AF362" t="n">
        <v>57.5</v>
      </c>
      <c r="AG362" t="inlineStr">
        <is>
          <t>290</t>
        </is>
      </c>
      <c r="AH362" t="n">
        <v>32.2</v>
      </c>
      <c r="AI362" t="inlineStr">
        <is>
          <t>801+</t>
        </is>
      </c>
      <c r="AJ362" t="inlineStr">
        <is>
          <t>14.4</t>
        </is>
      </c>
      <c r="AK362" t="inlineStr">
        <is>
          <t>601+</t>
        </is>
      </c>
      <c r="AL362" t="inlineStr">
        <is>
          <t>80.6</t>
        </is>
      </c>
      <c r="AM362" t="inlineStr">
        <is>
          <t>72</t>
        </is>
      </c>
      <c r="AN362" t="inlineStr">
        <is>
          <t>28.6</t>
        </is>
      </c>
      <c r="AO362" t="inlineStr">
        <is>
          <t>538</t>
        </is>
      </c>
      <c r="AP362" t="inlineStr">
        <is>
          <t>2.2</t>
        </is>
      </c>
      <c r="AQ362" t="inlineStr">
        <is>
          <t>701+</t>
        </is>
      </c>
      <c r="AR362" t="inlineStr">
        <is>
          <t>21.6</t>
        </is>
      </c>
      <c r="AS362" t="inlineStr">
        <is>
          <t>578</t>
        </is>
      </c>
      <c r="AT362" t="inlineStr">
        <is>
          <t>22.4</t>
        </is>
      </c>
      <c r="AU362" t="inlineStr">
        <is>
          <t>508</t>
        </is>
      </c>
      <c r="AV362" t="inlineStr">
        <is>
          <t>1.0</t>
        </is>
      </c>
      <c r="AW362" t="inlineStr">
        <is>
          <t>701+</t>
        </is>
      </c>
      <c r="AX362" t="inlineStr">
        <is>
          <t>38.4</t>
        </is>
      </c>
      <c r="AY362" t="inlineStr">
        <is>
          <t>190</t>
        </is>
      </c>
      <c r="AZ362" t="inlineStr">
        <is>
          <t>1.1</t>
        </is>
      </c>
      <c r="BA362" t="inlineStr">
        <is>
          <t>701+</t>
        </is>
      </c>
    </row>
    <row r="363">
      <c r="A363" t="inlineStr">
        <is>
          <t>Hohai University</t>
        </is>
      </c>
      <c r="B363" t="inlineStr">
        <is>
          <t>China (Mainland)</t>
        </is>
      </c>
      <c r="C363" t="inlineStr">
        <is>
          <t>CN</t>
        </is>
      </c>
      <c r="D363" t="inlineStr">
        <is>
          <t>Asia</t>
        </is>
      </c>
      <c r="E363" t="inlineStr">
        <is>
          <t>XL</t>
        </is>
      </c>
      <c r="F363" t="inlineStr">
        <is>
          <t>FO</t>
        </is>
      </c>
      <c r="G363" t="inlineStr">
        <is>
          <t>VH</t>
        </is>
      </c>
      <c r="H363" t="inlineStr">
        <is>
          <t>3</t>
        </is>
      </c>
      <c r="I363" t="inlineStr">
        <is>
          <t>Public</t>
        </is>
      </c>
      <c r="J363" t="inlineStr">
        <is>
          <t>1001-1200</t>
        </is>
      </c>
      <c r="K363" t="inlineStr">
        <is>
          <t>1001-1200</t>
        </is>
      </c>
      <c r="L363" t="inlineStr">
        <is>
          <t>1201-1400</t>
        </is>
      </c>
      <c r="M363" t="inlineStr">
        <is>
          <t>1201-1400</t>
        </is>
      </c>
      <c r="N363" t="inlineStr">
        <is>
          <t>-</t>
        </is>
      </c>
      <c r="O363" t="inlineStr">
        <is>
          <t>-</t>
        </is>
      </c>
      <c r="P363" t="n">
        <v>3.2</v>
      </c>
      <c r="Q363" t="inlineStr">
        <is>
          <t>701+</t>
        </is>
      </c>
      <c r="R363" t="n">
        <v>2.7</v>
      </c>
      <c r="S363" t="inlineStr">
        <is>
          <t>701+</t>
        </is>
      </c>
      <c r="T363" t="n">
        <v>17.8</v>
      </c>
      <c r="U363" t="inlineStr">
        <is>
          <t>801+</t>
        </is>
      </c>
      <c r="V363" t="n">
        <v>33.2</v>
      </c>
      <c r="W363" t="inlineStr">
        <is>
          <t>548</t>
        </is>
      </c>
      <c r="X363" t="inlineStr"/>
      <c r="Y363" t="inlineStr"/>
      <c r="Z363" t="inlineStr"/>
      <c r="AA363" t="inlineStr"/>
      <c r="AB363" t="inlineStr"/>
      <c r="AC363" t="inlineStr"/>
      <c r="AD363" t="n">
        <v>74.09999999999999</v>
      </c>
      <c r="AE363" t="inlineStr">
        <is>
          <t>463</t>
        </is>
      </c>
      <c r="AF363" t="n">
        <v>1.2</v>
      </c>
      <c r="AG363" t="inlineStr">
        <is>
          <t>801+</t>
        </is>
      </c>
      <c r="AH363" t="n">
        <v>39.3</v>
      </c>
      <c r="AI363" t="inlineStr">
        <is>
          <t>801+</t>
        </is>
      </c>
      <c r="AJ363" t="inlineStr">
        <is>
          <t>4.1</t>
        </is>
      </c>
      <c r="AK363" t="inlineStr">
        <is>
          <t>601+</t>
        </is>
      </c>
      <c r="AL363" t="inlineStr">
        <is>
          <t>1.5</t>
        </is>
      </c>
      <c r="AM363" t="inlineStr">
        <is>
          <t>601+</t>
        </is>
      </c>
      <c r="AN363" t="inlineStr">
        <is>
          <t>8.3</t>
        </is>
      </c>
      <c r="AO363" t="inlineStr">
        <is>
          <t>701+</t>
        </is>
      </c>
      <c r="AP363" t="inlineStr">
        <is>
          <t>13.6</t>
        </is>
      </c>
      <c r="AQ363" t="inlineStr">
        <is>
          <t>665</t>
        </is>
      </c>
      <c r="AR363" t="inlineStr"/>
      <c r="AS363" t="inlineStr"/>
      <c r="AT363" t="inlineStr"/>
      <c r="AU363" t="inlineStr"/>
      <c r="AV363" t="inlineStr">
        <is>
          <t>11.2</t>
        </is>
      </c>
      <c r="AW363" t="inlineStr">
        <is>
          <t>648</t>
        </is>
      </c>
      <c r="AX363" t="inlineStr">
        <is>
          <t>5.9</t>
        </is>
      </c>
      <c r="AY363" t="inlineStr">
        <is>
          <t>701+</t>
        </is>
      </c>
      <c r="AZ363" t="inlineStr">
        <is>
          <t>4.1</t>
        </is>
      </c>
      <c r="BA363" t="inlineStr">
        <is>
          <t>701+</t>
        </is>
      </c>
    </row>
    <row r="364">
      <c r="A364" t="inlineStr">
        <is>
          <t>Hokkaido University</t>
        </is>
      </c>
      <c r="B364" t="inlineStr">
        <is>
          <t>Japan</t>
        </is>
      </c>
      <c r="C364" t="inlineStr">
        <is>
          <t>JP</t>
        </is>
      </c>
      <c r="D364" t="inlineStr">
        <is>
          <t>Asia</t>
        </is>
      </c>
      <c r="E364" t="inlineStr">
        <is>
          <t>L</t>
        </is>
      </c>
      <c r="F364" t="inlineStr">
        <is>
          <t>FC</t>
        </is>
      </c>
      <c r="G364" t="inlineStr">
        <is>
          <t>VH</t>
        </is>
      </c>
      <c r="H364" t="inlineStr">
        <is>
          <t>5</t>
        </is>
      </c>
      <c r="I364" t="inlineStr">
        <is>
          <t>Public</t>
        </is>
      </c>
      <c r="J364" t="inlineStr">
        <is>
          <t>170</t>
        </is>
      </c>
      <c r="K364" t="inlineStr">
        <is>
          <t>173</t>
        </is>
      </c>
      <c r="L364" t="inlineStr">
        <is>
          <t>196</t>
        </is>
      </c>
      <c r="M364" t="inlineStr">
        <is>
          <t>141=</t>
        </is>
      </c>
      <c r="N364" t="inlineStr">
        <is>
          <t>59.3</t>
        </is>
      </c>
      <c r="O364" t="inlineStr">
        <is>
          <t>46.2</t>
        </is>
      </c>
      <c r="P364" t="n">
        <v>71.5</v>
      </c>
      <c r="Q364" t="inlineStr">
        <is>
          <t>129</t>
        </is>
      </c>
      <c r="R364" t="n">
        <v>68.8</v>
      </c>
      <c r="S364" t="inlineStr">
        <is>
          <t>151</t>
        </is>
      </c>
      <c r="T364" t="n">
        <v>76.8</v>
      </c>
      <c r="U364" t="inlineStr">
        <is>
          <t>185</t>
        </is>
      </c>
      <c r="V364" t="n">
        <v>42.7</v>
      </c>
      <c r="W364" t="inlineStr">
        <is>
          <t>445</t>
        </is>
      </c>
      <c r="X364" t="n">
        <v>28.2</v>
      </c>
      <c r="Y364" t="inlineStr">
        <is>
          <t>604</t>
        </is>
      </c>
      <c r="Z364" t="n">
        <v>20.5</v>
      </c>
      <c r="AA364" t="inlineStr">
        <is>
          <t>724</t>
        </is>
      </c>
      <c r="AB364" t="n">
        <v>26.6</v>
      </c>
      <c r="AC364" t="inlineStr">
        <is>
          <t>664</t>
        </is>
      </c>
      <c r="AD364" t="n">
        <v>77.5</v>
      </c>
      <c r="AE364" t="inlineStr">
        <is>
          <t>393</t>
        </is>
      </c>
      <c r="AF364" t="n">
        <v>26.4</v>
      </c>
      <c r="AG364" t="inlineStr">
        <is>
          <t>617</t>
        </is>
      </c>
      <c r="AH364" t="n">
        <v>78.5</v>
      </c>
      <c r="AI364" t="inlineStr">
        <is>
          <t>192=</t>
        </is>
      </c>
      <c r="AJ364" t="inlineStr">
        <is>
          <t>57.3</t>
        </is>
      </c>
      <c r="AK364" t="inlineStr">
        <is>
          <t>134</t>
        </is>
      </c>
      <c r="AL364" t="inlineStr">
        <is>
          <t>66.0</t>
        </is>
      </c>
      <c r="AM364" t="inlineStr">
        <is>
          <t>119</t>
        </is>
      </c>
      <c r="AN364" t="inlineStr">
        <is>
          <t>75.8</t>
        </is>
      </c>
      <c r="AO364" t="inlineStr">
        <is>
          <t>162</t>
        </is>
      </c>
      <c r="AP364" t="inlineStr">
        <is>
          <t>27.8</t>
        </is>
      </c>
      <c r="AQ364" t="inlineStr">
        <is>
          <t>451</t>
        </is>
      </c>
      <c r="AR364" t="inlineStr">
        <is>
          <t>17.5</t>
        </is>
      </c>
      <c r="AS364" t="inlineStr">
        <is>
          <t>621</t>
        </is>
      </c>
      <c r="AT364" t="inlineStr">
        <is>
          <t>14.4</t>
        </is>
      </c>
      <c r="AU364" t="inlineStr">
        <is>
          <t>633</t>
        </is>
      </c>
      <c r="AV364" t="inlineStr">
        <is>
          <t>38.1</t>
        </is>
      </c>
      <c r="AW364" t="inlineStr">
        <is>
          <t>392</t>
        </is>
      </c>
      <c r="AX364" t="inlineStr">
        <is>
          <t>12.9</t>
        </is>
      </c>
      <c r="AY364" t="inlineStr">
        <is>
          <t>665</t>
        </is>
      </c>
      <c r="AZ364" t="inlineStr">
        <is>
          <t>30.7</t>
        </is>
      </c>
      <c r="BA364" t="inlineStr">
        <is>
          <t>438=</t>
        </is>
      </c>
    </row>
    <row r="365">
      <c r="A365" t="inlineStr">
        <is>
          <t>Holy Spirit University of Kaslik</t>
        </is>
      </c>
      <c r="B365" t="inlineStr">
        <is>
          <t>Lebanon</t>
        </is>
      </c>
      <c r="C365" t="inlineStr">
        <is>
          <t>LB</t>
        </is>
      </c>
      <c r="D365" t="inlineStr">
        <is>
          <t>Asia</t>
        </is>
      </c>
      <c r="E365" t="inlineStr">
        <is>
          <t>M</t>
        </is>
      </c>
      <c r="F365" t="inlineStr">
        <is>
          <t>FO</t>
        </is>
      </c>
      <c r="G365" t="inlineStr">
        <is>
          <t>HI</t>
        </is>
      </c>
      <c r="H365" t="inlineStr">
        <is>
          <t>4</t>
        </is>
      </c>
      <c r="I365" t="inlineStr">
        <is>
          <t>Private not for Profit</t>
        </is>
      </c>
      <c r="J365" t="inlineStr">
        <is>
          <t>771-780</t>
        </is>
      </c>
      <c r="K365" t="inlineStr">
        <is>
          <t>771-780</t>
        </is>
      </c>
      <c r="L365" t="inlineStr">
        <is>
          <t>661-670</t>
        </is>
      </c>
      <c r="M365" t="inlineStr">
        <is>
          <t>571-580</t>
        </is>
      </c>
      <c r="N365" t="inlineStr">
        <is>
          <t>-</t>
        </is>
      </c>
      <c r="O365" t="inlineStr">
        <is>
          <t>-</t>
        </is>
      </c>
      <c r="P365" t="n">
        <v>11.1</v>
      </c>
      <c r="Q365" t="inlineStr">
        <is>
          <t>701+</t>
        </is>
      </c>
      <c r="R365" t="n">
        <v>20.7</v>
      </c>
      <c r="S365" t="inlineStr">
        <is>
          <t>637</t>
        </is>
      </c>
      <c r="T365" t="n">
        <v>70.40000000000001</v>
      </c>
      <c r="U365" t="inlineStr">
        <is>
          <t>226</t>
        </is>
      </c>
      <c r="V365" t="n">
        <v>3.8</v>
      </c>
      <c r="W365" t="inlineStr">
        <is>
          <t>801+</t>
        </is>
      </c>
      <c r="X365" t="n">
        <v>99.40000000000001</v>
      </c>
      <c r="Y365" t="inlineStr">
        <is>
          <t>117</t>
        </is>
      </c>
      <c r="Z365" t="n">
        <v>52.2</v>
      </c>
      <c r="AA365" t="inlineStr">
        <is>
          <t>397</t>
        </is>
      </c>
      <c r="AB365" t="n">
        <v>53.4</v>
      </c>
      <c r="AC365" t="inlineStr">
        <is>
          <t>383</t>
        </is>
      </c>
      <c r="AD365" t="n">
        <v>9.6</v>
      </c>
      <c r="AE365" t="inlineStr">
        <is>
          <t>801+</t>
        </is>
      </c>
      <c r="AF365" t="n">
        <v>7.3</v>
      </c>
      <c r="AG365" t="inlineStr">
        <is>
          <t>801+</t>
        </is>
      </c>
      <c r="AH365" t="n">
        <v>38</v>
      </c>
      <c r="AI365" t="inlineStr">
        <is>
          <t>801+</t>
        </is>
      </c>
      <c r="AJ365" t="inlineStr">
        <is>
          <t>6.0</t>
        </is>
      </c>
      <c r="AK365" t="inlineStr">
        <is>
          <t>601+</t>
        </is>
      </c>
      <c r="AL365" t="inlineStr">
        <is>
          <t>12.0</t>
        </is>
      </c>
      <c r="AM365" t="inlineStr">
        <is>
          <t>601+</t>
        </is>
      </c>
      <c r="AN365" t="inlineStr">
        <is>
          <t>60.6</t>
        </is>
      </c>
      <c r="AO365" t="inlineStr">
        <is>
          <t>234</t>
        </is>
      </c>
      <c r="AP365" t="inlineStr">
        <is>
          <t>2.0</t>
        </is>
      </c>
      <c r="AQ365" t="inlineStr">
        <is>
          <t>701+</t>
        </is>
      </c>
      <c r="AR365" t="inlineStr">
        <is>
          <t>99.0</t>
        </is>
      </c>
      <c r="AS365" t="inlineStr">
        <is>
          <t>98</t>
        </is>
      </c>
      <c r="AT365" t="inlineStr">
        <is>
          <t>38.3</t>
        </is>
      </c>
      <c r="AU365" t="inlineStr">
        <is>
          <t>358</t>
        </is>
      </c>
      <c r="AV365" t="inlineStr">
        <is>
          <t>1.0</t>
        </is>
      </c>
      <c r="AW365" t="inlineStr">
        <is>
          <t>701+</t>
        </is>
      </c>
      <c r="AX365" t="inlineStr">
        <is>
          <t>9.5</t>
        </is>
      </c>
      <c r="AY365" t="inlineStr">
        <is>
          <t>701+</t>
        </is>
      </c>
      <c r="AZ365" t="inlineStr">
        <is>
          <t>2.6</t>
        </is>
      </c>
      <c r="BA365" t="inlineStr">
        <is>
          <t>701+</t>
        </is>
      </c>
    </row>
    <row r="366">
      <c r="A366" t="inlineStr">
        <is>
          <t>Hong Kong Baptist University</t>
        </is>
      </c>
      <c r="B366" t="inlineStr">
        <is>
          <t>Hong Kong</t>
        </is>
      </c>
      <c r="C366" t="inlineStr">
        <is>
          <t>HK</t>
        </is>
      </c>
      <c r="D366" t="inlineStr"/>
      <c r="E366" t="inlineStr">
        <is>
          <t>M</t>
        </is>
      </c>
      <c r="F366" t="inlineStr">
        <is>
          <t>CO</t>
        </is>
      </c>
      <c r="G366" t="inlineStr">
        <is>
          <t>VH</t>
        </is>
      </c>
      <c r="H366" t="inlineStr">
        <is>
          <t>3</t>
        </is>
      </c>
      <c r="I366" t="inlineStr">
        <is>
          <t>A</t>
        </is>
      </c>
      <c r="J366" t="inlineStr"/>
      <c r="K366" t="inlineStr"/>
      <c r="L366">
        <f>295</f>
        <v/>
      </c>
      <c r="M366" t="inlineStr">
        <is>
          <t>281=</t>
        </is>
      </c>
      <c r="N366" t="inlineStr"/>
      <c r="O366" t="inlineStr">
        <is>
          <t>35.4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19.4</t>
        </is>
      </c>
      <c r="AK366" t="inlineStr">
        <is>
          <t>458</t>
        </is>
      </c>
      <c r="AL366" t="inlineStr">
        <is>
          <t>12.6</t>
        </is>
      </c>
      <c r="AM366" t="inlineStr">
        <is>
          <t>601+</t>
        </is>
      </c>
      <c r="AN366" t="inlineStr">
        <is>
          <t>56.0</t>
        </is>
      </c>
      <c r="AO366" t="inlineStr">
        <is>
          <t>265</t>
        </is>
      </c>
      <c r="AP366" t="inlineStr">
        <is>
          <t>51.9</t>
        </is>
      </c>
      <c r="AQ366" t="inlineStr">
        <is>
          <t>249</t>
        </is>
      </c>
      <c r="AR366" t="inlineStr">
        <is>
          <t>97.8</t>
        </is>
      </c>
      <c r="AS366" t="inlineStr">
        <is>
          <t>118</t>
        </is>
      </c>
      <c r="AT366" t="inlineStr">
        <is>
          <t>100.0</t>
        </is>
      </c>
      <c r="AU366" t="inlineStr">
        <is>
          <t>20</t>
        </is>
      </c>
      <c r="AV366" t="inlineStr">
        <is>
          <t>2.6</t>
        </is>
      </c>
      <c r="AW366" t="inlineStr">
        <is>
          <t>701+</t>
        </is>
      </c>
      <c r="AX366" t="inlineStr">
        <is>
          <t>15.1</t>
        </is>
      </c>
      <c r="AY366" t="inlineStr">
        <is>
          <t>557</t>
        </is>
      </c>
      <c r="AZ366" t="inlineStr">
        <is>
          <t>17.2</t>
        </is>
      </c>
      <c r="BA366" t="inlineStr">
        <is>
          <t>574=</t>
        </is>
      </c>
    </row>
    <row r="367">
      <c r="A367" t="inlineStr">
        <is>
          <t>Hong Kong Baptist University</t>
        </is>
      </c>
      <c r="B367" t="inlineStr">
        <is>
          <t>Hong Kong SAR, China</t>
        </is>
      </c>
      <c r="C367" t="inlineStr"/>
      <c r="D367" t="inlineStr">
        <is>
          <t>Asia</t>
        </is>
      </c>
      <c r="E367" t="inlineStr">
        <is>
          <t>M</t>
        </is>
      </c>
      <c r="F367" t="inlineStr">
        <is>
          <t>CO</t>
        </is>
      </c>
      <c r="G367" t="inlineStr">
        <is>
          <t>VH</t>
        </is>
      </c>
      <c r="H367" t="inlineStr"/>
      <c r="I367" t="inlineStr">
        <is>
          <t>Public</t>
        </is>
      </c>
      <c r="J367" t="inlineStr">
        <is>
          <t>244</t>
        </is>
      </c>
      <c r="K367" t="inlineStr">
        <is>
          <t>252</t>
        </is>
      </c>
      <c r="L367" t="inlineStr"/>
      <c r="M367" t="inlineStr"/>
      <c r="N367" t="inlineStr">
        <is>
          <t>50.9</t>
        </is>
      </c>
      <c r="O367" t="inlineStr"/>
      <c r="P367" t="n">
        <v>28.3</v>
      </c>
      <c r="Q367" t="inlineStr">
        <is>
          <t>445</t>
        </is>
      </c>
      <c r="R367" t="n">
        <v>21.7</v>
      </c>
      <c r="S367" t="inlineStr">
        <is>
          <t>610</t>
        </is>
      </c>
      <c r="T367" t="n">
        <v>67.3</v>
      </c>
      <c r="U367" t="inlineStr">
        <is>
          <t>251</t>
        </is>
      </c>
      <c r="V367" t="n">
        <v>82.3</v>
      </c>
      <c r="W367" t="inlineStr">
        <is>
          <t>141</t>
        </is>
      </c>
      <c r="X367" t="n">
        <v>99.40000000000001</v>
      </c>
      <c r="Y367" t="inlineStr">
        <is>
          <t>118</t>
        </is>
      </c>
      <c r="Z367" t="n">
        <v>100</v>
      </c>
      <c r="AA367" t="inlineStr">
        <is>
          <t>22</t>
        </is>
      </c>
      <c r="AB367" t="n">
        <v>99.90000000000001</v>
      </c>
      <c r="AC367" t="inlineStr">
        <is>
          <t>33</t>
        </is>
      </c>
      <c r="AD367" t="n">
        <v>38.2</v>
      </c>
      <c r="AE367" t="inlineStr">
        <is>
          <t>801+</t>
        </is>
      </c>
      <c r="AF367" t="n">
        <v>23</v>
      </c>
      <c r="AG367" t="inlineStr">
        <is>
          <t>672</t>
        </is>
      </c>
      <c r="AH367" t="n">
        <v>67.5</v>
      </c>
      <c r="AI367" t="inlineStr">
        <is>
          <t>358=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Hong Kong Metropolitan University</t>
        </is>
      </c>
      <c r="B368" t="inlineStr">
        <is>
          <t>Hong Kong SAR, China</t>
        </is>
      </c>
      <c r="C368" t="inlineStr"/>
      <c r="D368" t="inlineStr">
        <is>
          <t>Asia</t>
        </is>
      </c>
      <c r="E368" t="inlineStr">
        <is>
          <t>L</t>
        </is>
      </c>
      <c r="F368" t="inlineStr">
        <is>
          <t>FO</t>
        </is>
      </c>
      <c r="G368" t="inlineStr">
        <is>
          <t>HI</t>
        </is>
      </c>
      <c r="H368" t="inlineStr"/>
      <c r="I368" t="inlineStr"/>
      <c r="J368" t="inlineStr">
        <is>
          <t>781-790</t>
        </is>
      </c>
      <c r="K368" t="inlineStr"/>
      <c r="L368" t="inlineStr"/>
      <c r="M368" t="inlineStr"/>
      <c r="N368" t="inlineStr">
        <is>
          <t>-</t>
        </is>
      </c>
      <c r="O368" t="inlineStr"/>
      <c r="P368" t="n">
        <v>26.5</v>
      </c>
      <c r="Q368" t="inlineStr">
        <is>
          <t>476</t>
        </is>
      </c>
      <c r="R368" t="n">
        <v>7.1</v>
      </c>
      <c r="S368" t="inlineStr">
        <is>
          <t>701+</t>
        </is>
      </c>
      <c r="T368" t="n">
        <v>4.2</v>
      </c>
      <c r="U368" t="inlineStr">
        <is>
          <t>801+</t>
        </is>
      </c>
      <c r="V368" t="n">
        <v>9.699999999999999</v>
      </c>
      <c r="W368" t="inlineStr">
        <is>
          <t>801+</t>
        </is>
      </c>
      <c r="X368" t="n">
        <v>90.3</v>
      </c>
      <c r="Y368" t="inlineStr">
        <is>
          <t>222</t>
        </is>
      </c>
      <c r="Z368" t="n">
        <v>92.90000000000001</v>
      </c>
      <c r="AA368" t="inlineStr">
        <is>
          <t>147</t>
        </is>
      </c>
      <c r="AB368" t="n">
        <v>81.90000000000001</v>
      </c>
      <c r="AC368" t="inlineStr">
        <is>
          <t>189</t>
        </is>
      </c>
      <c r="AD368" t="n">
        <v>11.2</v>
      </c>
      <c r="AE368" t="inlineStr">
        <is>
          <t>801+</t>
        </is>
      </c>
      <c r="AF368" t="n">
        <v>29.3</v>
      </c>
      <c r="AG368" t="inlineStr">
        <is>
          <t>563</t>
        </is>
      </c>
      <c r="AH368" t="n">
        <v>36.6</v>
      </c>
      <c r="AI368" t="inlineStr">
        <is>
          <t>801+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Hongik University</t>
        </is>
      </c>
      <c r="B369" t="inlineStr">
        <is>
          <t>Republic of Korea</t>
        </is>
      </c>
      <c r="C369" t="inlineStr"/>
      <c r="D369" t="inlineStr">
        <is>
          <t>Asia</t>
        </is>
      </c>
      <c r="E369" t="inlineStr">
        <is>
          <t>L</t>
        </is>
      </c>
      <c r="F369" t="inlineStr">
        <is>
          <t>FO</t>
        </is>
      </c>
      <c r="G369" t="inlineStr">
        <is>
          <t>VH</t>
        </is>
      </c>
      <c r="H369" t="inlineStr"/>
      <c r="I369" t="inlineStr">
        <is>
          <t>Private for Profit</t>
        </is>
      </c>
      <c r="J369" t="inlineStr">
        <is>
          <t>1401+</t>
        </is>
      </c>
      <c r="K369" t="inlineStr">
        <is>
          <t>1201-1400</t>
        </is>
      </c>
      <c r="L369" t="inlineStr"/>
      <c r="M369" t="inlineStr"/>
      <c r="N369" t="inlineStr">
        <is>
          <t>-</t>
        </is>
      </c>
      <c r="O369" t="inlineStr"/>
      <c r="P369" t="n">
        <v>6.3</v>
      </c>
      <c r="Q369" t="inlineStr">
        <is>
          <t>701+</t>
        </is>
      </c>
      <c r="R369" t="n">
        <v>8.699999999999999</v>
      </c>
      <c r="S369" t="inlineStr">
        <is>
          <t>701+</t>
        </is>
      </c>
      <c r="T369" t="n">
        <v>13.8</v>
      </c>
      <c r="U369" t="inlineStr">
        <is>
          <t>801+</t>
        </is>
      </c>
      <c r="V369" t="n">
        <v>5.3</v>
      </c>
      <c r="W369" t="inlineStr">
        <is>
          <t>801+</t>
        </is>
      </c>
      <c r="X369" t="n">
        <v>18.9</v>
      </c>
      <c r="Y369" t="inlineStr">
        <is>
          <t>731</t>
        </is>
      </c>
      <c r="Z369" t="n">
        <v>14.8</v>
      </c>
      <c r="AA369" t="inlineStr">
        <is>
          <t>801+</t>
        </is>
      </c>
      <c r="AB369" t="n">
        <v>18.2</v>
      </c>
      <c r="AC369" t="inlineStr">
        <is>
          <t>791</t>
        </is>
      </c>
      <c r="AD369" t="n">
        <v>14.6</v>
      </c>
      <c r="AE369" t="inlineStr">
        <is>
          <t>801+</t>
        </is>
      </c>
      <c r="AF369" t="n">
        <v>6.4</v>
      </c>
      <c r="AG369" t="inlineStr">
        <is>
          <t>801+</t>
        </is>
      </c>
      <c r="AH369" t="n">
        <v>26.9</v>
      </c>
      <c r="AI369" t="inlineStr">
        <is>
          <t>801+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 xml:space="preserve">Hongik University </t>
        </is>
      </c>
      <c r="B370" t="inlineStr">
        <is>
          <t>South Korea</t>
        </is>
      </c>
      <c r="C370" t="inlineStr">
        <is>
          <t>KR</t>
        </is>
      </c>
      <c r="D370" t="inlineStr"/>
      <c r="E370" t="inlineStr">
        <is>
          <t>L</t>
        </is>
      </c>
      <c r="F370" t="inlineStr">
        <is>
          <t>FO</t>
        </is>
      </c>
      <c r="G370" t="inlineStr">
        <is>
          <t>VH</t>
        </is>
      </c>
      <c r="H370" t="inlineStr">
        <is>
          <t>4</t>
        </is>
      </c>
      <c r="I370" t="inlineStr">
        <is>
          <t>C</t>
        </is>
      </c>
      <c r="J370" t="inlineStr"/>
      <c r="K370" t="inlineStr"/>
      <c r="L370" t="inlineStr">
        <is>
          <t>1201-1400</t>
        </is>
      </c>
      <c r="M370" t="inlineStr">
        <is>
          <t>1201-1400</t>
        </is>
      </c>
      <c r="N370" t="inlineStr"/>
      <c r="O370" t="inlineStr">
        <is>
          <t>-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5.9</t>
        </is>
      </c>
      <c r="AK370" t="inlineStr">
        <is>
          <t>601+</t>
        </is>
      </c>
      <c r="AL370" t="inlineStr">
        <is>
          <t>5.9</t>
        </is>
      </c>
      <c r="AM370" t="inlineStr">
        <is>
          <t>601+</t>
        </is>
      </c>
      <c r="AN370" t="inlineStr">
        <is>
          <t>9.3</t>
        </is>
      </c>
      <c r="AO370" t="inlineStr">
        <is>
          <t>701+</t>
        </is>
      </c>
      <c r="AP370" t="inlineStr">
        <is>
          <t>3.1</t>
        </is>
      </c>
      <c r="AQ370" t="inlineStr">
        <is>
          <t>701+</t>
        </is>
      </c>
      <c r="AR370" t="inlineStr">
        <is>
          <t>17.6</t>
        </is>
      </c>
      <c r="AS370" t="inlineStr">
        <is>
          <t>620</t>
        </is>
      </c>
      <c r="AT370" t="inlineStr">
        <is>
          <t>10.0</t>
        </is>
      </c>
      <c r="AU370" t="inlineStr">
        <is>
          <t>701+</t>
        </is>
      </c>
      <c r="AV370" t="inlineStr">
        <is>
          <t>1.0</t>
        </is>
      </c>
      <c r="AW370" t="inlineStr">
        <is>
          <t>701+</t>
        </is>
      </c>
      <c r="AX370" t="inlineStr">
        <is>
          <t>6.8</t>
        </is>
      </c>
      <c r="AY370" t="inlineStr">
        <is>
          <t>701+</t>
        </is>
      </c>
      <c r="AZ370" t="inlineStr">
        <is>
          <t>1</t>
        </is>
      </c>
      <c r="BA370" t="inlineStr">
        <is>
          <t>701+</t>
        </is>
      </c>
    </row>
    <row r="371">
      <c r="A371" t="inlineStr">
        <is>
          <t>Howard University</t>
        </is>
      </c>
      <c r="B371" t="inlineStr">
        <is>
          <t>United States</t>
        </is>
      </c>
      <c r="C371" t="inlineStr">
        <is>
          <t>US</t>
        </is>
      </c>
      <c r="D371" t="inlineStr">
        <is>
          <t>Americas</t>
        </is>
      </c>
      <c r="E371" t="inlineStr">
        <is>
          <t>M</t>
        </is>
      </c>
      <c r="F371" t="inlineStr">
        <is>
          <t>FC</t>
        </is>
      </c>
      <c r="G371" t="inlineStr">
        <is>
          <t>HI</t>
        </is>
      </c>
      <c r="H371" t="inlineStr">
        <is>
          <t>5</t>
        </is>
      </c>
      <c r="I371" t="inlineStr">
        <is>
          <t>Private not for Profit</t>
        </is>
      </c>
      <c r="J371" t="inlineStr">
        <is>
          <t>1001-1200</t>
        </is>
      </c>
      <c r="K371" t="inlineStr">
        <is>
          <t>1001-1200</t>
        </is>
      </c>
      <c r="L371" t="inlineStr">
        <is>
          <t>1001-1200</t>
        </is>
      </c>
      <c r="M371" t="inlineStr">
        <is>
          <t>751-800</t>
        </is>
      </c>
      <c r="N371" t="inlineStr">
        <is>
          <t>-</t>
        </is>
      </c>
      <c r="O371" t="inlineStr">
        <is>
          <t>-</t>
        </is>
      </c>
      <c r="P371" t="n">
        <v>8.300000000000001</v>
      </c>
      <c r="Q371" t="inlineStr">
        <is>
          <t>701+</t>
        </is>
      </c>
      <c r="R371" t="n">
        <v>16.1</v>
      </c>
      <c r="S371" t="inlineStr">
        <is>
          <t>701+</t>
        </is>
      </c>
      <c r="T371" t="n">
        <v>43.6</v>
      </c>
      <c r="U371" t="inlineStr">
        <is>
          <t>457</t>
        </is>
      </c>
      <c r="V371" t="n">
        <v>6</v>
      </c>
      <c r="W371" t="inlineStr">
        <is>
          <t>801+</t>
        </is>
      </c>
      <c r="X371" t="n">
        <v>1.2</v>
      </c>
      <c r="Y371" t="inlineStr">
        <is>
          <t>801+</t>
        </is>
      </c>
      <c r="Z371" t="n">
        <v>6.4</v>
      </c>
      <c r="AA371" t="inlineStr">
        <is>
          <t>801+</t>
        </is>
      </c>
      <c r="AB371" t="n">
        <v>5</v>
      </c>
      <c r="AC371" t="inlineStr">
        <is>
          <t>801+</t>
        </is>
      </c>
      <c r="AD371" t="n">
        <v>35.2</v>
      </c>
      <c r="AE371" t="inlineStr">
        <is>
          <t>801+</t>
        </is>
      </c>
      <c r="AF371" t="n">
        <v>37.8</v>
      </c>
      <c r="AG371" t="inlineStr">
        <is>
          <t>461</t>
        </is>
      </c>
      <c r="AH371" t="n">
        <v>37.9</v>
      </c>
      <c r="AI371" t="inlineStr">
        <is>
          <t>801+</t>
        </is>
      </c>
      <c r="AJ371" t="inlineStr">
        <is>
          <t>6.5</t>
        </is>
      </c>
      <c r="AK371" t="inlineStr">
        <is>
          <t>601+</t>
        </is>
      </c>
      <c r="AL371" t="inlineStr">
        <is>
          <t>7.7</t>
        </is>
      </c>
      <c r="AM371" t="inlineStr">
        <is>
          <t>601+</t>
        </is>
      </c>
      <c r="AN371" t="inlineStr">
        <is>
          <t>46.7</t>
        </is>
      </c>
      <c r="AO371" t="inlineStr">
        <is>
          <t>336</t>
        </is>
      </c>
      <c r="AP371" t="inlineStr">
        <is>
          <t>3.4</t>
        </is>
      </c>
      <c r="AQ371" t="inlineStr">
        <is>
          <t>701+</t>
        </is>
      </c>
      <c r="AR371" t="inlineStr">
        <is>
          <t>1.1</t>
        </is>
      </c>
      <c r="AS371" t="inlineStr">
        <is>
          <t>701+</t>
        </is>
      </c>
      <c r="AT371" t="inlineStr">
        <is>
          <t>3.8</t>
        </is>
      </c>
      <c r="AU371" t="inlineStr">
        <is>
          <t>701+</t>
        </is>
      </c>
      <c r="AV371" t="inlineStr">
        <is>
          <t>2.6</t>
        </is>
      </c>
      <c r="AW371" t="inlineStr">
        <is>
          <t>701+</t>
        </is>
      </c>
      <c r="AX371" t="inlineStr">
        <is>
          <t>16.1</t>
        </is>
      </c>
      <c r="AY371" t="inlineStr">
        <is>
          <t>520</t>
        </is>
      </c>
      <c r="AZ371" t="inlineStr">
        <is>
          <t>1.2</t>
        </is>
      </c>
      <c r="BA371" t="inlineStr">
        <is>
          <t>701+</t>
        </is>
      </c>
    </row>
    <row r="372">
      <c r="A372" t="inlineStr">
        <is>
          <t>HSE University</t>
        </is>
      </c>
      <c r="B372" t="inlineStr">
        <is>
          <t>Russia</t>
        </is>
      </c>
      <c r="C372" t="inlineStr">
        <is>
          <t>RU</t>
        </is>
      </c>
      <c r="D372" t="inlineStr"/>
      <c r="E372" t="inlineStr">
        <is>
          <t>XL</t>
        </is>
      </c>
      <c r="F372" t="inlineStr">
        <is>
          <t>FO</t>
        </is>
      </c>
      <c r="G372" t="inlineStr">
        <is>
          <t>VH</t>
        </is>
      </c>
      <c r="H372" t="inlineStr">
        <is>
          <t>3</t>
        </is>
      </c>
      <c r="I372" t="inlineStr">
        <is>
          <t>A</t>
        </is>
      </c>
      <c r="J372" t="inlineStr"/>
      <c r="K372" t="inlineStr"/>
      <c r="L372" t="inlineStr">
        <is>
          <t>399</t>
        </is>
      </c>
      <c r="M372" t="inlineStr">
        <is>
          <t>308=</t>
        </is>
      </c>
      <c r="N372" t="inlineStr"/>
      <c r="O372" t="inlineStr">
        <is>
          <t>28.0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27.3</t>
        </is>
      </c>
      <c r="AK372" t="inlineStr">
        <is>
          <t>318</t>
        </is>
      </c>
      <c r="AL372" t="inlineStr">
        <is>
          <t>31.9</t>
        </is>
      </c>
      <c r="AM372" t="inlineStr">
        <is>
          <t>308</t>
        </is>
      </c>
      <c r="AN372" t="inlineStr">
        <is>
          <t>90.7</t>
        </is>
      </c>
      <c r="AO372" t="inlineStr">
        <is>
          <t>82</t>
        </is>
      </c>
      <c r="AP372" t="inlineStr">
        <is>
          <t>1.9</t>
        </is>
      </c>
      <c r="AQ372" t="inlineStr">
        <is>
          <t>701+</t>
        </is>
      </c>
      <c r="AR372" t="inlineStr">
        <is>
          <t>6.3</t>
        </is>
      </c>
      <c r="AS372" t="inlineStr">
        <is>
          <t>701+</t>
        </is>
      </c>
      <c r="AT372" t="inlineStr">
        <is>
          <t>16.1</t>
        </is>
      </c>
      <c r="AU372" t="inlineStr">
        <is>
          <t>597</t>
        </is>
      </c>
      <c r="AV372" t="inlineStr">
        <is>
          <t>71.1</t>
        </is>
      </c>
      <c r="AW372" t="inlineStr">
        <is>
          <t>191</t>
        </is>
      </c>
      <c r="AX372" t="inlineStr">
        <is>
          <t>13.4</t>
        </is>
      </c>
      <c r="AY372" t="inlineStr">
        <is>
          <t>639</t>
        </is>
      </c>
      <c r="AZ372" t="inlineStr">
        <is>
          <t>5.1</t>
        </is>
      </c>
      <c r="BA372" t="inlineStr">
        <is>
          <t>701+</t>
        </is>
      </c>
    </row>
    <row r="373">
      <c r="A373" t="inlineStr">
        <is>
          <t>Huazhong Agricultural University</t>
        </is>
      </c>
      <c r="B373" t="inlineStr">
        <is>
          <t>China (Mainland)</t>
        </is>
      </c>
      <c r="C373" t="inlineStr">
        <is>
          <t>CN</t>
        </is>
      </c>
      <c r="D373" t="inlineStr">
        <is>
          <t>Asia</t>
        </is>
      </c>
      <c r="E373" t="inlineStr">
        <is>
          <t>XL</t>
        </is>
      </c>
      <c r="F373" t="inlineStr">
        <is>
          <t>CO</t>
        </is>
      </c>
      <c r="G373" t="inlineStr">
        <is>
          <t>VH</t>
        </is>
      </c>
      <c r="H373" t="inlineStr">
        <is>
          <t>4</t>
        </is>
      </c>
      <c r="I373" t="inlineStr">
        <is>
          <t>Public</t>
        </is>
      </c>
      <c r="J373" t="inlineStr">
        <is>
          <t>901-950</t>
        </is>
      </c>
      <c r="K373" t="inlineStr">
        <is>
          <t>801-850</t>
        </is>
      </c>
      <c r="L373" t="inlineStr">
        <is>
          <t>851-900</t>
        </is>
      </c>
      <c r="M373" t="inlineStr">
        <is>
          <t>1001-1200</t>
        </is>
      </c>
      <c r="N373" t="inlineStr">
        <is>
          <t>-</t>
        </is>
      </c>
      <c r="O373" t="inlineStr">
        <is>
          <t>-</t>
        </is>
      </c>
      <c r="P373" t="n">
        <v>5.2</v>
      </c>
      <c r="Q373" t="inlineStr">
        <is>
          <t>701+</t>
        </is>
      </c>
      <c r="R373" t="n">
        <v>2.1</v>
      </c>
      <c r="S373" t="inlineStr">
        <is>
          <t>701+</t>
        </is>
      </c>
      <c r="T373" t="n">
        <v>8.5</v>
      </c>
      <c r="U373" t="inlineStr">
        <is>
          <t>801+</t>
        </is>
      </c>
      <c r="V373" t="n">
        <v>65.59999999999999</v>
      </c>
      <c r="W373" t="inlineStr">
        <is>
          <t>245</t>
        </is>
      </c>
      <c r="X373" t="n">
        <v>5</v>
      </c>
      <c r="Y373" t="inlineStr">
        <is>
          <t>801+</t>
        </is>
      </c>
      <c r="Z373" t="n">
        <v>2.4</v>
      </c>
      <c r="AA373" t="inlineStr">
        <is>
          <t>801+</t>
        </is>
      </c>
      <c r="AB373" t="n">
        <v>2</v>
      </c>
      <c r="AC373" t="inlineStr">
        <is>
          <t>801+</t>
        </is>
      </c>
      <c r="AD373" t="n">
        <v>41.4</v>
      </c>
      <c r="AE373" t="inlineStr">
        <is>
          <t>801+</t>
        </is>
      </c>
      <c r="AF373" t="n">
        <v>5.1</v>
      </c>
      <c r="AG373" t="inlineStr">
        <is>
          <t>801+</t>
        </is>
      </c>
      <c r="AH373" t="n">
        <v>38.8</v>
      </c>
      <c r="AI373" t="inlineStr">
        <is>
          <t>801+</t>
        </is>
      </c>
      <c r="AJ373" t="inlineStr">
        <is>
          <t>4.1</t>
        </is>
      </c>
      <c r="AK373" t="inlineStr">
        <is>
          <t>601+</t>
        </is>
      </c>
      <c r="AL373" t="inlineStr">
        <is>
          <t>1.8</t>
        </is>
      </c>
      <c r="AM373" t="inlineStr">
        <is>
          <t>601+</t>
        </is>
      </c>
      <c r="AN373" t="inlineStr">
        <is>
          <t>6.3</t>
        </is>
      </c>
      <c r="AO373" t="inlineStr">
        <is>
          <t>701+</t>
        </is>
      </c>
      <c r="AP373" t="inlineStr">
        <is>
          <t>48.7</t>
        </is>
      </c>
      <c r="AQ373" t="inlineStr">
        <is>
          <t>278</t>
        </is>
      </c>
      <c r="AR373" t="inlineStr">
        <is>
          <t>4.0</t>
        </is>
      </c>
      <c r="AS373" t="inlineStr">
        <is>
          <t>701+</t>
        </is>
      </c>
      <c r="AT373" t="inlineStr">
        <is>
          <t>1.6</t>
        </is>
      </c>
      <c r="AU373" t="inlineStr">
        <is>
          <t>701+</t>
        </is>
      </c>
      <c r="AV373" t="inlineStr">
        <is>
          <t>2.8</t>
        </is>
      </c>
      <c r="AW373" t="inlineStr">
        <is>
          <t>701+</t>
        </is>
      </c>
      <c r="AX373" t="inlineStr">
        <is>
          <t>5.9</t>
        </is>
      </c>
      <c r="AY373" t="inlineStr">
        <is>
          <t>701+</t>
        </is>
      </c>
      <c r="AZ373" t="inlineStr">
        <is>
          <t>4</t>
        </is>
      </c>
      <c r="BA373" t="inlineStr">
        <is>
          <t>701+</t>
        </is>
      </c>
    </row>
    <row r="374">
      <c r="A374" t="inlineStr">
        <is>
          <t>Huazhong University of Science and Technology</t>
        </is>
      </c>
      <c r="B374" t="inlineStr">
        <is>
          <t>China (Mainland)</t>
        </is>
      </c>
      <c r="C374" t="inlineStr">
        <is>
          <t>CN</t>
        </is>
      </c>
      <c r="D374" t="inlineStr">
        <is>
          <t>Asia</t>
        </is>
      </c>
      <c r="E374" t="inlineStr">
        <is>
          <t>XL</t>
        </is>
      </c>
      <c r="F374" t="inlineStr">
        <is>
          <t>FC</t>
        </is>
      </c>
      <c r="G374" t="inlineStr">
        <is>
          <t>VH</t>
        </is>
      </c>
      <c r="H374" t="inlineStr">
        <is>
          <t>4</t>
        </is>
      </c>
      <c r="I374" t="inlineStr">
        <is>
          <t>Public</t>
        </is>
      </c>
      <c r="J374" t="inlineStr">
        <is>
          <t>319</t>
        </is>
      </c>
      <c r="K374" t="inlineStr">
        <is>
          <t>300</t>
        </is>
      </c>
      <c r="L374" t="inlineStr">
        <is>
          <t>275</t>
        </is>
      </c>
      <c r="M374" t="inlineStr">
        <is>
          <t>306</t>
        </is>
      </c>
      <c r="N374" t="inlineStr">
        <is>
          <t>43.8</t>
        </is>
      </c>
      <c r="O374" t="inlineStr">
        <is>
          <t>37.1</t>
        </is>
      </c>
      <c r="P374" t="n">
        <v>30.9</v>
      </c>
      <c r="Q374" t="inlineStr">
        <is>
          <t>395</t>
        </is>
      </c>
      <c r="R374" t="n">
        <v>33.4</v>
      </c>
      <c r="S374" t="inlineStr">
        <is>
          <t>431</t>
        </is>
      </c>
      <c r="T374" t="n">
        <v>11.6</v>
      </c>
      <c r="U374" t="inlineStr">
        <is>
          <t>801+</t>
        </is>
      </c>
      <c r="V374" t="n">
        <v>100</v>
      </c>
      <c r="W374" t="inlineStr">
        <is>
          <t>10</t>
        </is>
      </c>
      <c r="X374" t="n">
        <v>7.1</v>
      </c>
      <c r="Y374" t="inlineStr">
        <is>
          <t>801+</t>
        </is>
      </c>
      <c r="Z374" t="n">
        <v>5.2</v>
      </c>
      <c r="AA374" t="inlineStr">
        <is>
          <t>801+</t>
        </is>
      </c>
      <c r="AB374" t="n">
        <v>4.1</v>
      </c>
      <c r="AC374" t="inlineStr">
        <is>
          <t>801+</t>
        </is>
      </c>
      <c r="AD374" t="n">
        <v>80.3</v>
      </c>
      <c r="AE374" t="inlineStr">
        <is>
          <t>349</t>
        </is>
      </c>
      <c r="AF374" t="n">
        <v>33.5</v>
      </c>
      <c r="AG374" t="inlineStr">
        <is>
          <t>505</t>
        </is>
      </c>
      <c r="AH374" t="n">
        <v>55.7</v>
      </c>
      <c r="AI374" t="inlineStr">
        <is>
          <t>582=</t>
        </is>
      </c>
      <c r="AJ374" t="inlineStr">
        <is>
          <t>22.7</t>
        </is>
      </c>
      <c r="AK374" t="inlineStr">
        <is>
          <t>384</t>
        </is>
      </c>
      <c r="AL374" t="inlineStr">
        <is>
          <t>29.2</t>
        </is>
      </c>
      <c r="AM374" t="inlineStr">
        <is>
          <t>332</t>
        </is>
      </c>
      <c r="AN374" t="inlineStr">
        <is>
          <t>10.0</t>
        </is>
      </c>
      <c r="AO374" t="inlineStr">
        <is>
          <t>701+</t>
        </is>
      </c>
      <c r="AP374" t="inlineStr">
        <is>
          <t>99.3</t>
        </is>
      </c>
      <c r="AQ374" t="inlineStr">
        <is>
          <t>16</t>
        </is>
      </c>
      <c r="AR374" t="inlineStr">
        <is>
          <t>5.5</t>
        </is>
      </c>
      <c r="AS374" t="inlineStr">
        <is>
          <t>701+</t>
        </is>
      </c>
      <c r="AT374" t="inlineStr">
        <is>
          <t>3.2</t>
        </is>
      </c>
      <c r="AU374" t="inlineStr">
        <is>
          <t>701+</t>
        </is>
      </c>
      <c r="AV374" t="inlineStr">
        <is>
          <t>45.4</t>
        </is>
      </c>
      <c r="AW374" t="inlineStr">
        <is>
          <t>340</t>
        </is>
      </c>
      <c r="AX374" t="inlineStr">
        <is>
          <t>16.8</t>
        </is>
      </c>
      <c r="AY374" t="inlineStr">
        <is>
          <t>504</t>
        </is>
      </c>
      <c r="AZ374" t="inlineStr">
        <is>
          <t>27.1</t>
        </is>
      </c>
      <c r="BA374" t="inlineStr">
        <is>
          <t>480</t>
        </is>
      </c>
    </row>
    <row r="375">
      <c r="A375" t="inlineStr">
        <is>
          <t>Hue University</t>
        </is>
      </c>
      <c r="B375" t="inlineStr">
        <is>
          <t>Viet Nam</t>
        </is>
      </c>
      <c r="C375" t="inlineStr"/>
      <c r="D375" t="inlineStr">
        <is>
          <t>Asia</t>
        </is>
      </c>
      <c r="E375" t="inlineStr">
        <is>
          <t>XL</t>
        </is>
      </c>
      <c r="F375" t="inlineStr">
        <is>
          <t>CO</t>
        </is>
      </c>
      <c r="G375" t="inlineStr">
        <is>
          <t>HI</t>
        </is>
      </c>
      <c r="H375" t="inlineStr"/>
      <c r="I375" t="inlineStr">
        <is>
          <t>Public</t>
        </is>
      </c>
      <c r="J375" t="inlineStr">
        <is>
          <t>1401+</t>
        </is>
      </c>
      <c r="K375" t="inlineStr">
        <is>
          <t>1201-1400</t>
        </is>
      </c>
      <c r="L375" t="inlineStr"/>
      <c r="M375" t="inlineStr"/>
      <c r="N375" t="inlineStr">
        <is>
          <t>-</t>
        </is>
      </c>
      <c r="O375" t="inlineStr"/>
      <c r="P375" t="n">
        <v>7.6</v>
      </c>
      <c r="Q375" t="inlineStr">
        <is>
          <t>701+</t>
        </is>
      </c>
      <c r="R375" t="n">
        <v>15</v>
      </c>
      <c r="S375" t="inlineStr">
        <is>
          <t>701+</t>
        </is>
      </c>
      <c r="T375" t="n">
        <v>3.7</v>
      </c>
      <c r="U375" t="inlineStr">
        <is>
          <t>801+</t>
        </is>
      </c>
      <c r="V375" t="n">
        <v>2.6</v>
      </c>
      <c r="W375" t="inlineStr">
        <is>
          <t>801+</t>
        </is>
      </c>
      <c r="X375" t="n">
        <v>1.5</v>
      </c>
      <c r="Y375" t="inlineStr">
        <is>
          <t>801+</t>
        </is>
      </c>
      <c r="Z375" t="n">
        <v>2</v>
      </c>
      <c r="AA375" t="inlineStr">
        <is>
          <t>801+</t>
        </is>
      </c>
      <c r="AB375" t="n">
        <v>6.2</v>
      </c>
      <c r="AC375" t="inlineStr">
        <is>
          <t>801+</t>
        </is>
      </c>
      <c r="AD375" t="n">
        <v>27.7</v>
      </c>
      <c r="AE375" t="inlineStr">
        <is>
          <t>801+</t>
        </is>
      </c>
      <c r="AF375" t="n">
        <v>6.6</v>
      </c>
      <c r="AG375" t="inlineStr">
        <is>
          <t>801+</t>
        </is>
      </c>
      <c r="AH375" t="n">
        <v>28.3</v>
      </c>
      <c r="AI375" t="inlineStr">
        <is>
          <t>801+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HUFS - Hankuk (Korea) University of Foreign Studies</t>
        </is>
      </c>
      <c r="B376" t="inlineStr">
        <is>
          <t>Republic of Korea</t>
        </is>
      </c>
      <c r="C376" t="inlineStr"/>
      <c r="D376" t="inlineStr">
        <is>
          <t>Asia</t>
        </is>
      </c>
      <c r="E376" t="inlineStr">
        <is>
          <t>L</t>
        </is>
      </c>
      <c r="F376" t="inlineStr">
        <is>
          <t>CO</t>
        </is>
      </c>
      <c r="G376" t="inlineStr">
        <is>
          <t>HI</t>
        </is>
      </c>
      <c r="H376" t="inlineStr"/>
      <c r="I376" t="inlineStr">
        <is>
          <t>Private not for Profit</t>
        </is>
      </c>
      <c r="J376" t="inlineStr">
        <is>
          <t>680</t>
        </is>
      </c>
      <c r="K376" t="inlineStr">
        <is>
          <t>651-660</t>
        </is>
      </c>
      <c r="L376" t="inlineStr"/>
      <c r="M376" t="inlineStr"/>
      <c r="N376" t="inlineStr">
        <is>
          <t>25.9</t>
        </is>
      </c>
      <c r="O376" t="inlineStr"/>
      <c r="P376" t="n">
        <v>17.6</v>
      </c>
      <c r="Q376" t="inlineStr">
        <is>
          <t>696</t>
        </is>
      </c>
      <c r="R376" t="n">
        <v>25.5</v>
      </c>
      <c r="S376" t="inlineStr">
        <is>
          <t>531</t>
        </is>
      </c>
      <c r="T376" t="n">
        <v>85.2</v>
      </c>
      <c r="U376" t="inlineStr">
        <is>
          <t>133</t>
        </is>
      </c>
      <c r="V376" t="n">
        <v>2.5</v>
      </c>
      <c r="W376" t="inlineStr">
        <is>
          <t>801+</t>
        </is>
      </c>
      <c r="X376" t="n">
        <v>40.1</v>
      </c>
      <c r="Y376" t="inlineStr">
        <is>
          <t>498</t>
        </is>
      </c>
      <c r="Z376" t="n">
        <v>70.5</v>
      </c>
      <c r="AA376" t="inlineStr">
        <is>
          <t>275</t>
        </is>
      </c>
      <c r="AB376" t="n">
        <v>73.3</v>
      </c>
      <c r="AC376" t="inlineStr">
        <is>
          <t>246</t>
        </is>
      </c>
      <c r="AD376" t="n">
        <v>14.1</v>
      </c>
      <c r="AE376" t="inlineStr">
        <is>
          <t>801+</t>
        </is>
      </c>
      <c r="AF376" t="n">
        <v>3.6</v>
      </c>
      <c r="AG376" t="inlineStr">
        <is>
          <t>801+</t>
        </is>
      </c>
      <c r="AH376" t="n">
        <v>51.5</v>
      </c>
      <c r="AI376" t="inlineStr">
        <is>
          <t>673=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 xml:space="preserve">HUFS - Hankuk (Korea) University of Foreign Studies </t>
        </is>
      </c>
      <c r="B377" t="inlineStr">
        <is>
          <t>South Korea</t>
        </is>
      </c>
      <c r="C377" t="inlineStr">
        <is>
          <t>KR</t>
        </is>
      </c>
      <c r="D377" t="inlineStr"/>
      <c r="E377" t="inlineStr">
        <is>
          <t>L</t>
        </is>
      </c>
      <c r="F377" t="inlineStr">
        <is>
          <t>CO</t>
        </is>
      </c>
      <c r="G377" t="inlineStr">
        <is>
          <t>HI</t>
        </is>
      </c>
      <c r="H377" t="inlineStr">
        <is>
          <t>3</t>
        </is>
      </c>
      <c r="I377" t="inlineStr">
        <is>
          <t>B</t>
        </is>
      </c>
      <c r="J377" t="inlineStr"/>
      <c r="K377" t="inlineStr"/>
      <c r="L377">
        <f>575</f>
        <v/>
      </c>
      <c r="M377" t="inlineStr">
        <is>
          <t>410=</t>
        </is>
      </c>
      <c r="N377" t="inlineStr"/>
      <c r="O377" t="inlineStr">
        <is>
          <t>20.6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13.4</t>
        </is>
      </c>
      <c r="AK377" t="inlineStr">
        <is>
          <t>601+</t>
        </is>
      </c>
      <c r="AL377" t="inlineStr">
        <is>
          <t>23.9</t>
        </is>
      </c>
      <c r="AM377" t="inlineStr">
        <is>
          <t>404</t>
        </is>
      </c>
      <c r="AN377" t="inlineStr">
        <is>
          <t>85.3</t>
        </is>
      </c>
      <c r="AO377" t="inlineStr">
        <is>
          <t>104</t>
        </is>
      </c>
      <c r="AP377" t="inlineStr">
        <is>
          <t>1.6</t>
        </is>
      </c>
      <c r="AQ377" t="inlineStr">
        <is>
          <t>701+</t>
        </is>
      </c>
      <c r="AR377" t="inlineStr">
        <is>
          <t>32.3</t>
        </is>
      </c>
      <c r="AS377" t="inlineStr">
        <is>
          <t>471</t>
        </is>
      </c>
      <c r="AT377" t="inlineStr">
        <is>
          <t>45.1</t>
        </is>
      </c>
      <c r="AU377" t="inlineStr">
        <is>
          <t>320</t>
        </is>
      </c>
      <c r="AV377" t="inlineStr">
        <is>
          <t>1.0</t>
        </is>
      </c>
      <c r="AW377" t="inlineStr">
        <is>
          <t>701+</t>
        </is>
      </c>
      <c r="AX377" t="inlineStr">
        <is>
          <t>5.7</t>
        </is>
      </c>
      <c r="AY377" t="inlineStr">
        <is>
          <t>701+</t>
        </is>
      </c>
      <c r="AZ377" t="inlineStr">
        <is>
          <t>1.3</t>
        </is>
      </c>
      <c r="BA377" t="inlineStr">
        <is>
          <t>701+</t>
        </is>
      </c>
    </row>
    <row r="378">
      <c r="A378" t="inlineStr">
        <is>
          <t>Humboldt State University</t>
        </is>
      </c>
      <c r="B378" t="inlineStr">
        <is>
          <t>United States</t>
        </is>
      </c>
      <c r="C378" t="inlineStr">
        <is>
          <t>US</t>
        </is>
      </c>
      <c r="D378" t="inlineStr"/>
      <c r="E378" t="inlineStr">
        <is>
          <t>M</t>
        </is>
      </c>
      <c r="F378" t="inlineStr">
        <is>
          <t>CO</t>
        </is>
      </c>
      <c r="G378" t="inlineStr">
        <is>
          <t>HI</t>
        </is>
      </c>
      <c r="H378" t="inlineStr">
        <is>
          <t>3</t>
        </is>
      </c>
      <c r="I378" t="inlineStr">
        <is>
          <t>A</t>
        </is>
      </c>
      <c r="J378" t="inlineStr"/>
      <c r="K378" t="inlineStr"/>
      <c r="L378" t="inlineStr">
        <is>
          <t>1401+</t>
        </is>
      </c>
      <c r="M378" t="inlineStr">
        <is>
          <t>1201-1400</t>
        </is>
      </c>
      <c r="N378" t="inlineStr"/>
      <c r="O378" t="inlineStr">
        <is>
          <t>-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3.8</t>
        </is>
      </c>
      <c r="AK378" t="inlineStr">
        <is>
          <t>601+</t>
        </is>
      </c>
      <c r="AL378" t="inlineStr">
        <is>
          <t>2.2</t>
        </is>
      </c>
      <c r="AM378" t="inlineStr">
        <is>
          <t>601+</t>
        </is>
      </c>
      <c r="AN378" t="inlineStr">
        <is>
          <t>8.9</t>
        </is>
      </c>
      <c r="AO378" t="inlineStr">
        <is>
          <t>701+</t>
        </is>
      </c>
      <c r="AP378" t="inlineStr">
        <is>
          <t>4.6</t>
        </is>
      </c>
      <c r="AQ378" t="inlineStr">
        <is>
          <t>701+</t>
        </is>
      </c>
      <c r="AR378" t="inlineStr">
        <is>
          <t>2.3</t>
        </is>
      </c>
      <c r="AS378" t="inlineStr">
        <is>
          <t>701+</t>
        </is>
      </c>
      <c r="AT378" t="inlineStr">
        <is>
          <t>1.6</t>
        </is>
      </c>
      <c r="AU378" t="inlineStr">
        <is>
          <t>701+</t>
        </is>
      </c>
      <c r="AV378" t="inlineStr">
        <is>
          <t>1.0</t>
        </is>
      </c>
      <c r="AW378" t="inlineStr">
        <is>
          <t>701+</t>
        </is>
      </c>
      <c r="AX378" t="inlineStr">
        <is>
          <t>7.9</t>
        </is>
      </c>
      <c r="AY378" t="inlineStr">
        <is>
          <t>701+</t>
        </is>
      </c>
      <c r="AZ378" t="inlineStr"/>
      <c r="BA378" t="inlineStr"/>
    </row>
    <row r="379">
      <c r="A379" t="inlineStr">
        <is>
          <t>Humboldt-Universität zu Berlin</t>
        </is>
      </c>
      <c r="B379" t="inlineStr">
        <is>
          <t>Germany</t>
        </is>
      </c>
      <c r="C379" t="inlineStr">
        <is>
          <t>DE</t>
        </is>
      </c>
      <c r="D379" t="inlineStr">
        <is>
          <t>Europe</t>
        </is>
      </c>
      <c r="E379" t="inlineStr">
        <is>
          <t>XL</t>
        </is>
      </c>
      <c r="F379" t="inlineStr">
        <is>
          <t>FC</t>
        </is>
      </c>
      <c r="G379" t="inlineStr">
        <is>
          <t>VH</t>
        </is>
      </c>
      <c r="H379" t="inlineStr">
        <is>
          <t>5</t>
        </is>
      </c>
      <c r="I379" t="inlineStr">
        <is>
          <t>Public</t>
        </is>
      </c>
      <c r="J379" t="inlineStr">
        <is>
          <t>130</t>
        </is>
      </c>
      <c r="K379" t="inlineStr">
        <is>
          <t>126</t>
        </is>
      </c>
      <c r="L379" t="inlineStr">
        <is>
          <t>120</t>
        </is>
      </c>
      <c r="M379" t="inlineStr">
        <is>
          <t>131=</t>
        </is>
      </c>
      <c r="N379" t="inlineStr">
        <is>
          <t>64.5</t>
        </is>
      </c>
      <c r="O379" t="inlineStr">
        <is>
          <t>56.3</t>
        </is>
      </c>
      <c r="P379" t="n">
        <v>94.3</v>
      </c>
      <c r="Q379" t="inlineStr">
        <is>
          <t>47</t>
        </is>
      </c>
      <c r="R379" t="n">
        <v>75.3</v>
      </c>
      <c r="S379" t="inlineStr">
        <is>
          <t>126</t>
        </is>
      </c>
      <c r="T379" t="n">
        <v>10.5</v>
      </c>
      <c r="U379" t="inlineStr">
        <is>
          <t>801+</t>
        </is>
      </c>
      <c r="V379" t="n">
        <v>43.4</v>
      </c>
      <c r="W379" t="inlineStr">
        <is>
          <t>435</t>
        </is>
      </c>
      <c r="X379" t="n">
        <v>75.7</v>
      </c>
      <c r="Y379" t="inlineStr">
        <is>
          <t>314</t>
        </is>
      </c>
      <c r="Z379" t="n">
        <v>47.6</v>
      </c>
      <c r="AA379" t="inlineStr">
        <is>
          <t>424</t>
        </is>
      </c>
      <c r="AB379" t="n">
        <v>35.5</v>
      </c>
      <c r="AC379" t="inlineStr">
        <is>
          <t>541</t>
        </is>
      </c>
      <c r="AD379" t="n">
        <v>95</v>
      </c>
      <c r="AE379" t="inlineStr">
        <is>
          <t>85</t>
        </is>
      </c>
      <c r="AF379" t="n">
        <v>27.5</v>
      </c>
      <c r="AG379" t="inlineStr">
        <is>
          <t>603</t>
        </is>
      </c>
      <c r="AH379" t="n">
        <v>58.4</v>
      </c>
      <c r="AI379" t="inlineStr">
        <is>
          <t>536=</t>
        </is>
      </c>
      <c r="AJ379" t="inlineStr">
        <is>
          <t>90.2</t>
        </is>
      </c>
      <c r="AK379" t="inlineStr">
        <is>
          <t>43</t>
        </is>
      </c>
      <c r="AL379" t="inlineStr">
        <is>
          <t>65.9</t>
        </is>
      </c>
      <c r="AM379" t="inlineStr">
        <is>
          <t>120</t>
        </is>
      </c>
      <c r="AN379" t="inlineStr">
        <is>
          <t>7.6</t>
        </is>
      </c>
      <c r="AO379" t="inlineStr">
        <is>
          <t>701+</t>
        </is>
      </c>
      <c r="AP379" t="inlineStr">
        <is>
          <t>31.3</t>
        </is>
      </c>
      <c r="AQ379" t="inlineStr">
        <is>
          <t>425</t>
        </is>
      </c>
      <c r="AR379" t="inlineStr">
        <is>
          <t>68.1</t>
        </is>
      </c>
      <c r="AS379" t="inlineStr">
        <is>
          <t>286</t>
        </is>
      </c>
      <c r="AT379" t="inlineStr">
        <is>
          <t>31.5</t>
        </is>
      </c>
      <c r="AU379" t="inlineStr">
        <is>
          <t>406</t>
        </is>
      </c>
      <c r="AV379" t="inlineStr">
        <is>
          <t>86.0</t>
        </is>
      </c>
      <c r="AW379" t="inlineStr">
        <is>
          <t>110</t>
        </is>
      </c>
      <c r="AX379" t="inlineStr">
        <is>
          <t>14.4</t>
        </is>
      </c>
      <c r="AY379" t="inlineStr">
        <is>
          <t>586</t>
        </is>
      </c>
      <c r="AZ379" t="inlineStr">
        <is>
          <t>37.5</t>
        </is>
      </c>
      <c r="BA379" t="inlineStr">
        <is>
          <t>382=</t>
        </is>
      </c>
    </row>
    <row r="380">
      <c r="A380" t="inlineStr">
        <is>
          <t>Hunan University</t>
        </is>
      </c>
      <c r="B380" t="inlineStr">
        <is>
          <t>China (Mainland)</t>
        </is>
      </c>
      <c r="C380" t="inlineStr">
        <is>
          <t>CN</t>
        </is>
      </c>
      <c r="D380" t="inlineStr">
        <is>
          <t>Asia</t>
        </is>
      </c>
      <c r="E380" t="inlineStr">
        <is>
          <t>XL</t>
        </is>
      </c>
      <c r="F380" t="inlineStr">
        <is>
          <t>FO</t>
        </is>
      </c>
      <c r="G380" t="inlineStr">
        <is>
          <t>VH</t>
        </is>
      </c>
      <c r="H380" t="inlineStr">
        <is>
          <t>4</t>
        </is>
      </c>
      <c r="I380" t="inlineStr">
        <is>
          <t>Public</t>
        </is>
      </c>
      <c r="J380" t="inlineStr">
        <is>
          <t>504</t>
        </is>
      </c>
      <c r="K380" t="inlineStr">
        <is>
          <t>448</t>
        </is>
      </c>
      <c r="L380">
        <f>494</f>
        <v/>
      </c>
      <c r="M380" t="inlineStr">
        <is>
          <t>591-600</t>
        </is>
      </c>
      <c r="N380" t="inlineStr">
        <is>
          <t>32</t>
        </is>
      </c>
      <c r="O380" t="inlineStr">
        <is>
          <t>23.4</t>
        </is>
      </c>
      <c r="P380" t="n">
        <v>10.9</v>
      </c>
      <c r="Q380" t="inlineStr">
        <is>
          <t>701+</t>
        </is>
      </c>
      <c r="R380" t="n">
        <v>11.8</v>
      </c>
      <c r="S380" t="inlineStr">
        <is>
          <t>701+</t>
        </is>
      </c>
      <c r="T380" t="n">
        <v>20.8</v>
      </c>
      <c r="U380" t="inlineStr">
        <is>
          <t>801+</t>
        </is>
      </c>
      <c r="V380" t="n">
        <v>94.7</v>
      </c>
      <c r="W380" t="inlineStr">
        <is>
          <t>74</t>
        </is>
      </c>
      <c r="X380" t="n">
        <v>5.9</v>
      </c>
      <c r="Y380" t="inlineStr">
        <is>
          <t>801+</t>
        </is>
      </c>
      <c r="Z380" t="n">
        <v>2.8</v>
      </c>
      <c r="AA380" t="inlineStr">
        <is>
          <t>801+</t>
        </is>
      </c>
      <c r="AB380" t="n">
        <v>2.3</v>
      </c>
      <c r="AC380" t="inlineStr">
        <is>
          <t>801+</t>
        </is>
      </c>
      <c r="AD380" t="n">
        <v>57.7</v>
      </c>
      <c r="AE380" t="inlineStr">
        <is>
          <t>721</t>
        </is>
      </c>
      <c r="AF380" t="n">
        <v>32.5</v>
      </c>
      <c r="AG380" t="inlineStr">
        <is>
          <t>520</t>
        </is>
      </c>
      <c r="AH380" t="n">
        <v>40.6</v>
      </c>
      <c r="AI380" t="inlineStr">
        <is>
          <t>801+</t>
        </is>
      </c>
      <c r="AJ380" t="inlineStr">
        <is>
          <t>8.6</t>
        </is>
      </c>
      <c r="AK380" t="inlineStr">
        <is>
          <t>601+</t>
        </is>
      </c>
      <c r="AL380" t="inlineStr">
        <is>
          <t>8.4</t>
        </is>
      </c>
      <c r="AM380" t="inlineStr">
        <is>
          <t>601+</t>
        </is>
      </c>
      <c r="AN380" t="inlineStr">
        <is>
          <t>13.8</t>
        </is>
      </c>
      <c r="AO380" t="inlineStr">
        <is>
          <t>701+</t>
        </is>
      </c>
      <c r="AP380" t="inlineStr">
        <is>
          <t>82.0</t>
        </is>
      </c>
      <c r="AQ380" t="inlineStr">
        <is>
          <t>104</t>
        </is>
      </c>
      <c r="AR380" t="inlineStr">
        <is>
          <t>4.9</t>
        </is>
      </c>
      <c r="AS380" t="inlineStr">
        <is>
          <t>701+</t>
        </is>
      </c>
      <c r="AT380" t="inlineStr">
        <is>
          <t>1.9</t>
        </is>
      </c>
      <c r="AU380" t="inlineStr">
        <is>
          <t>701+</t>
        </is>
      </c>
      <c r="AV380" t="inlineStr">
        <is>
          <t>3.8</t>
        </is>
      </c>
      <c r="AW380" t="inlineStr">
        <is>
          <t>701+</t>
        </is>
      </c>
      <c r="AX380" t="inlineStr">
        <is>
          <t>18.7</t>
        </is>
      </c>
      <c r="AY380" t="inlineStr">
        <is>
          <t>447</t>
        </is>
      </c>
      <c r="AZ380" t="inlineStr">
        <is>
          <t>7</t>
        </is>
      </c>
      <c r="BA380" t="inlineStr">
        <is>
          <t>701+</t>
        </is>
      </c>
    </row>
    <row r="381">
      <c r="A381" t="inlineStr">
        <is>
          <t>Hungarian University of Agriculture and Life Sciences</t>
        </is>
      </c>
      <c r="B381" t="inlineStr">
        <is>
          <t>Hungary</t>
        </is>
      </c>
      <c r="C381" t="inlineStr">
        <is>
          <t>HU</t>
        </is>
      </c>
      <c r="D381" t="inlineStr"/>
      <c r="E381" t="inlineStr">
        <is>
          <t>M</t>
        </is>
      </c>
      <c r="F381" t="inlineStr">
        <is>
          <t>FO</t>
        </is>
      </c>
      <c r="G381" t="inlineStr">
        <is>
          <t>VH</t>
        </is>
      </c>
      <c r="H381" t="inlineStr">
        <is>
          <t>5</t>
        </is>
      </c>
      <c r="I381" t="inlineStr">
        <is>
          <t>B</t>
        </is>
      </c>
      <c r="J381" t="inlineStr"/>
      <c r="K381" t="inlineStr"/>
      <c r="L381" t="inlineStr">
        <is>
          <t>1001-1200</t>
        </is>
      </c>
      <c r="M381" t="inlineStr">
        <is>
          <t>801-1000</t>
        </is>
      </c>
      <c r="N381" t="inlineStr"/>
      <c r="O381" t="inlineStr">
        <is>
          <t>-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5.6</t>
        </is>
      </c>
      <c r="AK381" t="inlineStr">
        <is>
          <t>601+</t>
        </is>
      </c>
      <c r="AL381" t="inlineStr">
        <is>
          <t>4.0</t>
        </is>
      </c>
      <c r="AM381" t="inlineStr">
        <is>
          <t>601+</t>
        </is>
      </c>
      <c r="AN381" t="inlineStr">
        <is>
          <t>34.1</t>
        </is>
      </c>
      <c r="AO381" t="inlineStr">
        <is>
          <t>469</t>
        </is>
      </c>
      <c r="AP381" t="inlineStr">
        <is>
          <t>2.9</t>
        </is>
      </c>
      <c r="AQ381" t="inlineStr">
        <is>
          <t>701+</t>
        </is>
      </c>
      <c r="AR381" t="inlineStr">
        <is>
          <t>1.9</t>
        </is>
      </c>
      <c r="AS381" t="inlineStr">
        <is>
          <t>701+</t>
        </is>
      </c>
      <c r="AT381" t="inlineStr">
        <is>
          <t>29.1</t>
        </is>
      </c>
      <c r="AU381" t="inlineStr">
        <is>
          <t>429</t>
        </is>
      </c>
      <c r="AV381" t="inlineStr">
        <is>
          <t>8.5</t>
        </is>
      </c>
      <c r="AW381" t="inlineStr">
        <is>
          <t>701+</t>
        </is>
      </c>
      <c r="AX381" t="inlineStr">
        <is>
          <t>5.5</t>
        </is>
      </c>
      <c r="AY381" t="inlineStr">
        <is>
          <t>701+</t>
        </is>
      </c>
      <c r="AZ381" t="inlineStr">
        <is>
          <t>1.4</t>
        </is>
      </c>
      <c r="BA381" t="inlineStr">
        <is>
          <t>701+</t>
        </is>
      </c>
    </row>
    <row r="382">
      <c r="A382" t="inlineStr">
        <is>
          <t>I.M. Sechenov First Moscow State Medical University</t>
        </is>
      </c>
      <c r="B382" t="inlineStr">
        <is>
          <t>Russia</t>
        </is>
      </c>
      <c r="C382" t="inlineStr"/>
      <c r="D382" t="inlineStr">
        <is>
          <t>Europe</t>
        </is>
      </c>
      <c r="E382" t="inlineStr">
        <is>
          <t>L</t>
        </is>
      </c>
      <c r="F382" t="inlineStr">
        <is>
          <t>SP</t>
        </is>
      </c>
      <c r="G382" t="inlineStr">
        <is>
          <t>VH</t>
        </is>
      </c>
      <c r="H382" t="inlineStr"/>
      <c r="I382" t="inlineStr">
        <is>
          <t>Public</t>
        </is>
      </c>
      <c r="J382" t="inlineStr">
        <is>
          <t>851-900</t>
        </is>
      </c>
      <c r="K382" t="inlineStr">
        <is>
          <t>791-800</t>
        </is>
      </c>
      <c r="L382" t="inlineStr"/>
      <c r="M382" t="inlineStr"/>
      <c r="N382" t="inlineStr">
        <is>
          <t>-</t>
        </is>
      </c>
      <c r="O382" t="inlineStr"/>
      <c r="P382" t="n">
        <v>5</v>
      </c>
      <c r="Q382" t="inlineStr">
        <is>
          <t>701+</t>
        </is>
      </c>
      <c r="R382" t="n">
        <v>10.3</v>
      </c>
      <c r="S382" t="inlineStr">
        <is>
          <t>701+</t>
        </is>
      </c>
      <c r="T382" t="n">
        <v>63.9</v>
      </c>
      <c r="U382" t="inlineStr">
        <is>
          <t>277</t>
        </is>
      </c>
      <c r="V382" t="n">
        <v>10.4</v>
      </c>
      <c r="W382" t="inlineStr">
        <is>
          <t>801+</t>
        </is>
      </c>
      <c r="X382" t="n">
        <v>12.2</v>
      </c>
      <c r="Y382" t="inlineStr">
        <is>
          <t>801+</t>
        </is>
      </c>
      <c r="Z382" t="n">
        <v>74</v>
      </c>
      <c r="AA382" t="inlineStr">
        <is>
          <t>259</t>
        </is>
      </c>
      <c r="AB382" t="n">
        <v>75.8</v>
      </c>
      <c r="AC382" t="inlineStr">
        <is>
          <t>231</t>
        </is>
      </c>
      <c r="AD382" t="n">
        <v>84.3</v>
      </c>
      <c r="AE382" t="inlineStr">
        <is>
          <t>268</t>
        </is>
      </c>
      <c r="AF382" t="n">
        <v>2</v>
      </c>
      <c r="AG382" t="inlineStr">
        <is>
          <t>801+</t>
        </is>
      </c>
      <c r="AH382" t="n">
        <v>24.3</v>
      </c>
      <c r="AI382" t="inlineStr">
        <is>
          <t>801+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IE University</t>
        </is>
      </c>
      <c r="B383" t="inlineStr">
        <is>
          <t>Spain</t>
        </is>
      </c>
      <c r="C383" t="inlineStr">
        <is>
          <t>ES</t>
        </is>
      </c>
      <c r="D383" t="inlineStr">
        <is>
          <t>Europe</t>
        </is>
      </c>
      <c r="E383" t="inlineStr">
        <is>
          <t>M</t>
        </is>
      </c>
      <c r="F383" t="inlineStr">
        <is>
          <t>FO</t>
        </is>
      </c>
      <c r="G383" t="inlineStr">
        <is>
          <t>HI</t>
        </is>
      </c>
      <c r="H383" t="inlineStr">
        <is>
          <t>2</t>
        </is>
      </c>
      <c r="I383" t="inlineStr">
        <is>
          <t>Private for Profit</t>
        </is>
      </c>
      <c r="J383" t="inlineStr">
        <is>
          <t>438</t>
        </is>
      </c>
      <c r="K383" t="inlineStr">
        <is>
          <t>435</t>
        </is>
      </c>
      <c r="L383" t="inlineStr">
        <is>
          <t>428</t>
        </is>
      </c>
      <c r="M383" t="inlineStr">
        <is>
          <t>347=</t>
        </is>
      </c>
      <c r="N383" t="inlineStr">
        <is>
          <t>35.1</t>
        </is>
      </c>
      <c r="O383" t="inlineStr">
        <is>
          <t>26.4</t>
        </is>
      </c>
      <c r="P383" t="n">
        <v>12.7</v>
      </c>
      <c r="Q383" t="inlineStr">
        <is>
          <t>701+</t>
        </is>
      </c>
      <c r="R383" t="n">
        <v>70.40000000000001</v>
      </c>
      <c r="S383" t="inlineStr">
        <is>
          <t>144</t>
        </is>
      </c>
      <c r="T383" t="n">
        <v>47.6</v>
      </c>
      <c r="U383" t="inlineStr">
        <is>
          <t>409</t>
        </is>
      </c>
      <c r="V383" t="n">
        <v>3.8</v>
      </c>
      <c r="W383" t="inlineStr">
        <is>
          <t>801+</t>
        </is>
      </c>
      <c r="X383" t="n">
        <v>94</v>
      </c>
      <c r="Y383" t="inlineStr">
        <is>
          <t>194</t>
        </is>
      </c>
      <c r="Z383" t="n">
        <v>100</v>
      </c>
      <c r="AA383" t="inlineStr">
        <is>
          <t>3</t>
        </is>
      </c>
      <c r="AB383" t="n">
        <v>100</v>
      </c>
      <c r="AC383" t="inlineStr">
        <is>
          <t>1</t>
        </is>
      </c>
      <c r="AD383" t="n">
        <v>6.4</v>
      </c>
      <c r="AE383" t="inlineStr">
        <is>
          <t>801+</t>
        </is>
      </c>
      <c r="AF383" t="n">
        <v>70.40000000000001</v>
      </c>
      <c r="AG383" t="inlineStr">
        <is>
          <t>206</t>
        </is>
      </c>
      <c r="AH383" t="n">
        <v>53</v>
      </c>
      <c r="AI383" t="inlineStr">
        <is>
          <t>646=</t>
        </is>
      </c>
      <c r="AJ383" t="inlineStr">
        <is>
          <t>7.0</t>
        </is>
      </c>
      <c r="AK383" t="inlineStr">
        <is>
          <t>601+</t>
        </is>
      </c>
      <c r="AL383" t="inlineStr">
        <is>
          <t>40.9</t>
        </is>
      </c>
      <c r="AM383" t="inlineStr">
        <is>
          <t>230</t>
        </is>
      </c>
      <c r="AN383" t="inlineStr">
        <is>
          <t>56.2</t>
        </is>
      </c>
      <c r="AO383" t="inlineStr">
        <is>
          <t>262</t>
        </is>
      </c>
      <c r="AP383" t="inlineStr">
        <is>
          <t>2.6</t>
        </is>
      </c>
      <c r="AQ383" t="inlineStr">
        <is>
          <t>701+</t>
        </is>
      </c>
      <c r="AR383" t="inlineStr">
        <is>
          <t>94.6</t>
        </is>
      </c>
      <c r="AS383" t="inlineStr">
        <is>
          <t>154</t>
        </is>
      </c>
      <c r="AT383" t="inlineStr">
        <is>
          <t>100.0</t>
        </is>
      </c>
      <c r="AU383" t="inlineStr">
        <is>
          <t>4</t>
        </is>
      </c>
      <c r="AV383" t="inlineStr">
        <is>
          <t>1.0</t>
        </is>
      </c>
      <c r="AW383" t="inlineStr">
        <is>
          <t>701+</t>
        </is>
      </c>
      <c r="AX383" t="inlineStr">
        <is>
          <t>39.4</t>
        </is>
      </c>
      <c r="AY383" t="inlineStr">
        <is>
          <t>183</t>
        </is>
      </c>
      <c r="AZ383" t="inlineStr">
        <is>
          <t>6</t>
        </is>
      </c>
      <c r="BA383" t="inlineStr">
        <is>
          <t>701+</t>
        </is>
      </c>
    </row>
    <row r="384">
      <c r="A384" t="inlineStr">
        <is>
          <t>IIT Gandhinagar</t>
        </is>
      </c>
      <c r="B384" t="inlineStr">
        <is>
          <t>India</t>
        </is>
      </c>
      <c r="C384" t="inlineStr"/>
      <c r="D384" t="inlineStr">
        <is>
          <t>Asia</t>
        </is>
      </c>
      <c r="E384" t="inlineStr">
        <is>
          <t>S</t>
        </is>
      </c>
      <c r="F384" t="inlineStr">
        <is>
          <t>FO</t>
        </is>
      </c>
      <c r="G384" t="inlineStr">
        <is>
          <t>VH</t>
        </is>
      </c>
      <c r="H384" t="inlineStr"/>
      <c r="I384" t="inlineStr">
        <is>
          <t>Public</t>
        </is>
      </c>
      <c r="J384" t="inlineStr">
        <is>
          <t>801-850</t>
        </is>
      </c>
      <c r="K384" t="inlineStr"/>
      <c r="L384" t="inlineStr"/>
      <c r="M384" t="inlineStr"/>
      <c r="N384" t="inlineStr">
        <is>
          <t>-</t>
        </is>
      </c>
      <c r="O384" t="inlineStr"/>
      <c r="P384" t="n">
        <v>7</v>
      </c>
      <c r="Q384" t="inlineStr">
        <is>
          <t>701+</t>
        </is>
      </c>
      <c r="R384" t="n">
        <v>9.1</v>
      </c>
      <c r="S384" t="inlineStr">
        <is>
          <t>701+</t>
        </is>
      </c>
      <c r="T384" t="n">
        <v>51.9</v>
      </c>
      <c r="U384" t="inlineStr">
        <is>
          <t>364</t>
        </is>
      </c>
      <c r="V384" t="n">
        <v>53.2</v>
      </c>
      <c r="W384" t="inlineStr">
        <is>
          <t>350</t>
        </is>
      </c>
      <c r="X384" t="n">
        <v>2.7</v>
      </c>
      <c r="Y384" t="inlineStr">
        <is>
          <t>801+</t>
        </is>
      </c>
      <c r="Z384" t="n">
        <v>2.2</v>
      </c>
      <c r="AA384" t="inlineStr">
        <is>
          <t>801+</t>
        </is>
      </c>
      <c r="AB384" t="n">
        <v>6.4</v>
      </c>
      <c r="AC384" t="inlineStr">
        <is>
          <t>801+</t>
        </is>
      </c>
      <c r="AD384" t="n">
        <v>20.1</v>
      </c>
      <c r="AE384" t="inlineStr">
        <is>
          <t>801+</t>
        </is>
      </c>
      <c r="AF384" t="n">
        <v>1.9</v>
      </c>
      <c r="AG384" t="inlineStr">
        <is>
          <t>801+</t>
        </is>
      </c>
      <c r="AH384" t="n">
        <v>42.3</v>
      </c>
      <c r="AI384" t="inlineStr">
        <is>
          <t>801+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Illinois Institute of Technology</t>
        </is>
      </c>
      <c r="B385" t="inlineStr">
        <is>
          <t>United States</t>
        </is>
      </c>
      <c r="C385" t="inlineStr">
        <is>
          <t>US</t>
        </is>
      </c>
      <c r="D385" t="inlineStr">
        <is>
          <t>Americas</t>
        </is>
      </c>
      <c r="E385" t="inlineStr">
        <is>
          <t>M</t>
        </is>
      </c>
      <c r="F385" t="inlineStr">
        <is>
          <t>CO</t>
        </is>
      </c>
      <c r="G385" t="inlineStr">
        <is>
          <t>VH</t>
        </is>
      </c>
      <c r="H385" t="inlineStr">
        <is>
          <t>5</t>
        </is>
      </c>
      <c r="I385" t="inlineStr">
        <is>
          <t>Private not for Profit</t>
        </is>
      </c>
      <c r="J385" t="inlineStr">
        <is>
          <t>591</t>
        </is>
      </c>
      <c r="K385" t="inlineStr">
        <is>
          <t>601-610</t>
        </is>
      </c>
      <c r="L385">
        <f>469</f>
        <v/>
      </c>
      <c r="M385" t="inlineStr">
        <is>
          <t>443=</t>
        </is>
      </c>
      <c r="N385" t="inlineStr">
        <is>
          <t>28.5</t>
        </is>
      </c>
      <c r="O385" t="inlineStr">
        <is>
          <t>24.6</t>
        </is>
      </c>
      <c r="P385" t="n">
        <v>16.9</v>
      </c>
      <c r="Q385" t="inlineStr">
        <is>
          <t>701+</t>
        </is>
      </c>
      <c r="R385" t="n">
        <v>23.3</v>
      </c>
      <c r="S385" t="inlineStr">
        <is>
          <t>575</t>
        </is>
      </c>
      <c r="T385" t="n">
        <v>15.8</v>
      </c>
      <c r="U385" t="inlineStr">
        <is>
          <t>801+</t>
        </is>
      </c>
      <c r="V385" t="n">
        <v>47.5</v>
      </c>
      <c r="W385" t="inlineStr">
        <is>
          <t>396</t>
        </is>
      </c>
      <c r="X385" t="n">
        <v>18.7</v>
      </c>
      <c r="Y385" t="inlineStr">
        <is>
          <t>734</t>
        </is>
      </c>
      <c r="Z385" t="n">
        <v>99.7</v>
      </c>
      <c r="AA385" t="inlineStr">
        <is>
          <t>48</t>
        </is>
      </c>
      <c r="AB385" t="n">
        <v>99.7</v>
      </c>
      <c r="AC385" t="inlineStr">
        <is>
          <t>38</t>
        </is>
      </c>
      <c r="AD385" t="n">
        <v>27.3</v>
      </c>
      <c r="AE385" t="inlineStr">
        <is>
          <t>801+</t>
        </is>
      </c>
      <c r="AF385" t="n">
        <v>22.5</v>
      </c>
      <c r="AG385" t="inlineStr">
        <is>
          <t>683</t>
        </is>
      </c>
      <c r="AH385" t="n">
        <v>32.5</v>
      </c>
      <c r="AI385" t="inlineStr">
        <is>
          <t>801+</t>
        </is>
      </c>
      <c r="AJ385" t="inlineStr">
        <is>
          <t>14.2</t>
        </is>
      </c>
      <c r="AK385" t="inlineStr">
        <is>
          <t>601+</t>
        </is>
      </c>
      <c r="AL385" t="inlineStr">
        <is>
          <t>15.6</t>
        </is>
      </c>
      <c r="AM385" t="inlineStr">
        <is>
          <t>532</t>
        </is>
      </c>
      <c r="AN385" t="inlineStr">
        <is>
          <t>13.0</t>
        </is>
      </c>
      <c r="AO385" t="inlineStr">
        <is>
          <t>701+</t>
        </is>
      </c>
      <c r="AP385" t="inlineStr">
        <is>
          <t>48.5</t>
        </is>
      </c>
      <c r="AQ385" t="inlineStr">
        <is>
          <t>280</t>
        </is>
      </c>
      <c r="AR385" t="inlineStr">
        <is>
          <t>30.1</t>
        </is>
      </c>
      <c r="AS385" t="inlineStr">
        <is>
          <t>490</t>
        </is>
      </c>
      <c r="AT385" t="inlineStr">
        <is>
          <t>94.1</t>
        </is>
      </c>
      <c r="AU385" t="inlineStr">
        <is>
          <t>93</t>
        </is>
      </c>
      <c r="AV385" t="inlineStr">
        <is>
          <t>1.5</t>
        </is>
      </c>
      <c r="AW385" t="inlineStr">
        <is>
          <t>701+</t>
        </is>
      </c>
      <c r="AX385" t="inlineStr">
        <is>
          <t>13.6</t>
        </is>
      </c>
      <c r="AY385" t="inlineStr">
        <is>
          <t>632</t>
        </is>
      </c>
      <c r="AZ385" t="inlineStr">
        <is>
          <t>2.5</t>
        </is>
      </c>
      <c r="BA385" t="inlineStr">
        <is>
          <t>701+</t>
        </is>
      </c>
    </row>
    <row r="386">
      <c r="A386" t="inlineStr">
        <is>
          <t>Illinois State University</t>
        </is>
      </c>
      <c r="B386" t="inlineStr">
        <is>
          <t>United States</t>
        </is>
      </c>
      <c r="C386" t="inlineStr">
        <is>
          <t>US</t>
        </is>
      </c>
      <c r="D386" t="inlineStr"/>
      <c r="E386" t="inlineStr">
        <is>
          <t>L</t>
        </is>
      </c>
      <c r="F386" t="inlineStr">
        <is>
          <t>CO</t>
        </is>
      </c>
      <c r="G386" t="inlineStr">
        <is>
          <t>HI</t>
        </is>
      </c>
      <c r="H386" t="inlineStr">
        <is>
          <t>5</t>
        </is>
      </c>
      <c r="I386" t="inlineStr"/>
      <c r="J386" t="inlineStr"/>
      <c r="K386" t="inlineStr"/>
      <c r="L386" t="inlineStr">
        <is>
          <t>1401+</t>
        </is>
      </c>
      <c r="M386" t="inlineStr">
        <is>
          <t>1201-1400</t>
        </is>
      </c>
      <c r="N386" t="inlineStr"/>
      <c r="O386" t="inlineStr">
        <is>
          <t>-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3.7</t>
        </is>
      </c>
      <c r="AK386" t="inlineStr">
        <is>
          <t>601+</t>
        </is>
      </c>
      <c r="AL386" t="inlineStr">
        <is>
          <t>3.5</t>
        </is>
      </c>
      <c r="AM386" t="inlineStr">
        <is>
          <t>601+</t>
        </is>
      </c>
      <c r="AN386" t="inlineStr">
        <is>
          <t>5.9</t>
        </is>
      </c>
      <c r="AO386" t="inlineStr">
        <is>
          <t>701+</t>
        </is>
      </c>
      <c r="AP386" t="inlineStr">
        <is>
          <t>5.2</t>
        </is>
      </c>
      <c r="AQ386" t="inlineStr">
        <is>
          <t>701+</t>
        </is>
      </c>
      <c r="AR386" t="inlineStr">
        <is>
          <t>4.9</t>
        </is>
      </c>
      <c r="AS386" t="inlineStr">
        <is>
          <t>701+</t>
        </is>
      </c>
      <c r="AT386" t="inlineStr">
        <is>
          <t>2.5</t>
        </is>
      </c>
      <c r="AU386" t="inlineStr">
        <is>
          <t>701+</t>
        </is>
      </c>
      <c r="AV386" t="inlineStr">
        <is>
          <t>1.1</t>
        </is>
      </c>
      <c r="AW386" t="inlineStr">
        <is>
          <t>701+</t>
        </is>
      </c>
      <c r="AX386" t="inlineStr">
        <is>
          <t>10.9</t>
        </is>
      </c>
      <c r="AY386" t="inlineStr">
        <is>
          <t>701+</t>
        </is>
      </c>
      <c r="AZ386" t="inlineStr"/>
      <c r="BA386" t="inlineStr"/>
    </row>
    <row r="387">
      <c r="A387" t="inlineStr">
        <is>
          <t>Imam Abdulrahman Bin Faisal University (formerly University of Dammam)</t>
        </is>
      </c>
      <c r="B387" t="inlineStr">
        <is>
          <t>Saudi Arabia</t>
        </is>
      </c>
      <c r="C387" t="inlineStr"/>
      <c r="D387" t="inlineStr">
        <is>
          <t>Asia</t>
        </is>
      </c>
      <c r="E387" t="inlineStr">
        <is>
          <t>L</t>
        </is>
      </c>
      <c r="F387" t="inlineStr">
        <is>
          <t>FC</t>
        </is>
      </c>
      <c r="G387" t="inlineStr">
        <is>
          <t>HI</t>
        </is>
      </c>
      <c r="H387" t="inlineStr"/>
      <c r="I387" t="inlineStr">
        <is>
          <t>Public</t>
        </is>
      </c>
      <c r="J387" t="inlineStr">
        <is>
          <t>491</t>
        </is>
      </c>
      <c r="K387" t="inlineStr">
        <is>
          <t>513</t>
        </is>
      </c>
      <c r="L387" t="inlineStr"/>
      <c r="M387" t="inlineStr"/>
      <c r="N387" t="inlineStr">
        <is>
          <t>32.6</t>
        </is>
      </c>
      <c r="O387" t="inlineStr"/>
      <c r="P387" t="n">
        <v>16.9</v>
      </c>
      <c r="Q387" t="inlineStr">
        <is>
          <t>701+</t>
        </is>
      </c>
      <c r="R387" t="n">
        <v>31.4</v>
      </c>
      <c r="S387" t="inlineStr">
        <is>
          <t>456</t>
        </is>
      </c>
      <c r="T387" t="n">
        <v>94.90000000000001</v>
      </c>
      <c r="U387" t="inlineStr">
        <is>
          <t>74</t>
        </is>
      </c>
      <c r="V387" t="n">
        <v>5.6</v>
      </c>
      <c r="W387" t="inlineStr">
        <is>
          <t>801+</t>
        </is>
      </c>
      <c r="X387" t="n">
        <v>99.2</v>
      </c>
      <c r="Y387" t="inlineStr">
        <is>
          <t>125</t>
        </is>
      </c>
      <c r="Z387" t="n">
        <v>34.8</v>
      </c>
      <c r="AA387" t="inlineStr">
        <is>
          <t>544</t>
        </is>
      </c>
      <c r="AB387" t="n">
        <v>35.4</v>
      </c>
      <c r="AC387" t="inlineStr">
        <is>
          <t>544</t>
        </is>
      </c>
      <c r="AD387" t="n">
        <v>73.90000000000001</v>
      </c>
      <c r="AE387" t="inlineStr">
        <is>
          <t>471</t>
        </is>
      </c>
      <c r="AF387" t="n">
        <v>2.9</v>
      </c>
      <c r="AG387" t="inlineStr">
        <is>
          <t>801+</t>
        </is>
      </c>
      <c r="AH387" t="n">
        <v>55.3</v>
      </c>
      <c r="AI387" t="inlineStr">
        <is>
          <t>596=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Imam Abdulrahman Bin Faisal University (IAU) (formerly UNIVERSITY OF DAMMAM)</t>
        </is>
      </c>
      <c r="B388" t="inlineStr">
        <is>
          <t>Saudi Arabia</t>
        </is>
      </c>
      <c r="C388" t="inlineStr">
        <is>
          <t>SA</t>
        </is>
      </c>
      <c r="D388" t="inlineStr"/>
      <c r="E388" t="inlineStr">
        <is>
          <t>L</t>
        </is>
      </c>
      <c r="F388" t="inlineStr">
        <is>
          <t>FC</t>
        </is>
      </c>
      <c r="G388" t="inlineStr">
        <is>
          <t>HI</t>
        </is>
      </c>
      <c r="H388" t="inlineStr">
        <is>
          <t>3</t>
        </is>
      </c>
      <c r="I388" t="inlineStr">
        <is>
          <t>A</t>
        </is>
      </c>
      <c r="J388" t="inlineStr"/>
      <c r="K388" t="inlineStr"/>
      <c r="L388">
        <f>595</f>
        <v/>
      </c>
      <c r="M388" t="inlineStr">
        <is>
          <t>477=</t>
        </is>
      </c>
      <c r="N388" t="inlineStr"/>
      <c r="O388" t="inlineStr">
        <is>
          <t>19.9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7.6</t>
        </is>
      </c>
      <c r="AK388" t="inlineStr">
        <is>
          <t>601+</t>
        </is>
      </c>
      <c r="AL388" t="inlineStr">
        <is>
          <t>7.1</t>
        </is>
      </c>
      <c r="AM388" t="inlineStr">
        <is>
          <t>601+</t>
        </is>
      </c>
      <c r="AN388" t="inlineStr">
        <is>
          <t>85.9</t>
        </is>
      </c>
      <c r="AO388" t="inlineStr">
        <is>
          <t>101</t>
        </is>
      </c>
      <c r="AP388" t="inlineStr">
        <is>
          <t>2.3</t>
        </is>
      </c>
      <c r="AQ388" t="inlineStr">
        <is>
          <t>701+</t>
        </is>
      </c>
      <c r="AR388" t="inlineStr">
        <is>
          <t>98.5</t>
        </is>
      </c>
      <c r="AS388" t="inlineStr">
        <is>
          <t>105</t>
        </is>
      </c>
      <c r="AT388" t="inlineStr">
        <is>
          <t>16.5</t>
        </is>
      </c>
      <c r="AU388" t="inlineStr">
        <is>
          <t>589</t>
        </is>
      </c>
      <c r="AV388" t="inlineStr">
        <is>
          <t>11.6</t>
        </is>
      </c>
      <c r="AW388" t="inlineStr">
        <is>
          <t>640</t>
        </is>
      </c>
      <c r="AX388" t="inlineStr">
        <is>
          <t>8.1</t>
        </is>
      </c>
      <c r="AY388" t="inlineStr">
        <is>
          <t>701+</t>
        </is>
      </c>
      <c r="AZ388" t="inlineStr">
        <is>
          <t>19</t>
        </is>
      </c>
      <c r="BA388" t="inlineStr">
        <is>
          <t>552=</t>
        </is>
      </c>
    </row>
    <row r="389">
      <c r="A389" t="inlineStr">
        <is>
          <t>Imam Mohammad Ibn Saud Islamic University – IMSIU</t>
        </is>
      </c>
      <c r="B389" t="inlineStr">
        <is>
          <t>Saudi Arabia</t>
        </is>
      </c>
      <c r="C389" t="inlineStr">
        <is>
          <t>SA</t>
        </is>
      </c>
      <c r="D389" t="inlineStr"/>
      <c r="E389" t="inlineStr">
        <is>
          <t>XL</t>
        </is>
      </c>
      <c r="F389" t="inlineStr">
        <is>
          <t>FO</t>
        </is>
      </c>
      <c r="G389" t="inlineStr">
        <is>
          <t>HI</t>
        </is>
      </c>
      <c r="H389" t="inlineStr">
        <is>
          <t>4</t>
        </is>
      </c>
      <c r="I389" t="inlineStr">
        <is>
          <t>A</t>
        </is>
      </c>
      <c r="J389" t="inlineStr"/>
      <c r="K389" t="inlineStr"/>
      <c r="L389" t="inlineStr">
        <is>
          <t>1001-1200</t>
        </is>
      </c>
      <c r="M389" t="inlineStr">
        <is>
          <t>1001-1200</t>
        </is>
      </c>
      <c r="N389" t="inlineStr"/>
      <c r="O389" t="inlineStr">
        <is>
          <t>-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10.6</t>
        </is>
      </c>
      <c r="AK389" t="inlineStr">
        <is>
          <t>601+</t>
        </is>
      </c>
      <c r="AL389" t="inlineStr">
        <is>
          <t>4.8</t>
        </is>
      </c>
      <c r="AM389" t="inlineStr">
        <is>
          <t>601+</t>
        </is>
      </c>
      <c r="AN389" t="inlineStr">
        <is>
          <t>14.8</t>
        </is>
      </c>
      <c r="AO389" t="inlineStr">
        <is>
          <t>701+</t>
        </is>
      </c>
      <c r="AP389" t="inlineStr">
        <is>
          <t>1.4</t>
        </is>
      </c>
      <c r="AQ389" t="inlineStr">
        <is>
          <t>701+</t>
        </is>
      </c>
      <c r="AR389" t="inlineStr">
        <is>
          <t>46.6</t>
        </is>
      </c>
      <c r="AS389" t="inlineStr">
        <is>
          <t>370</t>
        </is>
      </c>
      <c r="AT389" t="inlineStr">
        <is>
          <t>2.9</t>
        </is>
      </c>
      <c r="AU389" t="inlineStr">
        <is>
          <t>701+</t>
        </is>
      </c>
      <c r="AV389" t="inlineStr">
        <is>
          <t>1.8</t>
        </is>
      </c>
      <c r="AW389" t="inlineStr">
        <is>
          <t>701+</t>
        </is>
      </c>
      <c r="AX389" t="inlineStr">
        <is>
          <t>5.6</t>
        </is>
      </c>
      <c r="AY389" t="inlineStr">
        <is>
          <t>701+</t>
        </is>
      </c>
      <c r="AZ389" t="inlineStr">
        <is>
          <t>1</t>
        </is>
      </c>
      <c r="BA389" t="inlineStr">
        <is>
          <t>701+</t>
        </is>
      </c>
    </row>
    <row r="390">
      <c r="A390" t="inlineStr">
        <is>
          <t>Imam Muhammad Ibn Saud Islamic University - IMSIU</t>
        </is>
      </c>
      <c r="B390" t="inlineStr">
        <is>
          <t>Saudi Arabia</t>
        </is>
      </c>
      <c r="C390" t="inlineStr"/>
      <c r="D390" t="inlineStr">
        <is>
          <t>Asia</t>
        </is>
      </c>
      <c r="E390" t="inlineStr">
        <is>
          <t>XL</t>
        </is>
      </c>
      <c r="F390" t="inlineStr">
        <is>
          <t>FC</t>
        </is>
      </c>
      <c r="G390" t="inlineStr">
        <is>
          <t>HI</t>
        </is>
      </c>
      <c r="H390" t="inlineStr"/>
      <c r="I390" t="inlineStr">
        <is>
          <t>Public</t>
        </is>
      </c>
      <c r="J390" t="inlineStr">
        <is>
          <t>851-900</t>
        </is>
      </c>
      <c r="K390" t="inlineStr">
        <is>
          <t>901-950</t>
        </is>
      </c>
      <c r="L390" t="inlineStr"/>
      <c r="M390" t="inlineStr"/>
      <c r="N390" t="inlineStr">
        <is>
          <t>-</t>
        </is>
      </c>
      <c r="O390" t="inlineStr"/>
      <c r="P390" t="n">
        <v>16.7</v>
      </c>
      <c r="Q390" t="inlineStr">
        <is>
          <t>701+</t>
        </is>
      </c>
      <c r="R390" t="n">
        <v>11.9</v>
      </c>
      <c r="S390" t="inlineStr">
        <is>
          <t>701+</t>
        </is>
      </c>
      <c r="T390" t="n">
        <v>27.1</v>
      </c>
      <c r="U390" t="inlineStr">
        <is>
          <t>696</t>
        </is>
      </c>
      <c r="V390" t="n">
        <v>2.4</v>
      </c>
      <c r="W390" t="inlineStr">
        <is>
          <t>801+</t>
        </is>
      </c>
      <c r="X390" t="n">
        <v>91.90000000000001</v>
      </c>
      <c r="Y390" t="inlineStr">
        <is>
          <t>210</t>
        </is>
      </c>
      <c r="Z390" t="n">
        <v>18.5</v>
      </c>
      <c r="AA390" t="inlineStr">
        <is>
          <t>753</t>
        </is>
      </c>
      <c r="AB390" t="n">
        <v>24.6</v>
      </c>
      <c r="AC390" t="inlineStr">
        <is>
          <t>693</t>
        </is>
      </c>
      <c r="AD390" t="n">
        <v>56.8</v>
      </c>
      <c r="AE390" t="inlineStr">
        <is>
          <t>741</t>
        </is>
      </c>
      <c r="AF390" t="n">
        <v>35.6</v>
      </c>
      <c r="AG390" t="inlineStr">
        <is>
          <t>483</t>
        </is>
      </c>
      <c r="AH390" t="n">
        <v>34.8</v>
      </c>
      <c r="AI390" t="inlineStr">
        <is>
          <t>801+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Immanuel Kant Baltic Federal University</t>
        </is>
      </c>
      <c r="B391" t="inlineStr">
        <is>
          <t>Russia</t>
        </is>
      </c>
      <c r="C391" t="inlineStr">
        <is>
          <t>RU</t>
        </is>
      </c>
      <c r="D391" t="inlineStr">
        <is>
          <t>Europe</t>
        </is>
      </c>
      <c r="E391" t="inlineStr">
        <is>
          <t>M</t>
        </is>
      </c>
      <c r="F391" t="inlineStr">
        <is>
          <t>CO</t>
        </is>
      </c>
      <c r="G391" t="inlineStr">
        <is>
          <t>VH</t>
        </is>
      </c>
      <c r="H391" t="inlineStr">
        <is>
          <t>4</t>
        </is>
      </c>
      <c r="I391" t="inlineStr">
        <is>
          <t>Public</t>
        </is>
      </c>
      <c r="J391" t="inlineStr">
        <is>
          <t>951-1000</t>
        </is>
      </c>
      <c r="K391" t="inlineStr">
        <is>
          <t>801-850</t>
        </is>
      </c>
      <c r="L391" t="inlineStr">
        <is>
          <t>801-850</t>
        </is>
      </c>
      <c r="M391" t="inlineStr">
        <is>
          <t>601-650</t>
        </is>
      </c>
      <c r="N391" t="inlineStr">
        <is>
          <t>-</t>
        </is>
      </c>
      <c r="O391" t="inlineStr">
        <is>
          <t>-</t>
        </is>
      </c>
      <c r="P391" t="n">
        <v>7.7</v>
      </c>
      <c r="Q391" t="inlineStr">
        <is>
          <t>701+</t>
        </is>
      </c>
      <c r="R391" t="n">
        <v>4.7</v>
      </c>
      <c r="S391" t="inlineStr">
        <is>
          <t>701+</t>
        </is>
      </c>
      <c r="T391" t="n">
        <v>86.3</v>
      </c>
      <c r="U391" t="inlineStr">
        <is>
          <t>124</t>
        </is>
      </c>
      <c r="V391" t="n">
        <v>3.1</v>
      </c>
      <c r="W391" t="inlineStr">
        <is>
          <t>801+</t>
        </is>
      </c>
      <c r="X391" t="n">
        <v>28.1</v>
      </c>
      <c r="Y391" t="inlineStr">
        <is>
          <t>607</t>
        </is>
      </c>
      <c r="Z391" t="n">
        <v>53.2</v>
      </c>
      <c r="AA391" t="inlineStr">
        <is>
          <t>386</t>
        </is>
      </c>
      <c r="AB391" t="n">
        <v>51</v>
      </c>
      <c r="AC391" t="inlineStr">
        <is>
          <t>407</t>
        </is>
      </c>
      <c r="AD391" t="n">
        <v>34.5</v>
      </c>
      <c r="AE391" t="inlineStr">
        <is>
          <t>801+</t>
        </is>
      </c>
      <c r="AF391" t="n">
        <v>1.9</v>
      </c>
      <c r="AG391" t="inlineStr">
        <is>
          <t>801+</t>
        </is>
      </c>
      <c r="AH391" t="n">
        <v>32.1</v>
      </c>
      <c r="AI391" t="inlineStr">
        <is>
          <t>801+</t>
        </is>
      </c>
      <c r="AJ391" t="inlineStr">
        <is>
          <t>8.1</t>
        </is>
      </c>
      <c r="AK391" t="inlineStr">
        <is>
          <t>601+</t>
        </is>
      </c>
      <c r="AL391" t="inlineStr">
        <is>
          <t>2.3</t>
        </is>
      </c>
      <c r="AM391" t="inlineStr">
        <is>
          <t>601+</t>
        </is>
      </c>
      <c r="AN391" t="inlineStr">
        <is>
          <t>75.5</t>
        </is>
      </c>
      <c r="AO391" t="inlineStr">
        <is>
          <t>164</t>
        </is>
      </c>
      <c r="AP391" t="inlineStr">
        <is>
          <t>1.8</t>
        </is>
      </c>
      <c r="AQ391" t="inlineStr">
        <is>
          <t>701+</t>
        </is>
      </c>
      <c r="AR391" t="inlineStr">
        <is>
          <t>17.9</t>
        </is>
      </c>
      <c r="AS391" t="inlineStr">
        <is>
          <t>616</t>
        </is>
      </c>
      <c r="AT391" t="inlineStr">
        <is>
          <t>32.0</t>
        </is>
      </c>
      <c r="AU391" t="inlineStr">
        <is>
          <t>400</t>
        </is>
      </c>
      <c r="AV391" t="inlineStr">
        <is>
          <t>2.7</t>
        </is>
      </c>
      <c r="AW391" t="inlineStr">
        <is>
          <t>701+</t>
        </is>
      </c>
      <c r="AX391" t="inlineStr">
        <is>
          <t>6.3</t>
        </is>
      </c>
      <c r="AY391" t="inlineStr">
        <is>
          <t>701+</t>
        </is>
      </c>
      <c r="AZ391" t="inlineStr">
        <is>
          <t>1.9</t>
        </is>
      </c>
      <c r="BA391" t="inlineStr">
        <is>
          <t>701+</t>
        </is>
      </c>
    </row>
    <row r="392">
      <c r="A392" t="inlineStr">
        <is>
          <t>Imperial College London</t>
        </is>
      </c>
      <c r="B392" t="inlineStr">
        <is>
          <t>United Kingdom</t>
        </is>
      </c>
      <c r="C392" t="inlineStr">
        <is>
          <t>UK</t>
        </is>
      </c>
      <c r="D392" t="inlineStr">
        <is>
          <t>Europe</t>
        </is>
      </c>
      <c r="E392" t="inlineStr">
        <is>
          <t>L</t>
        </is>
      </c>
      <c r="F392" t="inlineStr">
        <is>
          <t>FO</t>
        </is>
      </c>
      <c r="G392" t="inlineStr">
        <is>
          <t>VH</t>
        </is>
      </c>
      <c r="H392" t="inlineStr">
        <is>
          <t>5</t>
        </is>
      </c>
      <c r="I392" t="inlineStr">
        <is>
          <t>Public</t>
        </is>
      </c>
      <c r="J392" t="inlineStr">
        <is>
          <t>2</t>
        </is>
      </c>
      <c r="K392" t="inlineStr">
        <is>
          <t>2</t>
        </is>
      </c>
      <c r="L392" t="inlineStr">
        <is>
          <t>6</t>
        </is>
      </c>
      <c r="M392" t="inlineStr">
        <is>
          <t>6=</t>
        </is>
      </c>
      <c r="N392" t="inlineStr">
        <is>
          <t>99.4</t>
        </is>
      </c>
      <c r="O392" t="inlineStr">
        <is>
          <t>97.8</t>
        </is>
      </c>
      <c r="P392" t="n">
        <v>99.59999999999999</v>
      </c>
      <c r="Q392" t="inlineStr">
        <is>
          <t>22</t>
        </is>
      </c>
      <c r="R392" t="n">
        <v>100</v>
      </c>
      <c r="S392" t="inlineStr">
        <is>
          <t>9</t>
        </is>
      </c>
      <c r="T392" t="n">
        <v>99.3</v>
      </c>
      <c r="U392" t="inlineStr">
        <is>
          <t>42</t>
        </is>
      </c>
      <c r="V392" t="n">
        <v>95</v>
      </c>
      <c r="W392" t="inlineStr">
        <is>
          <t>69</t>
        </is>
      </c>
      <c r="X392" t="n">
        <v>100</v>
      </c>
      <c r="Y392" t="inlineStr">
        <is>
          <t>74</t>
        </is>
      </c>
      <c r="Z392" t="n">
        <v>100</v>
      </c>
      <c r="AA392" t="inlineStr">
        <is>
          <t>35</t>
        </is>
      </c>
      <c r="AB392" t="n">
        <v>100</v>
      </c>
      <c r="AC392" t="inlineStr">
        <is>
          <t>22</t>
        </is>
      </c>
      <c r="AD392" t="n">
        <v>97.5</v>
      </c>
      <c r="AE392" t="inlineStr">
        <is>
          <t>28</t>
        </is>
      </c>
      <c r="AF392" t="n">
        <v>95.90000000000001</v>
      </c>
      <c r="AG392" t="inlineStr">
        <is>
          <t>68</t>
        </is>
      </c>
      <c r="AH392" t="n">
        <v>98.3</v>
      </c>
      <c r="AI392" t="inlineStr">
        <is>
          <t>7=</t>
        </is>
      </c>
      <c r="AJ392" t="inlineStr">
        <is>
          <t>98.3</t>
        </is>
      </c>
      <c r="AK392" t="inlineStr">
        <is>
          <t>23</t>
        </is>
      </c>
      <c r="AL392" t="inlineStr">
        <is>
          <t>99.4</t>
        </is>
      </c>
      <c r="AM392" t="inlineStr">
        <is>
          <t>12</t>
        </is>
      </c>
      <c r="AN392" t="inlineStr">
        <is>
          <t>98.5</t>
        </is>
      </c>
      <c r="AO392" t="inlineStr">
        <is>
          <t>42</t>
        </is>
      </c>
      <c r="AP392" t="inlineStr">
        <is>
          <t>94.0</t>
        </is>
      </c>
      <c r="AQ392" t="inlineStr">
        <is>
          <t>58</t>
        </is>
      </c>
      <c r="AR392" t="inlineStr">
        <is>
          <t>100.0</t>
        </is>
      </c>
      <c r="AS392" t="inlineStr">
        <is>
          <t>61</t>
        </is>
      </c>
      <c r="AT392" t="inlineStr">
        <is>
          <t>100.0</t>
        </is>
      </c>
      <c r="AU392" t="inlineStr">
        <is>
          <t>14</t>
        </is>
      </c>
      <c r="AV392" t="inlineStr">
        <is>
          <t>96.7</t>
        </is>
      </c>
      <c r="AW392" t="inlineStr">
        <is>
          <t>35</t>
        </is>
      </c>
      <c r="AX392" t="inlineStr">
        <is>
          <t>83</t>
        </is>
      </c>
      <c r="AY392" t="inlineStr">
        <is>
          <t>45</t>
        </is>
      </c>
      <c r="AZ392" t="inlineStr">
        <is>
          <t>94.4</t>
        </is>
      </c>
      <c r="BA392" t="inlineStr">
        <is>
          <t>61=</t>
        </is>
      </c>
    </row>
    <row r="393">
      <c r="A393" t="inlineStr">
        <is>
          <t>Independent University,Bangladesh</t>
        </is>
      </c>
      <c r="B393" t="inlineStr">
        <is>
          <t>Bangladesh</t>
        </is>
      </c>
      <c r="C393" t="inlineStr"/>
      <c r="D393" t="inlineStr">
        <is>
          <t>Asia</t>
        </is>
      </c>
      <c r="E393" t="inlineStr">
        <is>
          <t>M</t>
        </is>
      </c>
      <c r="F393" t="inlineStr">
        <is>
          <t>CO</t>
        </is>
      </c>
      <c r="G393" t="inlineStr">
        <is>
          <t>HI</t>
        </is>
      </c>
      <c r="H393" t="inlineStr"/>
      <c r="I393" t="inlineStr">
        <is>
          <t>Private not for Profit</t>
        </is>
      </c>
      <c r="J393" t="inlineStr">
        <is>
          <t>1401+</t>
        </is>
      </c>
      <c r="K393" t="inlineStr"/>
      <c r="L393" t="inlineStr"/>
      <c r="M393" t="inlineStr"/>
      <c r="N393" t="inlineStr">
        <is>
          <t>-</t>
        </is>
      </c>
      <c r="O393" t="inlineStr"/>
      <c r="P393" t="n">
        <v>8.800000000000001</v>
      </c>
      <c r="Q393" t="inlineStr">
        <is>
          <t>701+</t>
        </is>
      </c>
      <c r="R393" t="n">
        <v>16.9</v>
      </c>
      <c r="S393" t="inlineStr">
        <is>
          <t>701+</t>
        </is>
      </c>
      <c r="T393" t="n">
        <v>2.5</v>
      </c>
      <c r="U393" t="inlineStr">
        <is>
          <t>801+</t>
        </is>
      </c>
      <c r="V393" t="n">
        <v>7.3</v>
      </c>
      <c r="W393" t="inlineStr">
        <is>
          <t>801+</t>
        </is>
      </c>
      <c r="X393" t="n">
        <v>1.3</v>
      </c>
      <c r="Y393" t="inlineStr">
        <is>
          <t>801+</t>
        </is>
      </c>
      <c r="Z393" t="n">
        <v>1.1</v>
      </c>
      <c r="AA393" t="inlineStr">
        <is>
          <t>801+</t>
        </is>
      </c>
      <c r="AB393" t="n">
        <v>5.5</v>
      </c>
      <c r="AC393" t="inlineStr">
        <is>
          <t>801+</t>
        </is>
      </c>
      <c r="AD393" t="n">
        <v>12.1</v>
      </c>
      <c r="AE393" t="inlineStr">
        <is>
          <t>801+</t>
        </is>
      </c>
      <c r="AF393" t="n">
        <v>11.6</v>
      </c>
      <c r="AG393" t="inlineStr">
        <is>
          <t>801+</t>
        </is>
      </c>
      <c r="AH393" t="n">
        <v>24.9</v>
      </c>
      <c r="AI393" t="inlineStr">
        <is>
          <t>801+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Indian Institute of Information Technology - Allahabad</t>
        </is>
      </c>
      <c r="B394" t="inlineStr">
        <is>
          <t>India</t>
        </is>
      </c>
      <c r="C394" t="inlineStr"/>
      <c r="D394" t="inlineStr">
        <is>
          <t>Asia</t>
        </is>
      </c>
      <c r="E394" t="inlineStr">
        <is>
          <t>S</t>
        </is>
      </c>
      <c r="F394" t="inlineStr">
        <is>
          <t>FO</t>
        </is>
      </c>
      <c r="G394" t="inlineStr">
        <is>
          <t>VH</t>
        </is>
      </c>
      <c r="H394" t="inlineStr"/>
      <c r="I394" t="inlineStr">
        <is>
          <t>Public</t>
        </is>
      </c>
      <c r="J394" t="inlineStr">
        <is>
          <t>1401+</t>
        </is>
      </c>
      <c r="K394" t="inlineStr">
        <is>
          <t>1401+</t>
        </is>
      </c>
      <c r="L394" t="inlineStr"/>
      <c r="M394" t="inlineStr"/>
      <c r="N394" t="inlineStr">
        <is>
          <t>-</t>
        </is>
      </c>
      <c r="O394" t="inlineStr"/>
      <c r="P394" t="n">
        <v>4.2</v>
      </c>
      <c r="Q394" t="inlineStr">
        <is>
          <t>701+</t>
        </is>
      </c>
      <c r="R394" t="n">
        <v>12.7</v>
      </c>
      <c r="S394" t="inlineStr">
        <is>
          <t>701+</t>
        </is>
      </c>
      <c r="T394" t="n">
        <v>3.2</v>
      </c>
      <c r="U394" t="inlineStr">
        <is>
          <t>801+</t>
        </is>
      </c>
      <c r="V394" t="n">
        <v>27.5</v>
      </c>
      <c r="W394" t="inlineStr">
        <is>
          <t>613</t>
        </is>
      </c>
      <c r="X394" t="inlineStr"/>
      <c r="Y394" t="inlineStr"/>
      <c r="Z394" t="n">
        <v>4</v>
      </c>
      <c r="AA394" t="inlineStr">
        <is>
          <t>801+</t>
        </is>
      </c>
      <c r="AB394" t="n">
        <v>7.9</v>
      </c>
      <c r="AC394" t="inlineStr">
        <is>
          <t>801+</t>
        </is>
      </c>
      <c r="AD394" t="n">
        <v>8.4</v>
      </c>
      <c r="AE394" t="inlineStr">
        <is>
          <t>801+</t>
        </is>
      </c>
      <c r="AF394" t="n">
        <v>1.9</v>
      </c>
      <c r="AG394" t="inlineStr">
        <is>
          <t>801+</t>
        </is>
      </c>
      <c r="AH394" t="n">
        <v>6.6</v>
      </c>
      <c r="AI394" t="inlineStr">
        <is>
          <t>801+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Indian Institute of Science</t>
        </is>
      </c>
      <c r="B395" t="inlineStr">
        <is>
          <t>India</t>
        </is>
      </c>
      <c r="C395" t="inlineStr">
        <is>
          <t>IN</t>
        </is>
      </c>
      <c r="D395" t="inlineStr"/>
      <c r="E395" t="inlineStr">
        <is>
          <t>S</t>
        </is>
      </c>
      <c r="F395" t="inlineStr">
        <is>
          <t>SP</t>
        </is>
      </c>
      <c r="G395" t="inlineStr"/>
      <c r="H395" t="inlineStr">
        <is>
          <t>5</t>
        </is>
      </c>
      <c r="I395" t="inlineStr">
        <is>
          <t>A</t>
        </is>
      </c>
      <c r="J395" t="inlineStr"/>
      <c r="K395" t="inlineStr"/>
      <c r="L395" t="inlineStr">
        <is>
          <t>225</t>
        </is>
      </c>
      <c r="M395" t="inlineStr">
        <is>
          <t>155=</t>
        </is>
      </c>
      <c r="N395" t="inlineStr"/>
      <c r="O395" t="inlineStr">
        <is>
          <t>42.1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41.5</t>
        </is>
      </c>
      <c r="AK395" t="inlineStr">
        <is>
          <t>202</t>
        </is>
      </c>
      <c r="AL395" t="inlineStr">
        <is>
          <t>20.0</t>
        </is>
      </c>
      <c r="AM395" t="inlineStr">
        <is>
          <t>454</t>
        </is>
      </c>
      <c r="AN395" t="inlineStr">
        <is>
          <t>46.4</t>
        </is>
      </c>
      <c r="AO395" t="inlineStr">
        <is>
          <t>340</t>
        </is>
      </c>
      <c r="AP395" t="inlineStr">
        <is>
          <t>100.0</t>
        </is>
      </c>
      <c r="AQ395" t="inlineStr">
        <is>
          <t>6</t>
        </is>
      </c>
      <c r="AR395" t="inlineStr">
        <is>
          <t>4.8</t>
        </is>
      </c>
      <c r="AS395" t="inlineStr">
        <is>
          <t>701+</t>
        </is>
      </c>
      <c r="AT395" t="inlineStr">
        <is>
          <t>1.7</t>
        </is>
      </c>
      <c r="AU395" t="inlineStr">
        <is>
          <t>701+</t>
        </is>
      </c>
      <c r="AV395" t="inlineStr">
        <is>
          <t>4.4</t>
        </is>
      </c>
      <c r="AW395" t="inlineStr">
        <is>
          <t>701+</t>
        </is>
      </c>
      <c r="AX395" t="inlineStr">
        <is>
          <t>13.8</t>
        </is>
      </c>
      <c r="AY395" t="inlineStr">
        <is>
          <t>621</t>
        </is>
      </c>
      <c r="AZ395" t="inlineStr">
        <is>
          <t>10.7</t>
        </is>
      </c>
      <c r="BA395" t="inlineStr">
        <is>
          <t>660</t>
        </is>
      </c>
    </row>
    <row r="396">
      <c r="A396" t="inlineStr">
        <is>
          <t>Indian Institute of Science (IISc) Bangalore</t>
        </is>
      </c>
      <c r="B396" t="inlineStr">
        <is>
          <t>India</t>
        </is>
      </c>
      <c r="C396" t="inlineStr"/>
      <c r="D396" t="inlineStr">
        <is>
          <t>Asia</t>
        </is>
      </c>
      <c r="E396" t="inlineStr">
        <is>
          <t>M</t>
        </is>
      </c>
      <c r="F396" t="inlineStr">
        <is>
          <t>SP</t>
        </is>
      </c>
      <c r="G396" t="inlineStr">
        <is>
          <t>VH</t>
        </is>
      </c>
      <c r="H396" t="inlineStr"/>
      <c r="I396" t="inlineStr">
        <is>
          <t>Public</t>
        </is>
      </c>
      <c r="J396" t="inlineStr">
        <is>
          <t>219</t>
        </is>
      </c>
      <c r="K396" t="inlineStr">
        <is>
          <t>211</t>
        </is>
      </c>
      <c r="L396" t="inlineStr"/>
      <c r="M396" t="inlineStr"/>
      <c r="N396" t="inlineStr">
        <is>
          <t>54.2</t>
        </is>
      </c>
      <c r="O396" t="inlineStr"/>
      <c r="P396" t="n">
        <v>56.6</v>
      </c>
      <c r="Q396" t="inlineStr">
        <is>
          <t>198</t>
        </is>
      </c>
      <c r="R396" t="n">
        <v>46.4</v>
      </c>
      <c r="S396" t="inlineStr">
        <is>
          <t>286</t>
        </is>
      </c>
      <c r="T396" t="n">
        <v>39.1</v>
      </c>
      <c r="U396" t="inlineStr">
        <is>
          <t>520</t>
        </is>
      </c>
      <c r="V396" t="n">
        <v>99.90000000000001</v>
      </c>
      <c r="W396" t="inlineStr">
        <is>
          <t>15</t>
        </is>
      </c>
      <c r="X396" t="n">
        <v>5.6</v>
      </c>
      <c r="Y396" t="inlineStr">
        <is>
          <t>801+</t>
        </is>
      </c>
      <c r="Z396" t="n">
        <v>2.1</v>
      </c>
      <c r="AA396" t="inlineStr">
        <is>
          <t>801+</t>
        </is>
      </c>
      <c r="AB396" t="n">
        <v>6.4</v>
      </c>
      <c r="AC396" t="inlineStr">
        <is>
          <t>801+</t>
        </is>
      </c>
      <c r="AD396" t="n">
        <v>45.4</v>
      </c>
      <c r="AE396" t="inlineStr">
        <is>
          <t>801+</t>
        </is>
      </c>
      <c r="AF396" t="n">
        <v>15.1</v>
      </c>
      <c r="AG396" t="inlineStr">
        <is>
          <t>801+</t>
        </is>
      </c>
      <c r="AH396" t="n">
        <v>66.3</v>
      </c>
      <c r="AI396" t="inlineStr">
        <is>
          <t>374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Indian Institute of Technology (BHU) Varanasi</t>
        </is>
      </c>
      <c r="B397" t="inlineStr">
        <is>
          <t>India</t>
        </is>
      </c>
      <c r="C397" t="inlineStr">
        <is>
          <t>IN</t>
        </is>
      </c>
      <c r="D397" t="inlineStr"/>
      <c r="E397" t="inlineStr">
        <is>
          <t>M</t>
        </is>
      </c>
      <c r="F397" t="inlineStr">
        <is>
          <t>FO</t>
        </is>
      </c>
      <c r="G397" t="inlineStr">
        <is>
          <t>VH</t>
        </is>
      </c>
      <c r="H397" t="inlineStr">
        <is>
          <t>5</t>
        </is>
      </c>
      <c r="I397" t="inlineStr">
        <is>
          <t>A</t>
        </is>
      </c>
      <c r="J397" t="inlineStr"/>
      <c r="K397" t="inlineStr"/>
      <c r="L397">
        <f>571</f>
        <v/>
      </c>
      <c r="M397" t="inlineStr">
        <is>
          <t>651-700</t>
        </is>
      </c>
      <c r="N397" t="inlineStr"/>
      <c r="O397" t="inlineStr">
        <is>
          <t>20.7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4.4</t>
        </is>
      </c>
      <c r="AK397" t="inlineStr">
        <is>
          <t>601+</t>
        </is>
      </c>
      <c r="AL397" t="inlineStr">
        <is>
          <t>3.6</t>
        </is>
      </c>
      <c r="AM397" t="inlineStr">
        <is>
          <t>601+</t>
        </is>
      </c>
      <c r="AN397" t="inlineStr">
        <is>
          <t>3.9</t>
        </is>
      </c>
      <c r="AO397" t="inlineStr">
        <is>
          <t>701+</t>
        </is>
      </c>
      <c r="AP397" t="inlineStr">
        <is>
          <t>88.7</t>
        </is>
      </c>
      <c r="AQ397" t="inlineStr">
        <is>
          <t>78</t>
        </is>
      </c>
      <c r="AR397" t="inlineStr">
        <is>
          <t>1.4</t>
        </is>
      </c>
      <c r="AS397" t="inlineStr">
        <is>
          <t>701+</t>
        </is>
      </c>
      <c r="AT397" t="inlineStr">
        <is>
          <t>1.1</t>
        </is>
      </c>
      <c r="AU397" t="inlineStr">
        <is>
          <t>701+</t>
        </is>
      </c>
      <c r="AV397" t="inlineStr">
        <is>
          <t>1.5</t>
        </is>
      </c>
      <c r="AW397" t="inlineStr">
        <is>
          <t>701+</t>
        </is>
      </c>
      <c r="AX397" t="inlineStr">
        <is>
          <t>8.2</t>
        </is>
      </c>
      <c r="AY397" t="inlineStr">
        <is>
          <t>701+</t>
        </is>
      </c>
      <c r="AZ397" t="inlineStr">
        <is>
          <t>4</t>
        </is>
      </c>
      <c r="BA397" t="inlineStr">
        <is>
          <t>701+</t>
        </is>
      </c>
    </row>
    <row r="398">
      <c r="A398" t="inlineStr">
        <is>
          <t>Indian Institute of Technology BHU Varanasi (IIT BHU Varanasi)</t>
        </is>
      </c>
      <c r="B398" t="inlineStr">
        <is>
          <t>India</t>
        </is>
      </c>
      <c r="C398" t="inlineStr"/>
      <c r="D398" t="inlineStr">
        <is>
          <t>Asia</t>
        </is>
      </c>
      <c r="E398" t="inlineStr">
        <is>
          <t>M</t>
        </is>
      </c>
      <c r="F398" t="inlineStr">
        <is>
          <t>FO</t>
        </is>
      </c>
      <c r="G398" t="inlineStr">
        <is>
          <t>VH</t>
        </is>
      </c>
      <c r="H398" t="inlineStr"/>
      <c r="I398" t="inlineStr">
        <is>
          <t>Public</t>
        </is>
      </c>
      <c r="J398" t="inlineStr">
        <is>
          <t>566</t>
        </is>
      </c>
      <c r="K398" t="inlineStr">
        <is>
          <t>531</t>
        </is>
      </c>
      <c r="L398" t="inlineStr"/>
      <c r="M398" t="inlineStr"/>
      <c r="N398" t="inlineStr">
        <is>
          <t>29.3</t>
        </is>
      </c>
      <c r="O398" t="inlineStr"/>
      <c r="P398" t="n">
        <v>9.300000000000001</v>
      </c>
      <c r="Q398" t="inlineStr">
        <is>
          <t>701+</t>
        </is>
      </c>
      <c r="R398" t="n">
        <v>19.4</v>
      </c>
      <c r="S398" t="inlineStr">
        <is>
          <t>670</t>
        </is>
      </c>
      <c r="T398" t="n">
        <v>5.2</v>
      </c>
      <c r="U398" t="inlineStr">
        <is>
          <t>801+</t>
        </is>
      </c>
      <c r="V398" t="n">
        <v>98</v>
      </c>
      <c r="W398" t="inlineStr">
        <is>
          <t>47</t>
        </is>
      </c>
      <c r="X398" t="n">
        <v>2.5</v>
      </c>
      <c r="Y398" t="inlineStr">
        <is>
          <t>801+</t>
        </is>
      </c>
      <c r="Z398" t="n">
        <v>1.2</v>
      </c>
      <c r="AA398" t="inlineStr">
        <is>
          <t>801+</t>
        </is>
      </c>
      <c r="AB398" t="n">
        <v>5.6</v>
      </c>
      <c r="AC398" t="inlineStr">
        <is>
          <t>801+</t>
        </is>
      </c>
      <c r="AD398" t="n">
        <v>30.5</v>
      </c>
      <c r="AE398" t="inlineStr">
        <is>
          <t>801+</t>
        </is>
      </c>
      <c r="AF398" t="n">
        <v>10.3</v>
      </c>
      <c r="AG398" t="inlineStr">
        <is>
          <t>801+</t>
        </is>
      </c>
      <c r="AH398" t="n">
        <v>48.3</v>
      </c>
      <c r="AI398" t="inlineStr">
        <is>
          <t>749=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Indian Institute of Technology Bhubaneswar</t>
        </is>
      </c>
      <c r="B399" t="inlineStr">
        <is>
          <t>India</t>
        </is>
      </c>
      <c r="C399" t="inlineStr">
        <is>
          <t>IN</t>
        </is>
      </c>
      <c r="D399" t="inlineStr"/>
      <c r="E399" t="inlineStr">
        <is>
          <t>S</t>
        </is>
      </c>
      <c r="F399" t="inlineStr">
        <is>
          <t>FO</t>
        </is>
      </c>
      <c r="G399" t="inlineStr">
        <is>
          <t>VH</t>
        </is>
      </c>
      <c r="H399" t="inlineStr">
        <is>
          <t>2</t>
        </is>
      </c>
      <c r="I399" t="inlineStr">
        <is>
          <t>A</t>
        </is>
      </c>
      <c r="J399" t="inlineStr"/>
      <c r="K399" t="inlineStr"/>
      <c r="L399" t="inlineStr">
        <is>
          <t>731-740</t>
        </is>
      </c>
      <c r="M399" t="inlineStr">
        <is>
          <t>801-1000</t>
        </is>
      </c>
      <c r="N399" t="inlineStr"/>
      <c r="O399" t="inlineStr">
        <is>
          <t>-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3.8</t>
        </is>
      </c>
      <c r="AK399" t="inlineStr">
        <is>
          <t>601+</t>
        </is>
      </c>
      <c r="AL399" t="inlineStr">
        <is>
          <t>3.4</t>
        </is>
      </c>
      <c r="AM399" t="inlineStr">
        <is>
          <t>601+</t>
        </is>
      </c>
      <c r="AN399" t="inlineStr">
        <is>
          <t>12.0</t>
        </is>
      </c>
      <c r="AO399" t="inlineStr">
        <is>
          <t>701+</t>
        </is>
      </c>
      <c r="AP399" t="inlineStr">
        <is>
          <t>63.3</t>
        </is>
      </c>
      <c r="AQ399" t="inlineStr">
        <is>
          <t>188</t>
        </is>
      </c>
      <c r="AR399" t="inlineStr">
        <is>
          <t>1.6</t>
        </is>
      </c>
      <c r="AS399" t="inlineStr">
        <is>
          <t>701+</t>
        </is>
      </c>
      <c r="AT399" t="inlineStr">
        <is>
          <t>1.0</t>
        </is>
      </c>
      <c r="AU399" t="inlineStr">
        <is>
          <t>701+</t>
        </is>
      </c>
      <c r="AV399" t="inlineStr">
        <is>
          <t>1.0</t>
        </is>
      </c>
      <c r="AW399" t="inlineStr">
        <is>
          <t>701+</t>
        </is>
      </c>
      <c r="AX399" t="inlineStr">
        <is>
          <t>8.2</t>
        </is>
      </c>
      <c r="AY399" t="inlineStr">
        <is>
          <t>701+</t>
        </is>
      </c>
      <c r="AZ399" t="inlineStr">
        <is>
          <t>1</t>
        </is>
      </c>
      <c r="BA399" t="inlineStr">
        <is>
          <t>701+</t>
        </is>
      </c>
    </row>
    <row r="400">
      <c r="A400" t="inlineStr">
        <is>
          <t>Indian Institute of Technology Bhubaneswar (IIT BBS)</t>
        </is>
      </c>
      <c r="B400" t="inlineStr">
        <is>
          <t>India</t>
        </is>
      </c>
      <c r="C400" t="inlineStr"/>
      <c r="D400" t="inlineStr">
        <is>
          <t>Asia</t>
        </is>
      </c>
      <c r="E400" t="inlineStr">
        <is>
          <t>S</t>
        </is>
      </c>
      <c r="F400" t="inlineStr">
        <is>
          <t>FO</t>
        </is>
      </c>
      <c r="G400" t="inlineStr">
        <is>
          <t>VH</t>
        </is>
      </c>
      <c r="H400" t="inlineStr"/>
      <c r="I400" t="inlineStr">
        <is>
          <t>Public</t>
        </is>
      </c>
      <c r="J400" t="inlineStr">
        <is>
          <t>951-1000</t>
        </is>
      </c>
      <c r="K400" t="inlineStr">
        <is>
          <t>951-1000</t>
        </is>
      </c>
      <c r="L400" t="inlineStr"/>
      <c r="M400" t="inlineStr"/>
      <c r="N400" t="inlineStr">
        <is>
          <t>-</t>
        </is>
      </c>
      <c r="O400" t="inlineStr"/>
      <c r="P400" t="n">
        <v>5</v>
      </c>
      <c r="Q400" t="inlineStr">
        <is>
          <t>701+</t>
        </is>
      </c>
      <c r="R400" t="n">
        <v>12.4</v>
      </c>
      <c r="S400" t="inlineStr">
        <is>
          <t>701+</t>
        </is>
      </c>
      <c r="T400" t="n">
        <v>15.9</v>
      </c>
      <c r="U400" t="inlineStr">
        <is>
          <t>801+</t>
        </is>
      </c>
      <c r="V400" t="n">
        <v>55.6</v>
      </c>
      <c r="W400" t="inlineStr">
        <is>
          <t>321</t>
        </is>
      </c>
      <c r="X400" t="inlineStr"/>
      <c r="Y400" t="inlineStr"/>
      <c r="Z400" t="n">
        <v>1.1</v>
      </c>
      <c r="AA400" t="inlineStr">
        <is>
          <t>801+</t>
        </is>
      </c>
      <c r="AB400" t="n">
        <v>5.5</v>
      </c>
      <c r="AC400" t="inlineStr">
        <is>
          <t>801+</t>
        </is>
      </c>
      <c r="AD400" t="n">
        <v>10.8</v>
      </c>
      <c r="AE400" t="inlineStr">
        <is>
          <t>801+</t>
        </is>
      </c>
      <c r="AF400" t="n">
        <v>1.8</v>
      </c>
      <c r="AG400" t="inlineStr">
        <is>
          <t>801+</t>
        </is>
      </c>
      <c r="AH400" t="n">
        <v>42.4</v>
      </c>
      <c r="AI400" t="inlineStr">
        <is>
          <t>801+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Indian Institute of Technology Bombay (IITB)</t>
        </is>
      </c>
      <c r="B401" t="inlineStr">
        <is>
          <t>India</t>
        </is>
      </c>
      <c r="C401" t="inlineStr">
        <is>
          <t>IN</t>
        </is>
      </c>
      <c r="D401" t="inlineStr">
        <is>
          <t>Asia</t>
        </is>
      </c>
      <c r="E401" t="inlineStr">
        <is>
          <t>L</t>
        </is>
      </c>
      <c r="F401" t="inlineStr">
        <is>
          <t>FO</t>
        </is>
      </c>
      <c r="G401" t="inlineStr">
        <is>
          <t>VH</t>
        </is>
      </c>
      <c r="H401" t="inlineStr">
        <is>
          <t>4</t>
        </is>
      </c>
      <c r="I401" t="inlineStr">
        <is>
          <t>Public</t>
        </is>
      </c>
      <c r="J401" t="inlineStr">
        <is>
          <t>129</t>
        </is>
      </c>
      <c r="K401" t="inlineStr">
        <is>
          <t>118</t>
        </is>
      </c>
      <c r="L401">
        <f>149</f>
        <v/>
      </c>
      <c r="M401" t="inlineStr">
        <is>
          <t>172=</t>
        </is>
      </c>
      <c r="N401" t="inlineStr">
        <is>
          <t>64.8</t>
        </is>
      </c>
      <c r="O401" t="inlineStr">
        <is>
          <t>51.7</t>
        </is>
      </c>
      <c r="P401" t="n">
        <v>73.3</v>
      </c>
      <c r="Q401" t="inlineStr">
        <is>
          <t>120</t>
        </is>
      </c>
      <c r="R401" t="n">
        <v>96.7</v>
      </c>
      <c r="S401" t="inlineStr">
        <is>
          <t>39</t>
        </is>
      </c>
      <c r="T401" t="n">
        <v>16.1</v>
      </c>
      <c r="U401" t="inlineStr">
        <is>
          <t>801+</t>
        </is>
      </c>
      <c r="V401" t="n">
        <v>82.90000000000001</v>
      </c>
      <c r="W401" t="inlineStr">
        <is>
          <t>136</t>
        </is>
      </c>
      <c r="X401" t="n">
        <v>6.5</v>
      </c>
      <c r="Y401" t="inlineStr">
        <is>
          <t>801+</t>
        </is>
      </c>
      <c r="Z401" t="n">
        <v>1.6</v>
      </c>
      <c r="AA401" t="inlineStr">
        <is>
          <t>801+</t>
        </is>
      </c>
      <c r="AB401" t="n">
        <v>1.5</v>
      </c>
      <c r="AC401" t="inlineStr">
        <is>
          <t>801+</t>
        </is>
      </c>
      <c r="AD401" t="n">
        <v>46.6</v>
      </c>
      <c r="AE401" t="inlineStr">
        <is>
          <t>801+</t>
        </is>
      </c>
      <c r="AF401" t="n">
        <v>72.59999999999999</v>
      </c>
      <c r="AG401" t="inlineStr">
        <is>
          <t>198</t>
        </is>
      </c>
      <c r="AH401" t="n">
        <v>75.2</v>
      </c>
      <c r="AI401" t="inlineStr">
        <is>
          <t>232=</t>
        </is>
      </c>
      <c r="AJ401" t="inlineStr">
        <is>
          <t>55.5</t>
        </is>
      </c>
      <c r="AK401" t="inlineStr">
        <is>
          <t>141</t>
        </is>
      </c>
      <c r="AL401" t="inlineStr">
        <is>
          <t>81.9</t>
        </is>
      </c>
      <c r="AM401" t="inlineStr">
        <is>
          <t>69</t>
        </is>
      </c>
      <c r="AN401" t="inlineStr">
        <is>
          <t>18.9</t>
        </is>
      </c>
      <c r="AO401" t="inlineStr">
        <is>
          <t>697</t>
        </is>
      </c>
      <c r="AP401" t="inlineStr">
        <is>
          <t>73.1</t>
        </is>
      </c>
      <c r="AQ401" t="inlineStr">
        <is>
          <t>133</t>
        </is>
      </c>
      <c r="AR401" t="inlineStr">
        <is>
          <t>4.7</t>
        </is>
      </c>
      <c r="AS401" t="inlineStr">
        <is>
          <t>701+</t>
        </is>
      </c>
      <c r="AT401" t="inlineStr">
        <is>
          <t>1.4</t>
        </is>
      </c>
      <c r="AU401" t="inlineStr">
        <is>
          <t>701+</t>
        </is>
      </c>
      <c r="AV401" t="inlineStr">
        <is>
          <t>8.5</t>
        </is>
      </c>
      <c r="AW401" t="inlineStr">
        <is>
          <t>701+</t>
        </is>
      </c>
      <c r="AX401" t="inlineStr">
        <is>
          <t>47.4</t>
        </is>
      </c>
      <c r="AY401" t="inlineStr">
        <is>
          <t>146</t>
        </is>
      </c>
      <c r="AZ401" t="inlineStr">
        <is>
          <t>54.9</t>
        </is>
      </c>
      <c r="BA401" t="inlineStr">
        <is>
          <t>277=</t>
        </is>
      </c>
    </row>
    <row r="402">
      <c r="A402" t="inlineStr">
        <is>
          <t>Indian Institute of Technology Delhi (IITD)</t>
        </is>
      </c>
      <c r="B402" t="inlineStr">
        <is>
          <t>India</t>
        </is>
      </c>
      <c r="C402" t="inlineStr">
        <is>
          <t>IN</t>
        </is>
      </c>
      <c r="D402" t="inlineStr">
        <is>
          <t>Asia</t>
        </is>
      </c>
      <c r="E402" t="inlineStr">
        <is>
          <t>M</t>
        </is>
      </c>
      <c r="F402" t="inlineStr">
        <is>
          <t>FO</t>
        </is>
      </c>
      <c r="G402" t="inlineStr">
        <is>
          <t>VH</t>
        </is>
      </c>
      <c r="H402" t="inlineStr">
        <is>
          <t>4</t>
        </is>
      </c>
      <c r="I402" t="inlineStr">
        <is>
          <t>Public</t>
        </is>
      </c>
      <c r="J402" t="inlineStr">
        <is>
          <t>123</t>
        </is>
      </c>
      <c r="K402" t="inlineStr">
        <is>
          <t>150</t>
        </is>
      </c>
      <c r="L402" t="inlineStr">
        <is>
          <t>197</t>
        </is>
      </c>
      <c r="M402" t="inlineStr">
        <is>
          <t>174=</t>
        </is>
      </c>
      <c r="N402" t="inlineStr">
        <is>
          <t>65.5</t>
        </is>
      </c>
      <c r="O402" t="inlineStr">
        <is>
          <t>46.1</t>
        </is>
      </c>
      <c r="P402" t="n">
        <v>67.90000000000001</v>
      </c>
      <c r="Q402" t="inlineStr">
        <is>
          <t>142</t>
        </is>
      </c>
      <c r="R402" t="n">
        <v>95</v>
      </c>
      <c r="S402" t="inlineStr">
        <is>
          <t>50</t>
        </is>
      </c>
      <c r="T402" t="n">
        <v>21.9</v>
      </c>
      <c r="U402" t="inlineStr">
        <is>
          <t>792</t>
        </is>
      </c>
      <c r="V402" t="n">
        <v>93.09999999999999</v>
      </c>
      <c r="W402" t="inlineStr">
        <is>
          <t>86</t>
        </is>
      </c>
      <c r="X402" t="n">
        <v>3.2</v>
      </c>
      <c r="Y402" t="inlineStr">
        <is>
          <t>801+</t>
        </is>
      </c>
      <c r="Z402" t="n">
        <v>1.9</v>
      </c>
      <c r="AA402" t="inlineStr">
        <is>
          <t>801+</t>
        </is>
      </c>
      <c r="AB402" t="n">
        <v>6.3</v>
      </c>
      <c r="AC402" t="inlineStr">
        <is>
          <t>801+</t>
        </is>
      </c>
      <c r="AD402" t="n">
        <v>66.90000000000001</v>
      </c>
      <c r="AE402" t="inlineStr">
        <is>
          <t>590</t>
        </is>
      </c>
      <c r="AF402" t="n">
        <v>50.5</v>
      </c>
      <c r="AG402" t="inlineStr">
        <is>
          <t>340</t>
        </is>
      </c>
      <c r="AH402" t="n">
        <v>79.90000000000001</v>
      </c>
      <c r="AI402" t="inlineStr">
        <is>
          <t>172=</t>
        </is>
      </c>
      <c r="AJ402" t="inlineStr">
        <is>
          <t>51.2</t>
        </is>
      </c>
      <c r="AK402" t="inlineStr">
        <is>
          <t>158</t>
        </is>
      </c>
      <c r="AL402" t="inlineStr">
        <is>
          <t>75.9</t>
        </is>
      </c>
      <c r="AM402" t="inlineStr">
        <is>
          <t>80</t>
        </is>
      </c>
      <c r="AN402" t="inlineStr">
        <is>
          <t>22.0</t>
        </is>
      </c>
      <c r="AO402" t="inlineStr">
        <is>
          <t>630</t>
        </is>
      </c>
      <c r="AP402" t="inlineStr">
        <is>
          <t>64.3</t>
        </is>
      </c>
      <c r="AQ402" t="inlineStr">
        <is>
          <t>182</t>
        </is>
      </c>
      <c r="AR402" t="inlineStr">
        <is>
          <t>2.4</t>
        </is>
      </c>
      <c r="AS402" t="inlineStr">
        <is>
          <t>701+</t>
        </is>
      </c>
      <c r="AT402" t="inlineStr">
        <is>
          <t>1.4</t>
        </is>
      </c>
      <c r="AU402" t="inlineStr">
        <is>
          <t>701+</t>
        </is>
      </c>
      <c r="AV402" t="inlineStr">
        <is>
          <t>6.6</t>
        </is>
      </c>
      <c r="AW402" t="inlineStr">
        <is>
          <t>701+</t>
        </is>
      </c>
      <c r="AX402" t="inlineStr">
        <is>
          <t>32.8</t>
        </is>
      </c>
      <c r="AY402" t="inlineStr">
        <is>
          <t>234</t>
        </is>
      </c>
      <c r="AZ402" t="inlineStr">
        <is>
          <t>37.5</t>
        </is>
      </c>
      <c r="BA402" t="inlineStr">
        <is>
          <t>382=</t>
        </is>
      </c>
    </row>
    <row r="403">
      <c r="A403" t="inlineStr">
        <is>
          <t>Indian Institute of Technology Guwahati (IITG)</t>
        </is>
      </c>
      <c r="B403" t="inlineStr">
        <is>
          <t>India</t>
        </is>
      </c>
      <c r="C403" t="inlineStr">
        <is>
          <t>IN</t>
        </is>
      </c>
      <c r="D403" t="inlineStr">
        <is>
          <t>Asia</t>
        </is>
      </c>
      <c r="E403" t="inlineStr">
        <is>
          <t>M</t>
        </is>
      </c>
      <c r="F403" t="inlineStr">
        <is>
          <t>CO</t>
        </is>
      </c>
      <c r="G403" t="inlineStr">
        <is>
          <t>VH</t>
        </is>
      </c>
      <c r="H403" t="inlineStr">
        <is>
          <t>3</t>
        </is>
      </c>
      <c r="I403" t="inlineStr">
        <is>
          <t>Public</t>
        </is>
      </c>
      <c r="J403" t="inlineStr">
        <is>
          <t>334</t>
        </is>
      </c>
      <c r="K403" t="inlineStr">
        <is>
          <t>344</t>
        </is>
      </c>
      <c r="L403">
        <f>364</f>
        <v/>
      </c>
      <c r="M403" t="inlineStr">
        <is>
          <t>384=</t>
        </is>
      </c>
      <c r="N403" t="inlineStr">
        <is>
          <t>42.3</t>
        </is>
      </c>
      <c r="O403" t="inlineStr">
        <is>
          <t>30.3</t>
        </is>
      </c>
      <c r="P403" t="n">
        <v>25.4</v>
      </c>
      <c r="Q403" t="inlineStr">
        <is>
          <t>500</t>
        </is>
      </c>
      <c r="R403" t="n">
        <v>62</v>
      </c>
      <c r="S403" t="inlineStr">
        <is>
          <t>184</t>
        </is>
      </c>
      <c r="T403" t="n">
        <v>10.2</v>
      </c>
      <c r="U403" t="inlineStr">
        <is>
          <t>801+</t>
        </is>
      </c>
      <c r="V403" t="n">
        <v>96.90000000000001</v>
      </c>
      <c r="W403" t="inlineStr">
        <is>
          <t>56</t>
        </is>
      </c>
      <c r="X403" t="n">
        <v>8.1</v>
      </c>
      <c r="Y403" t="inlineStr">
        <is>
          <t>801+</t>
        </is>
      </c>
      <c r="Z403" t="n">
        <v>1.6</v>
      </c>
      <c r="AA403" t="inlineStr">
        <is>
          <t>801+</t>
        </is>
      </c>
      <c r="AB403" t="n">
        <v>5.9</v>
      </c>
      <c r="AC403" t="inlineStr">
        <is>
          <t>801+</t>
        </is>
      </c>
      <c r="AD403" t="n">
        <v>53.1</v>
      </c>
      <c r="AE403" t="inlineStr">
        <is>
          <t>795</t>
        </is>
      </c>
      <c r="AF403" t="n">
        <v>8.699999999999999</v>
      </c>
      <c r="AG403" t="inlineStr">
        <is>
          <t>801+</t>
        </is>
      </c>
      <c r="AH403" t="n">
        <v>43</v>
      </c>
      <c r="AI403" t="inlineStr">
        <is>
          <t>801+</t>
        </is>
      </c>
      <c r="AJ403" t="inlineStr">
        <is>
          <t>17.0</t>
        </is>
      </c>
      <c r="AK403" t="inlineStr">
        <is>
          <t>523</t>
        </is>
      </c>
      <c r="AL403" t="inlineStr">
        <is>
          <t>25.2</t>
        </is>
      </c>
      <c r="AM403" t="inlineStr">
        <is>
          <t>381</t>
        </is>
      </c>
      <c r="AN403" t="inlineStr">
        <is>
          <t>7.7</t>
        </is>
      </c>
      <c r="AO403" t="inlineStr">
        <is>
          <t>701+</t>
        </is>
      </c>
      <c r="AP403" t="inlineStr">
        <is>
          <t>98.1</t>
        </is>
      </c>
      <c r="AQ403" t="inlineStr">
        <is>
          <t>32</t>
        </is>
      </c>
      <c r="AR403" t="inlineStr">
        <is>
          <t>3.0</t>
        </is>
      </c>
      <c r="AS403" t="inlineStr">
        <is>
          <t>701+</t>
        </is>
      </c>
      <c r="AT403" t="inlineStr">
        <is>
          <t>1.3</t>
        </is>
      </c>
      <c r="AU403" t="inlineStr">
        <is>
          <t>701+</t>
        </is>
      </c>
      <c r="AV403" t="inlineStr">
        <is>
          <t>5.8</t>
        </is>
      </c>
      <c r="AW403" t="inlineStr">
        <is>
          <t>701+</t>
        </is>
      </c>
      <c r="AX403" t="inlineStr">
        <is>
          <t>5.5</t>
        </is>
      </c>
      <c r="AY403" t="inlineStr">
        <is>
          <t>701+</t>
        </is>
      </c>
      <c r="AZ403" t="inlineStr">
        <is>
          <t>4.4</t>
        </is>
      </c>
      <c r="BA403" t="inlineStr">
        <is>
          <t>701+</t>
        </is>
      </c>
    </row>
    <row r="404">
      <c r="A404" t="inlineStr">
        <is>
          <t>Indian Institute of Technology Hyderabad</t>
        </is>
      </c>
      <c r="B404" t="inlineStr">
        <is>
          <t>India</t>
        </is>
      </c>
      <c r="C404" t="inlineStr">
        <is>
          <t>IN</t>
        </is>
      </c>
      <c r="D404" t="inlineStr"/>
      <c r="E404" t="inlineStr">
        <is>
          <t>S</t>
        </is>
      </c>
      <c r="F404" t="inlineStr">
        <is>
          <t>CO</t>
        </is>
      </c>
      <c r="G404" t="inlineStr">
        <is>
          <t>VH</t>
        </is>
      </c>
      <c r="H404" t="inlineStr">
        <is>
          <t>2</t>
        </is>
      </c>
      <c r="I404" t="inlineStr">
        <is>
          <t>A</t>
        </is>
      </c>
      <c r="J404" t="inlineStr"/>
      <c r="K404" t="inlineStr"/>
      <c r="L404" t="inlineStr">
        <is>
          <t>691-700</t>
        </is>
      </c>
      <c r="M404" t="inlineStr">
        <is>
          <t>581-590</t>
        </is>
      </c>
      <c r="N404" t="inlineStr"/>
      <c r="O404" t="inlineStr">
        <is>
          <t>-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5.1</t>
        </is>
      </c>
      <c r="AK404" t="inlineStr">
        <is>
          <t>601+</t>
        </is>
      </c>
      <c r="AL404" t="inlineStr">
        <is>
          <t>2.7</t>
        </is>
      </c>
      <c r="AM404" t="inlineStr">
        <is>
          <t>601+</t>
        </is>
      </c>
      <c r="AN404" t="inlineStr">
        <is>
          <t>16.6</t>
        </is>
      </c>
      <c r="AO404" t="inlineStr">
        <is>
          <t>701+</t>
        </is>
      </c>
      <c r="AP404" t="inlineStr">
        <is>
          <t>64.3</t>
        </is>
      </c>
      <c r="AQ404" t="inlineStr">
        <is>
          <t>181</t>
        </is>
      </c>
      <c r="AR404" t="inlineStr">
        <is>
          <t>1.2</t>
        </is>
      </c>
      <c r="AS404" t="inlineStr">
        <is>
          <t>701+</t>
        </is>
      </c>
      <c r="AT404" t="inlineStr">
        <is>
          <t>1.1</t>
        </is>
      </c>
      <c r="AU404" t="inlineStr">
        <is>
          <t>701+</t>
        </is>
      </c>
      <c r="AV404" t="inlineStr">
        <is>
          <t>1.0</t>
        </is>
      </c>
      <c r="AW404" t="inlineStr">
        <is>
          <t>701+</t>
        </is>
      </c>
      <c r="AX404" t="inlineStr">
        <is>
          <t>8.2</t>
        </is>
      </c>
      <c r="AY404" t="inlineStr">
        <is>
          <t>701+</t>
        </is>
      </c>
      <c r="AZ404" t="inlineStr">
        <is>
          <t>2.6</t>
        </is>
      </c>
      <c r="BA404" t="inlineStr">
        <is>
          <t>701+</t>
        </is>
      </c>
    </row>
    <row r="405">
      <c r="A405" t="inlineStr">
        <is>
          <t>Indian Institute of Technology Hyderabad (IITH)</t>
        </is>
      </c>
      <c r="B405" t="inlineStr">
        <is>
          <t>India</t>
        </is>
      </c>
      <c r="C405" t="inlineStr"/>
      <c r="D405" t="inlineStr">
        <is>
          <t>Asia</t>
        </is>
      </c>
      <c r="E405" t="inlineStr">
        <is>
          <t>S</t>
        </is>
      </c>
      <c r="F405" t="inlineStr">
        <is>
          <t>CO</t>
        </is>
      </c>
      <c r="G405" t="inlineStr">
        <is>
          <t>VH</t>
        </is>
      </c>
      <c r="H405" t="inlineStr"/>
      <c r="I405" t="inlineStr">
        <is>
          <t>Public</t>
        </is>
      </c>
      <c r="J405" t="inlineStr">
        <is>
          <t>664</t>
        </is>
      </c>
      <c r="K405" t="inlineStr">
        <is>
          <t>681-690</t>
        </is>
      </c>
      <c r="L405" t="inlineStr"/>
      <c r="M405" t="inlineStr"/>
      <c r="N405" t="inlineStr">
        <is>
          <t>26.4</t>
        </is>
      </c>
      <c r="O405" t="inlineStr"/>
      <c r="P405" t="n">
        <v>10.3</v>
      </c>
      <c r="Q405" t="inlineStr">
        <is>
          <t>701+</t>
        </is>
      </c>
      <c r="R405" t="n">
        <v>15</v>
      </c>
      <c r="S405" t="inlineStr">
        <is>
          <t>701+</t>
        </is>
      </c>
      <c r="T405" t="n">
        <v>20.2</v>
      </c>
      <c r="U405" t="inlineStr">
        <is>
          <t>801+</t>
        </is>
      </c>
      <c r="V405" t="n">
        <v>84</v>
      </c>
      <c r="W405" t="inlineStr">
        <is>
          <t>130</t>
        </is>
      </c>
      <c r="X405" t="n">
        <v>1.3</v>
      </c>
      <c r="Y405" t="inlineStr">
        <is>
          <t>801+</t>
        </is>
      </c>
      <c r="Z405" t="n">
        <v>1.9</v>
      </c>
      <c r="AA405" t="inlineStr">
        <is>
          <t>801+</t>
        </is>
      </c>
      <c r="AB405" t="n">
        <v>6.2</v>
      </c>
      <c r="AC405" t="inlineStr">
        <is>
          <t>801+</t>
        </is>
      </c>
      <c r="AD405" t="n">
        <v>18</v>
      </c>
      <c r="AE405" t="inlineStr">
        <is>
          <t>801+</t>
        </is>
      </c>
      <c r="AF405" t="n">
        <v>6.5</v>
      </c>
      <c r="AG405" t="inlineStr">
        <is>
          <t>801+</t>
        </is>
      </c>
      <c r="AH405" t="n">
        <v>42.3</v>
      </c>
      <c r="AI405" t="inlineStr">
        <is>
          <t>801+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inlineStr">
        <is>
          <t>Indian Institute of Technology Indore</t>
        </is>
      </c>
      <c r="B406" t="inlineStr">
        <is>
          <t>India</t>
        </is>
      </c>
      <c r="C406" t="inlineStr"/>
      <c r="D406" t="inlineStr">
        <is>
          <t>Asia</t>
        </is>
      </c>
      <c r="E406" t="inlineStr">
        <is>
          <t>S</t>
        </is>
      </c>
      <c r="F406" t="inlineStr">
        <is>
          <t>FO</t>
        </is>
      </c>
      <c r="G406" t="inlineStr">
        <is>
          <t>VH</t>
        </is>
      </c>
      <c r="H406" t="inlineStr"/>
      <c r="I406" t="inlineStr">
        <is>
          <t>Public</t>
        </is>
      </c>
      <c r="J406" t="inlineStr">
        <is>
          <t>556</t>
        </is>
      </c>
      <c r="K406" t="inlineStr">
        <is>
          <t>477</t>
        </is>
      </c>
      <c r="L406" t="inlineStr"/>
      <c r="M406" t="inlineStr"/>
      <c r="N406" t="inlineStr">
        <is>
          <t>29.6</t>
        </is>
      </c>
      <c r="O406" t="inlineStr"/>
      <c r="P406" t="n">
        <v>8</v>
      </c>
      <c r="Q406" t="inlineStr">
        <is>
          <t>701+</t>
        </is>
      </c>
      <c r="R406" t="n">
        <v>16.9</v>
      </c>
      <c r="S406" t="inlineStr">
        <is>
          <t>701+</t>
        </is>
      </c>
      <c r="T406" t="n">
        <v>28.8</v>
      </c>
      <c r="U406" t="inlineStr">
        <is>
          <t>658</t>
        </is>
      </c>
      <c r="V406" t="n">
        <v>96.90000000000001</v>
      </c>
      <c r="W406" t="inlineStr">
        <is>
          <t>57</t>
        </is>
      </c>
      <c r="X406" t="n">
        <v>1.8</v>
      </c>
      <c r="Y406" t="inlineStr">
        <is>
          <t>801+</t>
        </is>
      </c>
      <c r="Z406" t="n">
        <v>1.3</v>
      </c>
      <c r="AA406" t="inlineStr">
        <is>
          <t>801+</t>
        </is>
      </c>
      <c r="AB406" t="n">
        <v>5.7</v>
      </c>
      <c r="AC406" t="inlineStr">
        <is>
          <t>801+</t>
        </is>
      </c>
      <c r="AD406" t="n">
        <v>28.2</v>
      </c>
      <c r="AE406" t="inlineStr">
        <is>
          <t>801+</t>
        </is>
      </c>
      <c r="AF406" t="n">
        <v>5.3</v>
      </c>
      <c r="AG406" t="inlineStr">
        <is>
          <t>801+</t>
        </is>
      </c>
      <c r="AH406" t="n">
        <v>34.7</v>
      </c>
      <c r="AI406" t="inlineStr">
        <is>
          <t>801+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Indian Institute of Technology Indore (IIT Indore)</t>
        </is>
      </c>
      <c r="B407" t="inlineStr">
        <is>
          <t>India</t>
        </is>
      </c>
      <c r="C407" t="inlineStr">
        <is>
          <t>IN</t>
        </is>
      </c>
      <c r="D407" t="inlineStr"/>
      <c r="E407" t="inlineStr">
        <is>
          <t>S</t>
        </is>
      </c>
      <c r="F407" t="inlineStr">
        <is>
          <t>FO</t>
        </is>
      </c>
      <c r="G407" t="inlineStr">
        <is>
          <t>VH</t>
        </is>
      </c>
      <c r="H407" t="inlineStr">
        <is>
          <t>2</t>
        </is>
      </c>
      <c r="I407" t="inlineStr">
        <is>
          <t>A</t>
        </is>
      </c>
      <c r="J407" t="inlineStr"/>
      <c r="K407" t="inlineStr"/>
      <c r="L407">
        <f>454</f>
        <v/>
      </c>
      <c r="M407" t="inlineStr">
        <is>
          <t>396=</t>
        </is>
      </c>
      <c r="N407" t="inlineStr"/>
      <c r="O407" t="inlineStr">
        <is>
          <t>25.2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5.6</t>
        </is>
      </c>
      <c r="AK407" t="inlineStr">
        <is>
          <t>601+</t>
        </is>
      </c>
      <c r="AL407" t="inlineStr">
        <is>
          <t>4.3</t>
        </is>
      </c>
      <c r="AM407" t="inlineStr">
        <is>
          <t>601+</t>
        </is>
      </c>
      <c r="AN407" t="inlineStr">
        <is>
          <t>33.3</t>
        </is>
      </c>
      <c r="AO407" t="inlineStr">
        <is>
          <t>478</t>
        </is>
      </c>
      <c r="AP407" t="inlineStr">
        <is>
          <t>94.4</t>
        </is>
      </c>
      <c r="AQ407" t="inlineStr">
        <is>
          <t>57</t>
        </is>
      </c>
      <c r="AR407" t="inlineStr">
        <is>
          <t>2.3</t>
        </is>
      </c>
      <c r="AS407" t="inlineStr">
        <is>
          <t>701+</t>
        </is>
      </c>
      <c r="AT407" t="inlineStr">
        <is>
          <t>1.1</t>
        </is>
      </c>
      <c r="AU407" t="inlineStr">
        <is>
          <t>701+</t>
        </is>
      </c>
      <c r="AV407" t="inlineStr">
        <is>
          <t>1.2</t>
        </is>
      </c>
      <c r="AW407" t="inlineStr">
        <is>
          <t>701+</t>
        </is>
      </c>
      <c r="AX407" t="inlineStr">
        <is>
          <t>8.4</t>
        </is>
      </c>
      <c r="AY407" t="inlineStr">
        <is>
          <t>701+</t>
        </is>
      </c>
      <c r="AZ407" t="inlineStr">
        <is>
          <t>2</t>
        </is>
      </c>
      <c r="BA407" t="inlineStr">
        <is>
          <t>701+</t>
        </is>
      </c>
    </row>
    <row r="408">
      <c r="A408" t="inlineStr">
        <is>
          <t>Indian Institute of Technology Kanpur (IITK)</t>
        </is>
      </c>
      <c r="B408" t="inlineStr">
        <is>
          <t>India</t>
        </is>
      </c>
      <c r="C408" t="inlineStr">
        <is>
          <t>IN</t>
        </is>
      </c>
      <c r="D408" t="inlineStr">
        <is>
          <t>Asia</t>
        </is>
      </c>
      <c r="E408" t="inlineStr">
        <is>
          <t>M</t>
        </is>
      </c>
      <c r="F408" t="inlineStr">
        <is>
          <t>FO</t>
        </is>
      </c>
      <c r="G408" t="inlineStr">
        <is>
          <t>VH</t>
        </is>
      </c>
      <c r="H408" t="inlineStr">
        <is>
          <t>4</t>
        </is>
      </c>
      <c r="I408" t="inlineStr">
        <is>
          <t>Public</t>
        </is>
      </c>
      <c r="J408" t="inlineStr">
        <is>
          <t>222</t>
        </is>
      </c>
      <c r="K408" t="inlineStr">
        <is>
          <t>263</t>
        </is>
      </c>
      <c r="L408">
        <f>278</f>
        <v/>
      </c>
      <c r="M408" t="inlineStr">
        <is>
          <t>264=</t>
        </is>
      </c>
      <c r="N408" t="inlineStr">
        <is>
          <t>53.7</t>
        </is>
      </c>
      <c r="O408" t="inlineStr">
        <is>
          <t>36.9</t>
        </is>
      </c>
      <c r="P408" t="n">
        <v>49.4</v>
      </c>
      <c r="Q408" t="inlineStr">
        <is>
          <t>229</t>
        </is>
      </c>
      <c r="R408" t="n">
        <v>82.7</v>
      </c>
      <c r="S408" t="inlineStr">
        <is>
          <t>95</t>
        </is>
      </c>
      <c r="T408" t="n">
        <v>16.1</v>
      </c>
      <c r="U408" t="inlineStr">
        <is>
          <t>801+</t>
        </is>
      </c>
      <c r="V408" t="n">
        <v>84.09999999999999</v>
      </c>
      <c r="W408" t="inlineStr">
        <is>
          <t>129</t>
        </is>
      </c>
      <c r="X408" t="n">
        <v>3.1</v>
      </c>
      <c r="Y408" t="inlineStr">
        <is>
          <t>801+</t>
        </is>
      </c>
      <c r="Z408" t="n">
        <v>1.4</v>
      </c>
      <c r="AA408" t="inlineStr">
        <is>
          <t>801+</t>
        </is>
      </c>
      <c r="AB408" t="n">
        <v>5.8</v>
      </c>
      <c r="AC408" t="inlineStr">
        <is>
          <t>801+</t>
        </is>
      </c>
      <c r="AD408" t="n">
        <v>42.1</v>
      </c>
      <c r="AE408" t="inlineStr">
        <is>
          <t>801+</t>
        </is>
      </c>
      <c r="AF408" t="n">
        <v>47.6</v>
      </c>
      <c r="AG408" t="inlineStr">
        <is>
          <t>366</t>
        </is>
      </c>
      <c r="AH408" t="n">
        <v>74.7</v>
      </c>
      <c r="AI408" t="inlineStr">
        <is>
          <t>243=</t>
        </is>
      </c>
      <c r="AJ408" t="inlineStr">
        <is>
          <t>34.7</t>
        </is>
      </c>
      <c r="AK408" t="inlineStr">
        <is>
          <t>247</t>
        </is>
      </c>
      <c r="AL408" t="inlineStr">
        <is>
          <t>49.3</t>
        </is>
      </c>
      <c r="AM408" t="inlineStr">
        <is>
          <t>175</t>
        </is>
      </c>
      <c r="AN408" t="inlineStr">
        <is>
          <t>14.2</t>
        </is>
      </c>
      <c r="AO408" t="inlineStr">
        <is>
          <t>701+</t>
        </is>
      </c>
      <c r="AP408" t="inlineStr">
        <is>
          <t>75.5</t>
        </is>
      </c>
      <c r="AQ408" t="inlineStr">
        <is>
          <t>126</t>
        </is>
      </c>
      <c r="AR408" t="inlineStr">
        <is>
          <t>2.1</t>
        </is>
      </c>
      <c r="AS408" t="inlineStr">
        <is>
          <t>701+</t>
        </is>
      </c>
      <c r="AT408" t="inlineStr">
        <is>
          <t>1.1</t>
        </is>
      </c>
      <c r="AU408" t="inlineStr">
        <is>
          <t>701+</t>
        </is>
      </c>
      <c r="AV408" t="inlineStr">
        <is>
          <t>3.3</t>
        </is>
      </c>
      <c r="AW408" t="inlineStr">
        <is>
          <t>701+</t>
        </is>
      </c>
      <c r="AX408" t="inlineStr">
        <is>
          <t>20.6</t>
        </is>
      </c>
      <c r="AY408" t="inlineStr">
        <is>
          <t>404</t>
        </is>
      </c>
      <c r="AZ408" t="inlineStr">
        <is>
          <t>21.8</t>
        </is>
      </c>
      <c r="BA408" t="inlineStr">
        <is>
          <t>524=</t>
        </is>
      </c>
    </row>
    <row r="409">
      <c r="A409" t="inlineStr">
        <is>
          <t>Indian Institute of Technology Kharagpur (IIT-KGP)</t>
        </is>
      </c>
      <c r="B409" t="inlineStr">
        <is>
          <t>India</t>
        </is>
      </c>
      <c r="C409" t="inlineStr">
        <is>
          <t>IN</t>
        </is>
      </c>
      <c r="D409" t="inlineStr"/>
      <c r="E409" t="inlineStr">
        <is>
          <t>L</t>
        </is>
      </c>
      <c r="F409" t="inlineStr">
        <is>
          <t>FO</t>
        </is>
      </c>
      <c r="G409" t="inlineStr">
        <is>
          <t>VH</t>
        </is>
      </c>
      <c r="H409" t="inlineStr">
        <is>
          <t>4</t>
        </is>
      </c>
      <c r="I409" t="inlineStr">
        <is>
          <t>A</t>
        </is>
      </c>
      <c r="J409" t="inlineStr"/>
      <c r="K409" t="inlineStr"/>
      <c r="L409" t="inlineStr">
        <is>
          <t>271</t>
        </is>
      </c>
      <c r="M409" t="inlineStr">
        <is>
          <t>270=</t>
        </is>
      </c>
      <c r="N409" t="inlineStr"/>
      <c r="O409" t="inlineStr">
        <is>
          <t>37.4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32.2</t>
        </is>
      </c>
      <c r="AK409" t="inlineStr">
        <is>
          <t>272</t>
        </is>
      </c>
      <c r="AL409" t="inlineStr">
        <is>
          <t>43.5</t>
        </is>
      </c>
      <c r="AM409" t="inlineStr">
        <is>
          <t>211</t>
        </is>
      </c>
      <c r="AN409" t="inlineStr">
        <is>
          <t>11.8</t>
        </is>
      </c>
      <c r="AO409" t="inlineStr">
        <is>
          <t>701+</t>
        </is>
      </c>
      <c r="AP409" t="inlineStr">
        <is>
          <t>85.8</t>
        </is>
      </c>
      <c r="AQ409" t="inlineStr">
        <is>
          <t>90</t>
        </is>
      </c>
      <c r="AR409" t="inlineStr">
        <is>
          <t>3.1</t>
        </is>
      </c>
      <c r="AS409" t="inlineStr">
        <is>
          <t>701+</t>
        </is>
      </c>
      <c r="AT409" t="inlineStr">
        <is>
          <t>1.3</t>
        </is>
      </c>
      <c r="AU409" t="inlineStr">
        <is>
          <t>701+</t>
        </is>
      </c>
      <c r="AV409" t="inlineStr">
        <is>
          <t>10.7</t>
        </is>
      </c>
      <c r="AW409" t="inlineStr">
        <is>
          <t>659</t>
        </is>
      </c>
      <c r="AX409" t="inlineStr">
        <is>
          <t>21.5</t>
        </is>
      </c>
      <c r="AY409" t="inlineStr">
        <is>
          <t>388</t>
        </is>
      </c>
      <c r="AZ409" t="inlineStr">
        <is>
          <t>18</t>
        </is>
      </c>
      <c r="BA409" t="inlineStr">
        <is>
          <t>567=</t>
        </is>
      </c>
    </row>
    <row r="410">
      <c r="A410" t="inlineStr">
        <is>
          <t>Indian Institute of Technology Kharagpur (IITKGP)</t>
        </is>
      </c>
      <c r="B410" t="inlineStr">
        <is>
          <t>India</t>
        </is>
      </c>
      <c r="C410" t="inlineStr"/>
      <c r="D410" t="inlineStr">
        <is>
          <t>Asia</t>
        </is>
      </c>
      <c r="E410" t="inlineStr">
        <is>
          <t>L</t>
        </is>
      </c>
      <c r="F410" t="inlineStr">
        <is>
          <t>CO</t>
        </is>
      </c>
      <c r="G410" t="inlineStr">
        <is>
          <t>VH</t>
        </is>
      </c>
      <c r="H410" t="inlineStr"/>
      <c r="I410" t="inlineStr">
        <is>
          <t>Public</t>
        </is>
      </c>
      <c r="J410" t="inlineStr">
        <is>
          <t>215</t>
        </is>
      </c>
      <c r="K410" t="inlineStr">
        <is>
          <t>222</t>
        </is>
      </c>
      <c r="L410" t="inlineStr"/>
      <c r="M410" t="inlineStr"/>
      <c r="N410" t="inlineStr">
        <is>
          <t>54.5</t>
        </is>
      </c>
      <c r="O410" t="inlineStr"/>
      <c r="P410" t="n">
        <v>42.5</v>
      </c>
      <c r="Q410" t="inlineStr">
        <is>
          <t>278</t>
        </is>
      </c>
      <c r="R410" t="n">
        <v>78.59999999999999</v>
      </c>
      <c r="S410" t="inlineStr">
        <is>
          <t>109</t>
        </is>
      </c>
      <c r="T410" t="n">
        <v>10.6</v>
      </c>
      <c r="U410" t="inlineStr">
        <is>
          <t>801+</t>
        </is>
      </c>
      <c r="V410" t="n">
        <v>97</v>
      </c>
      <c r="W410" t="inlineStr">
        <is>
          <t>55</t>
        </is>
      </c>
      <c r="X410" t="inlineStr"/>
      <c r="Y410" t="inlineStr"/>
      <c r="Z410" t="n">
        <v>1.3</v>
      </c>
      <c r="AA410" t="inlineStr">
        <is>
          <t>801+</t>
        </is>
      </c>
      <c r="AB410" t="n">
        <v>5.7</v>
      </c>
      <c r="AC410" t="inlineStr">
        <is>
          <t>801+</t>
        </is>
      </c>
      <c r="AD410" t="n">
        <v>70.09999999999999</v>
      </c>
      <c r="AE410" t="inlineStr">
        <is>
          <t>528</t>
        </is>
      </c>
      <c r="AF410" t="n">
        <v>47.7</v>
      </c>
      <c r="AG410" t="inlineStr">
        <is>
          <t>365</t>
        </is>
      </c>
      <c r="AH410" t="n">
        <v>77.8</v>
      </c>
      <c r="AI410" t="inlineStr">
        <is>
          <t>201=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Indian Institute of Technology Madras (IITM)</t>
        </is>
      </c>
      <c r="B411" t="inlineStr">
        <is>
          <t>India</t>
        </is>
      </c>
      <c r="C411" t="inlineStr">
        <is>
          <t>IN</t>
        </is>
      </c>
      <c r="D411" t="inlineStr">
        <is>
          <t>Asia</t>
        </is>
      </c>
      <c r="E411" t="inlineStr">
        <is>
          <t>M</t>
        </is>
      </c>
      <c r="F411" t="inlineStr">
        <is>
          <t>CO</t>
        </is>
      </c>
      <c r="G411" t="inlineStr">
        <is>
          <t>VH</t>
        </is>
      </c>
      <c r="H411" t="inlineStr">
        <is>
          <t>4</t>
        </is>
      </c>
      <c r="I411" t="inlineStr">
        <is>
          <t>Public</t>
        </is>
      </c>
      <c r="J411" t="inlineStr">
        <is>
          <t>180</t>
        </is>
      </c>
      <c r="K411" t="inlineStr">
        <is>
          <t>227</t>
        </is>
      </c>
      <c r="L411">
        <f>285</f>
        <v/>
      </c>
      <c r="M411" t="inlineStr">
        <is>
          <t>250</t>
        </is>
      </c>
      <c r="N411" t="inlineStr">
        <is>
          <t>58.4</t>
        </is>
      </c>
      <c r="O411" t="inlineStr">
        <is>
          <t>36.1</t>
        </is>
      </c>
      <c r="P411" t="n">
        <v>56.8</v>
      </c>
      <c r="Q411" t="inlineStr">
        <is>
          <t>196</t>
        </is>
      </c>
      <c r="R411" t="n">
        <v>85.8</v>
      </c>
      <c r="S411" t="inlineStr">
        <is>
          <t>87</t>
        </is>
      </c>
      <c r="T411" t="n">
        <v>21.3</v>
      </c>
      <c r="U411" t="inlineStr">
        <is>
          <t>801+</t>
        </is>
      </c>
      <c r="V411" t="n">
        <v>90.2</v>
      </c>
      <c r="W411" t="inlineStr">
        <is>
          <t>102</t>
        </is>
      </c>
      <c r="X411" t="n">
        <v>3.1</v>
      </c>
      <c r="Y411" t="inlineStr">
        <is>
          <t>801+</t>
        </is>
      </c>
      <c r="Z411" t="n">
        <v>3.2</v>
      </c>
      <c r="AA411" t="inlineStr">
        <is>
          <t>801+</t>
        </is>
      </c>
      <c r="AB411" t="n">
        <v>7.4</v>
      </c>
      <c r="AC411" t="inlineStr">
        <is>
          <t>801+</t>
        </is>
      </c>
      <c r="AD411" t="n">
        <v>45.6</v>
      </c>
      <c r="AE411" t="inlineStr">
        <is>
          <t>801+</t>
        </is>
      </c>
      <c r="AF411" t="n">
        <v>45.8</v>
      </c>
      <c r="AG411" t="inlineStr">
        <is>
          <t>380</t>
        </is>
      </c>
      <c r="AH411" t="n">
        <v>73</v>
      </c>
      <c r="AI411" t="inlineStr">
        <is>
          <t>274</t>
        </is>
      </c>
      <c r="AJ411" t="inlineStr">
        <is>
          <t>40.1</t>
        </is>
      </c>
      <c r="AK411" t="inlineStr">
        <is>
          <t>212</t>
        </is>
      </c>
      <c r="AL411" t="inlineStr">
        <is>
          <t>55.9</t>
        </is>
      </c>
      <c r="AM411" t="inlineStr">
        <is>
          <t>147</t>
        </is>
      </c>
      <c r="AN411" t="inlineStr">
        <is>
          <t>26.6</t>
        </is>
      </c>
      <c r="AO411" t="inlineStr">
        <is>
          <t>563</t>
        </is>
      </c>
      <c r="AP411" t="inlineStr">
        <is>
          <t>54.7</t>
        </is>
      </c>
      <c r="AQ411" t="inlineStr">
        <is>
          <t>235</t>
        </is>
      </c>
      <c r="AR411" t="inlineStr">
        <is>
          <t>2.6</t>
        </is>
      </c>
      <c r="AS411" t="inlineStr">
        <is>
          <t>701+</t>
        </is>
      </c>
      <c r="AT411" t="inlineStr">
        <is>
          <t>1.4</t>
        </is>
      </c>
      <c r="AU411" t="inlineStr">
        <is>
          <t>701+</t>
        </is>
      </c>
      <c r="AV411" t="inlineStr">
        <is>
          <t>2.7</t>
        </is>
      </c>
      <c r="AW411" t="inlineStr">
        <is>
          <t>701+</t>
        </is>
      </c>
      <c r="AX411" t="inlineStr">
        <is>
          <t>26</t>
        </is>
      </c>
      <c r="AY411" t="inlineStr">
        <is>
          <t>317</t>
        </is>
      </c>
      <c r="AZ411" t="inlineStr">
        <is>
          <t>6.5</t>
        </is>
      </c>
      <c r="BA411" t="inlineStr">
        <is>
          <t>701+</t>
        </is>
      </c>
    </row>
    <row r="412">
      <c r="A412" t="inlineStr">
        <is>
          <t>Indian Institute of Technology Roorkee (IITR)</t>
        </is>
      </c>
      <c r="B412" t="inlineStr">
        <is>
          <t>India</t>
        </is>
      </c>
      <c r="C412" t="inlineStr">
        <is>
          <t>IN</t>
        </is>
      </c>
      <c r="D412" t="inlineStr">
        <is>
          <t>Asia</t>
        </is>
      </c>
      <c r="E412" t="inlineStr">
        <is>
          <t>M</t>
        </is>
      </c>
      <c r="F412" t="inlineStr">
        <is>
          <t>FO</t>
        </is>
      </c>
      <c r="G412" t="inlineStr">
        <is>
          <t>VH</t>
        </is>
      </c>
      <c r="H412" t="inlineStr">
        <is>
          <t>5</t>
        </is>
      </c>
      <c r="I412" t="inlineStr">
        <is>
          <t>Public</t>
        </is>
      </c>
      <c r="J412" t="inlineStr">
        <is>
          <t>339</t>
        </is>
      </c>
      <c r="K412" t="inlineStr">
        <is>
          <t>335</t>
        </is>
      </c>
      <c r="L412">
        <f>369</f>
        <v/>
      </c>
      <c r="M412" t="inlineStr">
        <is>
          <t>369=</t>
        </is>
      </c>
      <c r="N412" t="inlineStr">
        <is>
          <t>42.2</t>
        </is>
      </c>
      <c r="O412" t="inlineStr">
        <is>
          <t>30.0</t>
        </is>
      </c>
      <c r="P412" t="n">
        <v>26.8</v>
      </c>
      <c r="Q412" t="inlineStr">
        <is>
          <t>470</t>
        </is>
      </c>
      <c r="R412" t="n">
        <v>52.2</v>
      </c>
      <c r="S412" t="inlineStr">
        <is>
          <t>234</t>
        </is>
      </c>
      <c r="T412" t="n">
        <v>9.5</v>
      </c>
      <c r="U412" t="inlineStr">
        <is>
          <t>801+</t>
        </is>
      </c>
      <c r="V412" t="n">
        <v>96.59999999999999</v>
      </c>
      <c r="W412" t="inlineStr">
        <is>
          <t>61</t>
        </is>
      </c>
      <c r="X412" t="n">
        <v>2</v>
      </c>
      <c r="Y412" t="inlineStr">
        <is>
          <t>801+</t>
        </is>
      </c>
      <c r="Z412" t="n">
        <v>3.6</v>
      </c>
      <c r="AA412" t="inlineStr">
        <is>
          <t>801+</t>
        </is>
      </c>
      <c r="AB412" t="n">
        <v>7.8</v>
      </c>
      <c r="AC412" t="inlineStr">
        <is>
          <t>801+</t>
        </is>
      </c>
      <c r="AD412" t="n">
        <v>54.5</v>
      </c>
      <c r="AE412" t="inlineStr">
        <is>
          <t>776</t>
        </is>
      </c>
      <c r="AF412" t="n">
        <v>19.5</v>
      </c>
      <c r="AG412" t="inlineStr">
        <is>
          <t>734</t>
        </is>
      </c>
      <c r="AH412" t="n">
        <v>57.5</v>
      </c>
      <c r="AI412" t="inlineStr">
        <is>
          <t>550=</t>
        </is>
      </c>
      <c r="AJ412" t="inlineStr">
        <is>
          <t>17.8</t>
        </is>
      </c>
      <c r="AK412" t="inlineStr">
        <is>
          <t>500</t>
        </is>
      </c>
      <c r="AL412" t="inlineStr">
        <is>
          <t>22.5</t>
        </is>
      </c>
      <c r="AM412" t="inlineStr">
        <is>
          <t>421</t>
        </is>
      </c>
      <c r="AN412" t="inlineStr">
        <is>
          <t>7.8</t>
        </is>
      </c>
      <c r="AO412" t="inlineStr">
        <is>
          <t>701+</t>
        </is>
      </c>
      <c r="AP412" t="inlineStr">
        <is>
          <t>91.2</t>
        </is>
      </c>
      <c r="AQ412" t="inlineStr">
        <is>
          <t>72</t>
        </is>
      </c>
      <c r="AR412" t="inlineStr">
        <is>
          <t>1.3</t>
        </is>
      </c>
      <c r="AS412" t="inlineStr">
        <is>
          <t>701+</t>
        </is>
      </c>
      <c r="AT412" t="inlineStr">
        <is>
          <t>2.2</t>
        </is>
      </c>
      <c r="AU412" t="inlineStr">
        <is>
          <t>701+</t>
        </is>
      </c>
      <c r="AV412" t="inlineStr">
        <is>
          <t>3.6</t>
        </is>
      </c>
      <c r="AW412" t="inlineStr">
        <is>
          <t>701+</t>
        </is>
      </c>
      <c r="AX412" t="inlineStr">
        <is>
          <t>10.5</t>
        </is>
      </c>
      <c r="AY412" t="inlineStr">
        <is>
          <t>701+</t>
        </is>
      </c>
      <c r="AZ412" t="inlineStr">
        <is>
          <t>27.6</t>
        </is>
      </c>
      <c r="BA412" t="inlineStr">
        <is>
          <t>471=</t>
        </is>
      </c>
    </row>
    <row r="413">
      <c r="A413" t="inlineStr">
        <is>
          <t>Indian Statistical Institute</t>
        </is>
      </c>
      <c r="B413" t="inlineStr">
        <is>
          <t>India</t>
        </is>
      </c>
      <c r="C413" t="inlineStr">
        <is>
          <t>IN</t>
        </is>
      </c>
      <c r="D413" t="inlineStr"/>
      <c r="E413" t="inlineStr"/>
      <c r="F413" t="inlineStr">
        <is>
          <t>FO</t>
        </is>
      </c>
      <c r="G413" t="inlineStr"/>
      <c r="H413" t="inlineStr">
        <is>
          <t>4</t>
        </is>
      </c>
      <c r="I413" t="inlineStr"/>
      <c r="J413" t="inlineStr"/>
      <c r="K413" t="inlineStr"/>
      <c r="L413" t="inlineStr">
        <is>
          <t>1401+</t>
        </is>
      </c>
      <c r="M413" t="inlineStr"/>
      <c r="N413" t="inlineStr"/>
      <c r="O413" t="inlineStr">
        <is>
          <t>-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7.5</t>
        </is>
      </c>
      <c r="AK413" t="inlineStr">
        <is>
          <t>601+</t>
        </is>
      </c>
      <c r="AL413" t="inlineStr">
        <is>
          <t>3.4</t>
        </is>
      </c>
      <c r="AM413" t="inlineStr">
        <is>
          <t>601+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1.9</t>
        </is>
      </c>
      <c r="AW413" t="inlineStr">
        <is>
          <t>701+</t>
        </is>
      </c>
      <c r="AX413" t="inlineStr"/>
      <c r="AY413" t="inlineStr"/>
      <c r="AZ413" t="inlineStr"/>
      <c r="BA413" t="inlineStr"/>
    </row>
    <row r="414">
      <c r="A414" t="inlineStr">
        <is>
          <t>Indiana State University</t>
        </is>
      </c>
      <c r="B414" t="inlineStr">
        <is>
          <t>United States</t>
        </is>
      </c>
      <c r="C414" t="inlineStr">
        <is>
          <t>US</t>
        </is>
      </c>
      <c r="D414" t="inlineStr"/>
      <c r="E414" t="inlineStr">
        <is>
          <t>M</t>
        </is>
      </c>
      <c r="F414" t="inlineStr">
        <is>
          <t>CO</t>
        </is>
      </c>
      <c r="G414" t="inlineStr">
        <is>
          <t>HI</t>
        </is>
      </c>
      <c r="H414" t="inlineStr">
        <is>
          <t>4</t>
        </is>
      </c>
      <c r="I414" t="inlineStr">
        <is>
          <t>A</t>
        </is>
      </c>
      <c r="J414" t="inlineStr"/>
      <c r="K414" t="inlineStr"/>
      <c r="L414" t="inlineStr">
        <is>
          <t>1201-1400</t>
        </is>
      </c>
      <c r="M414" t="inlineStr">
        <is>
          <t>1201-1400</t>
        </is>
      </c>
      <c r="N414" t="inlineStr"/>
      <c r="O414" t="inlineStr">
        <is>
          <t>-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6.3</t>
        </is>
      </c>
      <c r="AK414" t="inlineStr">
        <is>
          <t>601+</t>
        </is>
      </c>
      <c r="AL414" t="inlineStr">
        <is>
          <t>4.8</t>
        </is>
      </c>
      <c r="AM414" t="inlineStr">
        <is>
          <t>601+</t>
        </is>
      </c>
      <c r="AN414" t="inlineStr">
        <is>
          <t>7.8</t>
        </is>
      </c>
      <c r="AO414" t="inlineStr">
        <is>
          <t>701+</t>
        </is>
      </c>
      <c r="AP414" t="inlineStr">
        <is>
          <t>2.8</t>
        </is>
      </c>
      <c r="AQ414" t="inlineStr">
        <is>
          <t>701+</t>
        </is>
      </c>
      <c r="AR414" t="inlineStr">
        <is>
          <t>1.9</t>
        </is>
      </c>
      <c r="AS414" t="inlineStr">
        <is>
          <t>701+</t>
        </is>
      </c>
      <c r="AT414" t="inlineStr">
        <is>
          <t>2.4</t>
        </is>
      </c>
      <c r="AU414" t="inlineStr">
        <is>
          <t>701+</t>
        </is>
      </c>
      <c r="AV414" t="inlineStr">
        <is>
          <t>1.0</t>
        </is>
      </c>
      <c r="AW414" t="inlineStr">
        <is>
          <t>701+</t>
        </is>
      </c>
      <c r="AX414" t="inlineStr">
        <is>
          <t>9.1</t>
        </is>
      </c>
      <c r="AY414" t="inlineStr">
        <is>
          <t>701+</t>
        </is>
      </c>
      <c r="AZ414" t="inlineStr">
        <is>
          <t>1</t>
        </is>
      </c>
      <c r="BA414" t="inlineStr">
        <is>
          <t>701+</t>
        </is>
      </c>
    </row>
    <row r="415">
      <c r="A415" t="inlineStr">
        <is>
          <t>Indiana University Bloomington</t>
        </is>
      </c>
      <c r="B415" t="inlineStr">
        <is>
          <t>United States</t>
        </is>
      </c>
      <c r="C415" t="inlineStr">
        <is>
          <t>US</t>
        </is>
      </c>
      <c r="D415" t="inlineStr">
        <is>
          <t>Americas</t>
        </is>
      </c>
      <c r="E415" t="inlineStr">
        <is>
          <t>XL</t>
        </is>
      </c>
      <c r="F415" t="inlineStr">
        <is>
          <t>FC</t>
        </is>
      </c>
      <c r="G415" t="inlineStr">
        <is>
          <t>VH</t>
        </is>
      </c>
      <c r="H415" t="inlineStr">
        <is>
          <t>5</t>
        </is>
      </c>
      <c r="I415" t="inlineStr">
        <is>
          <t>Public</t>
        </is>
      </c>
      <c r="J415" t="inlineStr">
        <is>
          <t>306</t>
        </is>
      </c>
      <c r="K415" t="inlineStr">
        <is>
          <t>355</t>
        </is>
      </c>
      <c r="L415">
        <f>313</f>
        <v/>
      </c>
      <c r="M415" t="inlineStr">
        <is>
          <t>339</t>
        </is>
      </c>
      <c r="N415" t="inlineStr">
        <is>
          <t>44.9</t>
        </is>
      </c>
      <c r="O415" t="inlineStr">
        <is>
          <t>33.5</t>
        </is>
      </c>
      <c r="P415" t="n">
        <v>44.7</v>
      </c>
      <c r="Q415" t="inlineStr">
        <is>
          <t>266</t>
        </is>
      </c>
      <c r="R415" t="n">
        <v>50.3</v>
      </c>
      <c r="S415" t="inlineStr">
        <is>
          <t>252</t>
        </is>
      </c>
      <c r="T415" t="n">
        <v>34.4</v>
      </c>
      <c r="U415" t="inlineStr">
        <is>
          <t>570</t>
        </is>
      </c>
      <c r="V415" t="n">
        <v>31.2</v>
      </c>
      <c r="W415" t="inlineStr">
        <is>
          <t>573</t>
        </is>
      </c>
      <c r="X415" t="n">
        <v>51.7</v>
      </c>
      <c r="Y415" t="inlineStr">
        <is>
          <t>428</t>
        </is>
      </c>
      <c r="Z415" t="n">
        <v>18.4</v>
      </c>
      <c r="AA415" t="inlineStr">
        <is>
          <t>757</t>
        </is>
      </c>
      <c r="AB415" t="n">
        <v>24.5</v>
      </c>
      <c r="AC415" t="inlineStr">
        <is>
          <t>694</t>
        </is>
      </c>
      <c r="AD415" t="n">
        <v>86.5</v>
      </c>
      <c r="AE415" t="inlineStr">
        <is>
          <t>228</t>
        </is>
      </c>
      <c r="AF415" t="n">
        <v>77</v>
      </c>
      <c r="AG415" t="inlineStr">
        <is>
          <t>171</t>
        </is>
      </c>
      <c r="AH415" t="n">
        <v>66</v>
      </c>
      <c r="AI415" t="inlineStr">
        <is>
          <t>381=</t>
        </is>
      </c>
      <c r="AJ415" t="inlineStr">
        <is>
          <t>35.1</t>
        </is>
      </c>
      <c r="AK415" t="inlineStr">
        <is>
          <t>246</t>
        </is>
      </c>
      <c r="AL415" t="inlineStr">
        <is>
          <t>24.4</t>
        </is>
      </c>
      <c r="AM415" t="inlineStr">
        <is>
          <t>397</t>
        </is>
      </c>
      <c r="AN415" t="inlineStr">
        <is>
          <t>30.5</t>
        </is>
      </c>
      <c r="AO415" t="inlineStr">
        <is>
          <t>514</t>
        </is>
      </c>
      <c r="AP415" t="inlineStr">
        <is>
          <t>21.6</t>
        </is>
      </c>
      <c r="AQ415" t="inlineStr">
        <is>
          <t>533</t>
        </is>
      </c>
      <c r="AR415" t="inlineStr">
        <is>
          <t>40.5</t>
        </is>
      </c>
      <c r="AS415" t="inlineStr">
        <is>
          <t>409</t>
        </is>
      </c>
      <c r="AT415" t="inlineStr">
        <is>
          <t>12.7</t>
        </is>
      </c>
      <c r="AU415" t="inlineStr">
        <is>
          <t>667</t>
        </is>
      </c>
      <c r="AV415" t="inlineStr">
        <is>
          <t>68.5</t>
        </is>
      </c>
      <c r="AW415" t="inlineStr">
        <is>
          <t>205</t>
        </is>
      </c>
      <c r="AX415" t="inlineStr">
        <is>
          <t>52.2</t>
        </is>
      </c>
      <c r="AY415" t="inlineStr">
        <is>
          <t>122</t>
        </is>
      </c>
      <c r="AZ415" t="inlineStr">
        <is>
          <t>62.5</t>
        </is>
      </c>
      <c r="BA415" t="inlineStr">
        <is>
          <t>239=</t>
        </is>
      </c>
    </row>
    <row r="416">
      <c r="A416" t="inlineStr">
        <is>
          <t>Indiana University–Purdue University Indianapolis</t>
        </is>
      </c>
      <c r="B416" t="inlineStr">
        <is>
          <t>United States</t>
        </is>
      </c>
      <c r="C416" t="inlineStr">
        <is>
          <t>US</t>
        </is>
      </c>
      <c r="D416" t="inlineStr"/>
      <c r="E416" t="inlineStr">
        <is>
          <t>L</t>
        </is>
      </c>
      <c r="F416" t="inlineStr">
        <is>
          <t>FC</t>
        </is>
      </c>
      <c r="G416" t="inlineStr">
        <is>
          <t>HI</t>
        </is>
      </c>
      <c r="H416" t="inlineStr">
        <is>
          <t>4</t>
        </is>
      </c>
      <c r="I416" t="inlineStr">
        <is>
          <t>A</t>
        </is>
      </c>
      <c r="J416" t="inlineStr"/>
      <c r="K416" t="inlineStr"/>
      <c r="L416" t="inlineStr">
        <is>
          <t>951-1000</t>
        </is>
      </c>
      <c r="M416" t="inlineStr">
        <is>
          <t>801-1000</t>
        </is>
      </c>
      <c r="N416" t="inlineStr"/>
      <c r="O416" t="inlineStr">
        <is>
          <t>-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7.7</t>
        </is>
      </c>
      <c r="AK416" t="inlineStr">
        <is>
          <t>601+</t>
        </is>
      </c>
      <c r="AL416" t="inlineStr">
        <is>
          <t>6.1</t>
        </is>
      </c>
      <c r="AM416" t="inlineStr">
        <is>
          <t>601+</t>
        </is>
      </c>
      <c r="AN416" t="inlineStr">
        <is>
          <t>15.4</t>
        </is>
      </c>
      <c r="AO416" t="inlineStr">
        <is>
          <t>701+</t>
        </is>
      </c>
      <c r="AP416" t="inlineStr">
        <is>
          <t>17.0</t>
        </is>
      </c>
      <c r="AQ416" t="inlineStr">
        <is>
          <t>600</t>
        </is>
      </c>
      <c r="AR416" t="inlineStr">
        <is>
          <t>29.4</t>
        </is>
      </c>
      <c r="AS416" t="inlineStr">
        <is>
          <t>494</t>
        </is>
      </c>
      <c r="AT416" t="inlineStr">
        <is>
          <t>5.8</t>
        </is>
      </c>
      <c r="AU416" t="inlineStr">
        <is>
          <t>701+</t>
        </is>
      </c>
      <c r="AV416" t="inlineStr">
        <is>
          <t>2.6</t>
        </is>
      </c>
      <c r="AW416" t="inlineStr">
        <is>
          <t>701+</t>
        </is>
      </c>
      <c r="AX416" t="inlineStr">
        <is>
          <t>7.7</t>
        </is>
      </c>
      <c r="AY416" t="inlineStr">
        <is>
          <t>701+</t>
        </is>
      </c>
      <c r="AZ416" t="inlineStr">
        <is>
          <t>8.5</t>
        </is>
      </c>
      <c r="BA416" t="inlineStr">
        <is>
          <t>694</t>
        </is>
      </c>
    </row>
    <row r="417">
      <c r="A417" t="inlineStr">
        <is>
          <t>Industrial University of Ho Chi Minh City</t>
        </is>
      </c>
      <c r="B417" t="inlineStr">
        <is>
          <t>Viet Nam</t>
        </is>
      </c>
      <c r="C417" t="inlineStr"/>
      <c r="D417" t="inlineStr">
        <is>
          <t>Asia</t>
        </is>
      </c>
      <c r="E417" t="inlineStr">
        <is>
          <t>L</t>
        </is>
      </c>
      <c r="F417" t="inlineStr">
        <is>
          <t>CO</t>
        </is>
      </c>
      <c r="G417" t="inlineStr">
        <is>
          <t>HI</t>
        </is>
      </c>
      <c r="H417" t="inlineStr"/>
      <c r="I417" t="inlineStr">
        <is>
          <t>Public</t>
        </is>
      </c>
      <c r="J417" t="inlineStr">
        <is>
          <t>1201-1400</t>
        </is>
      </c>
      <c r="K417" t="inlineStr"/>
      <c r="L417" t="inlineStr"/>
      <c r="M417" t="inlineStr"/>
      <c r="N417" t="inlineStr">
        <is>
          <t>-</t>
        </is>
      </c>
      <c r="O417" t="inlineStr"/>
      <c r="P417" t="n">
        <v>22.6</v>
      </c>
      <c r="Q417" t="inlineStr">
        <is>
          <t>554</t>
        </is>
      </c>
      <c r="R417" t="n">
        <v>15.2</v>
      </c>
      <c r="S417" t="inlineStr">
        <is>
          <t>701+</t>
        </is>
      </c>
      <c r="T417" t="n">
        <v>5.2</v>
      </c>
      <c r="U417" t="inlineStr">
        <is>
          <t>801+</t>
        </is>
      </c>
      <c r="V417" t="n">
        <v>5</v>
      </c>
      <c r="W417" t="inlineStr">
        <is>
          <t>801+</t>
        </is>
      </c>
      <c r="X417" t="n">
        <v>1.5</v>
      </c>
      <c r="Y417" t="inlineStr">
        <is>
          <t>801+</t>
        </is>
      </c>
      <c r="Z417" t="n">
        <v>2.8</v>
      </c>
      <c r="AA417" t="inlineStr">
        <is>
          <t>801+</t>
        </is>
      </c>
      <c r="AB417" t="n">
        <v>6.9</v>
      </c>
      <c r="AC417" t="inlineStr">
        <is>
          <t>801+</t>
        </is>
      </c>
      <c r="AD417" t="n">
        <v>13.1</v>
      </c>
      <c r="AE417" t="inlineStr">
        <is>
          <t>801+</t>
        </is>
      </c>
      <c r="AF417" t="n">
        <v>6.7</v>
      </c>
      <c r="AG417" t="inlineStr">
        <is>
          <t>801+</t>
        </is>
      </c>
      <c r="AH417" t="n">
        <v>19.5</v>
      </c>
      <c r="AI417" t="inlineStr">
        <is>
          <t>801+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inlineStr">
        <is>
          <t>Inha University</t>
        </is>
      </c>
      <c r="B418" t="inlineStr">
        <is>
          <t>Republic of Korea</t>
        </is>
      </c>
      <c r="C418" t="inlineStr"/>
      <c r="D418" t="inlineStr">
        <is>
          <t>Asia</t>
        </is>
      </c>
      <c r="E418" t="inlineStr">
        <is>
          <t>L</t>
        </is>
      </c>
      <c r="F418" t="inlineStr">
        <is>
          <t>FC</t>
        </is>
      </c>
      <c r="G418" t="inlineStr">
        <is>
          <t>VH</t>
        </is>
      </c>
      <c r="H418" t="inlineStr"/>
      <c r="I418" t="inlineStr">
        <is>
          <t>Private not for Profit</t>
        </is>
      </c>
      <c r="J418" t="inlineStr">
        <is>
          <t>643</t>
        </is>
      </c>
      <c r="K418" t="inlineStr">
        <is>
          <t>631-640</t>
        </is>
      </c>
      <c r="L418" t="inlineStr"/>
      <c r="M418" t="inlineStr"/>
      <c r="N418" t="inlineStr">
        <is>
          <t>26.9</t>
        </is>
      </c>
      <c r="O418" t="inlineStr"/>
      <c r="P418" t="n">
        <v>17.5</v>
      </c>
      <c r="Q418" t="inlineStr">
        <is>
          <t>699</t>
        </is>
      </c>
      <c r="R418" t="n">
        <v>19.9</v>
      </c>
      <c r="S418" t="inlineStr">
        <is>
          <t>659</t>
        </is>
      </c>
      <c r="T418" t="n">
        <v>74.7</v>
      </c>
      <c r="U418" t="inlineStr">
        <is>
          <t>198</t>
        </is>
      </c>
      <c r="V418" t="n">
        <v>23.8</v>
      </c>
      <c r="W418" t="inlineStr">
        <is>
          <t>661</t>
        </is>
      </c>
      <c r="X418" t="n">
        <v>17.7</v>
      </c>
      <c r="Y418" t="inlineStr">
        <is>
          <t>752</t>
        </is>
      </c>
      <c r="Z418" t="n">
        <v>25.7</v>
      </c>
      <c r="AA418" t="inlineStr">
        <is>
          <t>650</t>
        </is>
      </c>
      <c r="AB418" t="n">
        <v>29.4</v>
      </c>
      <c r="AC418" t="inlineStr">
        <is>
          <t>622</t>
        </is>
      </c>
      <c r="AD418" t="n">
        <v>28.1</v>
      </c>
      <c r="AE418" t="inlineStr">
        <is>
          <t>801+</t>
        </is>
      </c>
      <c r="AF418" t="n">
        <v>17.1</v>
      </c>
      <c r="AG418" t="inlineStr">
        <is>
          <t>779</t>
        </is>
      </c>
      <c r="AH418" t="n">
        <v>64.7</v>
      </c>
      <c r="AI418" t="inlineStr">
        <is>
          <t>405=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Inha University</t>
        </is>
      </c>
      <c r="B419" t="inlineStr">
        <is>
          <t>South Korea</t>
        </is>
      </c>
      <c r="C419" t="inlineStr">
        <is>
          <t>KR</t>
        </is>
      </c>
      <c r="D419" t="inlineStr"/>
      <c r="E419" t="inlineStr">
        <is>
          <t>L</t>
        </is>
      </c>
      <c r="F419" t="inlineStr">
        <is>
          <t>FC</t>
        </is>
      </c>
      <c r="G419" t="inlineStr">
        <is>
          <t>VH</t>
        </is>
      </c>
      <c r="H419" t="inlineStr">
        <is>
          <t>4</t>
        </is>
      </c>
      <c r="I419" t="inlineStr">
        <is>
          <t>B</t>
        </is>
      </c>
      <c r="J419" t="inlineStr"/>
      <c r="K419" t="inlineStr"/>
      <c r="L419" t="inlineStr">
        <is>
          <t>691-700</t>
        </is>
      </c>
      <c r="M419" t="inlineStr">
        <is>
          <t>531-540</t>
        </is>
      </c>
      <c r="N419" t="inlineStr"/>
      <c r="O419" t="inlineStr">
        <is>
          <t>-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10.9</t>
        </is>
      </c>
      <c r="AK419" t="inlineStr">
        <is>
          <t>601+</t>
        </is>
      </c>
      <c r="AL419" t="inlineStr">
        <is>
          <t>15.3</t>
        </is>
      </c>
      <c r="AM419" t="inlineStr">
        <is>
          <t>539</t>
        </is>
      </c>
      <c r="AN419" t="inlineStr">
        <is>
          <t>72.9</t>
        </is>
      </c>
      <c r="AO419" t="inlineStr">
        <is>
          <t>172</t>
        </is>
      </c>
      <c r="AP419" t="inlineStr">
        <is>
          <t>11.7</t>
        </is>
      </c>
      <c r="AQ419" t="inlineStr">
        <is>
          <t>701+</t>
        </is>
      </c>
      <c r="AR419" t="inlineStr">
        <is>
          <t>8.8</t>
        </is>
      </c>
      <c r="AS419" t="inlineStr">
        <is>
          <t>701+</t>
        </is>
      </c>
      <c r="AT419" t="inlineStr">
        <is>
          <t>14.4</t>
        </is>
      </c>
      <c r="AU419" t="inlineStr">
        <is>
          <t>634</t>
        </is>
      </c>
      <c r="AV419" t="inlineStr">
        <is>
          <t>1.4</t>
        </is>
      </c>
      <c r="AW419" t="inlineStr">
        <is>
          <t>701+</t>
        </is>
      </c>
      <c r="AX419" t="inlineStr">
        <is>
          <t>12.4</t>
        </is>
      </c>
      <c r="AY419" t="inlineStr">
        <is>
          <t>700</t>
        </is>
      </c>
      <c r="AZ419" t="inlineStr">
        <is>
          <t>3</t>
        </is>
      </c>
      <c r="BA419" t="inlineStr">
        <is>
          <t>701+</t>
        </is>
      </c>
    </row>
    <row r="420">
      <c r="A420" t="inlineStr">
        <is>
          <t>Institut National des Sciences Appliquées de Lyon (INSA)</t>
        </is>
      </c>
      <c r="B420" t="inlineStr">
        <is>
          <t>France</t>
        </is>
      </c>
      <c r="C420" t="inlineStr">
        <is>
          <t>FR</t>
        </is>
      </c>
      <c r="D420" t="inlineStr">
        <is>
          <t>Europe</t>
        </is>
      </c>
      <c r="E420" t="inlineStr">
        <is>
          <t>M</t>
        </is>
      </c>
      <c r="F420" t="inlineStr">
        <is>
          <t>FO</t>
        </is>
      </c>
      <c r="G420" t="inlineStr">
        <is>
          <t>VH</t>
        </is>
      </c>
      <c r="H420" t="inlineStr">
        <is>
          <t>4</t>
        </is>
      </c>
      <c r="I420" t="inlineStr">
        <is>
          <t>Public</t>
        </is>
      </c>
      <c r="J420" t="inlineStr">
        <is>
          <t>406</t>
        </is>
      </c>
      <c r="K420" t="inlineStr">
        <is>
          <t>405</t>
        </is>
      </c>
      <c r="L420">
        <f>392</f>
        <v/>
      </c>
      <c r="M420" t="inlineStr">
        <is>
          <t>457=</t>
        </is>
      </c>
      <c r="N420" t="inlineStr">
        <is>
          <t>37.1</t>
        </is>
      </c>
      <c r="O420" t="inlineStr">
        <is>
          <t>28.2</t>
        </is>
      </c>
      <c r="P420" t="n">
        <v>9.4</v>
      </c>
      <c r="Q420" t="inlineStr">
        <is>
          <t>701+</t>
        </is>
      </c>
      <c r="R420" t="n">
        <v>38</v>
      </c>
      <c r="S420" t="inlineStr">
        <is>
          <t>367</t>
        </is>
      </c>
      <c r="T420" t="n">
        <v>42.7</v>
      </c>
      <c r="U420" t="inlineStr">
        <is>
          <t>468</t>
        </is>
      </c>
      <c r="V420" t="n">
        <v>69</v>
      </c>
      <c r="W420" t="inlineStr">
        <is>
          <t>222</t>
        </is>
      </c>
      <c r="X420" t="n">
        <v>34.4</v>
      </c>
      <c r="Y420" t="inlineStr">
        <is>
          <t>542</t>
        </is>
      </c>
      <c r="Z420" t="n">
        <v>77.5</v>
      </c>
      <c r="AA420" t="inlineStr">
        <is>
          <t>237</t>
        </is>
      </c>
      <c r="AB420" t="n">
        <v>79.7</v>
      </c>
      <c r="AC420" t="inlineStr">
        <is>
          <t>208</t>
        </is>
      </c>
      <c r="AD420" t="n">
        <v>58.7</v>
      </c>
      <c r="AE420" t="inlineStr">
        <is>
          <t>711</t>
        </is>
      </c>
      <c r="AF420" t="n">
        <v>17.8</v>
      </c>
      <c r="AG420" t="inlineStr">
        <is>
          <t>764</t>
        </is>
      </c>
      <c r="AH420" t="n">
        <v>39.1</v>
      </c>
      <c r="AI420" t="inlineStr">
        <is>
          <t>801+</t>
        </is>
      </c>
      <c r="AJ420" t="inlineStr">
        <is>
          <t>7.8</t>
        </is>
      </c>
      <c r="AK420" t="inlineStr">
        <is>
          <t>601+</t>
        </is>
      </c>
      <c r="AL420" t="inlineStr">
        <is>
          <t>29.4</t>
        </is>
      </c>
      <c r="AM420" t="inlineStr">
        <is>
          <t>331</t>
        </is>
      </c>
      <c r="AN420" t="inlineStr">
        <is>
          <t>37.1</t>
        </is>
      </c>
      <c r="AO420" t="inlineStr">
        <is>
          <t>425</t>
        </is>
      </c>
      <c r="AP420" t="inlineStr">
        <is>
          <t>50.8</t>
        </is>
      </c>
      <c r="AQ420" t="inlineStr">
        <is>
          <t>258</t>
        </is>
      </c>
      <c r="AR420" t="inlineStr">
        <is>
          <t>29.4</t>
        </is>
      </c>
      <c r="AS420" t="inlineStr">
        <is>
          <t>492</t>
        </is>
      </c>
      <c r="AT420" t="inlineStr">
        <is>
          <t>69.3</t>
        </is>
      </c>
      <c r="AU420" t="inlineStr">
        <is>
          <t>213</t>
        </is>
      </c>
      <c r="AV420" t="inlineStr">
        <is>
          <t>18.8</t>
        </is>
      </c>
      <c r="AW420" t="inlineStr">
        <is>
          <t>553</t>
        </is>
      </c>
      <c r="AX420" t="inlineStr">
        <is>
          <t>12.8</t>
        </is>
      </c>
      <c r="AY420" t="inlineStr">
        <is>
          <t>674</t>
        </is>
      </c>
      <c r="AZ420" t="inlineStr">
        <is>
          <t>20.5</t>
        </is>
      </c>
      <c r="BA420" t="inlineStr">
        <is>
          <t>540=</t>
        </is>
      </c>
    </row>
    <row r="421">
      <c r="A421" t="inlineStr">
        <is>
          <t>Institut Polytechnique de Paris</t>
        </is>
      </c>
      <c r="B421" t="inlineStr">
        <is>
          <t>France</t>
        </is>
      </c>
      <c r="C421" t="inlineStr">
        <is>
          <t>FR</t>
        </is>
      </c>
      <c r="D421" t="inlineStr">
        <is>
          <t>Europe</t>
        </is>
      </c>
      <c r="E421" t="inlineStr">
        <is>
          <t>M</t>
        </is>
      </c>
      <c r="F421" t="inlineStr">
        <is>
          <t>CO</t>
        </is>
      </c>
      <c r="G421" t="inlineStr">
        <is>
          <t>VH</t>
        </is>
      </c>
      <c r="H421" t="inlineStr">
        <is>
          <t>1</t>
        </is>
      </c>
      <c r="I421" t="inlineStr">
        <is>
          <t>Public</t>
        </is>
      </c>
      <c r="J421" t="inlineStr">
        <is>
          <t>41</t>
        </is>
      </c>
      <c r="K421" t="inlineStr">
        <is>
          <t>46</t>
        </is>
      </c>
      <c r="L421">
        <f>38</f>
        <v/>
      </c>
      <c r="M421" t="inlineStr">
        <is>
          <t>48</t>
        </is>
      </c>
      <c r="N421" t="inlineStr">
        <is>
          <t>85.4</t>
        </is>
      </c>
      <c r="O421" t="inlineStr">
        <is>
          <t>79.5</t>
        </is>
      </c>
      <c r="P421" t="n">
        <v>58.1</v>
      </c>
      <c r="Q421" t="inlineStr">
        <is>
          <t>185</t>
        </is>
      </c>
      <c r="R421" t="n">
        <v>99.8</v>
      </c>
      <c r="S421" t="inlineStr">
        <is>
          <t>14</t>
        </is>
      </c>
      <c r="T421" t="n">
        <v>94.8</v>
      </c>
      <c r="U421" t="inlineStr">
        <is>
          <t>76</t>
        </is>
      </c>
      <c r="V421" t="n">
        <v>97.3</v>
      </c>
      <c r="W421" t="inlineStr">
        <is>
          <t>52</t>
        </is>
      </c>
      <c r="X421" t="n">
        <v>99.90000000000001</v>
      </c>
      <c r="Y421" t="inlineStr">
        <is>
          <t>99</t>
        </is>
      </c>
      <c r="Z421" t="n">
        <v>99.2</v>
      </c>
      <c r="AA421" t="inlineStr">
        <is>
          <t>61</t>
        </is>
      </c>
      <c r="AB421" t="n">
        <v>99.2</v>
      </c>
      <c r="AC421" t="inlineStr">
        <is>
          <t>50</t>
        </is>
      </c>
      <c r="AD421" t="n">
        <v>93</v>
      </c>
      <c r="AE421" t="inlineStr">
        <is>
          <t>125</t>
        </is>
      </c>
      <c r="AF421" t="n">
        <v>99.09999999999999</v>
      </c>
      <c r="AG421" t="inlineStr">
        <is>
          <t>25</t>
        </is>
      </c>
      <c r="AH421" t="n">
        <v>77.90000000000001</v>
      </c>
      <c r="AI421" t="inlineStr">
        <is>
          <t>198=</t>
        </is>
      </c>
      <c r="AJ421" t="inlineStr">
        <is>
          <t>44.8</t>
        </is>
      </c>
      <c r="AK421" t="inlineStr">
        <is>
          <t>185</t>
        </is>
      </c>
      <c r="AL421" t="inlineStr">
        <is>
          <t>99.6</t>
        </is>
      </c>
      <c r="AM421" t="inlineStr">
        <is>
          <t>10</t>
        </is>
      </c>
      <c r="AN421" t="inlineStr">
        <is>
          <t>97.3</t>
        </is>
      </c>
      <c r="AO421" t="inlineStr">
        <is>
          <t>51</t>
        </is>
      </c>
      <c r="AP421" t="inlineStr">
        <is>
          <t>93.8</t>
        </is>
      </c>
      <c r="AQ421" t="inlineStr">
        <is>
          <t>59</t>
        </is>
      </c>
      <c r="AR421" t="inlineStr">
        <is>
          <t>98.5</t>
        </is>
      </c>
      <c r="AS421" t="inlineStr">
        <is>
          <t>106</t>
        </is>
      </c>
      <c r="AT421" t="inlineStr">
        <is>
          <t>98.3</t>
        </is>
      </c>
      <c r="AU421" t="inlineStr">
        <is>
          <t>58</t>
        </is>
      </c>
      <c r="AV421" t="inlineStr">
        <is>
          <t>76.9</t>
        </is>
      </c>
      <c r="AW421" t="inlineStr">
        <is>
          <t>163</t>
        </is>
      </c>
      <c r="AX421" t="inlineStr">
        <is>
          <t>90.3</t>
        </is>
      </c>
      <c r="AY421" t="inlineStr">
        <is>
          <t>35</t>
        </is>
      </c>
      <c r="AZ421" t="inlineStr">
        <is>
          <t>72.5</t>
        </is>
      </c>
      <c r="BA421" t="inlineStr">
        <is>
          <t>189=</t>
        </is>
      </c>
    </row>
    <row r="422">
      <c r="A422" t="inlineStr">
        <is>
          <t>Institut Teknologi Nasional Bandung (ITENAS Bandung)</t>
        </is>
      </c>
      <c r="B422" t="inlineStr">
        <is>
          <t>Indonesia</t>
        </is>
      </c>
      <c r="C422" t="inlineStr"/>
      <c r="D422" t="inlineStr">
        <is>
          <t>Asia</t>
        </is>
      </c>
      <c r="E422" t="inlineStr">
        <is>
          <t>M</t>
        </is>
      </c>
      <c r="F422" t="inlineStr">
        <is>
          <t>SP</t>
        </is>
      </c>
      <c r="G422" t="inlineStr">
        <is>
          <t>LO</t>
        </is>
      </c>
      <c r="H422" t="inlineStr"/>
      <c r="I422" t="inlineStr">
        <is>
          <t>Private not for Profit</t>
        </is>
      </c>
      <c r="J422" t="inlineStr">
        <is>
          <t>1201-1400</t>
        </is>
      </c>
      <c r="K422" t="inlineStr"/>
      <c r="L422" t="inlineStr"/>
      <c r="M422" t="inlineStr"/>
      <c r="N422" t="inlineStr">
        <is>
          <t>-</t>
        </is>
      </c>
      <c r="O422" t="inlineStr"/>
      <c r="P422" t="n">
        <v>22.4</v>
      </c>
      <c r="Q422" t="inlineStr">
        <is>
          <t>562</t>
        </is>
      </c>
      <c r="R422" t="n">
        <v>5</v>
      </c>
      <c r="S422" t="inlineStr">
        <is>
          <t>701+</t>
        </is>
      </c>
      <c r="T422" t="n">
        <v>13.2</v>
      </c>
      <c r="U422" t="inlineStr">
        <is>
          <t>801+</t>
        </is>
      </c>
      <c r="V422" t="n">
        <v>1.5</v>
      </c>
      <c r="W422" t="inlineStr">
        <is>
          <t>801+</t>
        </is>
      </c>
      <c r="X422" t="n">
        <v>3.1</v>
      </c>
      <c r="Y422" t="inlineStr">
        <is>
          <t>801+</t>
        </is>
      </c>
      <c r="Z422" t="n">
        <v>1.3</v>
      </c>
      <c r="AA422" t="inlineStr">
        <is>
          <t>801+</t>
        </is>
      </c>
      <c r="AB422" t="n">
        <v>5.7</v>
      </c>
      <c r="AC422" t="inlineStr">
        <is>
          <t>801+</t>
        </is>
      </c>
      <c r="AD422" t="n">
        <v>3.4</v>
      </c>
      <c r="AE422" t="inlineStr">
        <is>
          <t>801+</t>
        </is>
      </c>
      <c r="AF422" t="n">
        <v>2.8</v>
      </c>
      <c r="AG422" t="inlineStr">
        <is>
          <t>801+</t>
        </is>
      </c>
      <c r="AH422" t="n">
        <v>26.9</v>
      </c>
      <c r="AI422" t="inlineStr">
        <is>
          <t>801+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inlineStr">
        <is>
          <t>Institut Teknologi Sepuluh Nopember (ITS)</t>
        </is>
      </c>
      <c r="B423" t="inlineStr">
        <is>
          <t>Indonesia</t>
        </is>
      </c>
      <c r="C423" t="inlineStr"/>
      <c r="D423" t="inlineStr">
        <is>
          <t>Asia</t>
        </is>
      </c>
      <c r="E423" t="inlineStr">
        <is>
          <t>L</t>
        </is>
      </c>
      <c r="F423" t="inlineStr">
        <is>
          <t>CO</t>
        </is>
      </c>
      <c r="G423" t="inlineStr">
        <is>
          <t>VH</t>
        </is>
      </c>
      <c r="H423" t="inlineStr"/>
      <c r="I423" t="inlineStr">
        <is>
          <t>Public</t>
        </is>
      </c>
      <c r="J423" t="inlineStr">
        <is>
          <t>509</t>
        </is>
      </c>
      <c r="K423" t="inlineStr">
        <is>
          <t>585</t>
        </is>
      </c>
      <c r="L423" t="inlineStr"/>
      <c r="M423" t="inlineStr"/>
      <c r="N423" t="inlineStr">
        <is>
          <t>31.9</t>
        </is>
      </c>
      <c r="O423" t="inlineStr"/>
      <c r="P423" t="n">
        <v>27.4</v>
      </c>
      <c r="Q423" t="inlineStr">
        <is>
          <t>456</t>
        </is>
      </c>
      <c r="R423" t="n">
        <v>60.2</v>
      </c>
      <c r="S423" t="inlineStr">
        <is>
          <t>192</t>
        </is>
      </c>
      <c r="T423" t="n">
        <v>62.1</v>
      </c>
      <c r="U423" t="inlineStr">
        <is>
          <t>287</t>
        </is>
      </c>
      <c r="V423" t="n">
        <v>2.7</v>
      </c>
      <c r="W423" t="inlineStr">
        <is>
          <t>801+</t>
        </is>
      </c>
      <c r="X423" t="n">
        <v>69.59999999999999</v>
      </c>
      <c r="Y423" t="inlineStr">
        <is>
          <t>337</t>
        </is>
      </c>
      <c r="Z423" t="n">
        <v>11.9</v>
      </c>
      <c r="AA423" t="inlineStr">
        <is>
          <t>801+</t>
        </is>
      </c>
      <c r="AB423" t="n">
        <v>17.9</v>
      </c>
      <c r="AC423" t="inlineStr">
        <is>
          <t>800</t>
        </is>
      </c>
      <c r="AD423" t="n">
        <v>27.6</v>
      </c>
      <c r="AE423" t="inlineStr">
        <is>
          <t>801+</t>
        </is>
      </c>
      <c r="AF423" t="n">
        <v>17</v>
      </c>
      <c r="AG423" t="inlineStr">
        <is>
          <t>782</t>
        </is>
      </c>
      <c r="AH423" t="n">
        <v>52.5</v>
      </c>
      <c r="AI423" t="inlineStr">
        <is>
          <t>654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inlineStr">
        <is>
          <t>Institut Teknologi Sepuluh Nopember (ITS Surabaya)</t>
        </is>
      </c>
      <c r="B424" t="inlineStr">
        <is>
          <t>Indonesia</t>
        </is>
      </c>
      <c r="C424" t="inlineStr">
        <is>
          <t>ID</t>
        </is>
      </c>
      <c r="D424" t="inlineStr"/>
      <c r="E424" t="inlineStr">
        <is>
          <t>L</t>
        </is>
      </c>
      <c r="F424" t="inlineStr">
        <is>
          <t>SP</t>
        </is>
      </c>
      <c r="G424" t="inlineStr"/>
      <c r="H424" t="inlineStr">
        <is>
          <t>2</t>
        </is>
      </c>
      <c r="I424" t="inlineStr">
        <is>
          <t>A</t>
        </is>
      </c>
      <c r="J424" t="inlineStr"/>
      <c r="K424" t="inlineStr"/>
      <c r="L424" t="inlineStr">
        <is>
          <t>621-630</t>
        </is>
      </c>
      <c r="M424" t="inlineStr">
        <is>
          <t>701-750</t>
        </is>
      </c>
      <c r="N424" t="inlineStr"/>
      <c r="O424" t="inlineStr">
        <is>
          <t>-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15.3</t>
        </is>
      </c>
      <c r="AK424" t="inlineStr">
        <is>
          <t>570</t>
        </is>
      </c>
      <c r="AL424" t="inlineStr">
        <is>
          <t>41.0</t>
        </is>
      </c>
      <c r="AM424" t="inlineStr">
        <is>
          <t>227</t>
        </is>
      </c>
      <c r="AN424" t="inlineStr">
        <is>
          <t>36.9</t>
        </is>
      </c>
      <c r="AO424" t="inlineStr">
        <is>
          <t>427</t>
        </is>
      </c>
      <c r="AP424" t="inlineStr">
        <is>
          <t>1.7</t>
        </is>
      </c>
      <c r="AQ424" t="inlineStr">
        <is>
          <t>701+</t>
        </is>
      </c>
      <c r="AR424" t="inlineStr">
        <is>
          <t>43.1</t>
        </is>
      </c>
      <c r="AS424" t="inlineStr">
        <is>
          <t>388</t>
        </is>
      </c>
      <c r="AT424" t="inlineStr">
        <is>
          <t>5.2</t>
        </is>
      </c>
      <c r="AU424" t="inlineStr">
        <is>
          <t>701+</t>
        </is>
      </c>
      <c r="AV424" t="inlineStr">
        <is>
          <t>1.0</t>
        </is>
      </c>
      <c r="AW424" t="inlineStr">
        <is>
          <t>701+</t>
        </is>
      </c>
      <c r="AX424" t="inlineStr">
        <is>
          <t>14.5</t>
        </is>
      </c>
      <c r="AY424" t="inlineStr">
        <is>
          <t>577</t>
        </is>
      </c>
      <c r="AZ424" t="inlineStr">
        <is>
          <t>26.3</t>
        </is>
      </c>
      <c r="BA424" t="inlineStr">
        <is>
          <t>484</t>
        </is>
      </c>
    </row>
    <row r="425">
      <c r="A425" t="inlineStr">
        <is>
          <t>institution</t>
        </is>
      </c>
      <c r="B425" t="inlineStr">
        <is>
          <t>location</t>
        </is>
      </c>
      <c r="C425" t="inlineStr">
        <is>
          <t>location code</t>
        </is>
      </c>
      <c r="D425" t="inlineStr"/>
      <c r="E425" t="inlineStr">
        <is>
          <t>size</t>
        </is>
      </c>
      <c r="F425" t="inlineStr">
        <is>
          <t>focus</t>
        </is>
      </c>
      <c r="G425" t="inlineStr">
        <is>
          <t>research</t>
        </is>
      </c>
      <c r="H425" t="inlineStr">
        <is>
          <t>age band</t>
        </is>
      </c>
      <c r="I425" t="inlineStr">
        <is>
          <t>status</t>
        </is>
      </c>
      <c r="J425" t="inlineStr"/>
      <c r="K425" t="inlineStr"/>
      <c r="L425" t="inlineStr">
        <is>
          <t>rank display</t>
        </is>
      </c>
      <c r="M425" t="inlineStr">
        <is>
          <t>rank display2</t>
        </is>
      </c>
      <c r="N425" t="inlineStr"/>
      <c r="O425" t="inlineStr">
        <is>
          <t>Overall Score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ar score</t>
        </is>
      </c>
      <c r="AK425" t="inlineStr">
        <is>
          <t>ar rank</t>
        </is>
      </c>
      <c r="AL425" t="inlineStr">
        <is>
          <t>er score</t>
        </is>
      </c>
      <c r="AM425" t="inlineStr">
        <is>
          <t>er rank</t>
        </is>
      </c>
      <c r="AN425" t="inlineStr">
        <is>
          <t>fsr score</t>
        </is>
      </c>
      <c r="AO425" t="inlineStr">
        <is>
          <t>fsr rank</t>
        </is>
      </c>
      <c r="AP425" t="inlineStr">
        <is>
          <t>cpf score</t>
        </is>
      </c>
      <c r="AQ425" t="inlineStr">
        <is>
          <t>cpf rank</t>
        </is>
      </c>
      <c r="AR425" t="inlineStr">
        <is>
          <t>ifr score</t>
        </is>
      </c>
      <c r="AS425" t="inlineStr">
        <is>
          <t>ifr rank</t>
        </is>
      </c>
      <c r="AT425" t="inlineStr">
        <is>
          <t>isr score</t>
        </is>
      </c>
      <c r="AU425" t="inlineStr">
        <is>
          <t>isr rank</t>
        </is>
      </c>
      <c r="AV425" t="inlineStr">
        <is>
          <t>irn score</t>
        </is>
      </c>
      <c r="AW425" t="inlineStr">
        <is>
          <t>irn rank</t>
        </is>
      </c>
      <c r="AX425" t="inlineStr">
        <is>
          <t>ger score</t>
        </is>
      </c>
      <c r="AY425" t="inlineStr">
        <is>
          <t>ger rank</t>
        </is>
      </c>
      <c r="AZ425" t="inlineStr">
        <is>
          <t>SUS SCORE</t>
        </is>
      </c>
      <c r="BA425" t="inlineStr">
        <is>
          <t>SUS RANK</t>
        </is>
      </c>
    </row>
    <row r="426">
      <c r="A426" t="inlineStr">
        <is>
          <t>Instituto Politécnico Nacional (IPN)</t>
        </is>
      </c>
      <c r="B426" t="inlineStr">
        <is>
          <t>Mexico</t>
        </is>
      </c>
      <c r="C426" t="inlineStr">
        <is>
          <t>MX</t>
        </is>
      </c>
      <c r="D426" t="inlineStr">
        <is>
          <t>Americas</t>
        </is>
      </c>
      <c r="E426" t="inlineStr">
        <is>
          <t>XL</t>
        </is>
      </c>
      <c r="F426" t="inlineStr">
        <is>
          <t>FO</t>
        </is>
      </c>
      <c r="G426" t="inlineStr">
        <is>
          <t>VH</t>
        </is>
      </c>
      <c r="H426" t="inlineStr">
        <is>
          <t>4</t>
        </is>
      </c>
      <c r="I426" t="inlineStr">
        <is>
          <t>Public</t>
        </is>
      </c>
      <c r="J426" t="inlineStr">
        <is>
          <t>851-900</t>
        </is>
      </c>
      <c r="K426" t="inlineStr">
        <is>
          <t>801-850</t>
        </is>
      </c>
      <c r="L426" t="inlineStr">
        <is>
          <t>741-750</t>
        </is>
      </c>
      <c r="M426" t="inlineStr">
        <is>
          <t>751-800</t>
        </is>
      </c>
      <c r="N426" t="inlineStr">
        <is>
          <t>-</t>
        </is>
      </c>
      <c r="O426" t="inlineStr">
        <is>
          <t>-</t>
        </is>
      </c>
      <c r="P426" t="n">
        <v>26.6</v>
      </c>
      <c r="Q426" t="inlineStr">
        <is>
          <t>474</t>
        </is>
      </c>
      <c r="R426" t="n">
        <v>33.9</v>
      </c>
      <c r="S426" t="inlineStr">
        <is>
          <t>423</t>
        </is>
      </c>
      <c r="T426" t="n">
        <v>17</v>
      </c>
      <c r="U426" t="inlineStr">
        <is>
          <t>801+</t>
        </is>
      </c>
      <c r="V426" t="n">
        <v>3.1</v>
      </c>
      <c r="W426" t="inlineStr">
        <is>
          <t>801+</t>
        </is>
      </c>
      <c r="X426" t="n">
        <v>6.7</v>
      </c>
      <c r="Y426" t="inlineStr">
        <is>
          <t>801+</t>
        </is>
      </c>
      <c r="Z426" t="n">
        <v>2.1</v>
      </c>
      <c r="AA426" t="inlineStr">
        <is>
          <t>801+</t>
        </is>
      </c>
      <c r="AB426" t="n">
        <v>6.6</v>
      </c>
      <c r="AC426" t="inlineStr">
        <is>
          <t>801+</t>
        </is>
      </c>
      <c r="AD426" t="n">
        <v>47.4</v>
      </c>
      <c r="AE426" t="inlineStr">
        <is>
          <t>801+</t>
        </is>
      </c>
      <c r="AF426" t="n">
        <v>12.7</v>
      </c>
      <c r="AG426" t="inlineStr">
        <is>
          <t>801+</t>
        </is>
      </c>
      <c r="AH426" t="n">
        <v>56.3</v>
      </c>
      <c r="AI426" t="inlineStr">
        <is>
          <t>573=</t>
        </is>
      </c>
      <c r="AJ426" t="inlineStr">
        <is>
          <t>20.4</t>
        </is>
      </c>
      <c r="AK426" t="inlineStr">
        <is>
          <t>429</t>
        </is>
      </c>
      <c r="AL426" t="inlineStr">
        <is>
          <t>40.2</t>
        </is>
      </c>
      <c r="AM426" t="inlineStr">
        <is>
          <t>235</t>
        </is>
      </c>
      <c r="AN426" t="inlineStr">
        <is>
          <t>8.7</t>
        </is>
      </c>
      <c r="AO426" t="inlineStr">
        <is>
          <t>701+</t>
        </is>
      </c>
      <c r="AP426" t="inlineStr">
        <is>
          <t>2.1</t>
        </is>
      </c>
      <c r="AQ426" t="inlineStr">
        <is>
          <t>701+</t>
        </is>
      </c>
      <c r="AR426" t="inlineStr">
        <is>
          <t>2.6</t>
        </is>
      </c>
      <c r="AS426" t="inlineStr">
        <is>
          <t>701+</t>
        </is>
      </c>
      <c r="AT426" t="inlineStr">
        <is>
          <t>1.1</t>
        </is>
      </c>
      <c r="AU426" t="inlineStr">
        <is>
          <t>701+</t>
        </is>
      </c>
      <c r="AV426" t="inlineStr">
        <is>
          <t>6.9</t>
        </is>
      </c>
      <c r="AW426" t="inlineStr">
        <is>
          <t>701+</t>
        </is>
      </c>
      <c r="AX426" t="inlineStr">
        <is>
          <t>9.8</t>
        </is>
      </c>
      <c r="AY426" t="inlineStr">
        <is>
          <t>701+</t>
        </is>
      </c>
      <c r="AZ426" t="inlineStr">
        <is>
          <t>33.5</t>
        </is>
      </c>
      <c r="BA426" t="inlineStr">
        <is>
          <t>413=</t>
        </is>
      </c>
    </row>
    <row r="427">
      <c r="A427" t="inlineStr">
        <is>
          <t>Instituto Tecnológico Autonomo de México (ITAM)</t>
        </is>
      </c>
      <c r="B427" t="inlineStr">
        <is>
          <t>Mexico</t>
        </is>
      </c>
      <c r="C427" t="inlineStr"/>
      <c r="D427" t="inlineStr">
        <is>
          <t>Americas</t>
        </is>
      </c>
      <c r="E427" t="inlineStr">
        <is>
          <t>S</t>
        </is>
      </c>
      <c r="F427" t="inlineStr">
        <is>
          <t>SP</t>
        </is>
      </c>
      <c r="G427" t="inlineStr">
        <is>
          <t>MD</t>
        </is>
      </c>
      <c r="H427" t="inlineStr"/>
      <c r="I427" t="inlineStr">
        <is>
          <t>Private not for Profit</t>
        </is>
      </c>
      <c r="J427" t="inlineStr">
        <is>
          <t>801-850</t>
        </is>
      </c>
      <c r="K427" t="inlineStr">
        <is>
          <t>751-760</t>
        </is>
      </c>
      <c r="L427" t="inlineStr"/>
      <c r="M427" t="inlineStr"/>
      <c r="N427" t="inlineStr">
        <is>
          <t>-</t>
        </is>
      </c>
      <c r="O427" t="inlineStr"/>
      <c r="P427" t="n">
        <v>21.5</v>
      </c>
      <c r="Q427" t="inlineStr">
        <is>
          <t>575</t>
        </is>
      </c>
      <c r="R427" t="n">
        <v>40</v>
      </c>
      <c r="S427" t="inlineStr">
        <is>
          <t>343</t>
        </is>
      </c>
      <c r="T427" t="n">
        <v>22.3</v>
      </c>
      <c r="U427" t="inlineStr">
        <is>
          <t>784</t>
        </is>
      </c>
      <c r="V427" t="n">
        <v>2.7</v>
      </c>
      <c r="W427" t="inlineStr">
        <is>
          <t>801+</t>
        </is>
      </c>
      <c r="X427" t="n">
        <v>51.1</v>
      </c>
      <c r="Y427" t="inlineStr">
        <is>
          <t>436</t>
        </is>
      </c>
      <c r="Z427" t="n">
        <v>2.2</v>
      </c>
      <c r="AA427" t="inlineStr">
        <is>
          <t>801+</t>
        </is>
      </c>
      <c r="AB427" t="n">
        <v>6.6</v>
      </c>
      <c r="AC427" t="inlineStr">
        <is>
          <t>801+</t>
        </is>
      </c>
      <c r="AD427" t="n">
        <v>8.699999999999999</v>
      </c>
      <c r="AE427" t="inlineStr">
        <is>
          <t>801+</t>
        </is>
      </c>
      <c r="AF427" t="n">
        <v>80</v>
      </c>
      <c r="AG427" t="inlineStr">
        <is>
          <t>159</t>
        </is>
      </c>
      <c r="AH427" t="n">
        <v>24.6</v>
      </c>
      <c r="AI427" t="inlineStr">
        <is>
          <t>801+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inlineStr">
        <is>
          <t>Instituto Tecnológico Autónomo de México (ITAM)</t>
        </is>
      </c>
      <c r="B428" t="inlineStr">
        <is>
          <t>Mexico</t>
        </is>
      </c>
      <c r="C428" t="inlineStr">
        <is>
          <t>MX</t>
        </is>
      </c>
      <c r="D428" t="inlineStr"/>
      <c r="E428" t="inlineStr">
        <is>
          <t>S</t>
        </is>
      </c>
      <c r="F428" t="inlineStr">
        <is>
          <t>FO</t>
        </is>
      </c>
      <c r="G428" t="inlineStr">
        <is>
          <t>HI</t>
        </is>
      </c>
      <c r="H428" t="inlineStr">
        <is>
          <t>4</t>
        </is>
      </c>
      <c r="I428" t="inlineStr">
        <is>
          <t>B</t>
        </is>
      </c>
      <c r="J428" t="inlineStr"/>
      <c r="K428" t="inlineStr"/>
      <c r="L428" t="inlineStr">
        <is>
          <t>651-660</t>
        </is>
      </c>
      <c r="M428" t="inlineStr">
        <is>
          <t>751-800</t>
        </is>
      </c>
      <c r="N428" t="inlineStr"/>
      <c r="O428" t="inlineStr">
        <is>
          <t>-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15.5</t>
        </is>
      </c>
      <c r="AK428" t="inlineStr">
        <is>
          <t>565</t>
        </is>
      </c>
      <c r="AL428" t="inlineStr">
        <is>
          <t>35.1</t>
        </is>
      </c>
      <c r="AM428" t="inlineStr">
        <is>
          <t>276</t>
        </is>
      </c>
      <c r="AN428" t="inlineStr">
        <is>
          <t>11.7</t>
        </is>
      </c>
      <c r="AO428" t="inlineStr">
        <is>
          <t>701+</t>
        </is>
      </c>
      <c r="AP428" t="inlineStr">
        <is>
          <t>1.8</t>
        </is>
      </c>
      <c r="AQ428" t="inlineStr">
        <is>
          <t>701+</t>
        </is>
      </c>
      <c r="AR428" t="inlineStr">
        <is>
          <t>65.6</t>
        </is>
      </c>
      <c r="AS428" t="inlineStr">
        <is>
          <t>293</t>
        </is>
      </c>
      <c r="AT428" t="inlineStr">
        <is>
          <t>1.5</t>
        </is>
      </c>
      <c r="AU428" t="inlineStr">
        <is>
          <t>701+</t>
        </is>
      </c>
      <c r="AV428" t="inlineStr">
        <is>
          <t>1.0</t>
        </is>
      </c>
      <c r="AW428" t="inlineStr">
        <is>
          <t>701+</t>
        </is>
      </c>
      <c r="AX428" t="inlineStr">
        <is>
          <t>64.9</t>
        </is>
      </c>
      <c r="AY428" t="inlineStr">
        <is>
          <t>88</t>
        </is>
      </c>
      <c r="AZ428" t="inlineStr">
        <is>
          <t>1.2</t>
        </is>
      </c>
      <c r="BA428" t="inlineStr">
        <is>
          <t>701+</t>
        </is>
      </c>
    </row>
    <row r="429">
      <c r="A429" t="inlineStr">
        <is>
          <t>Instituto Tecnológico de Buenos Aires (ITBA)</t>
        </is>
      </c>
      <c r="B429" t="inlineStr">
        <is>
          <t>Argentina</t>
        </is>
      </c>
      <c r="C429" t="inlineStr">
        <is>
          <t>AR</t>
        </is>
      </c>
      <c r="D429" t="inlineStr"/>
      <c r="E429" t="inlineStr">
        <is>
          <t>S</t>
        </is>
      </c>
      <c r="F429" t="inlineStr">
        <is>
          <t>FO</t>
        </is>
      </c>
      <c r="G429" t="inlineStr">
        <is>
          <t>HI</t>
        </is>
      </c>
      <c r="H429" t="inlineStr">
        <is>
          <t>4</t>
        </is>
      </c>
      <c r="I429" t="inlineStr">
        <is>
          <t>B</t>
        </is>
      </c>
      <c r="J429" t="inlineStr"/>
      <c r="K429" t="inlineStr"/>
      <c r="L429" t="inlineStr">
        <is>
          <t>791-800</t>
        </is>
      </c>
      <c r="M429" t="inlineStr">
        <is>
          <t>751-800</t>
        </is>
      </c>
      <c r="N429" t="inlineStr"/>
      <c r="O429" t="inlineStr">
        <is>
          <t>-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9.0</t>
        </is>
      </c>
      <c r="AK429" t="inlineStr">
        <is>
          <t>601+</t>
        </is>
      </c>
      <c r="AL429" t="inlineStr">
        <is>
          <t>38.8</t>
        </is>
      </c>
      <c r="AM429" t="inlineStr">
        <is>
          <t>251</t>
        </is>
      </c>
      <c r="AN429" t="inlineStr">
        <is>
          <t>35.2</t>
        </is>
      </c>
      <c r="AO429" t="inlineStr">
        <is>
          <t>449</t>
        </is>
      </c>
      <c r="AP429" t="inlineStr">
        <is>
          <t>1.4</t>
        </is>
      </c>
      <c r="AQ429" t="inlineStr">
        <is>
          <t>701+</t>
        </is>
      </c>
      <c r="AR429" t="inlineStr">
        <is>
          <t>26.7</t>
        </is>
      </c>
      <c r="AS429" t="inlineStr">
        <is>
          <t>512</t>
        </is>
      </c>
      <c r="AT429" t="inlineStr">
        <is>
          <t>13.5</t>
        </is>
      </c>
      <c r="AU429" t="inlineStr">
        <is>
          <t>652</t>
        </is>
      </c>
      <c r="AV429" t="inlineStr">
        <is>
          <t>1.0</t>
        </is>
      </c>
      <c r="AW429" t="inlineStr">
        <is>
          <t>701+</t>
        </is>
      </c>
      <c r="AX429" t="inlineStr">
        <is>
          <t>6.6</t>
        </is>
      </c>
      <c r="AY429" t="inlineStr">
        <is>
          <t>701+</t>
        </is>
      </c>
      <c r="AZ429" t="inlineStr"/>
      <c r="BA429" t="inlineStr"/>
    </row>
    <row r="430">
      <c r="A430" t="inlineStr">
        <is>
          <t>Instituto Tecnológico de Santo Domingo (INTEC)</t>
        </is>
      </c>
      <c r="B430" t="inlineStr">
        <is>
          <t>Dominican Republic</t>
        </is>
      </c>
      <c r="C430" t="inlineStr">
        <is>
          <t>DO</t>
        </is>
      </c>
      <c r="D430" t="inlineStr">
        <is>
          <t>Americas</t>
        </is>
      </c>
      <c r="E430" t="inlineStr">
        <is>
          <t>M</t>
        </is>
      </c>
      <c r="F430" t="inlineStr">
        <is>
          <t>FO</t>
        </is>
      </c>
      <c r="G430" t="inlineStr">
        <is>
          <t>MD</t>
        </is>
      </c>
      <c r="H430" t="inlineStr">
        <is>
          <t>4</t>
        </is>
      </c>
      <c r="I430" t="inlineStr">
        <is>
          <t>Public</t>
        </is>
      </c>
      <c r="J430" t="inlineStr">
        <is>
          <t>1201-1400</t>
        </is>
      </c>
      <c r="K430" t="inlineStr">
        <is>
          <t>1201-1400</t>
        </is>
      </c>
      <c r="L430" t="inlineStr">
        <is>
          <t>1001-1200</t>
        </is>
      </c>
      <c r="M430" t="inlineStr">
        <is>
          <t>801-1000</t>
        </is>
      </c>
      <c r="N430" t="inlineStr">
        <is>
          <t>-</t>
        </is>
      </c>
      <c r="O430" t="inlineStr">
        <is>
          <t>-</t>
        </is>
      </c>
      <c r="P430" t="n">
        <v>1.9</v>
      </c>
      <c r="Q430" t="inlineStr">
        <is>
          <t>701+</t>
        </is>
      </c>
      <c r="R430" t="n">
        <v>6.3</v>
      </c>
      <c r="S430" t="inlineStr">
        <is>
          <t>701+</t>
        </is>
      </c>
      <c r="T430" t="n">
        <v>36.2</v>
      </c>
      <c r="U430" t="inlineStr">
        <is>
          <t>554</t>
        </is>
      </c>
      <c r="V430" t="n">
        <v>2</v>
      </c>
      <c r="W430" t="inlineStr">
        <is>
          <t>801+</t>
        </is>
      </c>
      <c r="X430" t="n">
        <v>22.9</v>
      </c>
      <c r="Y430" t="inlineStr">
        <is>
          <t>674</t>
        </is>
      </c>
      <c r="Z430" t="n">
        <v>5.2</v>
      </c>
      <c r="AA430" t="inlineStr">
        <is>
          <t>801+</t>
        </is>
      </c>
      <c r="AB430" t="n">
        <v>9.199999999999999</v>
      </c>
      <c r="AC430" t="inlineStr">
        <is>
          <t>801+</t>
        </is>
      </c>
      <c r="AD430" t="n">
        <v>7.3</v>
      </c>
      <c r="AE430" t="inlineStr">
        <is>
          <t>801+</t>
        </is>
      </c>
      <c r="AF430" t="n">
        <v>49.7</v>
      </c>
      <c r="AG430" t="inlineStr">
        <is>
          <t>348</t>
        </is>
      </c>
      <c r="AH430" t="n">
        <v>17.6</v>
      </c>
      <c r="AI430" t="inlineStr">
        <is>
          <t>801+</t>
        </is>
      </c>
      <c r="AJ430" t="inlineStr">
        <is>
          <t>2.7</t>
        </is>
      </c>
      <c r="AK430" t="inlineStr">
        <is>
          <t>601+</t>
        </is>
      </c>
      <c r="AL430" t="inlineStr">
        <is>
          <t>7.9</t>
        </is>
      </c>
      <c r="AM430" t="inlineStr">
        <is>
          <t>601+</t>
        </is>
      </c>
      <c r="AN430" t="inlineStr">
        <is>
          <t>31.4</t>
        </is>
      </c>
      <c r="AO430" t="inlineStr">
        <is>
          <t>502</t>
        </is>
      </c>
      <c r="AP430" t="inlineStr">
        <is>
          <t>1.4</t>
        </is>
      </c>
      <c r="AQ430" t="inlineStr">
        <is>
          <t>701+</t>
        </is>
      </c>
      <c r="AR430" t="inlineStr">
        <is>
          <t>18.5</t>
        </is>
      </c>
      <c r="AS430" t="inlineStr">
        <is>
          <t>608</t>
        </is>
      </c>
      <c r="AT430" t="inlineStr">
        <is>
          <t>3.1</t>
        </is>
      </c>
      <c r="AU430" t="inlineStr">
        <is>
          <t>701+</t>
        </is>
      </c>
      <c r="AV430" t="inlineStr">
        <is>
          <t>1.0</t>
        </is>
      </c>
      <c r="AW430" t="inlineStr">
        <is>
          <t>701+</t>
        </is>
      </c>
      <c r="AX430" t="inlineStr">
        <is>
          <t>19.8</t>
        </is>
      </c>
      <c r="AY430" t="inlineStr">
        <is>
          <t>422</t>
        </is>
      </c>
      <c r="AZ430" t="inlineStr"/>
      <c r="BA430" t="inlineStr"/>
    </row>
    <row r="431">
      <c r="A431" t="inlineStr">
        <is>
          <t>International Christian University</t>
        </is>
      </c>
      <c r="B431" t="inlineStr">
        <is>
          <t>Japan</t>
        </is>
      </c>
      <c r="C431" t="inlineStr">
        <is>
          <t>JP</t>
        </is>
      </c>
      <c r="D431" t="inlineStr">
        <is>
          <t>Asia</t>
        </is>
      </c>
      <c r="E431" t="inlineStr">
        <is>
          <t>S</t>
        </is>
      </c>
      <c r="F431" t="inlineStr">
        <is>
          <t>FO</t>
        </is>
      </c>
      <c r="G431" t="inlineStr">
        <is>
          <t>HI</t>
        </is>
      </c>
      <c r="H431" t="inlineStr">
        <is>
          <t>4</t>
        </is>
      </c>
      <c r="I431" t="inlineStr">
        <is>
          <t>Private for Profit</t>
        </is>
      </c>
      <c r="J431" t="inlineStr">
        <is>
          <t>1201-1400</t>
        </is>
      </c>
      <c r="K431" t="inlineStr">
        <is>
          <t>1001-1200</t>
        </is>
      </c>
      <c r="L431" t="inlineStr">
        <is>
          <t>1001-1200</t>
        </is>
      </c>
      <c r="M431" t="inlineStr">
        <is>
          <t>801-1000</t>
        </is>
      </c>
      <c r="N431" t="inlineStr">
        <is>
          <t>-</t>
        </is>
      </c>
      <c r="O431" t="inlineStr">
        <is>
          <t>-</t>
        </is>
      </c>
      <c r="P431" t="n">
        <v>6.3</v>
      </c>
      <c r="Q431" t="inlineStr">
        <is>
          <t>701+</t>
        </is>
      </c>
      <c r="R431" t="n">
        <v>14.8</v>
      </c>
      <c r="S431" t="inlineStr">
        <is>
          <t>701+</t>
        </is>
      </c>
      <c r="T431" t="n">
        <v>21.5</v>
      </c>
      <c r="U431" t="inlineStr">
        <is>
          <t>801+</t>
        </is>
      </c>
      <c r="V431" t="n">
        <v>1.9</v>
      </c>
      <c r="W431" t="inlineStr">
        <is>
          <t>801+</t>
        </is>
      </c>
      <c r="X431" t="n">
        <v>83.2</v>
      </c>
      <c r="Y431" t="inlineStr">
        <is>
          <t>269</t>
        </is>
      </c>
      <c r="Z431" t="n">
        <v>15.8</v>
      </c>
      <c r="AA431" t="inlineStr">
        <is>
          <t>800</t>
        </is>
      </c>
      <c r="AB431" t="n">
        <v>12</v>
      </c>
      <c r="AC431" t="inlineStr">
        <is>
          <t>801+</t>
        </is>
      </c>
      <c r="AD431" t="n">
        <v>6</v>
      </c>
      <c r="AE431" t="inlineStr">
        <is>
          <t>801+</t>
        </is>
      </c>
      <c r="AF431" t="n">
        <v>14.9</v>
      </c>
      <c r="AG431" t="inlineStr">
        <is>
          <t>801+</t>
        </is>
      </c>
      <c r="AH431" t="n">
        <v>15.5</v>
      </c>
      <c r="AI431" t="inlineStr">
        <is>
          <t>801+</t>
        </is>
      </c>
      <c r="AJ431" t="inlineStr">
        <is>
          <t>4.9</t>
        </is>
      </c>
      <c r="AK431" t="inlineStr">
        <is>
          <t>601+</t>
        </is>
      </c>
      <c r="AL431" t="inlineStr">
        <is>
          <t>13.2</t>
        </is>
      </c>
      <c r="AM431" t="inlineStr">
        <is>
          <t>601+</t>
        </is>
      </c>
      <c r="AN431" t="inlineStr">
        <is>
          <t>17.9</t>
        </is>
      </c>
      <c r="AO431" t="inlineStr">
        <is>
          <t>701+</t>
        </is>
      </c>
      <c r="AP431" t="inlineStr">
        <is>
          <t>1.7</t>
        </is>
      </c>
      <c r="AQ431" t="inlineStr">
        <is>
          <t>701+</t>
        </is>
      </c>
      <c r="AR431" t="inlineStr">
        <is>
          <t>76.6</t>
        </is>
      </c>
      <c r="AS431" t="inlineStr">
        <is>
          <t>242</t>
        </is>
      </c>
      <c r="AT431" t="inlineStr">
        <is>
          <t>6.0</t>
        </is>
      </c>
      <c r="AU431" t="inlineStr">
        <is>
          <t>701+</t>
        </is>
      </c>
      <c r="AV431" t="inlineStr">
        <is>
          <t>1.0</t>
        </is>
      </c>
      <c r="AW431" t="inlineStr">
        <is>
          <t>701+</t>
        </is>
      </c>
      <c r="AX431" t="inlineStr">
        <is>
          <t>13.5</t>
        </is>
      </c>
      <c r="AY431" t="inlineStr">
        <is>
          <t>636</t>
        </is>
      </c>
      <c r="AZ431" t="inlineStr">
        <is>
          <t>1</t>
        </is>
      </c>
      <c r="BA431" t="inlineStr">
        <is>
          <t>701+</t>
        </is>
      </c>
    </row>
    <row r="432">
      <c r="A432" t="inlineStr">
        <is>
          <t>International Islamic University Islamabad (IIU)</t>
        </is>
      </c>
      <c r="B432" t="inlineStr">
        <is>
          <t>Pakistan</t>
        </is>
      </c>
      <c r="C432" t="inlineStr">
        <is>
          <t>PK</t>
        </is>
      </c>
      <c r="D432" t="inlineStr">
        <is>
          <t>Asia</t>
        </is>
      </c>
      <c r="E432" t="inlineStr">
        <is>
          <t>L</t>
        </is>
      </c>
      <c r="F432" t="inlineStr">
        <is>
          <t>CO</t>
        </is>
      </c>
      <c r="G432" t="inlineStr">
        <is>
          <t>HI</t>
        </is>
      </c>
      <c r="H432" t="inlineStr">
        <is>
          <t>3</t>
        </is>
      </c>
      <c r="I432" t="inlineStr">
        <is>
          <t>Public</t>
        </is>
      </c>
      <c r="J432" t="inlineStr">
        <is>
          <t>1201-1400</t>
        </is>
      </c>
      <c r="K432" t="inlineStr">
        <is>
          <t>1001-1200</t>
        </is>
      </c>
      <c r="L432" t="inlineStr">
        <is>
          <t>1201-1400</t>
        </is>
      </c>
      <c r="M432" t="inlineStr">
        <is>
          <t>1201-1400</t>
        </is>
      </c>
      <c r="N432" t="inlineStr">
        <is>
          <t>-</t>
        </is>
      </c>
      <c r="O432" t="inlineStr">
        <is>
          <t>-</t>
        </is>
      </c>
      <c r="P432" t="n">
        <v>9.300000000000001</v>
      </c>
      <c r="Q432" t="inlineStr">
        <is>
          <t>701+</t>
        </is>
      </c>
      <c r="R432" t="n">
        <v>14.3</v>
      </c>
      <c r="S432" t="inlineStr">
        <is>
          <t>701+</t>
        </is>
      </c>
      <c r="T432" t="n">
        <v>5</v>
      </c>
      <c r="U432" t="inlineStr">
        <is>
          <t>801+</t>
        </is>
      </c>
      <c r="V432" t="n">
        <v>15.5</v>
      </c>
      <c r="W432" t="inlineStr">
        <is>
          <t>795</t>
        </is>
      </c>
      <c r="X432" t="n">
        <v>5.7</v>
      </c>
      <c r="Y432" t="inlineStr">
        <is>
          <t>801+</t>
        </is>
      </c>
      <c r="Z432" t="n">
        <v>9.6</v>
      </c>
      <c r="AA432" t="inlineStr">
        <is>
          <t>801+</t>
        </is>
      </c>
      <c r="AB432" t="n">
        <v>13.2</v>
      </c>
      <c r="AC432" t="inlineStr">
        <is>
          <t>801+</t>
        </is>
      </c>
      <c r="AD432" t="n">
        <v>57.9</v>
      </c>
      <c r="AE432" t="inlineStr">
        <is>
          <t>719</t>
        </is>
      </c>
      <c r="AF432" t="n">
        <v>3.3</v>
      </c>
      <c r="AG432" t="inlineStr">
        <is>
          <t>801+</t>
        </is>
      </c>
      <c r="AH432" t="n">
        <v>28.8</v>
      </c>
      <c r="AI432" t="inlineStr">
        <is>
          <t>801+</t>
        </is>
      </c>
      <c r="AJ432" t="inlineStr">
        <is>
          <t>6.3</t>
        </is>
      </c>
      <c r="AK432" t="inlineStr">
        <is>
          <t>601+</t>
        </is>
      </c>
      <c r="AL432" t="inlineStr">
        <is>
          <t>10.8</t>
        </is>
      </c>
      <c r="AM432" t="inlineStr">
        <is>
          <t>601+</t>
        </is>
      </c>
      <c r="AN432" t="inlineStr">
        <is>
          <t>3.6</t>
        </is>
      </c>
      <c r="AO432" t="inlineStr">
        <is>
          <t>701+</t>
        </is>
      </c>
      <c r="AP432" t="inlineStr">
        <is>
          <t>7.2</t>
        </is>
      </c>
      <c r="AQ432" t="inlineStr">
        <is>
          <t>701+</t>
        </is>
      </c>
      <c r="AR432" t="inlineStr">
        <is>
          <t>4.5</t>
        </is>
      </c>
      <c r="AS432" t="inlineStr">
        <is>
          <t>701+</t>
        </is>
      </c>
      <c r="AT432" t="inlineStr">
        <is>
          <t>6.7</t>
        </is>
      </c>
      <c r="AU432" t="inlineStr">
        <is>
          <t>701+</t>
        </is>
      </c>
      <c r="AV432" t="inlineStr">
        <is>
          <t>4.4</t>
        </is>
      </c>
      <c r="AW432" t="inlineStr">
        <is>
          <t>701+</t>
        </is>
      </c>
      <c r="AX432" t="inlineStr">
        <is>
          <t>6.9</t>
        </is>
      </c>
      <c r="AY432" t="inlineStr">
        <is>
          <t>701+</t>
        </is>
      </c>
      <c r="AZ432" t="inlineStr">
        <is>
          <t>1.1</t>
        </is>
      </c>
      <c r="BA432" t="inlineStr">
        <is>
          <t>701+</t>
        </is>
      </c>
    </row>
    <row r="433">
      <c r="A433" t="inlineStr">
        <is>
          <t>International Islamic University Malaysia (IIUM)</t>
        </is>
      </c>
      <c r="B433" t="inlineStr">
        <is>
          <t>Malaysia</t>
        </is>
      </c>
      <c r="C433" t="inlineStr">
        <is>
          <t>MY</t>
        </is>
      </c>
      <c r="D433" t="inlineStr">
        <is>
          <t>Asia</t>
        </is>
      </c>
      <c r="E433" t="inlineStr">
        <is>
          <t>L</t>
        </is>
      </c>
      <c r="F433" t="inlineStr">
        <is>
          <t>FC</t>
        </is>
      </c>
      <c r="G433" t="inlineStr">
        <is>
          <t>HI</t>
        </is>
      </c>
      <c r="H433" t="inlineStr">
        <is>
          <t>3</t>
        </is>
      </c>
      <c r="I433" t="inlineStr">
        <is>
          <t>Public</t>
        </is>
      </c>
      <c r="J433" t="inlineStr">
        <is>
          <t>613</t>
        </is>
      </c>
      <c r="K433" t="inlineStr">
        <is>
          <t>661-670</t>
        </is>
      </c>
      <c r="L433" t="inlineStr">
        <is>
          <t>711-720</t>
        </is>
      </c>
      <c r="M433" t="inlineStr">
        <is>
          <t>651-700</t>
        </is>
      </c>
      <c r="N433" t="inlineStr">
        <is>
          <t>27.8</t>
        </is>
      </c>
      <c r="O433" t="inlineStr">
        <is>
          <t>-</t>
        </is>
      </c>
      <c r="P433" t="n">
        <v>36</v>
      </c>
      <c r="Q433" t="inlineStr">
        <is>
          <t>337</t>
        </is>
      </c>
      <c r="R433" t="n">
        <v>27.3</v>
      </c>
      <c r="S433" t="inlineStr">
        <is>
          <t>503</t>
        </is>
      </c>
      <c r="T433" t="n">
        <v>17.9</v>
      </c>
      <c r="U433" t="inlineStr">
        <is>
          <t>801+</t>
        </is>
      </c>
      <c r="V433" t="n">
        <v>6.2</v>
      </c>
      <c r="W433" t="inlineStr">
        <is>
          <t>801+</t>
        </is>
      </c>
      <c r="X433" t="n">
        <v>29.1</v>
      </c>
      <c r="Y433" t="inlineStr">
        <is>
          <t>592</t>
        </is>
      </c>
      <c r="Z433" t="n">
        <v>69</v>
      </c>
      <c r="AA433" t="inlineStr">
        <is>
          <t>282</t>
        </is>
      </c>
      <c r="AB433" t="n">
        <v>51.4</v>
      </c>
      <c r="AC433" t="inlineStr">
        <is>
          <t>401</t>
        </is>
      </c>
      <c r="AD433" t="n">
        <v>58.6</v>
      </c>
      <c r="AE433" t="inlineStr">
        <is>
          <t>712</t>
        </is>
      </c>
      <c r="AF433" t="n">
        <v>32.3</v>
      </c>
      <c r="AG433" t="inlineStr">
        <is>
          <t>523</t>
        </is>
      </c>
      <c r="AH433" t="n">
        <v>32</v>
      </c>
      <c r="AI433" t="inlineStr">
        <is>
          <t>801+</t>
        </is>
      </c>
      <c r="AJ433" t="inlineStr">
        <is>
          <t>22.8</t>
        </is>
      </c>
      <c r="AK433" t="inlineStr">
        <is>
          <t>383</t>
        </is>
      </c>
      <c r="AL433" t="inlineStr">
        <is>
          <t>17.2</t>
        </is>
      </c>
      <c r="AM433" t="inlineStr">
        <is>
          <t>506</t>
        </is>
      </c>
      <c r="AN433" t="inlineStr">
        <is>
          <t>14.2</t>
        </is>
      </c>
      <c r="AO433" t="inlineStr">
        <is>
          <t>701+</t>
        </is>
      </c>
      <c r="AP433" t="inlineStr">
        <is>
          <t>2.9</t>
        </is>
      </c>
      <c r="AQ433" t="inlineStr">
        <is>
          <t>701+</t>
        </is>
      </c>
      <c r="AR433" t="inlineStr">
        <is>
          <t>24.0</t>
        </is>
      </c>
      <c r="AS433" t="inlineStr">
        <is>
          <t>546</t>
        </is>
      </c>
      <c r="AT433" t="inlineStr">
        <is>
          <t>60.2</t>
        </is>
      </c>
      <c r="AU433" t="inlineStr">
        <is>
          <t>246</t>
        </is>
      </c>
      <c r="AV433" t="inlineStr">
        <is>
          <t>12.2</t>
        </is>
      </c>
      <c r="AW433" t="inlineStr">
        <is>
          <t>632</t>
        </is>
      </c>
      <c r="AX433" t="inlineStr">
        <is>
          <t>7.2</t>
        </is>
      </c>
      <c r="AY433" t="inlineStr">
        <is>
          <t>701+</t>
        </is>
      </c>
      <c r="AZ433" t="inlineStr">
        <is>
          <t>3</t>
        </is>
      </c>
      <c r="BA433" t="inlineStr">
        <is>
          <t>701+</t>
        </is>
      </c>
    </row>
    <row r="434">
      <c r="A434" t="inlineStr">
        <is>
          <t>International University of Business, Agriculture and Technology (IUBAT)</t>
        </is>
      </c>
      <c r="B434" t="inlineStr">
        <is>
          <t>Bangladesh</t>
        </is>
      </c>
      <c r="C434" t="inlineStr">
        <is>
          <t>BD</t>
        </is>
      </c>
      <c r="D434" t="inlineStr"/>
      <c r="E434" t="inlineStr"/>
      <c r="F434" t="inlineStr">
        <is>
          <t>CO</t>
        </is>
      </c>
      <c r="G434" t="inlineStr"/>
      <c r="H434" t="inlineStr">
        <is>
          <t>3</t>
        </is>
      </c>
      <c r="I434" t="inlineStr"/>
      <c r="J434" t="inlineStr"/>
      <c r="K434" t="inlineStr"/>
      <c r="L434" t="inlineStr">
        <is>
          <t>1401+</t>
        </is>
      </c>
      <c r="M434" t="inlineStr"/>
      <c r="N434" t="inlineStr"/>
      <c r="O434" t="inlineStr">
        <is>
          <t>-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5.9</t>
        </is>
      </c>
      <c r="AK434" t="inlineStr">
        <is>
          <t>601+</t>
        </is>
      </c>
      <c r="AL434" t="inlineStr">
        <is>
          <t>3.6</t>
        </is>
      </c>
      <c r="AM434" t="inlineStr">
        <is>
          <t>601+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>
        <is>
          <t>1.0</t>
        </is>
      </c>
      <c r="AW434" t="inlineStr">
        <is>
          <t>701+</t>
        </is>
      </c>
      <c r="AX434" t="inlineStr"/>
      <c r="AY434" t="inlineStr"/>
      <c r="AZ434" t="inlineStr"/>
      <c r="BA434" t="inlineStr"/>
    </row>
    <row r="435">
      <c r="A435" t="inlineStr">
        <is>
          <t>INTI International University</t>
        </is>
      </c>
      <c r="B435" t="inlineStr">
        <is>
          <t>Malaysia</t>
        </is>
      </c>
      <c r="C435" t="inlineStr">
        <is>
          <t>MY</t>
        </is>
      </c>
      <c r="D435" t="inlineStr">
        <is>
          <t>Asia</t>
        </is>
      </c>
      <c r="E435" t="inlineStr">
        <is>
          <t>S</t>
        </is>
      </c>
      <c r="F435" t="inlineStr">
        <is>
          <t>CO</t>
        </is>
      </c>
      <c r="G435" t="inlineStr">
        <is>
          <t>VH</t>
        </is>
      </c>
      <c r="H435" t="inlineStr">
        <is>
          <t>2</t>
        </is>
      </c>
      <c r="I435" t="inlineStr">
        <is>
          <t>Private for Profit</t>
        </is>
      </c>
      <c r="J435" t="inlineStr">
        <is>
          <t>509</t>
        </is>
      </c>
      <c r="K435" t="inlineStr">
        <is>
          <t>516</t>
        </is>
      </c>
      <c r="L435">
        <f>556</f>
        <v/>
      </c>
      <c r="M435" t="inlineStr"/>
      <c r="N435" t="inlineStr">
        <is>
          <t>31.9</t>
        </is>
      </c>
      <c r="O435" t="inlineStr">
        <is>
          <t>21.1</t>
        </is>
      </c>
      <c r="P435" t="n">
        <v>14.3</v>
      </c>
      <c r="Q435" t="inlineStr">
        <is>
          <t>701+</t>
        </is>
      </c>
      <c r="R435" t="n">
        <v>37.8</v>
      </c>
      <c r="S435" t="inlineStr">
        <is>
          <t>368</t>
        </is>
      </c>
      <c r="T435" t="n">
        <v>95.09999999999999</v>
      </c>
      <c r="U435" t="inlineStr">
        <is>
          <t>73</t>
        </is>
      </c>
      <c r="V435" t="n">
        <v>3</v>
      </c>
      <c r="W435" t="inlineStr">
        <is>
          <t>801+</t>
        </is>
      </c>
      <c r="X435" t="n">
        <v>100</v>
      </c>
      <c r="Y435" t="inlineStr">
        <is>
          <t>39</t>
        </is>
      </c>
      <c r="Z435" t="n">
        <v>99.7</v>
      </c>
      <c r="AA435" t="inlineStr">
        <is>
          <t>50</t>
        </is>
      </c>
      <c r="AB435" t="n">
        <v>99.5</v>
      </c>
      <c r="AC435" t="inlineStr">
        <is>
          <t>46</t>
        </is>
      </c>
      <c r="AD435" t="n">
        <v>19.2</v>
      </c>
      <c r="AE435" t="inlineStr">
        <is>
          <t>801+</t>
        </is>
      </c>
      <c r="AF435" t="n">
        <v>5.2</v>
      </c>
      <c r="AG435" t="inlineStr">
        <is>
          <t>801+</t>
        </is>
      </c>
      <c r="AH435" t="n">
        <v>33.2</v>
      </c>
      <c r="AI435" t="inlineStr">
        <is>
          <t>801+</t>
        </is>
      </c>
      <c r="AJ435" t="inlineStr">
        <is>
          <t>5.0</t>
        </is>
      </c>
      <c r="AK435" t="inlineStr">
        <is>
          <t>601+</t>
        </is>
      </c>
      <c r="AL435" t="inlineStr">
        <is>
          <t>14.8</t>
        </is>
      </c>
      <c r="AM435" t="inlineStr">
        <is>
          <t>556</t>
        </is>
      </c>
      <c r="AN435" t="inlineStr">
        <is>
          <t>84.3</t>
        </is>
      </c>
      <c r="AO435" t="inlineStr">
        <is>
          <t>112</t>
        </is>
      </c>
      <c r="AP435" t="inlineStr">
        <is>
          <t>1.7</t>
        </is>
      </c>
      <c r="AQ435" t="inlineStr">
        <is>
          <t>701+</t>
        </is>
      </c>
      <c r="AR435" t="inlineStr">
        <is>
          <t>75.2</t>
        </is>
      </c>
      <c r="AS435" t="inlineStr">
        <is>
          <t>252</t>
        </is>
      </c>
      <c r="AT435" t="inlineStr">
        <is>
          <t>88.4</t>
        </is>
      </c>
      <c r="AU435" t="inlineStr">
        <is>
          <t>126</t>
        </is>
      </c>
      <c r="AV435" t="inlineStr">
        <is>
          <t>1.0</t>
        </is>
      </c>
      <c r="AW435" t="inlineStr">
        <is>
          <t>701+</t>
        </is>
      </c>
      <c r="AX435" t="inlineStr">
        <is>
          <t>9.1</t>
        </is>
      </c>
      <c r="AY435" t="inlineStr">
        <is>
          <t>701+</t>
        </is>
      </c>
      <c r="AZ435" t="inlineStr">
        <is>
          <t>1</t>
        </is>
      </c>
      <c r="BA435" t="inlineStr">
        <is>
          <t>701+</t>
        </is>
      </c>
    </row>
    <row r="436">
      <c r="A436" t="inlineStr">
        <is>
          <t>Iowa State University</t>
        </is>
      </c>
      <c r="B436" t="inlineStr">
        <is>
          <t>United States</t>
        </is>
      </c>
      <c r="C436" t="inlineStr">
        <is>
          <t>US</t>
        </is>
      </c>
      <c r="D436" t="inlineStr">
        <is>
          <t>Americas</t>
        </is>
      </c>
      <c r="E436" t="inlineStr">
        <is>
          <t>L</t>
        </is>
      </c>
      <c r="F436" t="inlineStr">
        <is>
          <t>CO</t>
        </is>
      </c>
      <c r="G436" t="inlineStr">
        <is>
          <t>VH</t>
        </is>
      </c>
      <c r="H436" t="inlineStr">
        <is>
          <t>5</t>
        </is>
      </c>
      <c r="I436" t="inlineStr">
        <is>
          <t>Public</t>
        </is>
      </c>
      <c r="J436" t="inlineStr">
        <is>
          <t>449</t>
        </is>
      </c>
      <c r="K436" t="inlineStr">
        <is>
          <t>470</t>
        </is>
      </c>
      <c r="L436">
        <f>400</f>
        <v/>
      </c>
      <c r="M436" t="inlineStr">
        <is>
          <t>481=</t>
        </is>
      </c>
      <c r="N436" t="inlineStr">
        <is>
          <t>34.4</t>
        </is>
      </c>
      <c r="O436" t="inlineStr">
        <is>
          <t>27.9</t>
        </is>
      </c>
      <c r="P436" t="n">
        <v>26.4</v>
      </c>
      <c r="Q436" t="inlineStr">
        <is>
          <t>479</t>
        </is>
      </c>
      <c r="R436" t="n">
        <v>21.6</v>
      </c>
      <c r="S436" t="inlineStr">
        <is>
          <t>611</t>
        </is>
      </c>
      <c r="T436" t="n">
        <v>10.8</v>
      </c>
      <c r="U436" t="inlineStr">
        <is>
          <t>801+</t>
        </is>
      </c>
      <c r="V436" t="n">
        <v>61</v>
      </c>
      <c r="W436" t="inlineStr">
        <is>
          <t>281</t>
        </is>
      </c>
      <c r="X436" t="n">
        <v>6.7</v>
      </c>
      <c r="Y436" t="inlineStr">
        <is>
          <t>801+</t>
        </is>
      </c>
      <c r="Z436" t="n">
        <v>17.8</v>
      </c>
      <c r="AA436" t="inlineStr">
        <is>
          <t>764</t>
        </is>
      </c>
      <c r="AB436" t="n">
        <v>24</v>
      </c>
      <c r="AC436" t="inlineStr">
        <is>
          <t>703</t>
        </is>
      </c>
      <c r="AD436" t="n">
        <v>78.90000000000001</v>
      </c>
      <c r="AE436" t="inlineStr">
        <is>
          <t>370</t>
        </is>
      </c>
      <c r="AF436" t="n">
        <v>50.6</v>
      </c>
      <c r="AG436" t="inlineStr">
        <is>
          <t>339</t>
        </is>
      </c>
      <c r="AH436" t="n">
        <v>65</v>
      </c>
      <c r="AI436" t="inlineStr">
        <is>
          <t>398=</t>
        </is>
      </c>
      <c r="AJ436" t="inlineStr">
        <is>
          <t>20.0</t>
        </is>
      </c>
      <c r="AK436" t="inlineStr">
        <is>
          <t>440</t>
        </is>
      </c>
      <c r="AL436" t="inlineStr">
        <is>
          <t>13.5</t>
        </is>
      </c>
      <c r="AM436" t="inlineStr">
        <is>
          <t>597</t>
        </is>
      </c>
      <c r="AN436" t="inlineStr">
        <is>
          <t>8.4</t>
        </is>
      </c>
      <c r="AO436" t="inlineStr">
        <is>
          <t>701+</t>
        </is>
      </c>
      <c r="AP436" t="inlineStr">
        <is>
          <t>58.7</t>
        </is>
      </c>
      <c r="AQ436" t="inlineStr">
        <is>
          <t>217</t>
        </is>
      </c>
      <c r="AR436" t="inlineStr">
        <is>
          <t>4.6</t>
        </is>
      </c>
      <c r="AS436" t="inlineStr">
        <is>
          <t>701+</t>
        </is>
      </c>
      <c r="AT436" t="inlineStr">
        <is>
          <t>11.1</t>
        </is>
      </c>
      <c r="AU436" t="inlineStr">
        <is>
          <t>690</t>
        </is>
      </c>
      <c r="AV436" t="inlineStr">
        <is>
          <t>50.9</t>
        </is>
      </c>
      <c r="AW436" t="inlineStr">
        <is>
          <t>307</t>
        </is>
      </c>
      <c r="AX436" t="inlineStr">
        <is>
          <t>27.2</t>
        </is>
      </c>
      <c r="AY436" t="inlineStr">
        <is>
          <t>300</t>
        </is>
      </c>
      <c r="AZ436" t="inlineStr">
        <is>
          <t>51.8</t>
        </is>
      </c>
      <c r="BA436" t="inlineStr">
        <is>
          <t>295=</t>
        </is>
      </c>
    </row>
    <row r="437">
      <c r="A437" t="inlineStr">
        <is>
          <t>IPB University (a.k.a. Bogor Agricultural University)</t>
        </is>
      </c>
      <c r="B437" t="inlineStr">
        <is>
          <t>Indonesia</t>
        </is>
      </c>
      <c r="C437" t="inlineStr">
        <is>
          <t>ID</t>
        </is>
      </c>
      <c r="D437" t="inlineStr"/>
      <c r="E437" t="inlineStr">
        <is>
          <t>L</t>
        </is>
      </c>
      <c r="F437" t="inlineStr">
        <is>
          <t>CO</t>
        </is>
      </c>
      <c r="G437" t="inlineStr">
        <is>
          <t>VH</t>
        </is>
      </c>
      <c r="H437" t="inlineStr">
        <is>
          <t>4</t>
        </is>
      </c>
      <c r="I437" t="inlineStr">
        <is>
          <t>A</t>
        </is>
      </c>
      <c r="J437" t="inlineStr"/>
      <c r="K437" t="inlineStr"/>
      <c r="L437">
        <f>489</f>
        <v/>
      </c>
      <c r="M437" t="inlineStr">
        <is>
          <t>449=</t>
        </is>
      </c>
      <c r="N437" t="inlineStr"/>
      <c r="O437" t="inlineStr">
        <is>
          <t>23.6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21.6</t>
        </is>
      </c>
      <c r="AK437" t="inlineStr">
        <is>
          <t>399</t>
        </is>
      </c>
      <c r="AL437" t="inlineStr">
        <is>
          <t>39.0</t>
        </is>
      </c>
      <c r="AM437" t="inlineStr">
        <is>
          <t>244</t>
        </is>
      </c>
      <c r="AN437" t="inlineStr">
        <is>
          <t>66.1</t>
        </is>
      </c>
      <c r="AO437" t="inlineStr">
        <is>
          <t>203</t>
        </is>
      </c>
      <c r="AP437" t="inlineStr">
        <is>
          <t>1.7</t>
        </is>
      </c>
      <c r="AQ437" t="inlineStr">
        <is>
          <t>701+</t>
        </is>
      </c>
      <c r="AR437" t="inlineStr">
        <is>
          <t>54.6</t>
        </is>
      </c>
      <c r="AS437" t="inlineStr">
        <is>
          <t>339</t>
        </is>
      </c>
      <c r="AT437" t="inlineStr">
        <is>
          <t>3.8</t>
        </is>
      </c>
      <c r="AU437" t="inlineStr">
        <is>
          <t>701+</t>
        </is>
      </c>
      <c r="AV437" t="inlineStr">
        <is>
          <t>1.2</t>
        </is>
      </c>
      <c r="AW437" t="inlineStr">
        <is>
          <t>701+</t>
        </is>
      </c>
      <c r="AX437" t="inlineStr">
        <is>
          <t>24.1</t>
        </is>
      </c>
      <c r="AY437" t="inlineStr">
        <is>
          <t>347</t>
        </is>
      </c>
      <c r="AZ437" t="inlineStr">
        <is>
          <t>3.4</t>
        </is>
      </c>
      <c r="BA437" t="inlineStr">
        <is>
          <t>701+</t>
        </is>
      </c>
    </row>
    <row r="438">
      <c r="A438" t="inlineStr">
        <is>
          <t>IPB University (aka Bogor Agricultural University)</t>
        </is>
      </c>
      <c r="B438" t="inlineStr">
        <is>
          <t>Indonesia</t>
        </is>
      </c>
      <c r="C438" t="inlineStr"/>
      <c r="D438" t="inlineStr">
        <is>
          <t>Asia</t>
        </is>
      </c>
      <c r="E438" t="inlineStr">
        <is>
          <t>L</t>
        </is>
      </c>
      <c r="F438" t="inlineStr">
        <is>
          <t>FO</t>
        </is>
      </c>
      <c r="G438" t="inlineStr">
        <is>
          <t>VH</t>
        </is>
      </c>
      <c r="H438" t="inlineStr"/>
      <c r="I438" t="inlineStr">
        <is>
          <t>Public</t>
        </is>
      </c>
      <c r="J438" t="inlineStr">
        <is>
          <t>399</t>
        </is>
      </c>
      <c r="K438" t="inlineStr">
        <is>
          <t>426</t>
        </is>
      </c>
      <c r="L438" t="inlineStr"/>
      <c r="M438" t="inlineStr"/>
      <c r="N438" t="inlineStr">
        <is>
          <t>37.6</t>
        </is>
      </c>
      <c r="O438" t="inlineStr"/>
      <c r="P438" t="n">
        <v>35.1</v>
      </c>
      <c r="Q438" t="inlineStr">
        <is>
          <t>342</t>
        </is>
      </c>
      <c r="R438" t="n">
        <v>56</v>
      </c>
      <c r="S438" t="inlineStr">
        <is>
          <t>213</t>
        </is>
      </c>
      <c r="T438" t="n">
        <v>82.90000000000001</v>
      </c>
      <c r="U438" t="inlineStr">
        <is>
          <t>153</t>
        </is>
      </c>
      <c r="V438" t="n">
        <v>3</v>
      </c>
      <c r="W438" t="inlineStr">
        <is>
          <t>801+</t>
        </is>
      </c>
      <c r="X438" t="n">
        <v>73.7</v>
      </c>
      <c r="Y438" t="inlineStr">
        <is>
          <t>323</t>
        </is>
      </c>
      <c r="Z438" t="n">
        <v>6</v>
      </c>
      <c r="AA438" t="inlineStr">
        <is>
          <t>801+</t>
        </is>
      </c>
      <c r="AB438" t="n">
        <v>10.8</v>
      </c>
      <c r="AC438" t="inlineStr">
        <is>
          <t>801+</t>
        </is>
      </c>
      <c r="AD438" t="n">
        <v>26.2</v>
      </c>
      <c r="AE438" t="inlineStr">
        <is>
          <t>801+</t>
        </is>
      </c>
      <c r="AF438" t="n">
        <v>45.3</v>
      </c>
      <c r="AG438" t="inlineStr">
        <is>
          <t>386</t>
        </is>
      </c>
      <c r="AH438" t="n">
        <v>63.2</v>
      </c>
      <c r="AI438" t="inlineStr">
        <is>
          <t>436=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Iran University of Science and Technology</t>
        </is>
      </c>
      <c r="B439" t="inlineStr">
        <is>
          <t>Iran (Islamic Republic of)</t>
        </is>
      </c>
      <c r="C439" t="inlineStr"/>
      <c r="D439" t="inlineStr">
        <is>
          <t>Asia</t>
        </is>
      </c>
      <c r="E439" t="inlineStr">
        <is>
          <t>M</t>
        </is>
      </c>
      <c r="F439" t="inlineStr">
        <is>
          <t>FO</t>
        </is>
      </c>
      <c r="G439" t="inlineStr">
        <is>
          <t>VH</t>
        </is>
      </c>
      <c r="H439" t="inlineStr"/>
      <c r="I439" t="inlineStr">
        <is>
          <t>Public</t>
        </is>
      </c>
      <c r="J439" t="inlineStr">
        <is>
          <t>496</t>
        </is>
      </c>
      <c r="K439" t="inlineStr">
        <is>
          <t>436</t>
        </is>
      </c>
      <c r="L439" t="inlineStr"/>
      <c r="M439" t="inlineStr"/>
      <c r="N439" t="inlineStr">
        <is>
          <t>32.4</t>
        </is>
      </c>
      <c r="O439" t="inlineStr"/>
      <c r="P439" t="n">
        <v>11.8</v>
      </c>
      <c r="Q439" t="inlineStr">
        <is>
          <t>701+</t>
        </is>
      </c>
      <c r="R439" t="n">
        <v>24.3</v>
      </c>
      <c r="S439" t="inlineStr">
        <is>
          <t>553</t>
        </is>
      </c>
      <c r="T439" t="n">
        <v>4.3</v>
      </c>
      <c r="U439" t="inlineStr">
        <is>
          <t>801+</t>
        </is>
      </c>
      <c r="V439" t="n">
        <v>99.90000000000001</v>
      </c>
      <c r="W439" t="inlineStr">
        <is>
          <t>19</t>
        </is>
      </c>
      <c r="X439" t="n">
        <v>7</v>
      </c>
      <c r="Y439" t="inlineStr">
        <is>
          <t>801+</t>
        </is>
      </c>
      <c r="Z439" t="n">
        <v>8.6</v>
      </c>
      <c r="AA439" t="inlineStr">
        <is>
          <t>801+</t>
        </is>
      </c>
      <c r="AB439" t="n">
        <v>11.3</v>
      </c>
      <c r="AC439" t="inlineStr">
        <is>
          <t>801+</t>
        </is>
      </c>
      <c r="AD439" t="n">
        <v>64.40000000000001</v>
      </c>
      <c r="AE439" t="inlineStr">
        <is>
          <t>629</t>
        </is>
      </c>
      <c r="AF439" t="n">
        <v>9.4</v>
      </c>
      <c r="AG439" t="inlineStr">
        <is>
          <t>801+</t>
        </is>
      </c>
      <c r="AH439" t="n">
        <v>27.3</v>
      </c>
      <c r="AI439" t="inlineStr">
        <is>
          <t>801+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inlineStr">
        <is>
          <t>Iran University of Science and Technology</t>
        </is>
      </c>
      <c r="B440" t="inlineStr">
        <is>
          <t>Iran, Islamic Republic of</t>
        </is>
      </c>
      <c r="C440" t="inlineStr">
        <is>
          <t>IR</t>
        </is>
      </c>
      <c r="D440" t="inlineStr"/>
      <c r="E440" t="inlineStr">
        <is>
          <t>L</t>
        </is>
      </c>
      <c r="F440" t="inlineStr">
        <is>
          <t>FO</t>
        </is>
      </c>
      <c r="G440" t="inlineStr">
        <is>
          <t>VH</t>
        </is>
      </c>
      <c r="H440" t="inlineStr">
        <is>
          <t>4</t>
        </is>
      </c>
      <c r="I440" t="inlineStr">
        <is>
          <t>A</t>
        </is>
      </c>
      <c r="J440" t="inlineStr"/>
      <c r="K440" t="inlineStr"/>
      <c r="L440" t="inlineStr">
        <is>
          <t>451</t>
        </is>
      </c>
      <c r="M440" t="inlineStr">
        <is>
          <t>531-540</t>
        </is>
      </c>
      <c r="N440" t="inlineStr"/>
      <c r="O440" t="inlineStr">
        <is>
          <t>25.6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6.6</t>
        </is>
      </c>
      <c r="AK440" t="inlineStr">
        <is>
          <t>601+</t>
        </is>
      </c>
      <c r="AL440" t="inlineStr">
        <is>
          <t>23.2</t>
        </is>
      </c>
      <c r="AM440" t="inlineStr">
        <is>
          <t>410</t>
        </is>
      </c>
      <c r="AN440" t="inlineStr">
        <is>
          <t>2.5</t>
        </is>
      </c>
      <c r="AO440" t="inlineStr">
        <is>
          <t>701+</t>
        </is>
      </c>
      <c r="AP440" t="inlineStr">
        <is>
          <t>94.8</t>
        </is>
      </c>
      <c r="AQ440" t="inlineStr">
        <is>
          <t>54</t>
        </is>
      </c>
      <c r="AR440" t="inlineStr"/>
      <c r="AS440" t="inlineStr"/>
      <c r="AT440" t="inlineStr">
        <is>
          <t>1.5</t>
        </is>
      </c>
      <c r="AU440" t="inlineStr">
        <is>
          <t>701+</t>
        </is>
      </c>
      <c r="AV440" t="inlineStr">
        <is>
          <t>11.1</t>
        </is>
      </c>
      <c r="AW440" t="inlineStr">
        <is>
          <t>652</t>
        </is>
      </c>
      <c r="AX440" t="inlineStr">
        <is>
          <t>5.5</t>
        </is>
      </c>
      <c r="AY440" t="inlineStr">
        <is>
          <t>701+</t>
        </is>
      </c>
      <c r="AZ440" t="inlineStr">
        <is>
          <t>1.5</t>
        </is>
      </c>
      <c r="BA440" t="inlineStr">
        <is>
          <t>701+</t>
        </is>
      </c>
    </row>
    <row r="441">
      <c r="A441" t="inlineStr">
        <is>
          <t>Irkutsk State University</t>
        </is>
      </c>
      <c r="B441" t="inlineStr">
        <is>
          <t>Russia</t>
        </is>
      </c>
      <c r="C441" t="inlineStr">
        <is>
          <t>RU</t>
        </is>
      </c>
      <c r="D441" t="inlineStr"/>
      <c r="E441" t="inlineStr">
        <is>
          <t>L</t>
        </is>
      </c>
      <c r="F441" t="inlineStr">
        <is>
          <t>CO</t>
        </is>
      </c>
      <c r="G441" t="inlineStr">
        <is>
          <t>HI</t>
        </is>
      </c>
      <c r="H441" t="inlineStr">
        <is>
          <t>5</t>
        </is>
      </c>
      <c r="I441" t="inlineStr">
        <is>
          <t>A</t>
        </is>
      </c>
      <c r="J441" t="inlineStr"/>
      <c r="K441" t="inlineStr"/>
      <c r="L441" t="inlineStr">
        <is>
          <t>1401+</t>
        </is>
      </c>
      <c r="M441" t="inlineStr">
        <is>
          <t>1201-1400</t>
        </is>
      </c>
      <c r="N441" t="inlineStr"/>
      <c r="O441" t="inlineStr">
        <is>
          <t>-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3.6</t>
        </is>
      </c>
      <c r="AK441" t="inlineStr">
        <is>
          <t>601+</t>
        </is>
      </c>
      <c r="AL441" t="inlineStr">
        <is>
          <t>1.6</t>
        </is>
      </c>
      <c r="AM441" t="inlineStr">
        <is>
          <t>601+</t>
        </is>
      </c>
      <c r="AN441" t="inlineStr">
        <is>
          <t>17.6</t>
        </is>
      </c>
      <c r="AO441" t="inlineStr">
        <is>
          <t>701+</t>
        </is>
      </c>
      <c r="AP441" t="inlineStr">
        <is>
          <t>1.4</t>
        </is>
      </c>
      <c r="AQ441" t="inlineStr">
        <is>
          <t>701+</t>
        </is>
      </c>
      <c r="AR441" t="inlineStr">
        <is>
          <t>1.9</t>
        </is>
      </c>
      <c r="AS441" t="inlineStr">
        <is>
          <t>701+</t>
        </is>
      </c>
      <c r="AT441" t="inlineStr">
        <is>
          <t>3.8</t>
        </is>
      </c>
      <c r="AU441" t="inlineStr">
        <is>
          <t>701+</t>
        </is>
      </c>
      <c r="AV441" t="inlineStr">
        <is>
          <t>1.1</t>
        </is>
      </c>
      <c r="AW441" t="inlineStr">
        <is>
          <t>701+</t>
        </is>
      </c>
      <c r="AX441" t="inlineStr">
        <is>
          <t>8.7</t>
        </is>
      </c>
      <c r="AY441" t="inlineStr">
        <is>
          <t>701+</t>
        </is>
      </c>
      <c r="AZ441" t="inlineStr">
        <is>
          <t>1.5</t>
        </is>
      </c>
      <c r="BA441" t="inlineStr">
        <is>
          <t>701+</t>
        </is>
      </c>
    </row>
    <row r="442">
      <c r="A442" t="inlineStr">
        <is>
          <t>ISCTE - Instituto Universitario de Lisboa</t>
        </is>
      </c>
      <c r="B442" t="inlineStr">
        <is>
          <t>Portugal</t>
        </is>
      </c>
      <c r="C442" t="inlineStr">
        <is>
          <t>PT</t>
        </is>
      </c>
      <c r="D442" t="inlineStr">
        <is>
          <t>Europe</t>
        </is>
      </c>
      <c r="E442" t="inlineStr">
        <is>
          <t>L</t>
        </is>
      </c>
      <c r="F442" t="inlineStr">
        <is>
          <t>FO</t>
        </is>
      </c>
      <c r="G442" t="inlineStr">
        <is>
          <t>VH</t>
        </is>
      </c>
      <c r="H442" t="inlineStr"/>
      <c r="I442" t="inlineStr">
        <is>
          <t>Public</t>
        </is>
      </c>
      <c r="J442" t="inlineStr">
        <is>
          <t>711-720</t>
        </is>
      </c>
      <c r="K442" t="inlineStr">
        <is>
          <t>661-670</t>
        </is>
      </c>
      <c r="L442" t="inlineStr">
        <is>
          <t>751-760</t>
        </is>
      </c>
      <c r="M442" t="inlineStr"/>
      <c r="N442" t="inlineStr">
        <is>
          <t>-</t>
        </is>
      </c>
      <c r="O442" t="inlineStr">
        <is>
          <t>-</t>
        </is>
      </c>
      <c r="P442" t="n">
        <v>8.6</v>
      </c>
      <c r="Q442" t="inlineStr">
        <is>
          <t>701+</t>
        </is>
      </c>
      <c r="R442" t="n">
        <v>19</v>
      </c>
      <c r="S442" t="inlineStr">
        <is>
          <t>687</t>
        </is>
      </c>
      <c r="T442" t="n">
        <v>3.2</v>
      </c>
      <c r="U442" t="inlineStr">
        <is>
          <t>801+</t>
        </is>
      </c>
      <c r="V442" t="n">
        <v>42.4</v>
      </c>
      <c r="W442" t="inlineStr">
        <is>
          <t>448</t>
        </is>
      </c>
      <c r="X442" t="n">
        <v>27.1</v>
      </c>
      <c r="Y442" t="inlineStr">
        <is>
          <t>623</t>
        </is>
      </c>
      <c r="Z442" t="n">
        <v>55.8</v>
      </c>
      <c r="AA442" t="inlineStr">
        <is>
          <t>375</t>
        </is>
      </c>
      <c r="AB442" t="n">
        <v>60</v>
      </c>
      <c r="AC442" t="inlineStr">
        <is>
          <t>342</t>
        </is>
      </c>
      <c r="AD442" t="n">
        <v>49.8</v>
      </c>
      <c r="AE442" t="inlineStr">
        <is>
          <t>801+</t>
        </is>
      </c>
      <c r="AF442" t="n">
        <v>40.3</v>
      </c>
      <c r="AG442" t="inlineStr">
        <is>
          <t>435</t>
        </is>
      </c>
      <c r="AH442" t="n">
        <v>56.7</v>
      </c>
      <c r="AI442" t="inlineStr">
        <is>
          <t>562=</t>
        </is>
      </c>
      <c r="AJ442" t="inlineStr">
        <is>
          <t>7.0</t>
        </is>
      </c>
      <c r="AK442" t="inlineStr">
        <is>
          <t>601+</t>
        </is>
      </c>
      <c r="AL442" t="inlineStr">
        <is>
          <t>6.2</t>
        </is>
      </c>
      <c r="AM442" t="inlineStr">
        <is>
          <t>601+</t>
        </is>
      </c>
      <c r="AN442" t="inlineStr">
        <is>
          <t>1.4</t>
        </is>
      </c>
      <c r="AO442" t="inlineStr">
        <is>
          <t>701+</t>
        </is>
      </c>
      <c r="AP442" t="inlineStr">
        <is>
          <t>59.2</t>
        </is>
      </c>
      <c r="AQ442" t="inlineStr">
        <is>
          <t>211</t>
        </is>
      </c>
      <c r="AR442" t="inlineStr"/>
      <c r="AS442" t="inlineStr"/>
      <c r="AT442" t="inlineStr"/>
      <c r="AU442" t="inlineStr"/>
      <c r="AV442" t="inlineStr">
        <is>
          <t>8.1</t>
        </is>
      </c>
      <c r="AW442" t="inlineStr">
        <is>
          <t>701+</t>
        </is>
      </c>
      <c r="AX442" t="inlineStr">
        <is>
          <t>10</t>
        </is>
      </c>
      <c r="AY442" t="inlineStr">
        <is>
          <t>701+</t>
        </is>
      </c>
      <c r="AZ442" t="inlineStr"/>
      <c r="BA442" t="inlineStr"/>
    </row>
    <row r="443">
      <c r="A443" t="inlineStr">
        <is>
          <t>Isfahan University of Technology</t>
        </is>
      </c>
      <c r="B443" t="inlineStr">
        <is>
          <t>Iran (Islamic Republic of)</t>
        </is>
      </c>
      <c r="C443" t="inlineStr"/>
      <c r="D443" t="inlineStr">
        <is>
          <t>Asia</t>
        </is>
      </c>
      <c r="E443" t="inlineStr">
        <is>
          <t>M</t>
        </is>
      </c>
      <c r="F443" t="inlineStr">
        <is>
          <t>FO</t>
        </is>
      </c>
      <c r="G443" t="inlineStr">
        <is>
          <t>VH</t>
        </is>
      </c>
      <c r="H443" t="inlineStr"/>
      <c r="I443" t="inlineStr"/>
      <c r="J443" t="inlineStr">
        <is>
          <t>571</t>
        </is>
      </c>
      <c r="K443" t="inlineStr">
        <is>
          <t>489</t>
        </is>
      </c>
      <c r="L443" t="inlineStr"/>
      <c r="M443" t="inlineStr"/>
      <c r="N443" t="inlineStr">
        <is>
          <t>29.2</t>
        </is>
      </c>
      <c r="O443" t="inlineStr"/>
      <c r="P443" t="n">
        <v>7.8</v>
      </c>
      <c r="Q443" t="inlineStr">
        <is>
          <t>701+</t>
        </is>
      </c>
      <c r="R443" t="n">
        <v>22.6</v>
      </c>
      <c r="S443" t="inlineStr">
        <is>
          <t>586</t>
        </is>
      </c>
      <c r="T443" t="n">
        <v>6.4</v>
      </c>
      <c r="U443" t="inlineStr">
        <is>
          <t>801+</t>
        </is>
      </c>
      <c r="V443" t="n">
        <v>97.7</v>
      </c>
      <c r="W443" t="inlineStr">
        <is>
          <t>50</t>
        </is>
      </c>
      <c r="X443" t="n">
        <v>2.2</v>
      </c>
      <c r="Y443" t="inlineStr">
        <is>
          <t>801+</t>
        </is>
      </c>
      <c r="Z443" t="n">
        <v>3.9</v>
      </c>
      <c r="AA443" t="inlineStr">
        <is>
          <t>801+</t>
        </is>
      </c>
      <c r="AB443" t="n">
        <v>7.7</v>
      </c>
      <c r="AC443" t="inlineStr">
        <is>
          <t>801+</t>
        </is>
      </c>
      <c r="AD443" t="n">
        <v>45.7</v>
      </c>
      <c r="AE443" t="inlineStr">
        <is>
          <t>801+</t>
        </is>
      </c>
      <c r="AF443" t="n">
        <v>9.6</v>
      </c>
      <c r="AG443" t="inlineStr">
        <is>
          <t>801+</t>
        </is>
      </c>
      <c r="AH443" t="n">
        <v>28</v>
      </c>
      <c r="AI443" t="inlineStr">
        <is>
          <t>801+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inlineStr">
        <is>
          <t>Islamic Azad University</t>
        </is>
      </c>
      <c r="B444" t="inlineStr">
        <is>
          <t>Iran (Islamic Republic of)</t>
        </is>
      </c>
      <c r="C444" t="inlineStr"/>
      <c r="D444" t="inlineStr">
        <is>
          <t>Asia</t>
        </is>
      </c>
      <c r="E444" t="inlineStr"/>
      <c r="F444" t="inlineStr">
        <is>
          <t>CO</t>
        </is>
      </c>
      <c r="G444" t="inlineStr"/>
      <c r="H444" t="inlineStr"/>
      <c r="I444" t="inlineStr"/>
      <c r="J444" t="inlineStr">
        <is>
          <t>1201-1400</t>
        </is>
      </c>
      <c r="K444" t="inlineStr"/>
      <c r="L444" t="inlineStr"/>
      <c r="M444" t="inlineStr"/>
      <c r="N444" t="inlineStr">
        <is>
          <t>-</t>
        </is>
      </c>
      <c r="O444" t="inlineStr"/>
      <c r="P444" t="n">
        <v>6.1</v>
      </c>
      <c r="Q444" t="inlineStr">
        <is>
          <t>701+</t>
        </is>
      </c>
      <c r="R444" t="n">
        <v>5</v>
      </c>
      <c r="S444" t="inlineStr">
        <is>
          <t>701+</t>
        </is>
      </c>
      <c r="T444" t="n">
        <v>1.7</v>
      </c>
      <c r="U444" t="inlineStr">
        <is>
          <t>801+</t>
        </is>
      </c>
      <c r="V444" t="n">
        <v>8.5</v>
      </c>
      <c r="W444" t="inlineStr">
        <is>
          <t>801+</t>
        </is>
      </c>
      <c r="X444" t="inlineStr"/>
      <c r="Y444" t="inlineStr"/>
      <c r="Z444" t="n">
        <v>1.1</v>
      </c>
      <c r="AA444" t="inlineStr">
        <is>
          <t>801+</t>
        </is>
      </c>
      <c r="AB444" t="n">
        <v>1.1</v>
      </c>
      <c r="AC444" t="inlineStr">
        <is>
          <t>801+</t>
        </is>
      </c>
      <c r="AD444" t="n">
        <v>96.3</v>
      </c>
      <c r="AE444" t="inlineStr">
        <is>
          <t>55</t>
        </is>
      </c>
      <c r="AF444" t="n">
        <v>35.7</v>
      </c>
      <c r="AG444" t="inlineStr">
        <is>
          <t>482</t>
        </is>
      </c>
      <c r="AH444" t="n">
        <v>29.4</v>
      </c>
      <c r="AI444" t="inlineStr">
        <is>
          <t>801+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inlineStr">
        <is>
          <t>Islamic University of Indonesia (Universitas Islam Indonesia)</t>
        </is>
      </c>
      <c r="B445" t="inlineStr">
        <is>
          <t>Indonesia</t>
        </is>
      </c>
      <c r="C445" t="inlineStr"/>
      <c r="D445" t="inlineStr">
        <is>
          <t>Asia</t>
        </is>
      </c>
      <c r="E445" t="inlineStr">
        <is>
          <t>L</t>
        </is>
      </c>
      <c r="F445" t="inlineStr">
        <is>
          <t>CO</t>
        </is>
      </c>
      <c r="G445" t="inlineStr">
        <is>
          <t>HI</t>
        </is>
      </c>
      <c r="H445" t="inlineStr"/>
      <c r="I445" t="inlineStr">
        <is>
          <t>Private not for Profit</t>
        </is>
      </c>
      <c r="J445" t="inlineStr">
        <is>
          <t>1401+</t>
        </is>
      </c>
      <c r="K445" t="inlineStr">
        <is>
          <t>1201-1400</t>
        </is>
      </c>
      <c r="L445" t="inlineStr"/>
      <c r="M445" t="inlineStr"/>
      <c r="N445" t="inlineStr">
        <is>
          <t>-</t>
        </is>
      </c>
      <c r="O445" t="inlineStr"/>
      <c r="P445" t="n">
        <v>17.5</v>
      </c>
      <c r="Q445" t="inlineStr">
        <is>
          <t>701+</t>
        </is>
      </c>
      <c r="R445" t="n">
        <v>7.4</v>
      </c>
      <c r="S445" t="inlineStr">
        <is>
          <t>701+</t>
        </is>
      </c>
      <c r="T445" t="n">
        <v>2.8</v>
      </c>
      <c r="U445" t="inlineStr">
        <is>
          <t>801+</t>
        </is>
      </c>
      <c r="V445" t="n">
        <v>3.2</v>
      </c>
      <c r="W445" t="inlineStr">
        <is>
          <t>801+</t>
        </is>
      </c>
      <c r="X445" t="n">
        <v>3.8</v>
      </c>
      <c r="Y445" t="inlineStr">
        <is>
          <t>801+</t>
        </is>
      </c>
      <c r="Z445" t="n">
        <v>1.2</v>
      </c>
      <c r="AA445" t="inlineStr">
        <is>
          <t>801+</t>
        </is>
      </c>
      <c r="AB445" t="n">
        <v>1.1</v>
      </c>
      <c r="AC445" t="inlineStr">
        <is>
          <t>801+</t>
        </is>
      </c>
      <c r="AD445" t="n">
        <v>12.9</v>
      </c>
      <c r="AE445" t="inlineStr">
        <is>
          <t>801+</t>
        </is>
      </c>
      <c r="AF445" t="n">
        <v>5.1</v>
      </c>
      <c r="AG445" t="inlineStr">
        <is>
          <t>801+</t>
        </is>
      </c>
      <c r="AH445" t="n">
        <v>34.4</v>
      </c>
      <c r="AI445" t="inlineStr">
        <is>
          <t>801+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inlineStr">
        <is>
          <t>Islamic University of Lebanon</t>
        </is>
      </c>
      <c r="B446" t="inlineStr">
        <is>
          <t>Lebanon</t>
        </is>
      </c>
      <c r="C446" t="inlineStr"/>
      <c r="D446" t="inlineStr">
        <is>
          <t>Asia</t>
        </is>
      </c>
      <c r="E446" t="inlineStr">
        <is>
          <t>M</t>
        </is>
      </c>
      <c r="F446" t="inlineStr">
        <is>
          <t>FO</t>
        </is>
      </c>
      <c r="G446" t="inlineStr">
        <is>
          <t>MD</t>
        </is>
      </c>
      <c r="H446" t="inlineStr"/>
      <c r="I446" t="inlineStr">
        <is>
          <t>Private for Profit</t>
        </is>
      </c>
      <c r="J446" t="inlineStr">
        <is>
          <t>1001-1200</t>
        </is>
      </c>
      <c r="K446" t="inlineStr"/>
      <c r="L446" t="inlineStr"/>
      <c r="M446" t="inlineStr"/>
      <c r="N446" t="inlineStr">
        <is>
          <t>-</t>
        </is>
      </c>
      <c r="O446" t="inlineStr"/>
      <c r="P446" t="n">
        <v>10.6</v>
      </c>
      <c r="Q446" t="inlineStr">
        <is>
          <t>701+</t>
        </is>
      </c>
      <c r="R446" t="n">
        <v>13.4</v>
      </c>
      <c r="S446" t="inlineStr">
        <is>
          <t>701+</t>
        </is>
      </c>
      <c r="T446" t="n">
        <v>39.6</v>
      </c>
      <c r="U446" t="inlineStr">
        <is>
          <t>513</t>
        </is>
      </c>
      <c r="V446" t="n">
        <v>1.2</v>
      </c>
      <c r="W446" t="inlineStr">
        <is>
          <t>801+</t>
        </is>
      </c>
      <c r="X446" t="n">
        <v>36.7</v>
      </c>
      <c r="Y446" t="inlineStr">
        <is>
          <t>523</t>
        </is>
      </c>
      <c r="Z446" t="n">
        <v>98.8</v>
      </c>
      <c r="AA446" t="inlineStr">
        <is>
          <t>75</t>
        </is>
      </c>
      <c r="AB446" t="n">
        <v>81.8</v>
      </c>
      <c r="AC446" t="inlineStr">
        <is>
          <t>190</t>
        </is>
      </c>
      <c r="AD446" t="n">
        <v>2.2</v>
      </c>
      <c r="AE446" t="inlineStr">
        <is>
          <t>801+</t>
        </is>
      </c>
      <c r="AF446" t="n">
        <v>3.9</v>
      </c>
      <c r="AG446" t="inlineStr">
        <is>
          <t>801+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inlineStr">
        <is>
          <t>Islamic University of Madinah</t>
        </is>
      </c>
      <c r="B447" t="inlineStr">
        <is>
          <t>Saudi Arabia</t>
        </is>
      </c>
      <c r="C447" t="inlineStr">
        <is>
          <t>SA</t>
        </is>
      </c>
      <c r="D447" t="inlineStr">
        <is>
          <t>Asia</t>
        </is>
      </c>
      <c r="E447" t="inlineStr">
        <is>
          <t>L</t>
        </is>
      </c>
      <c r="F447" t="inlineStr">
        <is>
          <t>FO</t>
        </is>
      </c>
      <c r="G447" t="inlineStr">
        <is>
          <t>HI</t>
        </is>
      </c>
      <c r="H447" t="inlineStr">
        <is>
          <t>4</t>
        </is>
      </c>
      <c r="I447" t="inlineStr">
        <is>
          <t>Public</t>
        </is>
      </c>
      <c r="J447" t="inlineStr">
        <is>
          <t>1201-1400</t>
        </is>
      </c>
      <c r="K447" t="inlineStr">
        <is>
          <t>1001-1200</t>
        </is>
      </c>
      <c r="L447" t="inlineStr">
        <is>
          <t>951-1000</t>
        </is>
      </c>
      <c r="M447" t="inlineStr">
        <is>
          <t>801-1000</t>
        </is>
      </c>
      <c r="N447" t="inlineStr">
        <is>
          <t>-</t>
        </is>
      </c>
      <c r="O447" t="inlineStr">
        <is>
          <t>-</t>
        </is>
      </c>
      <c r="P447" t="n">
        <v>8.1</v>
      </c>
      <c r="Q447" t="inlineStr">
        <is>
          <t>701+</t>
        </is>
      </c>
      <c r="R447" t="n">
        <v>3.5</v>
      </c>
      <c r="S447" t="inlineStr">
        <is>
          <t>701+</t>
        </is>
      </c>
      <c r="T447" t="n">
        <v>7.8</v>
      </c>
      <c r="U447" t="inlineStr">
        <is>
          <t>801+</t>
        </is>
      </c>
      <c r="V447" t="n">
        <v>3</v>
      </c>
      <c r="W447" t="inlineStr">
        <is>
          <t>801+</t>
        </is>
      </c>
      <c r="X447" t="n">
        <v>46.5</v>
      </c>
      <c r="Y447" t="inlineStr">
        <is>
          <t>459</t>
        </is>
      </c>
      <c r="Z447" t="n">
        <v>100</v>
      </c>
      <c r="AA447" t="inlineStr">
        <is>
          <t>8</t>
        </is>
      </c>
      <c r="AB447" t="n">
        <v>100</v>
      </c>
      <c r="AC447" t="inlineStr">
        <is>
          <t>3</t>
        </is>
      </c>
      <c r="AD447" t="n">
        <v>19.1</v>
      </c>
      <c r="AE447" t="inlineStr">
        <is>
          <t>801+</t>
        </is>
      </c>
      <c r="AF447" t="n">
        <v>2.6</v>
      </c>
      <c r="AG447" t="inlineStr">
        <is>
          <t>801+</t>
        </is>
      </c>
      <c r="AH447" t="n">
        <v>7.6</v>
      </c>
      <c r="AI447" t="inlineStr">
        <is>
          <t>801+</t>
        </is>
      </c>
      <c r="AJ447" t="inlineStr">
        <is>
          <t>4.4</t>
        </is>
      </c>
      <c r="AK447" t="inlineStr">
        <is>
          <t>601+</t>
        </is>
      </c>
      <c r="AL447" t="inlineStr">
        <is>
          <t>1.9</t>
        </is>
      </c>
      <c r="AM447" t="inlineStr">
        <is>
          <t>601+</t>
        </is>
      </c>
      <c r="AN447" t="inlineStr">
        <is>
          <t>8.1</t>
        </is>
      </c>
      <c r="AO447" t="inlineStr">
        <is>
          <t>701+</t>
        </is>
      </c>
      <c r="AP447" t="inlineStr">
        <is>
          <t>1.4</t>
        </is>
      </c>
      <c r="AQ447" t="inlineStr">
        <is>
          <t>701+</t>
        </is>
      </c>
      <c r="AR447" t="inlineStr">
        <is>
          <t>55.4</t>
        </is>
      </c>
      <c r="AS447" t="inlineStr">
        <is>
          <t>333</t>
        </is>
      </c>
      <c r="AT447" t="inlineStr">
        <is>
          <t>100.0</t>
        </is>
      </c>
      <c r="AU447" t="inlineStr">
        <is>
          <t>9</t>
        </is>
      </c>
      <c r="AV447" t="inlineStr">
        <is>
          <t>1.0</t>
        </is>
      </c>
      <c r="AW447" t="inlineStr">
        <is>
          <t>701+</t>
        </is>
      </c>
      <c r="AX447" t="inlineStr">
        <is>
          <t>5.2</t>
        </is>
      </c>
      <c r="AY447" t="inlineStr">
        <is>
          <t>701+</t>
        </is>
      </c>
      <c r="AZ447" t="inlineStr"/>
      <c r="BA447" t="inlineStr"/>
    </row>
    <row r="448">
      <c r="A448" t="inlineStr">
        <is>
          <t>Islamic University of Technology</t>
        </is>
      </c>
      <c r="B448" t="inlineStr">
        <is>
          <t>Bangladesh</t>
        </is>
      </c>
      <c r="C448" t="inlineStr"/>
      <c r="D448" t="inlineStr">
        <is>
          <t>Asia</t>
        </is>
      </c>
      <c r="E448" t="inlineStr">
        <is>
          <t>S</t>
        </is>
      </c>
      <c r="F448" t="inlineStr">
        <is>
          <t>FO</t>
        </is>
      </c>
      <c r="G448" t="inlineStr">
        <is>
          <t>VH</t>
        </is>
      </c>
      <c r="H448" t="inlineStr"/>
      <c r="I448" t="inlineStr">
        <is>
          <t>Public</t>
        </is>
      </c>
      <c r="J448" t="inlineStr">
        <is>
          <t>1201-1400</t>
        </is>
      </c>
      <c r="K448" t="inlineStr"/>
      <c r="L448" t="inlineStr"/>
      <c r="M448" t="inlineStr"/>
      <c r="N448" t="inlineStr">
        <is>
          <t>-</t>
        </is>
      </c>
      <c r="O448" t="inlineStr"/>
      <c r="P448" t="n">
        <v>6.5</v>
      </c>
      <c r="Q448" t="inlineStr">
        <is>
          <t>701+</t>
        </is>
      </c>
      <c r="R448" t="n">
        <v>15.2</v>
      </c>
      <c r="S448" t="inlineStr">
        <is>
          <t>701+</t>
        </is>
      </c>
      <c r="T448" t="n">
        <v>13.9</v>
      </c>
      <c r="U448" t="inlineStr">
        <is>
          <t>801+</t>
        </is>
      </c>
      <c r="V448" t="n">
        <v>16.2</v>
      </c>
      <c r="W448" t="inlineStr">
        <is>
          <t>781</t>
        </is>
      </c>
      <c r="X448" t="n">
        <v>5.6</v>
      </c>
      <c r="Y448" t="inlineStr">
        <is>
          <t>801+</t>
        </is>
      </c>
      <c r="Z448" t="n">
        <v>25.5</v>
      </c>
      <c r="AA448" t="inlineStr">
        <is>
          <t>653</t>
        </is>
      </c>
      <c r="AB448" t="n">
        <v>25.5</v>
      </c>
      <c r="AC448" t="inlineStr">
        <is>
          <t>680</t>
        </is>
      </c>
      <c r="AD448" t="n">
        <v>6</v>
      </c>
      <c r="AE448" t="inlineStr">
        <is>
          <t>801+</t>
        </is>
      </c>
      <c r="AF448" t="n">
        <v>5</v>
      </c>
      <c r="AG448" t="inlineStr">
        <is>
          <t>801+</t>
        </is>
      </c>
      <c r="AH448" t="n">
        <v>15.2</v>
      </c>
      <c r="AI448" t="inlineStr">
        <is>
          <t>801+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inlineStr">
        <is>
          <t>Istanbul Aydin University</t>
        </is>
      </c>
      <c r="B449" t="inlineStr">
        <is>
          <t>Turkey</t>
        </is>
      </c>
      <c r="C449" t="inlineStr">
        <is>
          <t>TR</t>
        </is>
      </c>
      <c r="D449" t="inlineStr">
        <is>
          <t>Asia</t>
        </is>
      </c>
      <c r="E449" t="inlineStr">
        <is>
          <t>L</t>
        </is>
      </c>
      <c r="F449" t="inlineStr">
        <is>
          <t>FO</t>
        </is>
      </c>
      <c r="G449" t="inlineStr">
        <is>
          <t>HI</t>
        </is>
      </c>
      <c r="H449" t="inlineStr">
        <is>
          <t>2</t>
        </is>
      </c>
      <c r="I449" t="inlineStr">
        <is>
          <t>Private not for Profit</t>
        </is>
      </c>
      <c r="J449" t="inlineStr">
        <is>
          <t>1201-1400</t>
        </is>
      </c>
      <c r="K449" t="inlineStr">
        <is>
          <t>1201-1400</t>
        </is>
      </c>
      <c r="L449" t="inlineStr">
        <is>
          <t>1201-1400</t>
        </is>
      </c>
      <c r="M449" t="inlineStr">
        <is>
          <t>1001-1200</t>
        </is>
      </c>
      <c r="N449" t="inlineStr">
        <is>
          <t>-</t>
        </is>
      </c>
      <c r="O449" t="inlineStr">
        <is>
          <t>-</t>
        </is>
      </c>
      <c r="P449" t="n">
        <v>8.6</v>
      </c>
      <c r="Q449" t="inlineStr">
        <is>
          <t>701+</t>
        </is>
      </c>
      <c r="R449" t="n">
        <v>6.2</v>
      </c>
      <c r="S449" t="inlineStr">
        <is>
          <t>701+</t>
        </is>
      </c>
      <c r="T449" t="n">
        <v>19.1</v>
      </c>
      <c r="U449" t="inlineStr">
        <is>
          <t>801+</t>
        </is>
      </c>
      <c r="V449" t="n">
        <v>2.1</v>
      </c>
      <c r="W449" t="inlineStr">
        <is>
          <t>801+</t>
        </is>
      </c>
      <c r="X449" t="n">
        <v>13.6</v>
      </c>
      <c r="Y449" t="inlineStr">
        <is>
          <t>801+</t>
        </is>
      </c>
      <c r="Z449" t="n">
        <v>68.59999999999999</v>
      </c>
      <c r="AA449" t="inlineStr">
        <is>
          <t>284</t>
        </is>
      </c>
      <c r="AB449" t="n">
        <v>71.7</v>
      </c>
      <c r="AC449" t="inlineStr">
        <is>
          <t>255</t>
        </is>
      </c>
      <c r="AD449" t="n">
        <v>10.2</v>
      </c>
      <c r="AE449" t="inlineStr">
        <is>
          <t>801+</t>
        </is>
      </c>
      <c r="AF449" t="n">
        <v>2.4</v>
      </c>
      <c r="AG449" t="inlineStr">
        <is>
          <t>801+</t>
        </is>
      </c>
      <c r="AH449" t="n">
        <v>32.1</v>
      </c>
      <c r="AI449" t="inlineStr">
        <is>
          <t>801+</t>
        </is>
      </c>
      <c r="AJ449" t="inlineStr">
        <is>
          <t>3.7</t>
        </is>
      </c>
      <c r="AK449" t="inlineStr">
        <is>
          <t>601+</t>
        </is>
      </c>
      <c r="AL449" t="inlineStr">
        <is>
          <t>2.8</t>
        </is>
      </c>
      <c r="AM449" t="inlineStr">
        <is>
          <t>601+</t>
        </is>
      </c>
      <c r="AN449" t="inlineStr">
        <is>
          <t>12.1</t>
        </is>
      </c>
      <c r="AO449" t="inlineStr">
        <is>
          <t>701+</t>
        </is>
      </c>
      <c r="AP449" t="inlineStr">
        <is>
          <t>1.4</t>
        </is>
      </c>
      <c r="AQ449" t="inlineStr">
        <is>
          <t>701+</t>
        </is>
      </c>
      <c r="AR449" t="inlineStr">
        <is>
          <t>9.5</t>
        </is>
      </c>
      <c r="AS449" t="inlineStr">
        <is>
          <t>701+</t>
        </is>
      </c>
      <c r="AT449" t="inlineStr">
        <is>
          <t>50.5</t>
        </is>
      </c>
      <c r="AU449" t="inlineStr">
        <is>
          <t>289</t>
        </is>
      </c>
      <c r="AV449" t="inlineStr">
        <is>
          <t>1.0</t>
        </is>
      </c>
      <c r="AW449" t="inlineStr">
        <is>
          <t>701+</t>
        </is>
      </c>
      <c r="AX449" t="inlineStr">
        <is>
          <t>8.4</t>
        </is>
      </c>
      <c r="AY449" t="inlineStr">
        <is>
          <t>701+</t>
        </is>
      </c>
      <c r="AZ449" t="inlineStr">
        <is>
          <t>2.4</t>
        </is>
      </c>
      <c r="BA449" t="inlineStr">
        <is>
          <t>701+</t>
        </is>
      </c>
    </row>
    <row r="450">
      <c r="A450" t="inlineStr">
        <is>
          <t>Istanbul Bilgi Üniversitesi</t>
        </is>
      </c>
      <c r="B450" t="inlineStr">
        <is>
          <t>Turkey</t>
        </is>
      </c>
      <c r="C450" t="inlineStr">
        <is>
          <t>TR</t>
        </is>
      </c>
      <c r="D450" t="inlineStr">
        <is>
          <t>Asia</t>
        </is>
      </c>
      <c r="E450" t="inlineStr">
        <is>
          <t>M</t>
        </is>
      </c>
      <c r="F450" t="inlineStr">
        <is>
          <t>FO</t>
        </is>
      </c>
      <c r="G450" t="inlineStr">
        <is>
          <t>HI</t>
        </is>
      </c>
      <c r="H450" t="inlineStr">
        <is>
          <t>3</t>
        </is>
      </c>
      <c r="I450" t="inlineStr">
        <is>
          <t>Private not for Profit</t>
        </is>
      </c>
      <c r="J450" t="inlineStr">
        <is>
          <t>1401+</t>
        </is>
      </c>
      <c r="K450" t="inlineStr">
        <is>
          <t>1201-1400</t>
        </is>
      </c>
      <c r="L450" t="inlineStr">
        <is>
          <t>1201-1400</t>
        </is>
      </c>
      <c r="M450" t="inlineStr">
        <is>
          <t>1201-1400</t>
        </is>
      </c>
      <c r="N450" t="inlineStr">
        <is>
          <t>-</t>
        </is>
      </c>
      <c r="O450" t="inlineStr">
        <is>
          <t>-</t>
        </is>
      </c>
      <c r="P450" t="n">
        <v>5.6</v>
      </c>
      <c r="Q450" t="inlineStr">
        <is>
          <t>701+</t>
        </is>
      </c>
      <c r="R450" t="n">
        <v>9.6</v>
      </c>
      <c r="S450" t="inlineStr">
        <is>
          <t>701+</t>
        </is>
      </c>
      <c r="T450" t="n">
        <v>15.2</v>
      </c>
      <c r="U450" t="inlineStr">
        <is>
          <t>801+</t>
        </is>
      </c>
      <c r="V450" t="n">
        <v>2.7</v>
      </c>
      <c r="W450" t="inlineStr">
        <is>
          <t>801+</t>
        </is>
      </c>
      <c r="X450" t="n">
        <v>4.1</v>
      </c>
      <c r="Y450" t="inlineStr">
        <is>
          <t>801+</t>
        </is>
      </c>
      <c r="Z450" t="n">
        <v>25.4</v>
      </c>
      <c r="AA450" t="inlineStr">
        <is>
          <t>656</t>
        </is>
      </c>
      <c r="AB450" t="n">
        <v>30.9</v>
      </c>
      <c r="AC450" t="inlineStr">
        <is>
          <t>604</t>
        </is>
      </c>
      <c r="AD450" t="n">
        <v>6.6</v>
      </c>
      <c r="AE450" t="inlineStr">
        <is>
          <t>801+</t>
        </is>
      </c>
      <c r="AF450" t="n">
        <v>24.2</v>
      </c>
      <c r="AG450" t="inlineStr">
        <is>
          <t>653</t>
        </is>
      </c>
      <c r="AH450" t="n">
        <v>38.8</v>
      </c>
      <c r="AI450" t="inlineStr">
        <is>
          <t>801+</t>
        </is>
      </c>
      <c r="AJ450" t="inlineStr">
        <is>
          <t>4.4</t>
        </is>
      </c>
      <c r="AK450" t="inlineStr">
        <is>
          <t>601+</t>
        </is>
      </c>
      <c r="AL450" t="inlineStr">
        <is>
          <t>4.5</t>
        </is>
      </c>
      <c r="AM450" t="inlineStr">
        <is>
          <t>601+</t>
        </is>
      </c>
      <c r="AN450" t="inlineStr">
        <is>
          <t>12.6</t>
        </is>
      </c>
      <c r="AO450" t="inlineStr">
        <is>
          <t>701+</t>
        </is>
      </c>
      <c r="AP450" t="inlineStr">
        <is>
          <t>2.0</t>
        </is>
      </c>
      <c r="AQ450" t="inlineStr">
        <is>
          <t>701+</t>
        </is>
      </c>
      <c r="AR450" t="inlineStr">
        <is>
          <t>6.4</t>
        </is>
      </c>
      <c r="AS450" t="inlineStr">
        <is>
          <t>701+</t>
        </is>
      </c>
      <c r="AT450" t="inlineStr">
        <is>
          <t>25.5</t>
        </is>
      </c>
      <c r="AU450" t="inlineStr">
        <is>
          <t>470</t>
        </is>
      </c>
      <c r="AV450" t="inlineStr">
        <is>
          <t>1.0</t>
        </is>
      </c>
      <c r="AW450" t="inlineStr">
        <is>
          <t>701+</t>
        </is>
      </c>
      <c r="AX450" t="inlineStr">
        <is>
          <t>10.2</t>
        </is>
      </c>
      <c r="AY450" t="inlineStr">
        <is>
          <t>701+</t>
        </is>
      </c>
      <c r="AZ450" t="inlineStr">
        <is>
          <t>2.6</t>
        </is>
      </c>
      <c r="BA450" t="inlineStr">
        <is>
          <t>701+</t>
        </is>
      </c>
    </row>
    <row r="451">
      <c r="A451" t="inlineStr">
        <is>
          <t>Istanbul Technical University</t>
        </is>
      </c>
      <c r="B451" t="inlineStr">
        <is>
          <t>Turkey</t>
        </is>
      </c>
      <c r="C451" t="inlineStr">
        <is>
          <t>TR</t>
        </is>
      </c>
      <c r="D451" t="inlineStr">
        <is>
          <t>Asia</t>
        </is>
      </c>
      <c r="E451" t="inlineStr">
        <is>
          <t>L</t>
        </is>
      </c>
      <c r="F451" t="inlineStr">
        <is>
          <t>FO</t>
        </is>
      </c>
      <c r="G451" t="inlineStr">
        <is>
          <t>VH</t>
        </is>
      </c>
      <c r="H451" t="inlineStr">
        <is>
          <t>5</t>
        </is>
      </c>
      <c r="I451" t="inlineStr">
        <is>
          <t>Public</t>
        </is>
      </c>
      <c r="J451" t="inlineStr">
        <is>
          <t>298</t>
        </is>
      </c>
      <c r="K451" t="inlineStr">
        <is>
          <t>326</t>
        </is>
      </c>
      <c r="L451">
        <f>404</f>
        <v/>
      </c>
      <c r="M451" t="inlineStr">
        <is>
          <t>601-650</t>
        </is>
      </c>
      <c r="N451" t="inlineStr">
        <is>
          <t>45.8</t>
        </is>
      </c>
      <c r="O451" t="inlineStr">
        <is>
          <t>27.6</t>
        </is>
      </c>
      <c r="P451" t="n">
        <v>39.6</v>
      </c>
      <c r="Q451" t="inlineStr">
        <is>
          <t>305</t>
        </is>
      </c>
      <c r="R451" t="n">
        <v>85.3</v>
      </c>
      <c r="S451" t="inlineStr">
        <is>
          <t>91</t>
        </is>
      </c>
      <c r="T451" t="n">
        <v>11.5</v>
      </c>
      <c r="U451" t="inlineStr">
        <is>
          <t>801+</t>
        </is>
      </c>
      <c r="V451" t="n">
        <v>35.3</v>
      </c>
      <c r="W451" t="inlineStr">
        <is>
          <t>521</t>
        </is>
      </c>
      <c r="X451" t="n">
        <v>10.4</v>
      </c>
      <c r="Y451" t="inlineStr">
        <is>
          <t>801+</t>
        </is>
      </c>
      <c r="Z451" t="n">
        <v>36.5</v>
      </c>
      <c r="AA451" t="inlineStr">
        <is>
          <t>531</t>
        </is>
      </c>
      <c r="AB451" t="n">
        <v>42.2</v>
      </c>
      <c r="AC451" t="inlineStr">
        <is>
          <t>491</t>
        </is>
      </c>
      <c r="AD451" t="n">
        <v>76.2</v>
      </c>
      <c r="AE451" t="inlineStr">
        <is>
          <t>419</t>
        </is>
      </c>
      <c r="AF451" t="n">
        <v>79.7</v>
      </c>
      <c r="AG451" t="inlineStr">
        <is>
          <t>162</t>
        </is>
      </c>
      <c r="AH451" t="n">
        <v>68.5</v>
      </c>
      <c r="AI451" t="inlineStr">
        <is>
          <t>342=</t>
        </is>
      </c>
      <c r="AJ451" t="inlineStr">
        <is>
          <t>24.2</t>
        </is>
      </c>
      <c r="AK451" t="inlineStr">
        <is>
          <t>357</t>
        </is>
      </c>
      <c r="AL451" t="inlineStr">
        <is>
          <t>60.4</t>
        </is>
      </c>
      <c r="AM451" t="inlineStr">
        <is>
          <t>131</t>
        </is>
      </c>
      <c r="AN451" t="inlineStr">
        <is>
          <t>12.1</t>
        </is>
      </c>
      <c r="AO451" t="inlineStr">
        <is>
          <t>701+</t>
        </is>
      </c>
      <c r="AP451" t="inlineStr">
        <is>
          <t>13.3</t>
        </is>
      </c>
      <c r="AQ451" t="inlineStr">
        <is>
          <t>674</t>
        </is>
      </c>
      <c r="AR451" t="inlineStr">
        <is>
          <t>7.3</t>
        </is>
      </c>
      <c r="AS451" t="inlineStr">
        <is>
          <t>701+</t>
        </is>
      </c>
      <c r="AT451" t="inlineStr">
        <is>
          <t>18.3</t>
        </is>
      </c>
      <c r="AU451" t="inlineStr">
        <is>
          <t>569</t>
        </is>
      </c>
      <c r="AV451" t="inlineStr">
        <is>
          <t>37.2</t>
        </is>
      </c>
      <c r="AW451" t="inlineStr">
        <is>
          <t>398</t>
        </is>
      </c>
      <c r="AX451" t="inlineStr">
        <is>
          <t>23</t>
        </is>
      </c>
      <c r="AY451" t="inlineStr">
        <is>
          <t>365</t>
        </is>
      </c>
      <c r="AZ451" t="inlineStr">
        <is>
          <t>63.1</t>
        </is>
      </c>
      <c r="BA451" t="inlineStr">
        <is>
          <t>232=</t>
        </is>
      </c>
    </row>
    <row r="452">
      <c r="A452" t="inlineStr">
        <is>
          <t>Istanbul University</t>
        </is>
      </c>
      <c r="B452" t="inlineStr">
        <is>
          <t>Turkey</t>
        </is>
      </c>
      <c r="C452" t="inlineStr">
        <is>
          <t>TR</t>
        </is>
      </c>
      <c r="D452" t="inlineStr">
        <is>
          <t>Asia</t>
        </is>
      </c>
      <c r="E452" t="inlineStr">
        <is>
          <t>XL</t>
        </is>
      </c>
      <c r="F452" t="inlineStr">
        <is>
          <t>FC</t>
        </is>
      </c>
      <c r="G452" t="inlineStr">
        <is>
          <t>HI</t>
        </is>
      </c>
      <c r="H452" t="inlineStr">
        <is>
          <t>5</t>
        </is>
      </c>
      <c r="I452" t="inlineStr">
        <is>
          <t>Public</t>
        </is>
      </c>
      <c r="J452" t="inlineStr">
        <is>
          <t>628</t>
        </is>
      </c>
      <c r="K452" t="inlineStr">
        <is>
          <t>621-630</t>
        </is>
      </c>
      <c r="L452" t="inlineStr">
        <is>
          <t>711-720</t>
        </is>
      </c>
      <c r="M452" t="inlineStr">
        <is>
          <t>801-1000</t>
        </is>
      </c>
      <c r="N452" t="inlineStr">
        <is>
          <t>27.4</t>
        </is>
      </c>
      <c r="O452" t="inlineStr">
        <is>
          <t>-</t>
        </is>
      </c>
      <c r="P452" t="n">
        <v>33.3</v>
      </c>
      <c r="Q452" t="inlineStr">
        <is>
          <t>368</t>
        </is>
      </c>
      <c r="R452" t="n">
        <v>43</v>
      </c>
      <c r="S452" t="inlineStr">
        <is>
          <t>313</t>
        </is>
      </c>
      <c r="T452" t="n">
        <v>4.5</v>
      </c>
      <c r="U452" t="inlineStr">
        <is>
          <t>801+</t>
        </is>
      </c>
      <c r="V452" t="n">
        <v>5.1</v>
      </c>
      <c r="W452" t="inlineStr">
        <is>
          <t>801+</t>
        </is>
      </c>
      <c r="X452" t="n">
        <v>7</v>
      </c>
      <c r="Y452" t="inlineStr">
        <is>
          <t>801+</t>
        </is>
      </c>
      <c r="Z452" t="n">
        <v>20.6</v>
      </c>
      <c r="AA452" t="inlineStr">
        <is>
          <t>720</t>
        </is>
      </c>
      <c r="AB452" t="n">
        <v>26.8</v>
      </c>
      <c r="AC452" t="inlineStr">
        <is>
          <t>660</t>
        </is>
      </c>
      <c r="AD452" t="n">
        <v>70.5</v>
      </c>
      <c r="AE452" t="inlineStr">
        <is>
          <t>518</t>
        </is>
      </c>
      <c r="AF452" t="n">
        <v>78.8</v>
      </c>
      <c r="AG452" t="inlineStr">
        <is>
          <t>166</t>
        </is>
      </c>
      <c r="AH452" t="n">
        <v>37.5</v>
      </c>
      <c r="AI452" t="inlineStr">
        <is>
          <t>801+</t>
        </is>
      </c>
      <c r="AJ452" t="inlineStr">
        <is>
          <t>26.4</t>
        </is>
      </c>
      <c r="AK452" t="inlineStr">
        <is>
          <t>333</t>
        </is>
      </c>
      <c r="AL452" t="inlineStr">
        <is>
          <t>19.1</t>
        </is>
      </c>
      <c r="AM452" t="inlineStr">
        <is>
          <t>469</t>
        </is>
      </c>
      <c r="AN452" t="inlineStr">
        <is>
          <t>3.0</t>
        </is>
      </c>
      <c r="AO452" t="inlineStr">
        <is>
          <t>701+</t>
        </is>
      </c>
      <c r="AP452" t="inlineStr">
        <is>
          <t>4.2</t>
        </is>
      </c>
      <c r="AQ452" t="inlineStr">
        <is>
          <t>701+</t>
        </is>
      </c>
      <c r="AR452" t="inlineStr">
        <is>
          <t>6.4</t>
        </is>
      </c>
      <c r="AS452" t="inlineStr">
        <is>
          <t>701+</t>
        </is>
      </c>
      <c r="AT452" t="inlineStr">
        <is>
          <t>15.7</t>
        </is>
      </c>
      <c r="AU452" t="inlineStr">
        <is>
          <t>606</t>
        </is>
      </c>
      <c r="AV452" t="inlineStr">
        <is>
          <t>36.1</t>
        </is>
      </c>
      <c r="AW452" t="inlineStr">
        <is>
          <t>411</t>
        </is>
      </c>
      <c r="AX452" t="inlineStr">
        <is>
          <t>34.7</t>
        </is>
      </c>
      <c r="AY452" t="inlineStr">
        <is>
          <t>220</t>
        </is>
      </c>
      <c r="AZ452" t="inlineStr">
        <is>
          <t>3.4</t>
        </is>
      </c>
      <c r="BA452" t="inlineStr">
        <is>
          <t>701+</t>
        </is>
      </c>
    </row>
    <row r="453">
      <c r="A453" t="inlineStr">
        <is>
          <t>ITESO, Universidad Jesuita de Guadalajara</t>
        </is>
      </c>
      <c r="B453" t="inlineStr">
        <is>
          <t>Mexico</t>
        </is>
      </c>
      <c r="C453" t="inlineStr">
        <is>
          <t>MX</t>
        </is>
      </c>
      <c r="D453" t="inlineStr"/>
      <c r="E453" t="inlineStr">
        <is>
          <t>M</t>
        </is>
      </c>
      <c r="F453" t="inlineStr">
        <is>
          <t>CO</t>
        </is>
      </c>
      <c r="G453" t="inlineStr">
        <is>
          <t>MD</t>
        </is>
      </c>
      <c r="H453" t="inlineStr">
        <is>
          <t>4</t>
        </is>
      </c>
      <c r="I453" t="inlineStr">
        <is>
          <t>B</t>
        </is>
      </c>
      <c r="J453" t="inlineStr"/>
      <c r="K453" t="inlineStr"/>
      <c r="L453" t="inlineStr">
        <is>
          <t>1001-1200</t>
        </is>
      </c>
      <c r="M453" t="inlineStr">
        <is>
          <t>801-1000</t>
        </is>
      </c>
      <c r="N453" t="inlineStr"/>
      <c r="O453" t="inlineStr">
        <is>
          <t>-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6.3</t>
        </is>
      </c>
      <c r="AK453" t="inlineStr">
        <is>
          <t>601+</t>
        </is>
      </c>
      <c r="AL453" t="inlineStr">
        <is>
          <t>5.5</t>
        </is>
      </c>
      <c r="AM453" t="inlineStr">
        <is>
          <t>601+</t>
        </is>
      </c>
      <c r="AN453" t="inlineStr">
        <is>
          <t>58.8</t>
        </is>
      </c>
      <c r="AO453" t="inlineStr">
        <is>
          <t>245</t>
        </is>
      </c>
      <c r="AP453" t="inlineStr">
        <is>
          <t>1.0</t>
        </is>
      </c>
      <c r="AQ453" t="inlineStr">
        <is>
          <t>701+</t>
        </is>
      </c>
      <c r="AR453" t="inlineStr">
        <is>
          <t>2.5</t>
        </is>
      </c>
      <c r="AS453" t="inlineStr">
        <is>
          <t>701+</t>
        </is>
      </c>
      <c r="AT453" t="inlineStr">
        <is>
          <t>1.5</t>
        </is>
      </c>
      <c r="AU453" t="inlineStr">
        <is>
          <t>701+</t>
        </is>
      </c>
      <c r="AV453" t="inlineStr">
        <is>
          <t>1.0</t>
        </is>
      </c>
      <c r="AW453" t="inlineStr">
        <is>
          <t>701+</t>
        </is>
      </c>
      <c r="AX453" t="inlineStr">
        <is>
          <t>6.6</t>
        </is>
      </c>
      <c r="AY453" t="inlineStr">
        <is>
          <t>701+</t>
        </is>
      </c>
      <c r="AZ453" t="inlineStr"/>
      <c r="BA453" t="inlineStr"/>
    </row>
    <row r="454">
      <c r="A454" t="inlineStr">
        <is>
          <t>ITMO University</t>
        </is>
      </c>
      <c r="B454" t="inlineStr">
        <is>
          <t>Russia</t>
        </is>
      </c>
      <c r="C454" t="inlineStr">
        <is>
          <t>RU</t>
        </is>
      </c>
      <c r="D454" t="inlineStr">
        <is>
          <t>Europe</t>
        </is>
      </c>
      <c r="E454" t="inlineStr">
        <is>
          <t>L</t>
        </is>
      </c>
      <c r="F454" t="inlineStr">
        <is>
          <t>FO</t>
        </is>
      </c>
      <c r="G454" t="inlineStr">
        <is>
          <t>VH</t>
        </is>
      </c>
      <c r="H454" t="inlineStr">
        <is>
          <t>5</t>
        </is>
      </c>
      <c r="I454" t="inlineStr">
        <is>
          <t>Public</t>
        </is>
      </c>
      <c r="J454" t="inlineStr">
        <is>
          <t>711-720</t>
        </is>
      </c>
      <c r="K454" t="inlineStr">
        <is>
          <t>595</t>
        </is>
      </c>
      <c r="L454">
        <f>542</f>
        <v/>
      </c>
      <c r="M454" t="inlineStr">
        <is>
          <t>359=</t>
        </is>
      </c>
      <c r="N454" t="inlineStr">
        <is>
          <t>-</t>
        </is>
      </c>
      <c r="O454" t="inlineStr">
        <is>
          <t>21.7</t>
        </is>
      </c>
      <c r="P454" t="n">
        <v>12.7</v>
      </c>
      <c r="Q454" t="inlineStr">
        <is>
          <t>701+</t>
        </is>
      </c>
      <c r="R454" t="n">
        <v>17.4</v>
      </c>
      <c r="S454" t="inlineStr">
        <is>
          <t>701+</t>
        </is>
      </c>
      <c r="T454" t="n">
        <v>92.59999999999999</v>
      </c>
      <c r="U454" t="inlineStr">
        <is>
          <t>89</t>
        </is>
      </c>
      <c r="V454" t="n">
        <v>11</v>
      </c>
      <c r="W454" t="inlineStr">
        <is>
          <t>801+</t>
        </is>
      </c>
      <c r="X454" t="n">
        <v>27.2</v>
      </c>
      <c r="Y454" t="inlineStr">
        <is>
          <t>621</t>
        </is>
      </c>
      <c r="Z454" t="n">
        <v>44.5</v>
      </c>
      <c r="AA454" t="inlineStr">
        <is>
          <t>453</t>
        </is>
      </c>
      <c r="AB454" t="n">
        <v>49.7</v>
      </c>
      <c r="AC454" t="inlineStr">
        <is>
          <t>418</t>
        </is>
      </c>
      <c r="AD454" t="n">
        <v>60.1</v>
      </c>
      <c r="AE454" t="inlineStr">
        <is>
          <t>689</t>
        </is>
      </c>
      <c r="AF454" t="n">
        <v>3.9</v>
      </c>
      <c r="AG454" t="inlineStr">
        <is>
          <t>801+</t>
        </is>
      </c>
      <c r="AH454" t="n">
        <v>26.6</v>
      </c>
      <c r="AI454" t="inlineStr">
        <is>
          <t>801+</t>
        </is>
      </c>
      <c r="AJ454" t="inlineStr">
        <is>
          <t>12.0</t>
        </is>
      </c>
      <c r="AK454" t="inlineStr">
        <is>
          <t>601+</t>
        </is>
      </c>
      <c r="AL454" t="inlineStr">
        <is>
          <t>11.6</t>
        </is>
      </c>
      <c r="AM454" t="inlineStr">
        <is>
          <t>601+</t>
        </is>
      </c>
      <c r="AN454" t="inlineStr">
        <is>
          <t>96.2</t>
        </is>
      </c>
      <c r="AO454" t="inlineStr">
        <is>
          <t>55</t>
        </is>
      </c>
      <c r="AP454" t="inlineStr">
        <is>
          <t>6.9</t>
        </is>
      </c>
      <c r="AQ454" t="inlineStr">
        <is>
          <t>701+</t>
        </is>
      </c>
      <c r="AR454" t="inlineStr">
        <is>
          <t>21.4</t>
        </is>
      </c>
      <c r="AS454" t="inlineStr">
        <is>
          <t>579</t>
        </is>
      </c>
      <c r="AT454" t="inlineStr">
        <is>
          <t>38.9</t>
        </is>
      </c>
      <c r="AU454" t="inlineStr">
        <is>
          <t>354</t>
        </is>
      </c>
      <c r="AV454" t="inlineStr">
        <is>
          <t>27.3</t>
        </is>
      </c>
      <c r="AW454" t="inlineStr">
        <is>
          <t>476</t>
        </is>
      </c>
      <c r="AX454" t="inlineStr">
        <is>
          <t>7.3</t>
        </is>
      </c>
      <c r="AY454" t="inlineStr">
        <is>
          <t>701+</t>
        </is>
      </c>
      <c r="AZ454" t="inlineStr">
        <is>
          <t>15</t>
        </is>
      </c>
      <c r="BA454" t="inlineStr">
        <is>
          <t>612=</t>
        </is>
      </c>
    </row>
    <row r="455">
      <c r="A455" t="inlineStr">
        <is>
          <t>IU Indianapolis</t>
        </is>
      </c>
      <c r="B455" t="inlineStr">
        <is>
          <t>United States</t>
        </is>
      </c>
      <c r="C455" t="inlineStr"/>
      <c r="D455" t="inlineStr">
        <is>
          <t>Americas</t>
        </is>
      </c>
      <c r="E455" t="inlineStr">
        <is>
          <t>L</t>
        </is>
      </c>
      <c r="F455" t="inlineStr">
        <is>
          <t>FC</t>
        </is>
      </c>
      <c r="G455" t="inlineStr">
        <is>
          <t>HI</t>
        </is>
      </c>
      <c r="H455" t="inlineStr"/>
      <c r="I455" t="inlineStr">
        <is>
          <t>Public</t>
        </is>
      </c>
      <c r="J455" t="inlineStr">
        <is>
          <t>1001-1200</t>
        </is>
      </c>
      <c r="K455" t="inlineStr">
        <is>
          <t>1001-1200</t>
        </is>
      </c>
      <c r="L455" t="inlineStr"/>
      <c r="M455" t="inlineStr"/>
      <c r="N455" t="inlineStr">
        <is>
          <t>-</t>
        </is>
      </c>
      <c r="O455" t="inlineStr"/>
      <c r="P455" t="n">
        <v>8.9</v>
      </c>
      <c r="Q455" t="inlineStr">
        <is>
          <t>701+</t>
        </is>
      </c>
      <c r="R455" t="n">
        <v>8.4</v>
      </c>
      <c r="S455" t="inlineStr">
        <is>
          <t>701+</t>
        </is>
      </c>
      <c r="T455" t="n">
        <v>23.5</v>
      </c>
      <c r="U455" t="inlineStr">
        <is>
          <t>761</t>
        </is>
      </c>
      <c r="V455" t="n">
        <v>22.6</v>
      </c>
      <c r="W455" t="inlineStr">
        <is>
          <t>676</t>
        </is>
      </c>
      <c r="X455" t="n">
        <v>38.8</v>
      </c>
      <c r="Y455" t="inlineStr">
        <is>
          <t>509</t>
        </is>
      </c>
      <c r="Z455" t="n">
        <v>9</v>
      </c>
      <c r="AA455" t="inlineStr">
        <is>
          <t>801+</t>
        </is>
      </c>
      <c r="AB455" t="n">
        <v>14.7</v>
      </c>
      <c r="AC455" t="inlineStr">
        <is>
          <t>801+</t>
        </is>
      </c>
      <c r="AD455" t="n">
        <v>51.3</v>
      </c>
      <c r="AE455" t="inlineStr">
        <is>
          <t>801+</t>
        </is>
      </c>
      <c r="AF455" t="n">
        <v>6.5</v>
      </c>
      <c r="AG455" t="inlineStr">
        <is>
          <t>801+</t>
        </is>
      </c>
      <c r="AH455" t="n">
        <v>43.7</v>
      </c>
      <c r="AI455" t="inlineStr">
        <is>
          <t>801+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inlineStr">
        <is>
          <t>Ivan Franko National University of Lviv</t>
        </is>
      </c>
      <c r="B456" t="inlineStr">
        <is>
          <t>Ukraine</t>
        </is>
      </c>
      <c r="C456" t="inlineStr">
        <is>
          <t>UA</t>
        </is>
      </c>
      <c r="D456" t="inlineStr">
        <is>
          <t>Europe</t>
        </is>
      </c>
      <c r="E456" t="inlineStr">
        <is>
          <t>L</t>
        </is>
      </c>
      <c r="F456" t="inlineStr">
        <is>
          <t>CO</t>
        </is>
      </c>
      <c r="G456" t="inlineStr">
        <is>
          <t>HI</t>
        </is>
      </c>
      <c r="H456" t="inlineStr">
        <is>
          <t>5</t>
        </is>
      </c>
      <c r="I456" t="inlineStr">
        <is>
          <t>Public</t>
        </is>
      </c>
      <c r="J456" t="inlineStr">
        <is>
          <t>1201-1400</t>
        </is>
      </c>
      <c r="K456" t="inlineStr">
        <is>
          <t>1201-1400</t>
        </is>
      </c>
      <c r="L456" t="inlineStr">
        <is>
          <t>1201-1400</t>
        </is>
      </c>
      <c r="M456" t="inlineStr">
        <is>
          <t>1001-1200</t>
        </is>
      </c>
      <c r="N456" t="inlineStr">
        <is>
          <t>-</t>
        </is>
      </c>
      <c r="O456" t="inlineStr">
        <is>
          <t>-</t>
        </is>
      </c>
      <c r="P456" t="n">
        <v>9.6</v>
      </c>
      <c r="Q456" t="inlineStr">
        <is>
          <t>701+</t>
        </is>
      </c>
      <c r="R456" t="n">
        <v>25.3</v>
      </c>
      <c r="S456" t="inlineStr">
        <is>
          <t>533</t>
        </is>
      </c>
      <c r="T456" t="n">
        <v>32.8</v>
      </c>
      <c r="U456" t="inlineStr">
        <is>
          <t>590</t>
        </is>
      </c>
      <c r="V456" t="n">
        <v>1.7</v>
      </c>
      <c r="W456" t="inlineStr">
        <is>
          <t>801+</t>
        </is>
      </c>
      <c r="X456" t="n">
        <v>1.3</v>
      </c>
      <c r="Y456" t="inlineStr">
        <is>
          <t>801+</t>
        </is>
      </c>
      <c r="Z456" t="n">
        <v>1.6</v>
      </c>
      <c r="AA456" t="inlineStr">
        <is>
          <t>801+</t>
        </is>
      </c>
      <c r="AB456" t="n">
        <v>6</v>
      </c>
      <c r="AC456" t="inlineStr">
        <is>
          <t>801+</t>
        </is>
      </c>
      <c r="AD456" t="n">
        <v>13.3</v>
      </c>
      <c r="AE456" t="inlineStr">
        <is>
          <t>801+</t>
        </is>
      </c>
      <c r="AF456" t="n">
        <v>26.1</v>
      </c>
      <c r="AG456" t="inlineStr">
        <is>
          <t>622</t>
        </is>
      </c>
      <c r="AH456" t="n">
        <v>43.1</v>
      </c>
      <c r="AI456" t="inlineStr">
        <is>
          <t>801+</t>
        </is>
      </c>
      <c r="AJ456" t="inlineStr">
        <is>
          <t>4.3</t>
        </is>
      </c>
      <c r="AK456" t="inlineStr">
        <is>
          <t>601+</t>
        </is>
      </c>
      <c r="AL456" t="inlineStr">
        <is>
          <t>10.1</t>
        </is>
      </c>
      <c r="AM456" t="inlineStr">
        <is>
          <t>601+</t>
        </is>
      </c>
      <c r="AN456" t="inlineStr">
        <is>
          <t>34.2</t>
        </is>
      </c>
      <c r="AO456" t="inlineStr">
        <is>
          <t>467</t>
        </is>
      </c>
      <c r="AP456" t="inlineStr">
        <is>
          <t>1.3</t>
        </is>
      </c>
      <c r="AQ456" t="inlineStr">
        <is>
          <t>701+</t>
        </is>
      </c>
      <c r="AR456" t="inlineStr">
        <is>
          <t>1.4</t>
        </is>
      </c>
      <c r="AS456" t="inlineStr">
        <is>
          <t>701+</t>
        </is>
      </c>
      <c r="AT456" t="inlineStr">
        <is>
          <t>2.0</t>
        </is>
      </c>
      <c r="AU456" t="inlineStr">
        <is>
          <t>701+</t>
        </is>
      </c>
      <c r="AV456" t="inlineStr">
        <is>
          <t>1.0</t>
        </is>
      </c>
      <c r="AW456" t="inlineStr">
        <is>
          <t>701+</t>
        </is>
      </c>
      <c r="AX456" t="inlineStr">
        <is>
          <t>12</t>
        </is>
      </c>
      <c r="AY456" t="inlineStr">
        <is>
          <t>701+</t>
        </is>
      </c>
      <c r="AZ456" t="inlineStr">
        <is>
          <t>1.1</t>
        </is>
      </c>
      <c r="BA456" t="inlineStr">
        <is>
          <t>701+</t>
        </is>
      </c>
    </row>
    <row r="457">
      <c r="A457" t="inlineStr">
        <is>
          <t>Ivane Javakhishvili Tbilisi State University</t>
        </is>
      </c>
      <c r="B457" t="inlineStr">
        <is>
          <t>Georgia</t>
        </is>
      </c>
      <c r="C457" t="inlineStr">
        <is>
          <t>GE</t>
        </is>
      </c>
      <c r="D457" t="inlineStr">
        <is>
          <t>Asia</t>
        </is>
      </c>
      <c r="E457" t="inlineStr">
        <is>
          <t>L</t>
        </is>
      </c>
      <c r="F457" t="inlineStr">
        <is>
          <t>FC</t>
        </is>
      </c>
      <c r="G457" t="inlineStr">
        <is>
          <t>MD</t>
        </is>
      </c>
      <c r="H457" t="inlineStr">
        <is>
          <t>5</t>
        </is>
      </c>
      <c r="I457" t="inlineStr">
        <is>
          <t>Public</t>
        </is>
      </c>
      <c r="J457" t="inlineStr">
        <is>
          <t>951-1000</t>
        </is>
      </c>
      <c r="K457" t="inlineStr">
        <is>
          <t>791-800</t>
        </is>
      </c>
      <c r="L457" t="inlineStr">
        <is>
          <t>801-850</t>
        </is>
      </c>
      <c r="M457" t="inlineStr">
        <is>
          <t>601-650</t>
        </is>
      </c>
      <c r="N457" t="inlineStr">
        <is>
          <t>-</t>
        </is>
      </c>
      <c r="O457" t="inlineStr">
        <is>
          <t>-</t>
        </is>
      </c>
      <c r="P457" t="n">
        <v>11.9</v>
      </c>
      <c r="Q457" t="inlineStr">
        <is>
          <t>701+</t>
        </is>
      </c>
      <c r="R457" t="n">
        <v>1.4</v>
      </c>
      <c r="S457" t="inlineStr">
        <is>
          <t>701+</t>
        </is>
      </c>
      <c r="T457" t="n">
        <v>83.5</v>
      </c>
      <c r="U457" t="inlineStr">
        <is>
          <t>150</t>
        </is>
      </c>
      <c r="V457" t="n">
        <v>1.4</v>
      </c>
      <c r="W457" t="inlineStr">
        <is>
          <t>801+</t>
        </is>
      </c>
      <c r="X457" t="n">
        <v>1.9</v>
      </c>
      <c r="Y457" t="inlineStr">
        <is>
          <t>801+</t>
        </is>
      </c>
      <c r="Z457" t="n">
        <v>7.5</v>
      </c>
      <c r="AA457" t="inlineStr">
        <is>
          <t>801+</t>
        </is>
      </c>
      <c r="AB457" t="n">
        <v>12.2</v>
      </c>
      <c r="AC457" t="inlineStr">
        <is>
          <t>801+</t>
        </is>
      </c>
      <c r="AD457" t="n">
        <v>24.7</v>
      </c>
      <c r="AE457" t="inlineStr">
        <is>
          <t>801+</t>
        </is>
      </c>
      <c r="AF457" t="n">
        <v>95.2</v>
      </c>
      <c r="AG457" t="inlineStr">
        <is>
          <t>75</t>
        </is>
      </c>
      <c r="AH457" t="n">
        <v>18.2</v>
      </c>
      <c r="AI457" t="inlineStr">
        <is>
          <t>801+</t>
        </is>
      </c>
      <c r="AJ457" t="inlineStr">
        <is>
          <t>9.7</t>
        </is>
      </c>
      <c r="AK457" t="inlineStr">
        <is>
          <t>601+</t>
        </is>
      </c>
      <c r="AL457" t="inlineStr">
        <is>
          <t>2.6</t>
        </is>
      </c>
      <c r="AM457" t="inlineStr">
        <is>
          <t>601+</t>
        </is>
      </c>
      <c r="AN457" t="inlineStr">
        <is>
          <t>76.0</t>
        </is>
      </c>
      <c r="AO457" t="inlineStr">
        <is>
          <t>158</t>
        </is>
      </c>
      <c r="AP457" t="inlineStr">
        <is>
          <t>1.2</t>
        </is>
      </c>
      <c r="AQ457" t="inlineStr">
        <is>
          <t>701+</t>
        </is>
      </c>
      <c r="AR457" t="inlineStr">
        <is>
          <t>1.9</t>
        </is>
      </c>
      <c r="AS457" t="inlineStr">
        <is>
          <t>701+</t>
        </is>
      </c>
      <c r="AT457" t="inlineStr">
        <is>
          <t>3.5</t>
        </is>
      </c>
      <c r="AU457" t="inlineStr">
        <is>
          <t>701+</t>
        </is>
      </c>
      <c r="AV457" t="inlineStr">
        <is>
          <t>1.2</t>
        </is>
      </c>
      <c r="AW457" t="inlineStr">
        <is>
          <t>701+</t>
        </is>
      </c>
      <c r="AX457" t="inlineStr">
        <is>
          <t>43.4</t>
        </is>
      </c>
      <c r="AY457" t="inlineStr">
        <is>
          <t>166</t>
        </is>
      </c>
      <c r="AZ457" t="inlineStr">
        <is>
          <t>1.1</t>
        </is>
      </c>
      <c r="BA457" t="inlineStr">
        <is>
          <t>701+</t>
        </is>
      </c>
    </row>
    <row r="458">
      <c r="A458" t="inlineStr">
        <is>
          <t>Izmir Institute of Technology (IZTECH)</t>
        </is>
      </c>
      <c r="B458" t="inlineStr">
        <is>
          <t>Turkey</t>
        </is>
      </c>
      <c r="C458" t="inlineStr">
        <is>
          <t>TR</t>
        </is>
      </c>
      <c r="D458" t="inlineStr"/>
      <c r="E458" t="inlineStr">
        <is>
          <t>M</t>
        </is>
      </c>
      <c r="F458" t="inlineStr">
        <is>
          <t>CO</t>
        </is>
      </c>
      <c r="G458" t="inlineStr">
        <is>
          <t>HI</t>
        </is>
      </c>
      <c r="H458" t="inlineStr">
        <is>
          <t>3</t>
        </is>
      </c>
      <c r="I458" t="inlineStr">
        <is>
          <t>A</t>
        </is>
      </c>
      <c r="J458" t="inlineStr"/>
      <c r="K458" t="inlineStr"/>
      <c r="L458" t="inlineStr">
        <is>
          <t>1201-1400</t>
        </is>
      </c>
      <c r="M458" t="inlineStr">
        <is>
          <t>1201-1400</t>
        </is>
      </c>
      <c r="N458" t="inlineStr"/>
      <c r="O458" t="inlineStr">
        <is>
          <t>-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6.6</t>
        </is>
      </c>
      <c r="AK458" t="inlineStr">
        <is>
          <t>601+</t>
        </is>
      </c>
      <c r="AL458" t="inlineStr">
        <is>
          <t>3.5</t>
        </is>
      </c>
      <c r="AM458" t="inlineStr">
        <is>
          <t>601+</t>
        </is>
      </c>
      <c r="AN458" t="inlineStr">
        <is>
          <t>5.9</t>
        </is>
      </c>
      <c r="AO458" t="inlineStr">
        <is>
          <t>701+</t>
        </is>
      </c>
      <c r="AP458" t="inlineStr">
        <is>
          <t>7.5</t>
        </is>
      </c>
      <c r="AQ458" t="inlineStr">
        <is>
          <t>701+</t>
        </is>
      </c>
      <c r="AR458" t="inlineStr">
        <is>
          <t>3.4</t>
        </is>
      </c>
      <c r="AS458" t="inlineStr">
        <is>
          <t>701+</t>
        </is>
      </c>
      <c r="AT458" t="inlineStr">
        <is>
          <t>2.3</t>
        </is>
      </c>
      <c r="AU458" t="inlineStr">
        <is>
          <t>701+</t>
        </is>
      </c>
      <c r="AV458" t="inlineStr">
        <is>
          <t>1.0</t>
        </is>
      </c>
      <c r="AW458" t="inlineStr">
        <is>
          <t>701+</t>
        </is>
      </c>
      <c r="AX458" t="inlineStr">
        <is>
          <t>6.9</t>
        </is>
      </c>
      <c r="AY458" t="inlineStr">
        <is>
          <t>701+</t>
        </is>
      </c>
      <c r="AZ458" t="inlineStr">
        <is>
          <t>3.5</t>
        </is>
      </c>
      <c r="BA458" t="inlineStr">
        <is>
          <t>701+</t>
        </is>
      </c>
    </row>
    <row r="459">
      <c r="A459" t="inlineStr">
        <is>
          <t>Izmir Yüksek Teknoloji Enstitüsü (IYTE)</t>
        </is>
      </c>
      <c r="B459" t="inlineStr">
        <is>
          <t>Turkey</t>
        </is>
      </c>
      <c r="C459" t="inlineStr"/>
      <c r="D459" t="inlineStr">
        <is>
          <t>Asia</t>
        </is>
      </c>
      <c r="E459" t="inlineStr">
        <is>
          <t>S</t>
        </is>
      </c>
      <c r="F459" t="inlineStr">
        <is>
          <t>CO</t>
        </is>
      </c>
      <c r="G459" t="inlineStr">
        <is>
          <t>VH</t>
        </is>
      </c>
      <c r="H459" t="inlineStr"/>
      <c r="I459" t="inlineStr">
        <is>
          <t>Public</t>
        </is>
      </c>
      <c r="J459" t="inlineStr">
        <is>
          <t>1201-1400</t>
        </is>
      </c>
      <c r="K459" t="inlineStr">
        <is>
          <t>1201-1400</t>
        </is>
      </c>
      <c r="L459" t="inlineStr"/>
      <c r="M459" t="inlineStr"/>
      <c r="N459" t="inlineStr">
        <is>
          <t>-</t>
        </is>
      </c>
      <c r="O459" t="inlineStr"/>
      <c r="P459" t="n">
        <v>11</v>
      </c>
      <c r="Q459" t="inlineStr">
        <is>
          <t>701+</t>
        </is>
      </c>
      <c r="R459" t="n">
        <v>10.8</v>
      </c>
      <c r="S459" t="inlineStr">
        <is>
          <t>701+</t>
        </is>
      </c>
      <c r="T459" t="n">
        <v>8.300000000000001</v>
      </c>
      <c r="U459" t="inlineStr">
        <is>
          <t>801+</t>
        </is>
      </c>
      <c r="V459" t="n">
        <v>18.6</v>
      </c>
      <c r="W459" t="inlineStr">
        <is>
          <t>742</t>
        </is>
      </c>
      <c r="X459" t="n">
        <v>8.699999999999999</v>
      </c>
      <c r="Y459" t="inlineStr">
        <is>
          <t>801+</t>
        </is>
      </c>
      <c r="Z459" t="n">
        <v>5.2</v>
      </c>
      <c r="AA459" t="inlineStr">
        <is>
          <t>801+</t>
        </is>
      </c>
      <c r="AB459" t="n">
        <v>9.4</v>
      </c>
      <c r="AC459" t="inlineStr">
        <is>
          <t>801+</t>
        </is>
      </c>
      <c r="AD459" t="n">
        <v>22.7</v>
      </c>
      <c r="AE459" t="inlineStr">
        <is>
          <t>801+</t>
        </is>
      </c>
      <c r="AF459" t="n">
        <v>2.4</v>
      </c>
      <c r="AG459" t="inlineStr">
        <is>
          <t>801+</t>
        </is>
      </c>
      <c r="AH459" t="n">
        <v>38.7</v>
      </c>
      <c r="AI459" t="inlineStr">
        <is>
          <t>801+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inlineStr">
        <is>
          <t>Jadara University</t>
        </is>
      </c>
      <c r="B460" t="inlineStr">
        <is>
          <t>Jordan</t>
        </is>
      </c>
      <c r="C460" t="inlineStr"/>
      <c r="D460" t="inlineStr">
        <is>
          <t>Asia</t>
        </is>
      </c>
      <c r="E460" t="inlineStr">
        <is>
          <t>M</t>
        </is>
      </c>
      <c r="F460" t="inlineStr">
        <is>
          <t>CO</t>
        </is>
      </c>
      <c r="G460" t="inlineStr">
        <is>
          <t>MD</t>
        </is>
      </c>
      <c r="H460" t="inlineStr"/>
      <c r="I460" t="inlineStr">
        <is>
          <t>Private not for Profit</t>
        </is>
      </c>
      <c r="J460" t="inlineStr">
        <is>
          <t>1401+</t>
        </is>
      </c>
      <c r="K460" t="inlineStr"/>
      <c r="L460" t="inlineStr"/>
      <c r="M460" t="inlineStr"/>
      <c r="N460" t="inlineStr">
        <is>
          <t>-</t>
        </is>
      </c>
      <c r="O460" t="inlineStr"/>
      <c r="P460" t="n">
        <v>9.9</v>
      </c>
      <c r="Q460" t="inlineStr">
        <is>
          <t>701+</t>
        </is>
      </c>
      <c r="R460" t="n">
        <v>4.2</v>
      </c>
      <c r="S460" t="inlineStr">
        <is>
          <t>701+</t>
        </is>
      </c>
      <c r="T460" t="n">
        <v>29.4</v>
      </c>
      <c r="U460" t="inlineStr">
        <is>
          <t>644</t>
        </is>
      </c>
      <c r="V460" t="n">
        <v>3.3</v>
      </c>
      <c r="W460" t="inlineStr">
        <is>
          <t>801+</t>
        </is>
      </c>
      <c r="X460" t="n">
        <v>4.5</v>
      </c>
      <c r="Y460" t="inlineStr">
        <is>
          <t>801+</t>
        </is>
      </c>
      <c r="Z460" t="n">
        <v>49.7</v>
      </c>
      <c r="AA460" t="inlineStr">
        <is>
          <t>410</t>
        </is>
      </c>
      <c r="AB460" t="n">
        <v>37.1</v>
      </c>
      <c r="AC460" t="inlineStr">
        <is>
          <t>525</t>
        </is>
      </c>
      <c r="AD460" t="n">
        <v>4.2</v>
      </c>
      <c r="AE460" t="inlineStr">
        <is>
          <t>801+</t>
        </is>
      </c>
      <c r="AF460" t="n">
        <v>5.9</v>
      </c>
      <c r="AG460" t="inlineStr">
        <is>
          <t>801+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Jadavpur University</t>
        </is>
      </c>
      <c r="B461" t="inlineStr">
        <is>
          <t>India</t>
        </is>
      </c>
      <c r="C461" t="inlineStr">
        <is>
          <t>IN</t>
        </is>
      </c>
      <c r="D461" t="inlineStr">
        <is>
          <t>Asia</t>
        </is>
      </c>
      <c r="E461" t="inlineStr">
        <is>
          <t>M</t>
        </is>
      </c>
      <c r="F461" t="inlineStr">
        <is>
          <t>FO</t>
        </is>
      </c>
      <c r="G461" t="inlineStr">
        <is>
          <t>VH</t>
        </is>
      </c>
      <c r="H461" t="inlineStr">
        <is>
          <t>5</t>
        </is>
      </c>
      <c r="I461" t="inlineStr">
        <is>
          <t>Public</t>
        </is>
      </c>
      <c r="J461" t="inlineStr">
        <is>
          <t>676</t>
        </is>
      </c>
      <c r="K461" t="inlineStr">
        <is>
          <t>721-730</t>
        </is>
      </c>
      <c r="L461" t="inlineStr">
        <is>
          <t>741-750</t>
        </is>
      </c>
      <c r="M461" t="inlineStr">
        <is>
          <t>701-750</t>
        </is>
      </c>
      <c r="N461" t="inlineStr">
        <is>
          <t>26.1</t>
        </is>
      </c>
      <c r="O461" t="inlineStr">
        <is>
          <t>-</t>
        </is>
      </c>
      <c r="P461" t="n">
        <v>23.2</v>
      </c>
      <c r="Q461" t="inlineStr">
        <is>
          <t>544</t>
        </is>
      </c>
      <c r="R461" t="n">
        <v>10.5</v>
      </c>
      <c r="S461" t="inlineStr">
        <is>
          <t>701+</t>
        </is>
      </c>
      <c r="T461" t="n">
        <v>13.7</v>
      </c>
      <c r="U461" t="inlineStr">
        <is>
          <t>801+</t>
        </is>
      </c>
      <c r="V461" t="n">
        <v>55.8</v>
      </c>
      <c r="W461" t="inlineStr">
        <is>
          <t>319</t>
        </is>
      </c>
      <c r="X461" t="inlineStr"/>
      <c r="Y461" t="inlineStr"/>
      <c r="Z461" t="n">
        <v>1.1</v>
      </c>
      <c r="AA461" t="inlineStr">
        <is>
          <t>801+</t>
        </is>
      </c>
      <c r="AB461" t="n">
        <v>5.5</v>
      </c>
      <c r="AC461" t="inlineStr">
        <is>
          <t>801+</t>
        </is>
      </c>
      <c r="AD461" t="n">
        <v>44</v>
      </c>
      <c r="AE461" t="inlineStr">
        <is>
          <t>801+</t>
        </is>
      </c>
      <c r="AF461" t="n">
        <v>19.5</v>
      </c>
      <c r="AG461" t="inlineStr">
        <is>
          <t>733</t>
        </is>
      </c>
      <c r="AH461" t="n">
        <v>61.4</v>
      </c>
      <c r="AI461" t="inlineStr">
        <is>
          <t>470</t>
        </is>
      </c>
      <c r="AJ461" t="inlineStr">
        <is>
          <t>16.3</t>
        </is>
      </c>
      <c r="AK461" t="inlineStr">
        <is>
          <t>538</t>
        </is>
      </c>
      <c r="AL461" t="inlineStr">
        <is>
          <t>5.1</t>
        </is>
      </c>
      <c r="AM461" t="inlineStr">
        <is>
          <t>601+</t>
        </is>
      </c>
      <c r="AN461" t="inlineStr">
        <is>
          <t>8.3</t>
        </is>
      </c>
      <c r="AO461" t="inlineStr">
        <is>
          <t>701+</t>
        </is>
      </c>
      <c r="AP461" t="inlineStr">
        <is>
          <t>37.9</t>
        </is>
      </c>
      <c r="AQ461" t="inlineStr">
        <is>
          <t>368</t>
        </is>
      </c>
      <c r="AR461" t="inlineStr"/>
      <c r="AS461" t="inlineStr"/>
      <c r="AT461" t="inlineStr">
        <is>
          <t>1.0</t>
        </is>
      </c>
      <c r="AU461" t="inlineStr">
        <is>
          <t>701+</t>
        </is>
      </c>
      <c r="AV461" t="inlineStr">
        <is>
          <t>3.1</t>
        </is>
      </c>
      <c r="AW461" t="inlineStr">
        <is>
          <t>701+</t>
        </is>
      </c>
      <c r="AX461" t="inlineStr">
        <is>
          <t>14.4</t>
        </is>
      </c>
      <c r="AY461" t="inlineStr">
        <is>
          <t>587</t>
        </is>
      </c>
      <c r="AZ461" t="inlineStr">
        <is>
          <t>21.2</t>
        </is>
      </c>
      <c r="BA461" t="inlineStr">
        <is>
          <t>533=</t>
        </is>
      </c>
    </row>
    <row r="462">
      <c r="A462" t="inlineStr">
        <is>
          <t>Jagiellonian University</t>
        </is>
      </c>
      <c r="B462" t="inlineStr">
        <is>
          <t>Poland</t>
        </is>
      </c>
      <c r="C462" t="inlineStr">
        <is>
          <t>PL</t>
        </is>
      </c>
      <c r="D462" t="inlineStr">
        <is>
          <t>Europe</t>
        </is>
      </c>
      <c r="E462" t="inlineStr">
        <is>
          <t>XL</t>
        </is>
      </c>
      <c r="F462" t="inlineStr">
        <is>
          <t>FO</t>
        </is>
      </c>
      <c r="G462" t="inlineStr">
        <is>
          <t>VH</t>
        </is>
      </c>
      <c r="H462" t="inlineStr">
        <is>
          <t>5</t>
        </is>
      </c>
      <c r="I462" t="inlineStr">
        <is>
          <t>Public</t>
        </is>
      </c>
      <c r="J462" t="inlineStr">
        <is>
          <t>303</t>
        </is>
      </c>
      <c r="K462" t="inlineStr">
        <is>
          <t>312</t>
        </is>
      </c>
      <c r="L462">
        <f>304</f>
        <v/>
      </c>
      <c r="M462" t="inlineStr">
        <is>
          <t>293=</t>
        </is>
      </c>
      <c r="N462" t="inlineStr">
        <is>
          <t>45.1</t>
        </is>
      </c>
      <c r="O462" t="inlineStr">
        <is>
          <t>34.3</t>
        </is>
      </c>
      <c r="P462" t="n">
        <v>49.9</v>
      </c>
      <c r="Q462" t="inlineStr">
        <is>
          <t>226</t>
        </is>
      </c>
      <c r="R462" t="n">
        <v>54.4</v>
      </c>
      <c r="S462" t="inlineStr">
        <is>
          <t>224</t>
        </is>
      </c>
      <c r="T462" t="n">
        <v>75.3</v>
      </c>
      <c r="U462" t="inlineStr">
        <is>
          <t>193</t>
        </is>
      </c>
      <c r="V462" t="n">
        <v>10.4</v>
      </c>
      <c r="W462" t="inlineStr">
        <is>
          <t>801+</t>
        </is>
      </c>
      <c r="X462" t="n">
        <v>8</v>
      </c>
      <c r="Y462" t="inlineStr">
        <is>
          <t>801+</t>
        </is>
      </c>
      <c r="Z462" t="n">
        <v>30</v>
      </c>
      <c r="AA462" t="inlineStr">
        <is>
          <t>591</t>
        </is>
      </c>
      <c r="AB462" t="n">
        <v>35.9</v>
      </c>
      <c r="AC462" t="inlineStr">
        <is>
          <t>536</t>
        </is>
      </c>
      <c r="AD462" t="n">
        <v>88.59999999999999</v>
      </c>
      <c r="AE462" t="inlineStr">
        <is>
          <t>198</t>
        </is>
      </c>
      <c r="AF462" t="n">
        <v>61.5</v>
      </c>
      <c r="AG462" t="inlineStr">
        <is>
          <t>256</t>
        </is>
      </c>
      <c r="AH462" t="n">
        <v>71.59999999999999</v>
      </c>
      <c r="AI462" t="inlineStr">
        <is>
          <t>296</t>
        </is>
      </c>
      <c r="AJ462" t="inlineStr">
        <is>
          <t>37.3</t>
        </is>
      </c>
      <c r="AK462" t="inlineStr">
        <is>
          <t>233</t>
        </is>
      </c>
      <c r="AL462" t="inlineStr">
        <is>
          <t>47.2</t>
        </is>
      </c>
      <c r="AM462" t="inlineStr">
        <is>
          <t>188</t>
        </is>
      </c>
      <c r="AN462" t="inlineStr">
        <is>
          <t>65.1</t>
        </is>
      </c>
      <c r="AO462" t="inlineStr">
        <is>
          <t>210</t>
        </is>
      </c>
      <c r="AP462" t="inlineStr">
        <is>
          <t>6.2</t>
        </is>
      </c>
      <c r="AQ462" t="inlineStr">
        <is>
          <t>701+</t>
        </is>
      </c>
      <c r="AR462" t="inlineStr">
        <is>
          <t>4.9</t>
        </is>
      </c>
      <c r="AS462" t="inlineStr">
        <is>
          <t>701+</t>
        </is>
      </c>
      <c r="AT462" t="inlineStr">
        <is>
          <t>13.4</t>
        </is>
      </c>
      <c r="AU462" t="inlineStr">
        <is>
          <t>655</t>
        </is>
      </c>
      <c r="AV462" t="inlineStr">
        <is>
          <t>59.4</t>
        </is>
      </c>
      <c r="AW462" t="inlineStr">
        <is>
          <t>248</t>
        </is>
      </c>
      <c r="AX462" t="inlineStr">
        <is>
          <t>27.9</t>
        </is>
      </c>
      <c r="AY462" t="inlineStr">
        <is>
          <t>289</t>
        </is>
      </c>
      <c r="AZ462" t="inlineStr">
        <is>
          <t>57.7</t>
        </is>
      </c>
      <c r="BA462" t="inlineStr">
        <is>
          <t>259=</t>
        </is>
      </c>
    </row>
    <row r="463">
      <c r="A463" t="inlineStr">
        <is>
          <t>Jahangirnagar University</t>
        </is>
      </c>
      <c r="B463" t="inlineStr">
        <is>
          <t>Bangladesh</t>
        </is>
      </c>
      <c r="C463" t="inlineStr">
        <is>
          <t>BD</t>
        </is>
      </c>
      <c r="D463" t="inlineStr">
        <is>
          <t>Asia</t>
        </is>
      </c>
      <c r="E463" t="inlineStr">
        <is>
          <t>L</t>
        </is>
      </c>
      <c r="F463" t="inlineStr">
        <is>
          <t>CO</t>
        </is>
      </c>
      <c r="G463" t="inlineStr">
        <is>
          <t>HI</t>
        </is>
      </c>
      <c r="H463" t="inlineStr">
        <is>
          <t>4</t>
        </is>
      </c>
      <c r="I463" t="inlineStr"/>
      <c r="J463" t="inlineStr">
        <is>
          <t>1201-1400</t>
        </is>
      </c>
      <c r="K463" t="inlineStr">
        <is>
          <t>1201-1400</t>
        </is>
      </c>
      <c r="L463" t="inlineStr">
        <is>
          <t>1201-1400</t>
        </is>
      </c>
      <c r="M463" t="inlineStr"/>
      <c r="N463" t="inlineStr">
        <is>
          <t>-</t>
        </is>
      </c>
      <c r="O463" t="inlineStr">
        <is>
          <t>-</t>
        </is>
      </c>
      <c r="P463" t="n">
        <v>12.2</v>
      </c>
      <c r="Q463" t="inlineStr">
        <is>
          <t>701+</t>
        </is>
      </c>
      <c r="R463" t="n">
        <v>17.5</v>
      </c>
      <c r="S463" t="inlineStr">
        <is>
          <t>701+</t>
        </is>
      </c>
      <c r="T463" t="n">
        <v>5.7</v>
      </c>
      <c r="U463" t="inlineStr">
        <is>
          <t>801+</t>
        </is>
      </c>
      <c r="V463" t="n">
        <v>9.300000000000001</v>
      </c>
      <c r="W463" t="inlineStr">
        <is>
          <t>801+</t>
        </is>
      </c>
      <c r="X463" t="inlineStr"/>
      <c r="Y463" t="inlineStr"/>
      <c r="Z463" t="inlineStr"/>
      <c r="AA463" t="inlineStr"/>
      <c r="AB463" t="inlineStr"/>
      <c r="AC463" t="inlineStr"/>
      <c r="AD463" t="n">
        <v>35.3</v>
      </c>
      <c r="AE463" t="inlineStr">
        <is>
          <t>801+</t>
        </is>
      </c>
      <c r="AF463" t="n">
        <v>4.5</v>
      </c>
      <c r="AG463" t="inlineStr">
        <is>
          <t>801+</t>
        </is>
      </c>
      <c r="AH463" t="n">
        <v>33.2</v>
      </c>
      <c r="AI463" t="inlineStr">
        <is>
          <t>801+</t>
        </is>
      </c>
      <c r="AJ463" t="inlineStr">
        <is>
          <t>8.5</t>
        </is>
      </c>
      <c r="AK463" t="inlineStr">
        <is>
          <t>601+</t>
        </is>
      </c>
      <c r="AL463" t="inlineStr">
        <is>
          <t>13.7</t>
        </is>
      </c>
      <c r="AM463" t="inlineStr">
        <is>
          <t>590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>
        <is>
          <t>1.2</t>
        </is>
      </c>
      <c r="AW463" t="inlineStr">
        <is>
          <t>701+</t>
        </is>
      </c>
      <c r="AX463" t="inlineStr"/>
      <c r="AY463" t="inlineStr"/>
      <c r="AZ463" t="inlineStr"/>
      <c r="BA463" t="inlineStr"/>
    </row>
    <row r="464">
      <c r="A464" t="inlineStr">
        <is>
          <t>James Cook University</t>
        </is>
      </c>
      <c r="B464" t="inlineStr">
        <is>
          <t>Australia</t>
        </is>
      </c>
      <c r="C464" t="inlineStr">
        <is>
          <t>AU</t>
        </is>
      </c>
      <c r="D464" t="inlineStr">
        <is>
          <t>Oceania</t>
        </is>
      </c>
      <c r="E464" t="inlineStr">
        <is>
          <t>M</t>
        </is>
      </c>
      <c r="F464" t="inlineStr">
        <is>
          <t>FC</t>
        </is>
      </c>
      <c r="G464" t="inlineStr">
        <is>
          <t>VH</t>
        </is>
      </c>
      <c r="H464" t="inlineStr">
        <is>
          <t>4</t>
        </is>
      </c>
      <c r="I464" t="inlineStr">
        <is>
          <t>Public</t>
        </is>
      </c>
      <c r="J464" t="inlineStr">
        <is>
          <t>440</t>
        </is>
      </c>
      <c r="K464" t="inlineStr">
        <is>
          <t>445</t>
        </is>
      </c>
      <c r="L464">
        <f>415</f>
        <v/>
      </c>
      <c r="M464" t="inlineStr">
        <is>
          <t>461=</t>
        </is>
      </c>
      <c r="N464" t="inlineStr">
        <is>
          <t>34.9</t>
        </is>
      </c>
      <c r="O464" t="inlineStr">
        <is>
          <t>27.0</t>
        </is>
      </c>
      <c r="P464" t="n">
        <v>21</v>
      </c>
      <c r="Q464" t="inlineStr">
        <is>
          <t>591</t>
        </is>
      </c>
      <c r="R464" t="n">
        <v>11</v>
      </c>
      <c r="S464" t="inlineStr">
        <is>
          <t>701+</t>
        </is>
      </c>
      <c r="T464" t="n">
        <v>27.5</v>
      </c>
      <c r="U464" t="inlineStr">
        <is>
          <t>689</t>
        </is>
      </c>
      <c r="V464" t="n">
        <v>60.3</v>
      </c>
      <c r="W464" t="inlineStr">
        <is>
          <t>286</t>
        </is>
      </c>
      <c r="X464" t="n">
        <v>46.9</v>
      </c>
      <c r="Y464" t="inlineStr">
        <is>
          <t>454</t>
        </is>
      </c>
      <c r="Z464" t="n">
        <v>37.6</v>
      </c>
      <c r="AA464" t="inlineStr">
        <is>
          <t>518</t>
        </is>
      </c>
      <c r="AB464" t="n">
        <v>43.2</v>
      </c>
      <c r="AC464" t="inlineStr">
        <is>
          <t>480</t>
        </is>
      </c>
      <c r="AD464" t="n">
        <v>83.8</v>
      </c>
      <c r="AE464" t="inlineStr">
        <is>
          <t>279</t>
        </is>
      </c>
      <c r="AF464" t="n">
        <v>11.2</v>
      </c>
      <c r="AG464" t="inlineStr">
        <is>
          <t>801+</t>
        </is>
      </c>
      <c r="AH464" t="n">
        <v>81.90000000000001</v>
      </c>
      <c r="AI464" t="inlineStr">
        <is>
          <t>151=</t>
        </is>
      </c>
      <c r="AJ464" t="inlineStr">
        <is>
          <t>15.4</t>
        </is>
      </c>
      <c r="AK464" t="inlineStr">
        <is>
          <t>567</t>
        </is>
      </c>
      <c r="AL464" t="inlineStr">
        <is>
          <t>8.7</t>
        </is>
      </c>
      <c r="AM464" t="inlineStr">
        <is>
          <t>601+</t>
        </is>
      </c>
      <c r="AN464" t="inlineStr">
        <is>
          <t>14.1</t>
        </is>
      </c>
      <c r="AO464" t="inlineStr">
        <is>
          <t>701+</t>
        </is>
      </c>
      <c r="AP464" t="inlineStr">
        <is>
          <t>51.1</t>
        </is>
      </c>
      <c r="AQ464" t="inlineStr">
        <is>
          <t>255</t>
        </is>
      </c>
      <c r="AR464" t="inlineStr">
        <is>
          <t>42.0</t>
        </is>
      </c>
      <c r="AS464" t="inlineStr">
        <is>
          <t>393</t>
        </is>
      </c>
      <c r="AT464" t="inlineStr">
        <is>
          <t>13.5</t>
        </is>
      </c>
      <c r="AU464" t="inlineStr">
        <is>
          <t>650</t>
        </is>
      </c>
      <c r="AV464" t="inlineStr">
        <is>
          <t>42.5</t>
        </is>
      </c>
      <c r="AW464" t="inlineStr">
        <is>
          <t>359</t>
        </is>
      </c>
      <c r="AX464" t="inlineStr">
        <is>
          <t>9</t>
        </is>
      </c>
      <c r="AY464" t="inlineStr">
        <is>
          <t>701+</t>
        </is>
      </c>
      <c r="AZ464" t="inlineStr">
        <is>
          <t>83.3</t>
        </is>
      </c>
      <c r="BA464" t="inlineStr">
        <is>
          <t>131</t>
        </is>
      </c>
    </row>
    <row r="465">
      <c r="A465" t="inlineStr">
        <is>
          <t>Jamia Hamdard</t>
        </is>
      </c>
      <c r="B465" t="inlineStr">
        <is>
          <t>India</t>
        </is>
      </c>
      <c r="C465" t="inlineStr">
        <is>
          <t>IN</t>
        </is>
      </c>
      <c r="D465" t="inlineStr"/>
      <c r="E465" t="inlineStr">
        <is>
          <t>M</t>
        </is>
      </c>
      <c r="F465" t="inlineStr">
        <is>
          <t>CO</t>
        </is>
      </c>
      <c r="G465" t="inlineStr">
        <is>
          <t>VH</t>
        </is>
      </c>
      <c r="H465" t="inlineStr">
        <is>
          <t>3</t>
        </is>
      </c>
      <c r="I465" t="inlineStr">
        <is>
          <t>A</t>
        </is>
      </c>
      <c r="J465" t="inlineStr"/>
      <c r="K465" t="inlineStr"/>
      <c r="L465" t="inlineStr">
        <is>
          <t>1201-1400</t>
        </is>
      </c>
      <c r="M465" t="inlineStr">
        <is>
          <t>1201-1400</t>
        </is>
      </c>
      <c r="N465" t="inlineStr"/>
      <c r="O465" t="inlineStr">
        <is>
          <t>-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4.2</t>
        </is>
      </c>
      <c r="AK465" t="inlineStr">
        <is>
          <t>601+</t>
        </is>
      </c>
      <c r="AL465" t="inlineStr">
        <is>
          <t>1.5</t>
        </is>
      </c>
      <c r="AM465" t="inlineStr">
        <is>
          <t>601+</t>
        </is>
      </c>
      <c r="AN465" t="inlineStr">
        <is>
          <t>7.6</t>
        </is>
      </c>
      <c r="AO465" t="inlineStr">
        <is>
          <t>701+</t>
        </is>
      </c>
      <c r="AP465" t="inlineStr">
        <is>
          <t>12.6</t>
        </is>
      </c>
      <c r="AQ465" t="inlineStr">
        <is>
          <t>686</t>
        </is>
      </c>
      <c r="AR465" t="inlineStr"/>
      <c r="AS465" t="inlineStr"/>
      <c r="AT465" t="inlineStr">
        <is>
          <t>3.0</t>
        </is>
      </c>
      <c r="AU465" t="inlineStr">
        <is>
          <t>701+</t>
        </is>
      </c>
      <c r="AV465" t="inlineStr">
        <is>
          <t>1.0</t>
        </is>
      </c>
      <c r="AW465" t="inlineStr">
        <is>
          <t>701+</t>
        </is>
      </c>
      <c r="AX465" t="inlineStr">
        <is>
          <t>7.7</t>
        </is>
      </c>
      <c r="AY465" t="inlineStr">
        <is>
          <t>701+</t>
        </is>
      </c>
      <c r="AZ465" t="inlineStr">
        <is>
          <t>1</t>
        </is>
      </c>
      <c r="BA465" t="inlineStr">
        <is>
          <t>701+</t>
        </is>
      </c>
    </row>
    <row r="466">
      <c r="A466" t="inlineStr">
        <is>
          <t>Jamia Hamdard, New Delhi</t>
        </is>
      </c>
      <c r="B466" t="inlineStr">
        <is>
          <t>India</t>
        </is>
      </c>
      <c r="C466" t="inlineStr"/>
      <c r="D466" t="inlineStr">
        <is>
          <t>Asia</t>
        </is>
      </c>
      <c r="E466" t="inlineStr">
        <is>
          <t>M</t>
        </is>
      </c>
      <c r="F466" t="inlineStr">
        <is>
          <t>FO</t>
        </is>
      </c>
      <c r="G466" t="inlineStr">
        <is>
          <t>VH</t>
        </is>
      </c>
      <c r="H466" t="inlineStr"/>
      <c r="I466" t="inlineStr">
        <is>
          <t>Public</t>
        </is>
      </c>
      <c r="J466" t="inlineStr">
        <is>
          <t>1401+</t>
        </is>
      </c>
      <c r="K466" t="inlineStr">
        <is>
          <t>1201-1400</t>
        </is>
      </c>
      <c r="L466" t="inlineStr"/>
      <c r="M466" t="inlineStr"/>
      <c r="N466" t="inlineStr">
        <is>
          <t>-</t>
        </is>
      </c>
      <c r="O466" t="inlineStr"/>
      <c r="P466" t="n">
        <v>6.3</v>
      </c>
      <c r="Q466" t="inlineStr">
        <is>
          <t>701+</t>
        </is>
      </c>
      <c r="R466" t="n">
        <v>2.8</v>
      </c>
      <c r="S466" t="inlineStr">
        <is>
          <t>701+</t>
        </is>
      </c>
      <c r="T466" t="n">
        <v>13.5</v>
      </c>
      <c r="U466" t="inlineStr">
        <is>
          <t>801+</t>
        </is>
      </c>
      <c r="V466" t="n">
        <v>25.5</v>
      </c>
      <c r="W466" t="inlineStr">
        <is>
          <t>629</t>
        </is>
      </c>
      <c r="X466" t="inlineStr"/>
      <c r="Y466" t="inlineStr"/>
      <c r="Z466" t="n">
        <v>3.8</v>
      </c>
      <c r="AA466" t="inlineStr">
        <is>
          <t>801+</t>
        </is>
      </c>
      <c r="AB466" t="n">
        <v>7.8</v>
      </c>
      <c r="AC466" t="inlineStr">
        <is>
          <t>801+</t>
        </is>
      </c>
      <c r="AD466" t="n">
        <v>13.7</v>
      </c>
      <c r="AE466" t="inlineStr">
        <is>
          <t>801+</t>
        </is>
      </c>
      <c r="AF466" t="n">
        <v>1.8</v>
      </c>
      <c r="AG466" t="inlineStr">
        <is>
          <t>801+</t>
        </is>
      </c>
      <c r="AH466" t="n">
        <v>14.4</v>
      </c>
      <c r="AI466" t="inlineStr">
        <is>
          <t>801+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Jamia Millia Islamia</t>
        </is>
      </c>
      <c r="B467" t="inlineStr">
        <is>
          <t>India</t>
        </is>
      </c>
      <c r="C467" t="inlineStr">
        <is>
          <t>IN</t>
        </is>
      </c>
      <c r="D467" t="inlineStr"/>
      <c r="E467" t="inlineStr">
        <is>
          <t>M</t>
        </is>
      </c>
      <c r="F467" t="inlineStr">
        <is>
          <t>CO</t>
        </is>
      </c>
      <c r="G467" t="inlineStr">
        <is>
          <t>VH</t>
        </is>
      </c>
      <c r="H467" t="inlineStr">
        <is>
          <t>5</t>
        </is>
      </c>
      <c r="I467" t="inlineStr">
        <is>
          <t>A</t>
        </is>
      </c>
      <c r="J467" t="inlineStr"/>
      <c r="K467" t="inlineStr"/>
      <c r="L467" t="inlineStr">
        <is>
          <t>951-1000</t>
        </is>
      </c>
      <c r="M467" t="inlineStr">
        <is>
          <t>801-1000</t>
        </is>
      </c>
      <c r="N467" t="inlineStr"/>
      <c r="O467" t="inlineStr">
        <is>
          <t>-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8.0</t>
        </is>
      </c>
      <c r="AK467" t="inlineStr">
        <is>
          <t>601+</t>
        </is>
      </c>
      <c r="AL467" t="inlineStr">
        <is>
          <t>2.6</t>
        </is>
      </c>
      <c r="AM467" t="inlineStr">
        <is>
          <t>601+</t>
        </is>
      </c>
      <c r="AN467" t="inlineStr">
        <is>
          <t>34.7</t>
        </is>
      </c>
      <c r="AO467" t="inlineStr">
        <is>
          <t>458</t>
        </is>
      </c>
      <c r="AP467" t="inlineStr">
        <is>
          <t>20.7</t>
        </is>
      </c>
      <c r="AQ467" t="inlineStr">
        <is>
          <t>551</t>
        </is>
      </c>
      <c r="AR467" t="inlineStr">
        <is>
          <t>3.5</t>
        </is>
      </c>
      <c r="AS467" t="inlineStr">
        <is>
          <t>701+</t>
        </is>
      </c>
      <c r="AT467" t="inlineStr">
        <is>
          <t>4.4</t>
        </is>
      </c>
      <c r="AU467" t="inlineStr">
        <is>
          <t>701+</t>
        </is>
      </c>
      <c r="AV467" t="inlineStr">
        <is>
          <t>2.0</t>
        </is>
      </c>
      <c r="AW467" t="inlineStr">
        <is>
          <t>701+</t>
        </is>
      </c>
      <c r="AX467" t="inlineStr">
        <is>
          <t>7.2</t>
        </is>
      </c>
      <c r="AY467" t="inlineStr">
        <is>
          <t>701+</t>
        </is>
      </c>
      <c r="AZ467" t="inlineStr">
        <is>
          <t>3.8</t>
        </is>
      </c>
      <c r="BA467" t="inlineStr">
        <is>
          <t>701+</t>
        </is>
      </c>
    </row>
    <row r="468">
      <c r="A468" t="inlineStr">
        <is>
          <t>Jamia Millia Islamia, New Delhi</t>
        </is>
      </c>
      <c r="B468" t="inlineStr">
        <is>
          <t>India</t>
        </is>
      </c>
      <c r="C468" t="inlineStr"/>
      <c r="D468" t="inlineStr">
        <is>
          <t>Asia</t>
        </is>
      </c>
      <c r="E468" t="inlineStr">
        <is>
          <t>M</t>
        </is>
      </c>
      <c r="F468" t="inlineStr">
        <is>
          <t>CO</t>
        </is>
      </c>
      <c r="G468" t="inlineStr">
        <is>
          <t>VH</t>
        </is>
      </c>
      <c r="H468" t="inlineStr"/>
      <c r="I468" t="inlineStr">
        <is>
          <t>Public</t>
        </is>
      </c>
      <c r="J468" t="inlineStr">
        <is>
          <t>761-770</t>
        </is>
      </c>
      <c r="K468" t="inlineStr">
        <is>
          <t>851-900</t>
        </is>
      </c>
      <c r="L468" t="inlineStr"/>
      <c r="M468" t="inlineStr"/>
      <c r="N468" t="inlineStr">
        <is>
          <t>-</t>
        </is>
      </c>
      <c r="O468" t="inlineStr"/>
      <c r="P468" t="n">
        <v>13</v>
      </c>
      <c r="Q468" t="inlineStr">
        <is>
          <t>701+</t>
        </is>
      </c>
      <c r="R468" t="n">
        <v>5.6</v>
      </c>
      <c r="S468" t="inlineStr">
        <is>
          <t>701+</t>
        </is>
      </c>
      <c r="T468" t="n">
        <v>40.1</v>
      </c>
      <c r="U468" t="inlineStr">
        <is>
          <t>500</t>
        </is>
      </c>
      <c r="V468" t="n">
        <v>47.7</v>
      </c>
      <c r="W468" t="inlineStr">
        <is>
          <t>394</t>
        </is>
      </c>
      <c r="X468" t="n">
        <v>4.2</v>
      </c>
      <c r="Y468" t="inlineStr">
        <is>
          <t>801+</t>
        </is>
      </c>
      <c r="Z468" t="n">
        <v>10.7</v>
      </c>
      <c r="AA468" t="inlineStr">
        <is>
          <t>801+</t>
        </is>
      </c>
      <c r="AB468" t="n">
        <v>14.8</v>
      </c>
      <c r="AC468" t="inlineStr">
        <is>
          <t>801+</t>
        </is>
      </c>
      <c r="AD468" t="n">
        <v>60.5</v>
      </c>
      <c r="AE468" t="inlineStr">
        <is>
          <t>683</t>
        </is>
      </c>
      <c r="AF468" t="n">
        <v>6.3</v>
      </c>
      <c r="AG468" t="inlineStr">
        <is>
          <t>801+</t>
        </is>
      </c>
      <c r="AH468" t="n">
        <v>49.7</v>
      </c>
      <c r="AI468" t="inlineStr">
        <is>
          <t>708=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</row>
    <row r="469">
      <c r="A469" t="inlineStr">
        <is>
          <t>Jawaharlal Nehru University</t>
        </is>
      </c>
      <c r="B469" t="inlineStr">
        <is>
          <t>India</t>
        </is>
      </c>
      <c r="C469" t="inlineStr">
        <is>
          <t>IN</t>
        </is>
      </c>
      <c r="D469" t="inlineStr">
        <is>
          <t>Asia</t>
        </is>
      </c>
      <c r="E469" t="inlineStr">
        <is>
          <t>M</t>
        </is>
      </c>
      <c r="F469" t="inlineStr">
        <is>
          <t>CO</t>
        </is>
      </c>
      <c r="G469" t="inlineStr">
        <is>
          <t>VH</t>
        </is>
      </c>
      <c r="H469" t="inlineStr">
        <is>
          <t>4</t>
        </is>
      </c>
      <c r="I469" t="inlineStr">
        <is>
          <t>Public</t>
        </is>
      </c>
      <c r="J469" t="inlineStr">
        <is>
          <t>558</t>
        </is>
      </c>
      <c r="K469" t="inlineStr">
        <is>
          <t>580</t>
        </is>
      </c>
      <c r="L469" t="inlineStr">
        <is>
          <t>601-610</t>
        </is>
      </c>
      <c r="M469" t="inlineStr">
        <is>
          <t>601-650</t>
        </is>
      </c>
      <c r="N469" t="inlineStr">
        <is>
          <t>29.5</t>
        </is>
      </c>
      <c r="O469" t="inlineStr">
        <is>
          <t>-</t>
        </is>
      </c>
      <c r="P469" t="n">
        <v>39.8</v>
      </c>
      <c r="Q469" t="inlineStr">
        <is>
          <t>303</t>
        </is>
      </c>
      <c r="R469" t="n">
        <v>17.4</v>
      </c>
      <c r="S469" t="inlineStr">
        <is>
          <t>701+</t>
        </is>
      </c>
      <c r="T469" t="n">
        <v>16.7</v>
      </c>
      <c r="U469" t="inlineStr">
        <is>
          <t>801+</t>
        </is>
      </c>
      <c r="V469" t="n">
        <v>37.6</v>
      </c>
      <c r="W469" t="inlineStr">
        <is>
          <t>497</t>
        </is>
      </c>
      <c r="X469" t="inlineStr"/>
      <c r="Y469" t="inlineStr"/>
      <c r="Z469" t="n">
        <v>1.7</v>
      </c>
      <c r="AA469" t="inlineStr">
        <is>
          <t>801+</t>
        </is>
      </c>
      <c r="AB469" t="n">
        <v>6</v>
      </c>
      <c r="AC469" t="inlineStr">
        <is>
          <t>801+</t>
        </is>
      </c>
      <c r="AD469" t="n">
        <v>56.9</v>
      </c>
      <c r="AE469" t="inlineStr">
        <is>
          <t>737</t>
        </is>
      </c>
      <c r="AF469" t="n">
        <v>20.6</v>
      </c>
      <c r="AG469" t="inlineStr">
        <is>
          <t>716</t>
        </is>
      </c>
      <c r="AH469" t="n">
        <v>59.3</v>
      </c>
      <c r="AI469" t="inlineStr">
        <is>
          <t>514=</t>
        </is>
      </c>
      <c r="AJ469" t="inlineStr">
        <is>
          <t>29.1</t>
        </is>
      </c>
      <c r="AK469" t="inlineStr">
        <is>
          <t>298</t>
        </is>
      </c>
      <c r="AL469" t="inlineStr">
        <is>
          <t>10.6</t>
        </is>
      </c>
      <c r="AM469" t="inlineStr">
        <is>
          <t>601+</t>
        </is>
      </c>
      <c r="AN469" t="inlineStr">
        <is>
          <t>12.2</t>
        </is>
      </c>
      <c r="AO469" t="inlineStr">
        <is>
          <t>701+</t>
        </is>
      </c>
      <c r="AP469" t="inlineStr">
        <is>
          <t>24.1</t>
        </is>
      </c>
      <c r="AQ469" t="inlineStr">
        <is>
          <t>500</t>
        </is>
      </c>
      <c r="AR469" t="inlineStr"/>
      <c r="AS469" t="inlineStr"/>
      <c r="AT469" t="inlineStr">
        <is>
          <t>1.6</t>
        </is>
      </c>
      <c r="AU469" t="inlineStr">
        <is>
          <t>701+</t>
        </is>
      </c>
      <c r="AV469" t="inlineStr">
        <is>
          <t>4.8</t>
        </is>
      </c>
      <c r="AW469" t="inlineStr">
        <is>
          <t>701+</t>
        </is>
      </c>
      <c r="AX469" t="inlineStr">
        <is>
          <t>13.2</t>
        </is>
      </c>
      <c r="AY469" t="inlineStr">
        <is>
          <t>648</t>
        </is>
      </c>
      <c r="AZ469" t="inlineStr">
        <is>
          <t>47.5</t>
        </is>
      </c>
      <c r="BA469" t="inlineStr">
        <is>
          <t>320=</t>
        </is>
      </c>
    </row>
    <row r="470">
      <c r="A470" t="inlineStr">
        <is>
          <t>Jeju National University</t>
        </is>
      </c>
      <c r="B470" t="inlineStr">
        <is>
          <t>Republic of Korea</t>
        </is>
      </c>
      <c r="C470" t="inlineStr"/>
      <c r="D470" t="inlineStr">
        <is>
          <t>Asia</t>
        </is>
      </c>
      <c r="E470" t="inlineStr">
        <is>
          <t>M</t>
        </is>
      </c>
      <c r="F470" t="inlineStr">
        <is>
          <t>FC</t>
        </is>
      </c>
      <c r="G470" t="inlineStr">
        <is>
          <t>VH</t>
        </is>
      </c>
      <c r="H470" t="inlineStr"/>
      <c r="I470" t="inlineStr">
        <is>
          <t>Public</t>
        </is>
      </c>
      <c r="J470" t="inlineStr">
        <is>
          <t>1201-1400</t>
        </is>
      </c>
      <c r="K470" t="inlineStr">
        <is>
          <t>1201-1400</t>
        </is>
      </c>
      <c r="L470" t="inlineStr"/>
      <c r="M470" t="inlineStr"/>
      <c r="N470" t="inlineStr">
        <is>
          <t>-</t>
        </is>
      </c>
      <c r="O470" t="inlineStr"/>
      <c r="P470" t="n">
        <v>5.1</v>
      </c>
      <c r="Q470" t="inlineStr">
        <is>
          <t>701+</t>
        </is>
      </c>
      <c r="R470" t="n">
        <v>3.4</v>
      </c>
      <c r="S470" t="inlineStr">
        <is>
          <t>701+</t>
        </is>
      </c>
      <c r="T470" t="n">
        <v>44.3</v>
      </c>
      <c r="U470" t="inlineStr">
        <is>
          <t>446</t>
        </is>
      </c>
      <c r="V470" t="n">
        <v>13.5</v>
      </c>
      <c r="W470" t="inlineStr">
        <is>
          <t>801+</t>
        </is>
      </c>
      <c r="X470" t="n">
        <v>9.4</v>
      </c>
      <c r="Y470" t="inlineStr">
        <is>
          <t>801+</t>
        </is>
      </c>
      <c r="Z470" t="n">
        <v>9.300000000000001</v>
      </c>
      <c r="AA470" t="inlineStr">
        <is>
          <t>801+</t>
        </is>
      </c>
      <c r="AB470" t="n">
        <v>13.1</v>
      </c>
      <c r="AC470" t="inlineStr">
        <is>
          <t>801+</t>
        </is>
      </c>
      <c r="AD470" t="n">
        <v>23.4</v>
      </c>
      <c r="AE470" t="inlineStr">
        <is>
          <t>801+</t>
        </is>
      </c>
      <c r="AF470" t="n">
        <v>1.8</v>
      </c>
      <c r="AG470" t="inlineStr">
        <is>
          <t>801+</t>
        </is>
      </c>
      <c r="AH470" t="n">
        <v>53.4</v>
      </c>
      <c r="AI470" t="inlineStr">
        <is>
          <t>632=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</row>
    <row r="471">
      <c r="A471" t="inlineStr">
        <is>
          <t xml:space="preserve">Jeju National University </t>
        </is>
      </c>
      <c r="B471" t="inlineStr">
        <is>
          <t>South Korea</t>
        </is>
      </c>
      <c r="C471" t="inlineStr">
        <is>
          <t>KR</t>
        </is>
      </c>
      <c r="D471" t="inlineStr"/>
      <c r="E471" t="inlineStr">
        <is>
          <t>M</t>
        </is>
      </c>
      <c r="F471" t="inlineStr">
        <is>
          <t>FC</t>
        </is>
      </c>
      <c r="G471" t="inlineStr">
        <is>
          <t>HI</t>
        </is>
      </c>
      <c r="H471" t="inlineStr">
        <is>
          <t>4</t>
        </is>
      </c>
      <c r="I471" t="inlineStr">
        <is>
          <t>A</t>
        </is>
      </c>
      <c r="J471" t="inlineStr"/>
      <c r="K471" t="inlineStr"/>
      <c r="L471" t="inlineStr">
        <is>
          <t>1201-1400</t>
        </is>
      </c>
      <c r="M471" t="inlineStr">
        <is>
          <t>1001-1200</t>
        </is>
      </c>
      <c r="N471" t="inlineStr"/>
      <c r="O471" t="inlineStr">
        <is>
          <t>-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4.8</t>
        </is>
      </c>
      <c r="AK471" t="inlineStr">
        <is>
          <t>601+</t>
        </is>
      </c>
      <c r="AL471" t="inlineStr">
        <is>
          <t>2.0</t>
        </is>
      </c>
      <c r="AM471" t="inlineStr">
        <is>
          <t>601+</t>
        </is>
      </c>
      <c r="AN471" t="inlineStr">
        <is>
          <t>25.3</t>
        </is>
      </c>
      <c r="AO471" t="inlineStr">
        <is>
          <t>580</t>
        </is>
      </c>
      <c r="AP471" t="inlineStr">
        <is>
          <t>6.6</t>
        </is>
      </c>
      <c r="AQ471" t="inlineStr">
        <is>
          <t>701+</t>
        </is>
      </c>
      <c r="AR471" t="inlineStr">
        <is>
          <t>3.8</t>
        </is>
      </c>
      <c r="AS471" t="inlineStr">
        <is>
          <t>701+</t>
        </is>
      </c>
      <c r="AT471" t="inlineStr">
        <is>
          <t>4.2</t>
        </is>
      </c>
      <c r="AU471" t="inlineStr">
        <is>
          <t>701+</t>
        </is>
      </c>
      <c r="AV471" t="inlineStr">
        <is>
          <t>1.1</t>
        </is>
      </c>
      <c r="AW471" t="inlineStr">
        <is>
          <t>701+</t>
        </is>
      </c>
      <c r="AX471" t="inlineStr">
        <is>
          <t>5.2</t>
        </is>
      </c>
      <c r="AY471" t="inlineStr">
        <is>
          <t>701+</t>
        </is>
      </c>
      <c r="AZ471" t="inlineStr">
        <is>
          <t>1.1</t>
        </is>
      </c>
      <c r="BA471" t="inlineStr">
        <is>
          <t>701+</t>
        </is>
      </c>
    </row>
    <row r="472">
      <c r="A472" t="inlineStr">
        <is>
          <t>Jeonbuk National University</t>
        </is>
      </c>
      <c r="B472" t="inlineStr">
        <is>
          <t>South Korea</t>
        </is>
      </c>
      <c r="C472" t="inlineStr">
        <is>
          <t>KR</t>
        </is>
      </c>
      <c r="D472" t="inlineStr"/>
      <c r="E472" t="inlineStr">
        <is>
          <t>L</t>
        </is>
      </c>
      <c r="F472" t="inlineStr">
        <is>
          <t>FC</t>
        </is>
      </c>
      <c r="G472" t="inlineStr">
        <is>
          <t>VH</t>
        </is>
      </c>
      <c r="H472" t="inlineStr">
        <is>
          <t>4</t>
        </is>
      </c>
      <c r="I472" t="inlineStr">
        <is>
          <t>A</t>
        </is>
      </c>
      <c r="J472" t="inlineStr"/>
      <c r="K472" t="inlineStr"/>
      <c r="L472" t="inlineStr">
        <is>
          <t>721-730</t>
        </is>
      </c>
      <c r="M472" t="inlineStr">
        <is>
          <t>551-560</t>
        </is>
      </c>
      <c r="N472" t="inlineStr"/>
      <c r="O472" t="inlineStr">
        <is>
          <t>-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16.7</t>
        </is>
      </c>
      <c r="AK472" t="inlineStr">
        <is>
          <t>531</t>
        </is>
      </c>
      <c r="AL472" t="inlineStr">
        <is>
          <t>10.7</t>
        </is>
      </c>
      <c r="AM472" t="inlineStr">
        <is>
          <t>601+</t>
        </is>
      </c>
      <c r="AN472" t="inlineStr">
        <is>
          <t>65.8</t>
        </is>
      </c>
      <c r="AO472" t="inlineStr">
        <is>
          <t>207</t>
        </is>
      </c>
      <c r="AP472" t="inlineStr">
        <is>
          <t>9.7</t>
        </is>
      </c>
      <c r="AQ472" t="inlineStr">
        <is>
          <t>701+</t>
        </is>
      </c>
      <c r="AR472" t="inlineStr">
        <is>
          <t>8.2</t>
        </is>
      </c>
      <c r="AS472" t="inlineStr">
        <is>
          <t>701+</t>
        </is>
      </c>
      <c r="AT472" t="inlineStr">
        <is>
          <t>7.4</t>
        </is>
      </c>
      <c r="AU472" t="inlineStr">
        <is>
          <t>701+</t>
        </is>
      </c>
      <c r="AV472" t="inlineStr">
        <is>
          <t>2.9</t>
        </is>
      </c>
      <c r="AW472" t="inlineStr">
        <is>
          <t>701+</t>
        </is>
      </c>
      <c r="AX472" t="inlineStr">
        <is>
          <t>5.1</t>
        </is>
      </c>
      <c r="AY472" t="inlineStr">
        <is>
          <t>701+</t>
        </is>
      </c>
      <c r="AZ472" t="inlineStr">
        <is>
          <t>3.1</t>
        </is>
      </c>
      <c r="BA472" t="inlineStr">
        <is>
          <t>701+</t>
        </is>
      </c>
    </row>
    <row r="473">
      <c r="A473" t="inlineStr">
        <is>
          <t>Jeonbuk National University (formerly known as Chonbuk National University)</t>
        </is>
      </c>
      <c r="B473" t="inlineStr">
        <is>
          <t>Republic of Korea</t>
        </is>
      </c>
      <c r="C473" t="inlineStr"/>
      <c r="D473" t="inlineStr">
        <is>
          <t>Asia</t>
        </is>
      </c>
      <c r="E473" t="inlineStr">
        <is>
          <t>L</t>
        </is>
      </c>
      <c r="F473" t="inlineStr">
        <is>
          <t>FC</t>
        </is>
      </c>
      <c r="G473" t="inlineStr">
        <is>
          <t>VH</t>
        </is>
      </c>
      <c r="H473" t="inlineStr"/>
      <c r="I473" t="inlineStr">
        <is>
          <t>Public</t>
        </is>
      </c>
      <c r="J473" t="inlineStr">
        <is>
          <t>701-710</t>
        </is>
      </c>
      <c r="K473" t="inlineStr">
        <is>
          <t>681-690</t>
        </is>
      </c>
      <c r="L473" t="inlineStr"/>
      <c r="M473" t="inlineStr"/>
      <c r="N473" t="inlineStr">
        <is>
          <t>-</t>
        </is>
      </c>
      <c r="O473" t="inlineStr"/>
      <c r="P473" t="n">
        <v>19.9</v>
      </c>
      <c r="Q473" t="inlineStr">
        <is>
          <t>618</t>
        </is>
      </c>
      <c r="R473" t="n">
        <v>14.2</v>
      </c>
      <c r="S473" t="inlineStr">
        <is>
          <t>701+</t>
        </is>
      </c>
      <c r="T473" t="n">
        <v>73.7</v>
      </c>
      <c r="U473" t="inlineStr">
        <is>
          <t>207</t>
        </is>
      </c>
      <c r="V473" t="n">
        <v>21.4</v>
      </c>
      <c r="W473" t="inlineStr">
        <is>
          <t>693</t>
        </is>
      </c>
      <c r="X473" t="n">
        <v>12.5</v>
      </c>
      <c r="Y473" t="inlineStr">
        <is>
          <t>801+</t>
        </is>
      </c>
      <c r="Z473" t="n">
        <v>16.5</v>
      </c>
      <c r="AA473" t="inlineStr">
        <is>
          <t>789</t>
        </is>
      </c>
      <c r="AB473" t="n">
        <v>20.4</v>
      </c>
      <c r="AC473" t="inlineStr">
        <is>
          <t>756</t>
        </is>
      </c>
      <c r="AD473" t="n">
        <v>34</v>
      </c>
      <c r="AE473" t="inlineStr">
        <is>
          <t>801+</t>
        </is>
      </c>
      <c r="AF473" t="n">
        <v>3.5</v>
      </c>
      <c r="AG473" t="inlineStr">
        <is>
          <t>801+</t>
        </is>
      </c>
      <c r="AH473" t="n">
        <v>64.59999999999999</v>
      </c>
      <c r="AI473" t="inlineStr">
        <is>
          <t>407=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inlineStr">
        <is>
          <t>Jiangnan University</t>
        </is>
      </c>
      <c r="B474" t="inlineStr">
        <is>
          <t>China (Mainland)</t>
        </is>
      </c>
      <c r="C474" t="inlineStr">
        <is>
          <t>CN</t>
        </is>
      </c>
      <c r="D474" t="inlineStr">
        <is>
          <t>Asia</t>
        </is>
      </c>
      <c r="E474" t="inlineStr">
        <is>
          <t>L</t>
        </is>
      </c>
      <c r="F474" t="inlineStr">
        <is>
          <t>FC</t>
        </is>
      </c>
      <c r="G474" t="inlineStr">
        <is>
          <t>VH</t>
        </is>
      </c>
      <c r="H474" t="inlineStr">
        <is>
          <t>2</t>
        </is>
      </c>
      <c r="I474" t="inlineStr">
        <is>
          <t>Public</t>
        </is>
      </c>
      <c r="J474" t="inlineStr">
        <is>
          <t>851-900</t>
        </is>
      </c>
      <c r="K474" t="inlineStr">
        <is>
          <t>1001-1200</t>
        </is>
      </c>
      <c r="L474" t="inlineStr">
        <is>
          <t>1001-1200</t>
        </is>
      </c>
      <c r="M474" t="inlineStr">
        <is>
          <t>1001-1200</t>
        </is>
      </c>
      <c r="N474" t="inlineStr">
        <is>
          <t>-</t>
        </is>
      </c>
      <c r="O474" t="inlineStr">
        <is>
          <t>-</t>
        </is>
      </c>
      <c r="P474" t="n">
        <v>5.8</v>
      </c>
      <c r="Q474" t="inlineStr">
        <is>
          <t>701+</t>
        </is>
      </c>
      <c r="R474" t="n">
        <v>4.7</v>
      </c>
      <c r="S474" t="inlineStr">
        <is>
          <t>701+</t>
        </is>
      </c>
      <c r="T474" t="n">
        <v>15.6</v>
      </c>
      <c r="U474" t="inlineStr">
        <is>
          <t>801+</t>
        </is>
      </c>
      <c r="V474" t="n">
        <v>65</v>
      </c>
      <c r="W474" t="inlineStr">
        <is>
          <t>248</t>
        </is>
      </c>
      <c r="X474" t="inlineStr"/>
      <c r="Y474" t="inlineStr"/>
      <c r="Z474" t="inlineStr"/>
      <c r="AA474" t="inlineStr"/>
      <c r="AB474" t="inlineStr"/>
      <c r="AC474" t="inlineStr"/>
      <c r="AD474" t="n">
        <v>58.3</v>
      </c>
      <c r="AE474" t="inlineStr">
        <is>
          <t>716</t>
        </is>
      </c>
      <c r="AF474" t="n">
        <v>1.2</v>
      </c>
      <c r="AG474" t="inlineStr">
        <is>
          <t>801+</t>
        </is>
      </c>
      <c r="AH474" t="n">
        <v>30</v>
      </c>
      <c r="AI474" t="inlineStr">
        <is>
          <t>801+</t>
        </is>
      </c>
      <c r="AJ474" t="inlineStr">
        <is>
          <t>4.9</t>
        </is>
      </c>
      <c r="AK474" t="inlineStr">
        <is>
          <t>601+</t>
        </is>
      </c>
      <c r="AL474" t="inlineStr">
        <is>
          <t>6.8</t>
        </is>
      </c>
      <c r="AM474" t="inlineStr">
        <is>
          <t>601+</t>
        </is>
      </c>
      <c r="AN474" t="inlineStr">
        <is>
          <t>16.8</t>
        </is>
      </c>
      <c r="AO474" t="inlineStr">
        <is>
          <t>701+</t>
        </is>
      </c>
      <c r="AP474" t="inlineStr">
        <is>
          <t>20.5</t>
        </is>
      </c>
      <c r="AQ474" t="inlineStr">
        <is>
          <t>552</t>
        </is>
      </c>
      <c r="AR474" t="inlineStr"/>
      <c r="AS474" t="inlineStr"/>
      <c r="AT474" t="inlineStr"/>
      <c r="AU474" t="inlineStr"/>
      <c r="AV474" t="inlineStr">
        <is>
          <t>5.8</t>
        </is>
      </c>
      <c r="AW474" t="inlineStr">
        <is>
          <t>701+</t>
        </is>
      </c>
      <c r="AX474" t="inlineStr">
        <is>
          <t>5.3</t>
        </is>
      </c>
      <c r="AY474" t="inlineStr">
        <is>
          <t>701+</t>
        </is>
      </c>
      <c r="AZ474" t="inlineStr">
        <is>
          <t>1.2</t>
        </is>
      </c>
      <c r="BA474" t="inlineStr">
        <is>
          <t>701+</t>
        </is>
      </c>
    </row>
    <row r="475">
      <c r="A475" t="inlineStr">
        <is>
          <t>Jilin University</t>
        </is>
      </c>
      <c r="B475" t="inlineStr">
        <is>
          <t>China (Mainland)</t>
        </is>
      </c>
      <c r="C475" t="inlineStr">
        <is>
          <t>CN</t>
        </is>
      </c>
      <c r="D475" t="inlineStr">
        <is>
          <t>Asia</t>
        </is>
      </c>
      <c r="E475" t="inlineStr">
        <is>
          <t>XL</t>
        </is>
      </c>
      <c r="F475" t="inlineStr">
        <is>
          <t>FC</t>
        </is>
      </c>
      <c r="G475" t="inlineStr">
        <is>
          <t>VH</t>
        </is>
      </c>
      <c r="H475" t="inlineStr">
        <is>
          <t>4</t>
        </is>
      </c>
      <c r="I475" t="inlineStr">
        <is>
          <t>Public</t>
        </is>
      </c>
      <c r="J475" t="inlineStr">
        <is>
          <t>473</t>
        </is>
      </c>
      <c r="K475" t="inlineStr">
        <is>
          <t>497</t>
        </is>
      </c>
      <c r="L475">
        <f>502</f>
        <v/>
      </c>
      <c r="M475" t="inlineStr">
        <is>
          <t>497=</t>
        </is>
      </c>
      <c r="N475" t="inlineStr">
        <is>
          <t>33.5</t>
        </is>
      </c>
      <c r="O475" t="inlineStr">
        <is>
          <t>23.1</t>
        </is>
      </c>
      <c r="P475" t="n">
        <v>16.2</v>
      </c>
      <c r="Q475" t="inlineStr">
        <is>
          <t>701+</t>
        </is>
      </c>
      <c r="R475" t="n">
        <v>47.3</v>
      </c>
      <c r="S475" t="inlineStr">
        <is>
          <t>276</t>
        </is>
      </c>
      <c r="T475" t="n">
        <v>35.8</v>
      </c>
      <c r="U475" t="inlineStr">
        <is>
          <t>557</t>
        </is>
      </c>
      <c r="V475" t="n">
        <v>53.9</v>
      </c>
      <c r="W475" t="inlineStr">
        <is>
          <t>342</t>
        </is>
      </c>
      <c r="X475" t="n">
        <v>15.6</v>
      </c>
      <c r="Y475" t="inlineStr">
        <is>
          <t>791</t>
        </is>
      </c>
      <c r="Z475" t="n">
        <v>2.2</v>
      </c>
      <c r="AA475" t="inlineStr">
        <is>
          <t>801+</t>
        </is>
      </c>
      <c r="AB475" t="n">
        <v>1.9</v>
      </c>
      <c r="AC475" t="inlineStr">
        <is>
          <t>801+</t>
        </is>
      </c>
      <c r="AD475" t="n">
        <v>65.3</v>
      </c>
      <c r="AE475" t="inlineStr">
        <is>
          <t>620</t>
        </is>
      </c>
      <c r="AF475" t="n">
        <v>33</v>
      </c>
      <c r="AG475" t="inlineStr">
        <is>
          <t>513</t>
        </is>
      </c>
      <c r="AH475" t="n">
        <v>48.5</v>
      </c>
      <c r="AI475" t="inlineStr">
        <is>
          <t>743=</t>
        </is>
      </c>
      <c r="AJ475" t="inlineStr">
        <is>
          <t>14.3</t>
        </is>
      </c>
      <c r="AK475" t="inlineStr">
        <is>
          <t>601+</t>
        </is>
      </c>
      <c r="AL475" t="inlineStr">
        <is>
          <t>47.1</t>
        </is>
      </c>
      <c r="AM475" t="inlineStr">
        <is>
          <t>189</t>
        </is>
      </c>
      <c r="AN475" t="inlineStr">
        <is>
          <t>39.3</t>
        </is>
      </c>
      <c r="AO475" t="inlineStr">
        <is>
          <t>405</t>
        </is>
      </c>
      <c r="AP475" t="inlineStr">
        <is>
          <t>23.6</t>
        </is>
      </c>
      <c r="AQ475" t="inlineStr">
        <is>
          <t>506</t>
        </is>
      </c>
      <c r="AR475" t="inlineStr">
        <is>
          <t>12.4</t>
        </is>
      </c>
      <c r="AS475" t="inlineStr">
        <is>
          <t>701+</t>
        </is>
      </c>
      <c r="AT475" t="inlineStr">
        <is>
          <t>2.2</t>
        </is>
      </c>
      <c r="AU475" t="inlineStr">
        <is>
          <t>701+</t>
        </is>
      </c>
      <c r="AV475" t="inlineStr">
        <is>
          <t>17.9</t>
        </is>
      </c>
      <c r="AW475" t="inlineStr">
        <is>
          <t>563</t>
        </is>
      </c>
      <c r="AX475" t="inlineStr">
        <is>
          <t>18.3</t>
        </is>
      </c>
      <c r="AY475" t="inlineStr">
        <is>
          <t>458</t>
        </is>
      </c>
      <c r="AZ475" t="inlineStr">
        <is>
          <t>13.7</t>
        </is>
      </c>
      <c r="BA475" t="inlineStr">
        <is>
          <t>627=</t>
        </is>
      </c>
    </row>
    <row r="476">
      <c r="A476" t="inlineStr">
        <is>
          <t>Jinan University (China)</t>
        </is>
      </c>
      <c r="B476" t="inlineStr">
        <is>
          <t>China (Mainland)</t>
        </is>
      </c>
      <c r="C476" t="inlineStr">
        <is>
          <t>CN</t>
        </is>
      </c>
      <c r="D476" t="inlineStr">
        <is>
          <t>Asia</t>
        </is>
      </c>
      <c r="E476" t="inlineStr">
        <is>
          <t>XL</t>
        </is>
      </c>
      <c r="F476" t="inlineStr">
        <is>
          <t>FC</t>
        </is>
      </c>
      <c r="G476" t="inlineStr">
        <is>
          <t>VH</t>
        </is>
      </c>
      <c r="H476" t="inlineStr">
        <is>
          <t>4</t>
        </is>
      </c>
      <c r="I476" t="inlineStr">
        <is>
          <t>Public</t>
        </is>
      </c>
      <c r="J476" t="inlineStr">
        <is>
          <t>540</t>
        </is>
      </c>
      <c r="K476" t="inlineStr">
        <is>
          <t>580</t>
        </is>
      </c>
      <c r="L476" t="inlineStr">
        <is>
          <t>631-640</t>
        </is>
      </c>
      <c r="M476" t="inlineStr">
        <is>
          <t>701-750</t>
        </is>
      </c>
      <c r="N476" t="inlineStr">
        <is>
          <t>30.5</t>
        </is>
      </c>
      <c r="O476" t="inlineStr">
        <is>
          <t>-</t>
        </is>
      </c>
      <c r="P476" t="n">
        <v>8.6</v>
      </c>
      <c r="Q476" t="inlineStr">
        <is>
          <t>701+</t>
        </is>
      </c>
      <c r="R476" t="n">
        <v>8.699999999999999</v>
      </c>
      <c r="S476" t="inlineStr">
        <is>
          <t>701+</t>
        </is>
      </c>
      <c r="T476" t="n">
        <v>12.3</v>
      </c>
      <c r="U476" t="inlineStr">
        <is>
          <t>801+</t>
        </is>
      </c>
      <c r="V476" t="n">
        <v>75.3</v>
      </c>
      <c r="W476" t="inlineStr">
        <is>
          <t>177</t>
        </is>
      </c>
      <c r="X476" t="n">
        <v>41.6</v>
      </c>
      <c r="Y476" t="inlineStr">
        <is>
          <t>486</t>
        </is>
      </c>
      <c r="Z476" t="n">
        <v>89.09999999999999</v>
      </c>
      <c r="AA476" t="inlineStr">
        <is>
          <t>174</t>
        </is>
      </c>
      <c r="AB476" t="n">
        <v>66.3</v>
      </c>
      <c r="AC476" t="inlineStr">
        <is>
          <t>295</t>
        </is>
      </c>
      <c r="AD476" t="n">
        <v>47.2</v>
      </c>
      <c r="AE476" t="inlineStr">
        <is>
          <t>801+</t>
        </is>
      </c>
      <c r="AF476" t="n">
        <v>10.5</v>
      </c>
      <c r="AG476" t="inlineStr">
        <is>
          <t>801+</t>
        </is>
      </c>
      <c r="AH476" t="n">
        <v>40.5</v>
      </c>
      <c r="AI476" t="inlineStr">
        <is>
          <t>801+</t>
        </is>
      </c>
      <c r="AJ476" t="inlineStr">
        <is>
          <t>5.6</t>
        </is>
      </c>
      <c r="AK476" t="inlineStr">
        <is>
          <t>601+</t>
        </is>
      </c>
      <c r="AL476" t="inlineStr">
        <is>
          <t>2.1</t>
        </is>
      </c>
      <c r="AM476" t="inlineStr">
        <is>
          <t>601+</t>
        </is>
      </c>
      <c r="AN476" t="inlineStr">
        <is>
          <t>9.4</t>
        </is>
      </c>
      <c r="AO476" t="inlineStr">
        <is>
          <t>701+</t>
        </is>
      </c>
      <c r="AP476" t="inlineStr">
        <is>
          <t>42.9</t>
        </is>
      </c>
      <c r="AQ476" t="inlineStr">
        <is>
          <t>310</t>
        </is>
      </c>
      <c r="AR476" t="inlineStr">
        <is>
          <t>36.7</t>
        </is>
      </c>
      <c r="AS476" t="inlineStr">
        <is>
          <t>440</t>
        </is>
      </c>
      <c r="AT476" t="inlineStr">
        <is>
          <t>85.2</t>
        </is>
      </c>
      <c r="AU476" t="inlineStr">
        <is>
          <t>142</t>
        </is>
      </c>
      <c r="AV476" t="inlineStr">
        <is>
          <t>9.6</t>
        </is>
      </c>
      <c r="AW476" t="inlineStr">
        <is>
          <t>677</t>
        </is>
      </c>
      <c r="AX476" t="inlineStr">
        <is>
          <t>7.3</t>
        </is>
      </c>
      <c r="AY476" t="inlineStr">
        <is>
          <t>701+</t>
        </is>
      </c>
      <c r="AZ476" t="inlineStr">
        <is>
          <t>5</t>
        </is>
      </c>
      <c r="BA476" t="inlineStr">
        <is>
          <t>701+</t>
        </is>
      </c>
    </row>
    <row r="477">
      <c r="A477" t="inlineStr">
        <is>
          <t>Johannes Gutenberg Universität Mainz</t>
        </is>
      </c>
      <c r="B477" t="inlineStr">
        <is>
          <t>Germany</t>
        </is>
      </c>
      <c r="C477" t="inlineStr">
        <is>
          <t>DE</t>
        </is>
      </c>
      <c r="D477" t="inlineStr">
        <is>
          <t>Europe</t>
        </is>
      </c>
      <c r="E477" t="inlineStr">
        <is>
          <t>L</t>
        </is>
      </c>
      <c r="F477" t="inlineStr">
        <is>
          <t>FO</t>
        </is>
      </c>
      <c r="G477" t="inlineStr">
        <is>
          <t>VH</t>
        </is>
      </c>
      <c r="H477" t="inlineStr">
        <is>
          <t>5</t>
        </is>
      </c>
      <c r="I477" t="inlineStr">
        <is>
          <t>Public</t>
        </is>
      </c>
      <c r="J477" t="inlineStr">
        <is>
          <t>452</t>
        </is>
      </c>
      <c r="K477" t="inlineStr">
        <is>
          <t>501</t>
        </is>
      </c>
      <c r="L477" t="inlineStr">
        <is>
          <t>464</t>
        </is>
      </c>
      <c r="M477" t="inlineStr">
        <is>
          <t>420=</t>
        </is>
      </c>
      <c r="N477" t="inlineStr">
        <is>
          <t>34.2</t>
        </is>
      </c>
      <c r="O477" t="inlineStr">
        <is>
          <t>24.8</t>
        </is>
      </c>
      <c r="P477" t="n">
        <v>32.5</v>
      </c>
      <c r="Q477" t="inlineStr">
        <is>
          <t>378</t>
        </is>
      </c>
      <c r="R477" t="n">
        <v>19.8</v>
      </c>
      <c r="S477" t="inlineStr">
        <is>
          <t>667</t>
        </is>
      </c>
      <c r="T477" t="n">
        <v>70.5</v>
      </c>
      <c r="U477" t="inlineStr">
        <is>
          <t>225</t>
        </is>
      </c>
      <c r="V477" t="n">
        <v>18.1</v>
      </c>
      <c r="W477" t="inlineStr">
        <is>
          <t>750</t>
        </is>
      </c>
      <c r="X477" t="n">
        <v>51.3</v>
      </c>
      <c r="Y477" t="inlineStr">
        <is>
          <t>433</t>
        </is>
      </c>
      <c r="Z477" t="n">
        <v>26.4</v>
      </c>
      <c r="AA477" t="inlineStr">
        <is>
          <t>641</t>
        </is>
      </c>
      <c r="AB477" t="n">
        <v>32.4</v>
      </c>
      <c r="AC477" t="inlineStr">
        <is>
          <t>584</t>
        </is>
      </c>
      <c r="AD477" t="n">
        <v>87.5</v>
      </c>
      <c r="AE477" t="inlineStr">
        <is>
          <t>209</t>
        </is>
      </c>
      <c r="AF477" t="n">
        <v>18.1</v>
      </c>
      <c r="AG477" t="inlineStr">
        <is>
          <t>756</t>
        </is>
      </c>
      <c r="AH477" t="n">
        <v>52.2</v>
      </c>
      <c r="AI477" t="inlineStr">
        <is>
          <t>658=</t>
        </is>
      </c>
      <c r="AJ477" t="inlineStr">
        <is>
          <t>22.6</t>
        </is>
      </c>
      <c r="AK477" t="inlineStr">
        <is>
          <t>389</t>
        </is>
      </c>
      <c r="AL477" t="inlineStr">
        <is>
          <t>12.7</t>
        </is>
      </c>
      <c r="AM477" t="inlineStr">
        <is>
          <t>601+</t>
        </is>
      </c>
      <c r="AN477" t="inlineStr">
        <is>
          <t>54.5</t>
        </is>
      </c>
      <c r="AO477" t="inlineStr">
        <is>
          <t>281</t>
        </is>
      </c>
      <c r="AP477" t="inlineStr">
        <is>
          <t>14.8</t>
        </is>
      </c>
      <c r="AQ477" t="inlineStr">
        <is>
          <t>641</t>
        </is>
      </c>
      <c r="AR477" t="inlineStr">
        <is>
          <t>38.5</t>
        </is>
      </c>
      <c r="AS477" t="inlineStr">
        <is>
          <t>418</t>
        </is>
      </c>
      <c r="AT477" t="inlineStr">
        <is>
          <t>16.2</t>
        </is>
      </c>
      <c r="AU477" t="inlineStr">
        <is>
          <t>594</t>
        </is>
      </c>
      <c r="AV477" t="inlineStr">
        <is>
          <t>70.2</t>
        </is>
      </c>
      <c r="AW477" t="inlineStr">
        <is>
          <t>193</t>
        </is>
      </c>
      <c r="AX477" t="inlineStr">
        <is>
          <t>10.4</t>
        </is>
      </c>
      <c r="AY477" t="inlineStr">
        <is>
          <t>701+</t>
        </is>
      </c>
      <c r="AZ477" t="inlineStr">
        <is>
          <t>19</t>
        </is>
      </c>
      <c r="BA477" t="inlineStr">
        <is>
          <t>552=</t>
        </is>
      </c>
    </row>
    <row r="478">
      <c r="A478" t="inlineStr">
        <is>
          <t>Johannes Kepler University Linz</t>
        </is>
      </c>
      <c r="B478" t="inlineStr">
        <is>
          <t>Austria</t>
        </is>
      </c>
      <c r="C478" t="inlineStr">
        <is>
          <t>AT</t>
        </is>
      </c>
      <c r="D478" t="inlineStr">
        <is>
          <t>Europe</t>
        </is>
      </c>
      <c r="E478" t="inlineStr">
        <is>
          <t>M</t>
        </is>
      </c>
      <c r="F478" t="inlineStr">
        <is>
          <t>FO</t>
        </is>
      </c>
      <c r="G478" t="inlineStr">
        <is>
          <t>VH</t>
        </is>
      </c>
      <c r="H478" t="inlineStr">
        <is>
          <t>4</t>
        </is>
      </c>
      <c r="I478" t="inlineStr">
        <is>
          <t>Public</t>
        </is>
      </c>
      <c r="J478" t="inlineStr">
        <is>
          <t>473</t>
        </is>
      </c>
      <c r="K478" t="inlineStr">
        <is>
          <t>472</t>
        </is>
      </c>
      <c r="L478">
        <f>446</f>
        <v/>
      </c>
      <c r="M478" t="inlineStr">
        <is>
          <t>350=</t>
        </is>
      </c>
      <c r="N478" t="inlineStr">
        <is>
          <t>33.5</t>
        </is>
      </c>
      <c r="O478" t="inlineStr">
        <is>
          <t>25.7</t>
        </is>
      </c>
      <c r="P478" t="n">
        <v>17.5</v>
      </c>
      <c r="Q478" t="inlineStr">
        <is>
          <t>700</t>
        </is>
      </c>
      <c r="R478" t="n">
        <v>14.9</v>
      </c>
      <c r="S478" t="inlineStr">
        <is>
          <t>701+</t>
        </is>
      </c>
      <c r="T478" t="n">
        <v>80</v>
      </c>
      <c r="U478" t="inlineStr">
        <is>
          <t>166</t>
        </is>
      </c>
      <c r="V478" t="n">
        <v>25.2</v>
      </c>
      <c r="W478" t="inlineStr">
        <is>
          <t>635</t>
        </is>
      </c>
      <c r="X478" t="n">
        <v>89.90000000000001</v>
      </c>
      <c r="Y478" t="inlineStr">
        <is>
          <t>223</t>
        </is>
      </c>
      <c r="Z478" t="n">
        <v>57.5</v>
      </c>
      <c r="AA478" t="inlineStr">
        <is>
          <t>360</t>
        </is>
      </c>
      <c r="AB478" t="n">
        <v>61.6</v>
      </c>
      <c r="AC478" t="inlineStr">
        <is>
          <t>327</t>
        </is>
      </c>
      <c r="AD478" t="n">
        <v>56.6</v>
      </c>
      <c r="AE478" t="inlineStr">
        <is>
          <t>743</t>
        </is>
      </c>
      <c r="AF478" t="n">
        <v>15.3</v>
      </c>
      <c r="AG478" t="inlineStr">
        <is>
          <t>801+</t>
        </is>
      </c>
      <c r="AH478" t="n">
        <v>61</v>
      </c>
      <c r="AI478" t="inlineStr">
        <is>
          <t>480=</t>
        </is>
      </c>
      <c r="AJ478" t="inlineStr">
        <is>
          <t>12.5</t>
        </is>
      </c>
      <c r="AK478" t="inlineStr">
        <is>
          <t>601+</t>
        </is>
      </c>
      <c r="AL478" t="inlineStr">
        <is>
          <t>13.5</t>
        </is>
      </c>
      <c r="AM478" t="inlineStr">
        <is>
          <t>598</t>
        </is>
      </c>
      <c r="AN478" t="inlineStr">
        <is>
          <t>82.9</t>
        </is>
      </c>
      <c r="AO478" t="inlineStr">
        <is>
          <t>122</t>
        </is>
      </c>
      <c r="AP478" t="inlineStr">
        <is>
          <t>16.1</t>
        </is>
      </c>
      <c r="AQ478" t="inlineStr">
        <is>
          <t>617</t>
        </is>
      </c>
      <c r="AR478" t="inlineStr">
        <is>
          <t>86.3</t>
        </is>
      </c>
      <c r="AS478" t="inlineStr">
        <is>
          <t>201</t>
        </is>
      </c>
      <c r="AT478" t="inlineStr">
        <is>
          <t>27.2</t>
        </is>
      </c>
      <c r="AU478" t="inlineStr">
        <is>
          <t>447</t>
        </is>
      </c>
      <c r="AV478" t="inlineStr">
        <is>
          <t>26.5</t>
        </is>
      </c>
      <c r="AW478" t="inlineStr">
        <is>
          <t>487</t>
        </is>
      </c>
      <c r="AX478" t="inlineStr">
        <is>
          <t>11.1</t>
        </is>
      </c>
      <c r="AY478" t="inlineStr">
        <is>
          <t>701+</t>
        </is>
      </c>
      <c r="AZ478" t="inlineStr">
        <is>
          <t>18.4</t>
        </is>
      </c>
      <c r="BA478" t="inlineStr">
        <is>
          <t>560=</t>
        </is>
      </c>
    </row>
    <row r="479">
      <c r="A479" t="inlineStr">
        <is>
          <t>Johns Hopkins University</t>
        </is>
      </c>
      <c r="B479" t="inlineStr">
        <is>
          <t>United States</t>
        </is>
      </c>
      <c r="C479" t="inlineStr">
        <is>
          <t>US</t>
        </is>
      </c>
      <c r="D479" t="inlineStr">
        <is>
          <t>Americas</t>
        </is>
      </c>
      <c r="E479" t="inlineStr">
        <is>
          <t>L</t>
        </is>
      </c>
      <c r="F479" t="inlineStr">
        <is>
          <t>FC</t>
        </is>
      </c>
      <c r="G479" t="inlineStr">
        <is>
          <t>VH</t>
        </is>
      </c>
      <c r="H479" t="inlineStr">
        <is>
          <t>5</t>
        </is>
      </c>
      <c r="I479" t="inlineStr">
        <is>
          <t>Private not for Profit</t>
        </is>
      </c>
      <c r="J479" t="inlineStr">
        <is>
          <t>24</t>
        </is>
      </c>
      <c r="K479" t="inlineStr">
        <is>
          <t>32</t>
        </is>
      </c>
      <c r="L479" t="inlineStr">
        <is>
          <t>28</t>
        </is>
      </c>
      <c r="M479" t="inlineStr">
        <is>
          <t>24</t>
        </is>
      </c>
      <c r="N479" t="inlineStr">
        <is>
          <t>89.7</t>
        </is>
      </c>
      <c r="O479" t="inlineStr">
        <is>
          <t>84.5</t>
        </is>
      </c>
      <c r="P479" t="n">
        <v>93.2</v>
      </c>
      <c r="Q479" t="inlineStr">
        <is>
          <t>51</t>
        </is>
      </c>
      <c r="R479" t="n">
        <v>79.2</v>
      </c>
      <c r="S479" t="inlineStr">
        <is>
          <t>108</t>
        </is>
      </c>
      <c r="T479" t="n">
        <v>100</v>
      </c>
      <c r="U479" t="inlineStr">
        <is>
          <t>14</t>
        </is>
      </c>
      <c r="V479" t="n">
        <v>85.8</v>
      </c>
      <c r="W479" t="inlineStr">
        <is>
          <t>118</t>
        </is>
      </c>
      <c r="X479" t="n">
        <v>70.8</v>
      </c>
      <c r="Y479" t="inlineStr">
        <is>
          <t>333</t>
        </is>
      </c>
      <c r="Z479" t="n">
        <v>94.2</v>
      </c>
      <c r="AA479" t="inlineStr">
        <is>
          <t>137</t>
        </is>
      </c>
      <c r="AB479" t="n">
        <v>94.59999999999999</v>
      </c>
      <c r="AC479" t="inlineStr">
        <is>
          <t>113</t>
        </is>
      </c>
      <c r="AD479" t="n">
        <v>97.40000000000001</v>
      </c>
      <c r="AE479" t="inlineStr">
        <is>
          <t>29</t>
        </is>
      </c>
      <c r="AF479" t="n">
        <v>84.09999999999999</v>
      </c>
      <c r="AG479" t="inlineStr">
        <is>
          <t>141</t>
        </is>
      </c>
      <c r="AH479" t="n">
        <v>93</v>
      </c>
      <c r="AI479" t="inlineStr">
        <is>
          <t>35</t>
        </is>
      </c>
      <c r="AJ479" t="inlineStr">
        <is>
          <t>87.3</t>
        </is>
      </c>
      <c r="AK479" t="inlineStr">
        <is>
          <t>51</t>
        </is>
      </c>
      <c r="AL479" t="inlineStr">
        <is>
          <t>59.7</t>
        </is>
      </c>
      <c r="AM479" t="inlineStr">
        <is>
          <t>134</t>
        </is>
      </c>
      <c r="AN479" t="inlineStr">
        <is>
          <t>100.0</t>
        </is>
      </c>
      <c r="AO479" t="inlineStr">
        <is>
          <t>8</t>
        </is>
      </c>
      <c r="AP479" t="inlineStr">
        <is>
          <t>89.4</t>
        </is>
      </c>
      <c r="AQ479" t="inlineStr">
        <is>
          <t>77</t>
        </is>
      </c>
      <c r="AR479" t="inlineStr">
        <is>
          <t>64.4</t>
        </is>
      </c>
      <c r="AS479" t="inlineStr">
        <is>
          <t>300</t>
        </is>
      </c>
      <c r="AT479" t="inlineStr">
        <is>
          <t>91.4</t>
        </is>
      </c>
      <c r="AU479" t="inlineStr">
        <is>
          <t>111</t>
        </is>
      </c>
      <c r="AV479" t="inlineStr">
        <is>
          <t>98.1</t>
        </is>
      </c>
      <c r="AW479" t="inlineStr">
        <is>
          <t>21</t>
        </is>
      </c>
      <c r="AX479" t="inlineStr">
        <is>
          <t>74.5</t>
        </is>
      </c>
      <c r="AY479" t="inlineStr">
        <is>
          <t>60</t>
        </is>
      </c>
      <c r="AZ479" t="inlineStr">
        <is>
          <t>84.6</t>
        </is>
      </c>
      <c r="BA479" t="inlineStr">
        <is>
          <t>122</t>
        </is>
      </c>
    </row>
    <row r="480">
      <c r="A480" t="inlineStr">
        <is>
          <t>Jordan University of Science &amp; Technology</t>
        </is>
      </c>
      <c r="B480" t="inlineStr">
        <is>
          <t>Jordan</t>
        </is>
      </c>
      <c r="C480" t="inlineStr">
        <is>
          <t>JO</t>
        </is>
      </c>
      <c r="D480" t="inlineStr">
        <is>
          <t>Asia</t>
        </is>
      </c>
      <c r="E480" t="inlineStr">
        <is>
          <t>L</t>
        </is>
      </c>
      <c r="F480" t="inlineStr">
        <is>
          <t>CO</t>
        </is>
      </c>
      <c r="G480" t="inlineStr">
        <is>
          <t>VH</t>
        </is>
      </c>
      <c r="H480" t="inlineStr">
        <is>
          <t>3</t>
        </is>
      </c>
      <c r="I480" t="inlineStr">
        <is>
          <t>Public</t>
        </is>
      </c>
      <c r="J480" t="inlineStr">
        <is>
          <t>461</t>
        </is>
      </c>
      <c r="K480" t="inlineStr">
        <is>
          <t>554</t>
        </is>
      </c>
      <c r="L480" t="inlineStr">
        <is>
          <t>731-740</t>
        </is>
      </c>
      <c r="M480" t="inlineStr">
        <is>
          <t>801-1000</t>
        </is>
      </c>
      <c r="N480" t="inlineStr">
        <is>
          <t>33.9</t>
        </is>
      </c>
      <c r="O480" t="inlineStr">
        <is>
          <t>-</t>
        </is>
      </c>
      <c r="P480" t="n">
        <v>32</v>
      </c>
      <c r="Q480" t="inlineStr">
        <is>
          <t>386</t>
        </is>
      </c>
      <c r="R480" t="n">
        <v>47.8</v>
      </c>
      <c r="S480" t="inlineStr">
        <is>
          <t>273</t>
        </is>
      </c>
      <c r="T480" t="n">
        <v>23.1</v>
      </c>
      <c r="U480" t="inlineStr">
        <is>
          <t>774</t>
        </is>
      </c>
      <c r="V480" t="n">
        <v>12.3</v>
      </c>
      <c r="W480" t="inlineStr">
        <is>
          <t>801+</t>
        </is>
      </c>
      <c r="X480" t="n">
        <v>66.7</v>
      </c>
      <c r="Y480" t="inlineStr">
        <is>
          <t>350</t>
        </is>
      </c>
      <c r="Z480" t="n">
        <v>87.90000000000001</v>
      </c>
      <c r="AA480" t="inlineStr">
        <is>
          <t>183</t>
        </is>
      </c>
      <c r="AB480" t="n">
        <v>83.8</v>
      </c>
      <c r="AC480" t="inlineStr">
        <is>
          <t>180</t>
        </is>
      </c>
      <c r="AD480" t="n">
        <v>54.6</v>
      </c>
      <c r="AE480" t="inlineStr">
        <is>
          <t>775</t>
        </is>
      </c>
      <c r="AF480" t="n">
        <v>5.8</v>
      </c>
      <c r="AG480" t="inlineStr">
        <is>
          <t>801+</t>
        </is>
      </c>
      <c r="AH480" t="n">
        <v>52.1</v>
      </c>
      <c r="AI480" t="inlineStr">
        <is>
          <t>661=</t>
        </is>
      </c>
      <c r="AJ480" t="inlineStr">
        <is>
          <t>18.5</t>
        </is>
      </c>
      <c r="AK480" t="inlineStr">
        <is>
          <t>480</t>
        </is>
      </c>
      <c r="AL480" t="inlineStr">
        <is>
          <t>24.5</t>
        </is>
      </c>
      <c r="AM480" t="inlineStr">
        <is>
          <t>391</t>
        </is>
      </c>
      <c r="AN480" t="inlineStr">
        <is>
          <t>16.4</t>
        </is>
      </c>
      <c r="AO480" t="inlineStr">
        <is>
          <t>701+</t>
        </is>
      </c>
      <c r="AP480" t="inlineStr">
        <is>
          <t>4.7</t>
        </is>
      </c>
      <c r="AQ480" t="inlineStr">
        <is>
          <t>701+</t>
        </is>
      </c>
      <c r="AR480" t="inlineStr">
        <is>
          <t>13.9</t>
        </is>
      </c>
      <c r="AS480" t="inlineStr">
        <is>
          <t>687</t>
        </is>
      </c>
      <c r="AT480" t="inlineStr">
        <is>
          <t>31.6</t>
        </is>
      </c>
      <c r="AU480" t="inlineStr">
        <is>
          <t>405</t>
        </is>
      </c>
      <c r="AV480" t="inlineStr">
        <is>
          <t>9.9</t>
        </is>
      </c>
      <c r="AW480" t="inlineStr">
        <is>
          <t>670</t>
        </is>
      </c>
      <c r="AX480" t="inlineStr">
        <is>
          <t>9.8</t>
        </is>
      </c>
      <c r="AY480" t="inlineStr">
        <is>
          <t>701+</t>
        </is>
      </c>
      <c r="AZ480" t="inlineStr">
        <is>
          <t>22</t>
        </is>
      </c>
      <c r="BA480" t="inlineStr">
        <is>
          <t>523</t>
        </is>
      </c>
    </row>
    <row r="481">
      <c r="A481" t="inlineStr">
        <is>
          <t>Jouf University</t>
        </is>
      </c>
      <c r="B481" t="inlineStr">
        <is>
          <t>Saudi Arabia</t>
        </is>
      </c>
      <c r="C481" t="inlineStr">
        <is>
          <t>SA</t>
        </is>
      </c>
      <c r="D481" t="inlineStr"/>
      <c r="E481" t="inlineStr">
        <is>
          <t>L</t>
        </is>
      </c>
      <c r="F481" t="inlineStr">
        <is>
          <t>FC</t>
        </is>
      </c>
      <c r="G481" t="inlineStr">
        <is>
          <t>HI</t>
        </is>
      </c>
      <c r="H481" t="inlineStr">
        <is>
          <t>2</t>
        </is>
      </c>
      <c r="I481" t="inlineStr">
        <is>
          <t>A</t>
        </is>
      </c>
      <c r="J481" t="inlineStr"/>
      <c r="K481" t="inlineStr"/>
      <c r="L481" t="inlineStr">
        <is>
          <t>801-850</t>
        </is>
      </c>
      <c r="M481" t="inlineStr">
        <is>
          <t>701-750</t>
        </is>
      </c>
      <c r="N481" t="inlineStr"/>
      <c r="O481" t="inlineStr">
        <is>
          <t>-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8.8</t>
        </is>
      </c>
      <c r="AK481" t="inlineStr">
        <is>
          <t>601+</t>
        </is>
      </c>
      <c r="AL481" t="inlineStr">
        <is>
          <t>5.3</t>
        </is>
      </c>
      <c r="AM481" t="inlineStr">
        <is>
          <t>601+</t>
        </is>
      </c>
      <c r="AN481" t="inlineStr">
        <is>
          <t>45.1</t>
        </is>
      </c>
      <c r="AO481" t="inlineStr">
        <is>
          <t>350</t>
        </is>
      </c>
      <c r="AP481" t="inlineStr">
        <is>
          <t>1.9</t>
        </is>
      </c>
      <c r="AQ481" t="inlineStr">
        <is>
          <t>701+</t>
        </is>
      </c>
      <c r="AR481" t="inlineStr">
        <is>
          <t>100.0</t>
        </is>
      </c>
      <c r="AS481" t="inlineStr">
        <is>
          <t>27</t>
        </is>
      </c>
      <c r="AT481" t="inlineStr">
        <is>
          <t>2.8</t>
        </is>
      </c>
      <c r="AU481" t="inlineStr">
        <is>
          <t>701+</t>
        </is>
      </c>
      <c r="AV481" t="inlineStr">
        <is>
          <t>2.2</t>
        </is>
      </c>
      <c r="AW481" t="inlineStr">
        <is>
          <t>701+</t>
        </is>
      </c>
      <c r="AX481" t="inlineStr">
        <is>
          <t>8</t>
        </is>
      </c>
      <c r="AY481" t="inlineStr">
        <is>
          <t>701+</t>
        </is>
      </c>
      <c r="AZ481" t="inlineStr">
        <is>
          <t>1</t>
        </is>
      </c>
      <c r="BA481" t="inlineStr">
        <is>
          <t>701+</t>
        </is>
      </c>
    </row>
    <row r="482">
      <c r="A482" t="inlineStr">
        <is>
          <t>Julius-Maximilians-Universität Würzburg</t>
        </is>
      </c>
      <c r="B482" t="inlineStr">
        <is>
          <t>Germany</t>
        </is>
      </c>
      <c r="C482" t="inlineStr">
        <is>
          <t>DE</t>
        </is>
      </c>
      <c r="D482" t="inlineStr">
        <is>
          <t>Europe</t>
        </is>
      </c>
      <c r="E482" t="inlineStr">
        <is>
          <t>L</t>
        </is>
      </c>
      <c r="F482" t="inlineStr">
        <is>
          <t>FC</t>
        </is>
      </c>
      <c r="G482" t="inlineStr">
        <is>
          <t>VH</t>
        </is>
      </c>
      <c r="H482" t="inlineStr">
        <is>
          <t>5</t>
        </is>
      </c>
      <c r="I482" t="inlineStr">
        <is>
          <t>Public</t>
        </is>
      </c>
      <c r="J482" t="inlineStr">
        <is>
          <t>416</t>
        </is>
      </c>
      <c r="K482" t="inlineStr">
        <is>
          <t>428</t>
        </is>
      </c>
      <c r="L482" t="inlineStr">
        <is>
          <t>440</t>
        </is>
      </c>
      <c r="M482" t="inlineStr">
        <is>
          <t>410=</t>
        </is>
      </c>
      <c r="N482" t="inlineStr">
        <is>
          <t>36.5</t>
        </is>
      </c>
      <c r="O482" t="inlineStr">
        <is>
          <t>25.9</t>
        </is>
      </c>
      <c r="P482" t="n">
        <v>21.4</v>
      </c>
      <c r="Q482" t="inlineStr">
        <is>
          <t>579</t>
        </is>
      </c>
      <c r="R482" t="n">
        <v>9.9</v>
      </c>
      <c r="S482" t="inlineStr">
        <is>
          <t>701+</t>
        </is>
      </c>
      <c r="T482" t="n">
        <v>8.9</v>
      </c>
      <c r="U482" t="inlineStr">
        <is>
          <t>801+</t>
        </is>
      </c>
      <c r="V482" t="n">
        <v>87</v>
      </c>
      <c r="W482" t="inlineStr">
        <is>
          <t>115</t>
        </is>
      </c>
      <c r="X482" t="n">
        <v>60.1</v>
      </c>
      <c r="Y482" t="inlineStr">
        <is>
          <t>389</t>
        </is>
      </c>
      <c r="Z482" t="n">
        <v>19.7</v>
      </c>
      <c r="AA482" t="inlineStr">
        <is>
          <t>731</t>
        </is>
      </c>
      <c r="AB482" t="n">
        <v>14.9</v>
      </c>
      <c r="AC482" t="inlineStr">
        <is>
          <t>801+</t>
        </is>
      </c>
      <c r="AD482" t="n">
        <v>78.3</v>
      </c>
      <c r="AE482" t="inlineStr">
        <is>
          <t>379</t>
        </is>
      </c>
      <c r="AF482" t="n">
        <v>17</v>
      </c>
      <c r="AG482" t="inlineStr">
        <is>
          <t>783</t>
        </is>
      </c>
      <c r="AH482" t="n">
        <v>50.2</v>
      </c>
      <c r="AI482" t="inlineStr">
        <is>
          <t>699=</t>
        </is>
      </c>
      <c r="AJ482" t="inlineStr">
        <is>
          <t>17.4</t>
        </is>
      </c>
      <c r="AK482" t="inlineStr">
        <is>
          <t>511</t>
        </is>
      </c>
      <c r="AL482" t="inlineStr">
        <is>
          <t>6.0</t>
        </is>
      </c>
      <c r="AM482" t="inlineStr">
        <is>
          <t>601+</t>
        </is>
      </c>
      <c r="AN482" t="inlineStr">
        <is>
          <t>4.9</t>
        </is>
      </c>
      <c r="AO482" t="inlineStr">
        <is>
          <t>701+</t>
        </is>
      </c>
      <c r="AP482" t="inlineStr">
        <is>
          <t>68.0</t>
        </is>
      </c>
      <c r="AQ482" t="inlineStr">
        <is>
          <t>154</t>
        </is>
      </c>
      <c r="AR482" t="inlineStr">
        <is>
          <t>35.5</t>
        </is>
      </c>
      <c r="AS482" t="inlineStr">
        <is>
          <t>449</t>
        </is>
      </c>
      <c r="AT482" t="inlineStr">
        <is>
          <t>16.4</t>
        </is>
      </c>
      <c r="AU482" t="inlineStr">
        <is>
          <t>591</t>
        </is>
      </c>
      <c r="AV482" t="inlineStr">
        <is>
          <t>41.9</t>
        </is>
      </c>
      <c r="AW482" t="inlineStr">
        <is>
          <t>363</t>
        </is>
      </c>
      <c r="AX482" t="inlineStr">
        <is>
          <t>9.5</t>
        </is>
      </c>
      <c r="AY482" t="inlineStr">
        <is>
          <t>701+</t>
        </is>
      </c>
      <c r="AZ482" t="inlineStr">
        <is>
          <t>11.7</t>
        </is>
      </c>
      <c r="BA482" t="inlineStr">
        <is>
          <t>647=</t>
        </is>
      </c>
    </row>
    <row r="483">
      <c r="A483" t="inlineStr">
        <is>
          <t>Justus-Liebig-University Giessen</t>
        </is>
      </c>
      <c r="B483" t="inlineStr">
        <is>
          <t>Germany</t>
        </is>
      </c>
      <c r="C483" t="inlineStr">
        <is>
          <t>DE</t>
        </is>
      </c>
      <c r="D483" t="inlineStr"/>
      <c r="E483" t="inlineStr">
        <is>
          <t>L</t>
        </is>
      </c>
      <c r="F483" t="inlineStr">
        <is>
          <t>FC</t>
        </is>
      </c>
      <c r="G483" t="inlineStr">
        <is>
          <t>VH</t>
        </is>
      </c>
      <c r="H483" t="inlineStr">
        <is>
          <t>5</t>
        </is>
      </c>
      <c r="I483" t="inlineStr">
        <is>
          <t>A</t>
        </is>
      </c>
      <c r="J483" t="inlineStr"/>
      <c r="K483" t="inlineStr"/>
      <c r="L483">
        <f>396</f>
        <v/>
      </c>
      <c r="M483" t="inlineStr">
        <is>
          <t>490=</t>
        </is>
      </c>
      <c r="N483" t="inlineStr"/>
      <c r="O483" t="inlineStr">
        <is>
          <t>28.1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13.6</t>
        </is>
      </c>
      <c r="AK483" t="inlineStr">
        <is>
          <t>601+</t>
        </is>
      </c>
      <c r="AL483" t="inlineStr">
        <is>
          <t>6.1</t>
        </is>
      </c>
      <c r="AM483" t="inlineStr">
        <is>
          <t>601+</t>
        </is>
      </c>
      <c r="AN483" t="inlineStr">
        <is>
          <t>1.7</t>
        </is>
      </c>
      <c r="AO483" t="inlineStr">
        <is>
          <t>701+</t>
        </is>
      </c>
      <c r="AP483" t="inlineStr">
        <is>
          <t>85.7</t>
        </is>
      </c>
      <c r="AQ483" t="inlineStr">
        <is>
          <t>92</t>
        </is>
      </c>
      <c r="AR483" t="inlineStr">
        <is>
          <t>12.1</t>
        </is>
      </c>
      <c r="AS483" t="inlineStr">
        <is>
          <t>701+</t>
        </is>
      </c>
      <c r="AT483" t="inlineStr">
        <is>
          <t>18.9</t>
        </is>
      </c>
      <c r="AU483" t="inlineStr">
        <is>
          <t>561</t>
        </is>
      </c>
      <c r="AV483" t="inlineStr">
        <is>
          <t>63.8</t>
        </is>
      </c>
      <c r="AW483" t="inlineStr">
        <is>
          <t>221</t>
        </is>
      </c>
      <c r="AX483" t="inlineStr">
        <is>
          <t>9.5</t>
        </is>
      </c>
      <c r="AY483" t="inlineStr">
        <is>
          <t>701+</t>
        </is>
      </c>
      <c r="AZ483" t="inlineStr">
        <is>
          <t>11.1</t>
        </is>
      </c>
      <c r="BA483" t="inlineStr">
        <is>
          <t>655</t>
        </is>
      </c>
    </row>
    <row r="484">
      <c r="A484" t="inlineStr">
        <is>
          <t>Justus-Liebig-Universität Gießen</t>
        </is>
      </c>
      <c r="B484" t="inlineStr">
        <is>
          <t>Germany</t>
        </is>
      </c>
      <c r="C484" t="inlineStr"/>
      <c r="D484" t="inlineStr">
        <is>
          <t>Europe</t>
        </is>
      </c>
      <c r="E484" t="inlineStr">
        <is>
          <t>L</t>
        </is>
      </c>
      <c r="F484" t="inlineStr">
        <is>
          <t>FC</t>
        </is>
      </c>
      <c r="G484" t="inlineStr">
        <is>
          <t>VH</t>
        </is>
      </c>
      <c r="H484" t="inlineStr"/>
      <c r="I484" t="inlineStr">
        <is>
          <t>Public</t>
        </is>
      </c>
      <c r="J484" t="inlineStr">
        <is>
          <t>496</t>
        </is>
      </c>
      <c r="K484" t="inlineStr">
        <is>
          <t>445</t>
        </is>
      </c>
      <c r="L484" t="inlineStr"/>
      <c r="M484" t="inlineStr"/>
      <c r="N484" t="inlineStr">
        <is>
          <t>32.4</t>
        </is>
      </c>
      <c r="O484" t="inlineStr"/>
      <c r="P484" t="n">
        <v>15.4</v>
      </c>
      <c r="Q484" t="inlineStr">
        <is>
          <t>701+</t>
        </is>
      </c>
      <c r="R484" t="n">
        <v>9.6</v>
      </c>
      <c r="S484" t="inlineStr">
        <is>
          <t>701+</t>
        </is>
      </c>
      <c r="T484" t="n">
        <v>2.7</v>
      </c>
      <c r="U484" t="inlineStr">
        <is>
          <t>801+</t>
        </is>
      </c>
      <c r="V484" t="n">
        <v>85.59999999999999</v>
      </c>
      <c r="W484" t="inlineStr">
        <is>
          <t>121</t>
        </is>
      </c>
      <c r="X484" t="n">
        <v>19.3</v>
      </c>
      <c r="Y484" t="inlineStr">
        <is>
          <t>724</t>
        </is>
      </c>
      <c r="Z484" t="n">
        <v>28.9</v>
      </c>
      <c r="AA484" t="inlineStr">
        <is>
          <t>605</t>
        </is>
      </c>
      <c r="AB484" t="n">
        <v>21.7</v>
      </c>
      <c r="AC484" t="inlineStr">
        <is>
          <t>738</t>
        </is>
      </c>
      <c r="AD484" t="n">
        <v>80.7</v>
      </c>
      <c r="AE484" t="inlineStr">
        <is>
          <t>340</t>
        </is>
      </c>
      <c r="AF484" t="n">
        <v>17</v>
      </c>
      <c r="AG484" t="inlineStr">
        <is>
          <t>784</t>
        </is>
      </c>
      <c r="AH484" t="n">
        <v>53.4</v>
      </c>
      <c r="AI484" t="inlineStr">
        <is>
          <t>632=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</row>
    <row r="485">
      <c r="A485" t="inlineStr">
        <is>
          <t>Kagoshima University</t>
        </is>
      </c>
      <c r="B485" t="inlineStr">
        <is>
          <t>Japan</t>
        </is>
      </c>
      <c r="C485" t="inlineStr">
        <is>
          <t>JP</t>
        </is>
      </c>
      <c r="D485" t="inlineStr">
        <is>
          <t>Asia</t>
        </is>
      </c>
      <c r="E485" t="inlineStr">
        <is>
          <t>M</t>
        </is>
      </c>
      <c r="F485" t="inlineStr">
        <is>
          <t>FC</t>
        </is>
      </c>
      <c r="G485" t="inlineStr">
        <is>
          <t>VH</t>
        </is>
      </c>
      <c r="H485" t="inlineStr">
        <is>
          <t>4</t>
        </is>
      </c>
      <c r="I485" t="inlineStr">
        <is>
          <t>Public</t>
        </is>
      </c>
      <c r="J485" t="inlineStr">
        <is>
          <t>1201-1400</t>
        </is>
      </c>
      <c r="K485" t="inlineStr">
        <is>
          <t>1001-1200</t>
        </is>
      </c>
      <c r="L485" t="inlineStr">
        <is>
          <t>1001-1200</t>
        </is>
      </c>
      <c r="M485" t="inlineStr">
        <is>
          <t>701-750</t>
        </is>
      </c>
      <c r="N485" t="inlineStr">
        <is>
          <t>-</t>
        </is>
      </c>
      <c r="O485" t="inlineStr">
        <is>
          <t>-</t>
        </is>
      </c>
      <c r="P485" t="n">
        <v>7.8</v>
      </c>
      <c r="Q485" t="inlineStr">
        <is>
          <t>701+</t>
        </is>
      </c>
      <c r="R485" t="n">
        <v>4.7</v>
      </c>
      <c r="S485" t="inlineStr">
        <is>
          <t>701+</t>
        </is>
      </c>
      <c r="T485" t="n">
        <v>69.59999999999999</v>
      </c>
      <c r="U485" t="inlineStr">
        <is>
          <t>234</t>
        </is>
      </c>
      <c r="V485" t="n">
        <v>6.1</v>
      </c>
      <c r="W485" t="inlineStr">
        <is>
          <t>801+</t>
        </is>
      </c>
      <c r="X485" t="n">
        <v>5.1</v>
      </c>
      <c r="Y485" t="inlineStr">
        <is>
          <t>801+</t>
        </is>
      </c>
      <c r="Z485" t="n">
        <v>5</v>
      </c>
      <c r="AA485" t="inlineStr">
        <is>
          <t>801+</t>
        </is>
      </c>
      <c r="AB485" t="n">
        <v>4</v>
      </c>
      <c r="AC485" t="inlineStr">
        <is>
          <t>801+</t>
        </is>
      </c>
      <c r="AD485" t="n">
        <v>24</v>
      </c>
      <c r="AE485" t="inlineStr">
        <is>
          <t>801+</t>
        </is>
      </c>
      <c r="AF485" t="n">
        <v>1.6</v>
      </c>
      <c r="AG485" t="inlineStr">
        <is>
          <t>801+</t>
        </is>
      </c>
      <c r="AH485" t="n">
        <v>23</v>
      </c>
      <c r="AI485" t="inlineStr">
        <is>
          <t>801+</t>
        </is>
      </c>
      <c r="AJ485" t="inlineStr">
        <is>
          <t>6.1</t>
        </is>
      </c>
      <c r="AK485" t="inlineStr">
        <is>
          <t>601+</t>
        </is>
      </c>
      <c r="AL485" t="inlineStr">
        <is>
          <t>2.9</t>
        </is>
      </c>
      <c r="AM485" t="inlineStr">
        <is>
          <t>601+</t>
        </is>
      </c>
      <c r="AN485" t="inlineStr">
        <is>
          <t>65.8</t>
        </is>
      </c>
      <c r="AO485" t="inlineStr">
        <is>
          <t>206</t>
        </is>
      </c>
      <c r="AP485" t="inlineStr">
        <is>
          <t>3.9</t>
        </is>
      </c>
      <c r="AQ485" t="inlineStr">
        <is>
          <t>701+</t>
        </is>
      </c>
      <c r="AR485" t="inlineStr">
        <is>
          <t>4.0</t>
        </is>
      </c>
      <c r="AS485" t="inlineStr">
        <is>
          <t>701+</t>
        </is>
      </c>
      <c r="AT485" t="inlineStr">
        <is>
          <t>3.0</t>
        </is>
      </c>
      <c r="AU485" t="inlineStr">
        <is>
          <t>701+</t>
        </is>
      </c>
      <c r="AV485" t="inlineStr">
        <is>
          <t>1.8</t>
        </is>
      </c>
      <c r="AW485" t="inlineStr">
        <is>
          <t>701+</t>
        </is>
      </c>
      <c r="AX485" t="inlineStr">
        <is>
          <t>7.2</t>
        </is>
      </c>
      <c r="AY485" t="inlineStr">
        <is>
          <t>701+</t>
        </is>
      </c>
      <c r="AZ485" t="inlineStr">
        <is>
          <t>1.3</t>
        </is>
      </c>
      <c r="BA485" t="inlineStr">
        <is>
          <t>701+</t>
        </is>
      </c>
    </row>
    <row r="486">
      <c r="A486" t="inlineStr">
        <is>
          <t>KAIST - Korea Advanced Institute of Science &amp; Technology</t>
        </is>
      </c>
      <c r="B486" t="inlineStr">
        <is>
          <t>South Korea</t>
        </is>
      </c>
      <c r="C486" t="inlineStr">
        <is>
          <t>KR</t>
        </is>
      </c>
      <c r="D486" t="inlineStr"/>
      <c r="E486" t="inlineStr">
        <is>
          <t>M</t>
        </is>
      </c>
      <c r="F486" t="inlineStr">
        <is>
          <t>CO</t>
        </is>
      </c>
      <c r="G486" t="inlineStr">
        <is>
          <t>VH</t>
        </is>
      </c>
      <c r="H486" t="inlineStr">
        <is>
          <t>4</t>
        </is>
      </c>
      <c r="I486" t="inlineStr">
        <is>
          <t>A</t>
        </is>
      </c>
      <c r="J486" t="inlineStr"/>
      <c r="K486" t="inlineStr"/>
      <c r="L486" t="inlineStr">
        <is>
          <t>56</t>
        </is>
      </c>
      <c r="M486" t="inlineStr">
        <is>
          <t>42=</t>
        </is>
      </c>
      <c r="N486" t="inlineStr"/>
      <c r="O486" t="inlineStr">
        <is>
          <t>72.2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89.9</t>
        </is>
      </c>
      <c r="AK486" t="inlineStr">
        <is>
          <t>44</t>
        </is>
      </c>
      <c r="AL486" t="inlineStr">
        <is>
          <t>88.8</t>
        </is>
      </c>
      <c r="AM486" t="inlineStr">
        <is>
          <t>53</t>
        </is>
      </c>
      <c r="AN486" t="inlineStr">
        <is>
          <t>66.2</t>
        </is>
      </c>
      <c r="AO486" t="inlineStr">
        <is>
          <t>202</t>
        </is>
      </c>
      <c r="AP486" t="inlineStr">
        <is>
          <t>97.7</t>
        </is>
      </c>
      <c r="AQ486" t="inlineStr">
        <is>
          <t>35</t>
        </is>
      </c>
      <c r="AR486" t="inlineStr">
        <is>
          <t>22.3</t>
        </is>
      </c>
      <c r="AS486" t="inlineStr">
        <is>
          <t>570</t>
        </is>
      </c>
      <c r="AT486" t="inlineStr">
        <is>
          <t>11.6</t>
        </is>
      </c>
      <c r="AU486" t="inlineStr">
        <is>
          <t>682</t>
        </is>
      </c>
      <c r="AV486" t="inlineStr">
        <is>
          <t>10.6</t>
        </is>
      </c>
      <c r="AW486" t="inlineStr">
        <is>
          <t>662</t>
        </is>
      </c>
      <c r="AX486" t="inlineStr">
        <is>
          <t>41.8</t>
        </is>
      </c>
      <c r="AY486" t="inlineStr">
        <is>
          <t>174</t>
        </is>
      </c>
      <c r="AZ486" t="inlineStr">
        <is>
          <t>14.2</t>
        </is>
      </c>
      <c r="BA486" t="inlineStr">
        <is>
          <t>621=</t>
        </is>
      </c>
    </row>
    <row r="487">
      <c r="A487" t="inlineStr">
        <is>
          <t>Kalinga Institute of Industrial Technology</t>
        </is>
      </c>
      <c r="B487" t="inlineStr">
        <is>
          <t>India</t>
        </is>
      </c>
      <c r="C487" t="inlineStr"/>
      <c r="D487" t="inlineStr">
        <is>
          <t>Asia</t>
        </is>
      </c>
      <c r="E487" t="inlineStr">
        <is>
          <t>L</t>
        </is>
      </c>
      <c r="F487" t="inlineStr">
        <is>
          <t>CO</t>
        </is>
      </c>
      <c r="G487" t="inlineStr">
        <is>
          <t>VH</t>
        </is>
      </c>
      <c r="H487" t="inlineStr"/>
      <c r="I487" t="inlineStr">
        <is>
          <t>Private not for Profit</t>
        </is>
      </c>
      <c r="J487" t="inlineStr">
        <is>
          <t>1001-1200</t>
        </is>
      </c>
      <c r="K487" t="inlineStr"/>
      <c r="L487" t="inlineStr"/>
      <c r="M487" t="inlineStr"/>
      <c r="N487" t="inlineStr">
        <is>
          <t>-</t>
        </is>
      </c>
      <c r="O487" t="inlineStr"/>
      <c r="P487" t="n">
        <v>6.4</v>
      </c>
      <c r="Q487" t="inlineStr">
        <is>
          <t>701+</t>
        </is>
      </c>
      <c r="R487" t="n">
        <v>5.2</v>
      </c>
      <c r="S487" t="inlineStr">
        <is>
          <t>701+</t>
        </is>
      </c>
      <c r="T487" t="n">
        <v>52.1</v>
      </c>
      <c r="U487" t="inlineStr">
        <is>
          <t>360</t>
        </is>
      </c>
      <c r="V487" t="n">
        <v>5.3</v>
      </c>
      <c r="W487" t="inlineStr">
        <is>
          <t>801+</t>
        </is>
      </c>
      <c r="X487" t="n">
        <v>18</v>
      </c>
      <c r="Y487" t="inlineStr">
        <is>
          <t>744</t>
        </is>
      </c>
      <c r="Z487" t="n">
        <v>25</v>
      </c>
      <c r="AA487" t="inlineStr">
        <is>
          <t>664</t>
        </is>
      </c>
      <c r="AB487" t="n">
        <v>29.4</v>
      </c>
      <c r="AC487" t="inlineStr">
        <is>
          <t>623</t>
        </is>
      </c>
      <c r="AD487" t="n">
        <v>53.3</v>
      </c>
      <c r="AE487" t="inlineStr">
        <is>
          <t>790</t>
        </is>
      </c>
      <c r="AF487" t="n">
        <v>1.7</v>
      </c>
      <c r="AG487" t="inlineStr">
        <is>
          <t>801+</t>
        </is>
      </c>
      <c r="AH487" t="n">
        <v>50.7</v>
      </c>
      <c r="AI487" t="inlineStr">
        <is>
          <t>692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inlineStr">
        <is>
          <t>Kanazawa University</t>
        </is>
      </c>
      <c r="B488" t="inlineStr">
        <is>
          <t>Japan</t>
        </is>
      </c>
      <c r="C488" t="inlineStr">
        <is>
          <t>JP</t>
        </is>
      </c>
      <c r="D488" t="inlineStr">
        <is>
          <t>Asia</t>
        </is>
      </c>
      <c r="E488" t="inlineStr">
        <is>
          <t>M</t>
        </is>
      </c>
      <c r="F488" t="inlineStr">
        <is>
          <t>FC</t>
        </is>
      </c>
      <c r="G488" t="inlineStr">
        <is>
          <t>VH</t>
        </is>
      </c>
      <c r="H488" t="inlineStr">
        <is>
          <t>4</t>
        </is>
      </c>
      <c r="I488" t="inlineStr">
        <is>
          <t>Public</t>
        </is>
      </c>
      <c r="J488" t="inlineStr">
        <is>
          <t>901-950</t>
        </is>
      </c>
      <c r="K488" t="inlineStr">
        <is>
          <t>901-950</t>
        </is>
      </c>
      <c r="L488" t="inlineStr">
        <is>
          <t>851-900</t>
        </is>
      </c>
      <c r="M488" t="inlineStr">
        <is>
          <t>601-650</t>
        </is>
      </c>
      <c r="N488" t="inlineStr">
        <is>
          <t>-</t>
        </is>
      </c>
      <c r="O488" t="inlineStr">
        <is>
          <t>-</t>
        </is>
      </c>
      <c r="P488" t="n">
        <v>13.2</v>
      </c>
      <c r="Q488" t="inlineStr">
        <is>
          <t>701+</t>
        </is>
      </c>
      <c r="R488" t="n">
        <v>7.1</v>
      </c>
      <c r="S488" t="inlineStr">
        <is>
          <t>701+</t>
        </is>
      </c>
      <c r="T488" t="n">
        <v>58.1</v>
      </c>
      <c r="U488" t="inlineStr">
        <is>
          <t>311</t>
        </is>
      </c>
      <c r="V488" t="n">
        <v>22.1</v>
      </c>
      <c r="W488" t="inlineStr">
        <is>
          <t>684</t>
        </is>
      </c>
      <c r="X488" t="n">
        <v>11.6</v>
      </c>
      <c r="Y488" t="inlineStr">
        <is>
          <t>801+</t>
        </is>
      </c>
      <c r="Z488" t="n">
        <v>10.8</v>
      </c>
      <c r="AA488" t="inlineStr">
        <is>
          <t>801+</t>
        </is>
      </c>
      <c r="AB488" t="n">
        <v>15.4</v>
      </c>
      <c r="AC488" t="inlineStr">
        <is>
          <t>801+</t>
        </is>
      </c>
      <c r="AD488" t="n">
        <v>33.9</v>
      </c>
      <c r="AE488" t="inlineStr">
        <is>
          <t>801+</t>
        </is>
      </c>
      <c r="AF488" t="n">
        <v>1.7</v>
      </c>
      <c r="AG488" t="inlineStr">
        <is>
          <t>801+</t>
        </is>
      </c>
      <c r="AH488" t="n">
        <v>53.1</v>
      </c>
      <c r="AI488" t="inlineStr">
        <is>
          <t>644=</t>
        </is>
      </c>
      <c r="AJ488" t="inlineStr">
        <is>
          <t>9.3</t>
        </is>
      </c>
      <c r="AK488" t="inlineStr">
        <is>
          <t>601+</t>
        </is>
      </c>
      <c r="AL488" t="inlineStr">
        <is>
          <t>4.4</t>
        </is>
      </c>
      <c r="AM488" t="inlineStr">
        <is>
          <t>601+</t>
        </is>
      </c>
      <c r="AN488" t="inlineStr">
        <is>
          <t>60.8</t>
        </is>
      </c>
      <c r="AO488" t="inlineStr">
        <is>
          <t>232</t>
        </is>
      </c>
      <c r="AP488" t="inlineStr">
        <is>
          <t>12.1</t>
        </is>
      </c>
      <c r="AQ488" t="inlineStr">
        <is>
          <t>696</t>
        </is>
      </c>
      <c r="AR488" t="inlineStr">
        <is>
          <t>9.2</t>
        </is>
      </c>
      <c r="AS488" t="inlineStr">
        <is>
          <t>701+</t>
        </is>
      </c>
      <c r="AT488" t="inlineStr">
        <is>
          <t>5.8</t>
        </is>
      </c>
      <c r="AU488" t="inlineStr">
        <is>
          <t>701+</t>
        </is>
      </c>
      <c r="AV488" t="inlineStr">
        <is>
          <t>2.4</t>
        </is>
      </c>
      <c r="AW488" t="inlineStr">
        <is>
          <t>701+</t>
        </is>
      </c>
      <c r="AX488" t="inlineStr">
        <is>
          <t>7.9</t>
        </is>
      </c>
      <c r="AY488" t="inlineStr">
        <is>
          <t>701+</t>
        </is>
      </c>
      <c r="AZ488" t="inlineStr">
        <is>
          <t>1.4</t>
        </is>
      </c>
      <c r="BA488" t="inlineStr">
        <is>
          <t>701+</t>
        </is>
      </c>
    </row>
    <row r="489">
      <c r="A489" t="inlineStr">
        <is>
          <t>Kangwon National University</t>
        </is>
      </c>
      <c r="B489" t="inlineStr">
        <is>
          <t>Republic of Korea</t>
        </is>
      </c>
      <c r="C489" t="inlineStr"/>
      <c r="D489" t="inlineStr">
        <is>
          <t>Asia</t>
        </is>
      </c>
      <c r="E489" t="inlineStr">
        <is>
          <t>L</t>
        </is>
      </c>
      <c r="F489" t="inlineStr">
        <is>
          <t>FC</t>
        </is>
      </c>
      <c r="G489" t="inlineStr">
        <is>
          <t>HI</t>
        </is>
      </c>
      <c r="H489" t="inlineStr"/>
      <c r="I489" t="inlineStr">
        <is>
          <t>Public</t>
        </is>
      </c>
      <c r="J489" t="inlineStr">
        <is>
          <t>1001-1200</t>
        </is>
      </c>
      <c r="K489" t="inlineStr">
        <is>
          <t>1001-1200</t>
        </is>
      </c>
      <c r="L489" t="inlineStr"/>
      <c r="M489" t="inlineStr"/>
      <c r="N489" t="inlineStr">
        <is>
          <t>-</t>
        </is>
      </c>
      <c r="O489" t="inlineStr"/>
      <c r="P489" t="n">
        <v>8</v>
      </c>
      <c r="Q489" t="inlineStr">
        <is>
          <t>701+</t>
        </is>
      </c>
      <c r="R489" t="n">
        <v>7.1</v>
      </c>
      <c r="S489" t="inlineStr">
        <is>
          <t>701+</t>
        </is>
      </c>
      <c r="T489" t="n">
        <v>32</v>
      </c>
      <c r="U489" t="inlineStr">
        <is>
          <t>601</t>
        </is>
      </c>
      <c r="V489" t="n">
        <v>15.4</v>
      </c>
      <c r="W489" t="inlineStr">
        <is>
          <t>798</t>
        </is>
      </c>
      <c r="X489" t="n">
        <v>6.5</v>
      </c>
      <c r="Y489" t="inlineStr">
        <is>
          <t>801+</t>
        </is>
      </c>
      <c r="Z489" t="n">
        <v>10.2</v>
      </c>
      <c r="AA489" t="inlineStr">
        <is>
          <t>801+</t>
        </is>
      </c>
      <c r="AB489" t="n">
        <v>14.2</v>
      </c>
      <c r="AC489" t="inlineStr">
        <is>
          <t>801+</t>
        </is>
      </c>
      <c r="AD489" t="n">
        <v>28.6</v>
      </c>
      <c r="AE489" t="inlineStr">
        <is>
          <t>801+</t>
        </is>
      </c>
      <c r="AF489" t="n">
        <v>3.5</v>
      </c>
      <c r="AG489" t="inlineStr">
        <is>
          <t>801+</t>
        </is>
      </c>
      <c r="AH489" t="n">
        <v>56.6</v>
      </c>
      <c r="AI489" t="inlineStr">
        <is>
          <t>568=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</row>
    <row r="490">
      <c r="A490" t="inlineStr">
        <is>
          <t xml:space="preserve">Kangwon National University </t>
        </is>
      </c>
      <c r="B490" t="inlineStr">
        <is>
          <t>South Korea</t>
        </is>
      </c>
      <c r="C490" t="inlineStr">
        <is>
          <t>KR</t>
        </is>
      </c>
      <c r="D490" t="inlineStr"/>
      <c r="E490" t="inlineStr">
        <is>
          <t>L</t>
        </is>
      </c>
      <c r="F490" t="inlineStr">
        <is>
          <t>FC</t>
        </is>
      </c>
      <c r="G490" t="inlineStr">
        <is>
          <t>HI</t>
        </is>
      </c>
      <c r="H490" t="inlineStr">
        <is>
          <t>2</t>
        </is>
      </c>
      <c r="I490" t="inlineStr">
        <is>
          <t>A</t>
        </is>
      </c>
      <c r="J490" t="inlineStr"/>
      <c r="K490" t="inlineStr"/>
      <c r="L490" t="inlineStr">
        <is>
          <t>1001-1200</t>
        </is>
      </c>
      <c r="M490" t="inlineStr">
        <is>
          <t>1001-1200</t>
        </is>
      </c>
      <c r="N490" t="inlineStr"/>
      <c r="O490" t="inlineStr">
        <is>
          <t>-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5.8</t>
        </is>
      </c>
      <c r="AK490" t="inlineStr">
        <is>
          <t>601+</t>
        </is>
      </c>
      <c r="AL490" t="inlineStr">
        <is>
          <t>5.4</t>
        </is>
      </c>
      <c r="AM490" t="inlineStr">
        <is>
          <t>601+</t>
        </is>
      </c>
      <c r="AN490" t="inlineStr">
        <is>
          <t>20.0</t>
        </is>
      </c>
      <c r="AO490" t="inlineStr">
        <is>
          <t>665</t>
        </is>
      </c>
      <c r="AP490" t="inlineStr">
        <is>
          <t>8.9</t>
        </is>
      </c>
      <c r="AQ490" t="inlineStr">
        <is>
          <t>701+</t>
        </is>
      </c>
      <c r="AR490" t="inlineStr">
        <is>
          <t>4.0</t>
        </is>
      </c>
      <c r="AS490" t="inlineStr">
        <is>
          <t>701+</t>
        </is>
      </c>
      <c r="AT490" t="inlineStr">
        <is>
          <t>2.5</t>
        </is>
      </c>
      <c r="AU490" t="inlineStr">
        <is>
          <t>701+</t>
        </is>
      </c>
      <c r="AV490" t="inlineStr">
        <is>
          <t>1.7</t>
        </is>
      </c>
      <c r="AW490" t="inlineStr">
        <is>
          <t>701+</t>
        </is>
      </c>
      <c r="AX490" t="inlineStr">
        <is>
          <t>6</t>
        </is>
      </c>
      <c r="AY490" t="inlineStr">
        <is>
          <t>701+</t>
        </is>
      </c>
      <c r="AZ490" t="inlineStr">
        <is>
          <t>17.6</t>
        </is>
      </c>
      <c r="BA490" t="inlineStr">
        <is>
          <t>573</t>
        </is>
      </c>
    </row>
    <row r="491">
      <c r="A491" t="inlineStr">
        <is>
          <t>Kansas State University</t>
        </is>
      </c>
      <c r="B491" t="inlineStr">
        <is>
          <t>United States</t>
        </is>
      </c>
      <c r="C491" t="inlineStr">
        <is>
          <t>US</t>
        </is>
      </c>
      <c r="D491" t="inlineStr">
        <is>
          <t>Americas</t>
        </is>
      </c>
      <c r="E491" t="inlineStr">
        <is>
          <t>L</t>
        </is>
      </c>
      <c r="F491" t="inlineStr">
        <is>
          <t>CO</t>
        </is>
      </c>
      <c r="G491" t="inlineStr">
        <is>
          <t>VH</t>
        </is>
      </c>
      <c r="H491" t="inlineStr">
        <is>
          <t>5</t>
        </is>
      </c>
      <c r="I491" t="inlineStr">
        <is>
          <t>Public</t>
        </is>
      </c>
      <c r="J491" t="inlineStr">
        <is>
          <t>901-950</t>
        </is>
      </c>
      <c r="K491" t="inlineStr">
        <is>
          <t>851-900</t>
        </is>
      </c>
      <c r="L491" t="inlineStr">
        <is>
          <t>851-900</t>
        </is>
      </c>
      <c r="M491" t="inlineStr">
        <is>
          <t>801-1000</t>
        </is>
      </c>
      <c r="N491" t="inlineStr">
        <is>
          <t>-</t>
        </is>
      </c>
      <c r="O491" t="inlineStr">
        <is>
          <t>-</t>
        </is>
      </c>
      <c r="P491" t="n">
        <v>9.1</v>
      </c>
      <c r="Q491" t="inlineStr">
        <is>
          <t>701+</t>
        </is>
      </c>
      <c r="R491" t="n">
        <v>11.9</v>
      </c>
      <c r="S491" t="inlineStr">
        <is>
          <t>701+</t>
        </is>
      </c>
      <c r="T491" t="n">
        <v>16.2</v>
      </c>
      <c r="U491" t="inlineStr">
        <is>
          <t>801+</t>
        </is>
      </c>
      <c r="V491" t="n">
        <v>31.6</v>
      </c>
      <c r="W491" t="inlineStr">
        <is>
          <t>569</t>
        </is>
      </c>
      <c r="X491" t="n">
        <v>26.2</v>
      </c>
      <c r="Y491" t="inlineStr">
        <is>
          <t>633</t>
        </is>
      </c>
      <c r="Z491" t="n">
        <v>9.5</v>
      </c>
      <c r="AA491" t="inlineStr">
        <is>
          <t>801+</t>
        </is>
      </c>
      <c r="AB491" t="n">
        <v>7.3</v>
      </c>
      <c r="AC491" t="inlineStr">
        <is>
          <t>801+</t>
        </is>
      </c>
      <c r="AD491" t="n">
        <v>60.4</v>
      </c>
      <c r="AE491" t="inlineStr">
        <is>
          <t>685</t>
        </is>
      </c>
      <c r="AF491" t="n">
        <v>21</v>
      </c>
      <c r="AG491" t="inlineStr">
        <is>
          <t>706</t>
        </is>
      </c>
      <c r="AH491" t="n">
        <v>43.4</v>
      </c>
      <c r="AI491" t="inlineStr">
        <is>
          <t>801+</t>
        </is>
      </c>
      <c r="AJ491" t="inlineStr">
        <is>
          <t>8.9</t>
        </is>
      </c>
      <c r="AK491" t="inlineStr">
        <is>
          <t>601+</t>
        </is>
      </c>
      <c r="AL491" t="inlineStr">
        <is>
          <t>8.0</t>
        </is>
      </c>
      <c r="AM491" t="inlineStr">
        <is>
          <t>601+</t>
        </is>
      </c>
      <c r="AN491" t="inlineStr">
        <is>
          <t>12.0</t>
        </is>
      </c>
      <c r="AO491" t="inlineStr">
        <is>
          <t>701+</t>
        </is>
      </c>
      <c r="AP491" t="inlineStr">
        <is>
          <t>20.0</t>
        </is>
      </c>
      <c r="AQ491" t="inlineStr">
        <is>
          <t>558</t>
        </is>
      </c>
      <c r="AR491" t="inlineStr">
        <is>
          <t>24.0</t>
        </is>
      </c>
      <c r="AS491" t="inlineStr">
        <is>
          <t>547</t>
        </is>
      </c>
      <c r="AT491" t="inlineStr">
        <is>
          <t>5.2</t>
        </is>
      </c>
      <c r="AU491" t="inlineStr">
        <is>
          <t>701+</t>
        </is>
      </c>
      <c r="AV491" t="inlineStr">
        <is>
          <t>19.0</t>
        </is>
      </c>
      <c r="AW491" t="inlineStr">
        <is>
          <t>550</t>
        </is>
      </c>
      <c r="AX491" t="inlineStr">
        <is>
          <t>13</t>
        </is>
      </c>
      <c r="AY491" t="inlineStr">
        <is>
          <t>660</t>
        </is>
      </c>
      <c r="AZ491" t="inlineStr">
        <is>
          <t>26.1</t>
        </is>
      </c>
      <c r="BA491" t="inlineStr">
        <is>
          <t>485=</t>
        </is>
      </c>
    </row>
    <row r="492">
      <c r="A492" t="inlineStr">
        <is>
          <t>Karaganda Buketov University</t>
        </is>
      </c>
      <c r="B492" t="inlineStr">
        <is>
          <t>Kazakhstan</t>
        </is>
      </c>
      <c r="C492" t="inlineStr">
        <is>
          <t>KZ</t>
        </is>
      </c>
      <c r="D492" t="inlineStr">
        <is>
          <t>Asia</t>
        </is>
      </c>
      <c r="E492" t="inlineStr">
        <is>
          <t>L</t>
        </is>
      </c>
      <c r="F492" t="inlineStr">
        <is>
          <t>CO</t>
        </is>
      </c>
      <c r="G492" t="inlineStr">
        <is>
          <t>MD</t>
        </is>
      </c>
      <c r="H492" t="inlineStr">
        <is>
          <t>4</t>
        </is>
      </c>
      <c r="I492" t="inlineStr">
        <is>
          <t>Private not for Profit</t>
        </is>
      </c>
      <c r="J492" t="inlineStr">
        <is>
          <t>901-950</t>
        </is>
      </c>
      <c r="K492" t="inlineStr">
        <is>
          <t>901-950</t>
        </is>
      </c>
      <c r="L492" t="inlineStr">
        <is>
          <t>851-900</t>
        </is>
      </c>
      <c r="M492" t="inlineStr">
        <is>
          <t>801-1000</t>
        </is>
      </c>
      <c r="N492" t="inlineStr">
        <is>
          <t>-</t>
        </is>
      </c>
      <c r="O492" t="inlineStr">
        <is>
          <t>-</t>
        </is>
      </c>
      <c r="P492" t="n">
        <v>17.6</v>
      </c>
      <c r="Q492" t="inlineStr">
        <is>
          <t>698</t>
        </is>
      </c>
      <c r="R492" t="n">
        <v>36.7</v>
      </c>
      <c r="S492" t="inlineStr">
        <is>
          <t>389</t>
        </is>
      </c>
      <c r="T492" t="n">
        <v>60</v>
      </c>
      <c r="U492" t="inlineStr">
        <is>
          <t>301</t>
        </is>
      </c>
      <c r="V492" t="n">
        <v>1.2</v>
      </c>
      <c r="W492" t="inlineStr">
        <is>
          <t>801+</t>
        </is>
      </c>
      <c r="X492" t="n">
        <v>14.5</v>
      </c>
      <c r="Y492" t="inlineStr">
        <is>
          <t>801+</t>
        </is>
      </c>
      <c r="Z492" t="n">
        <v>18.5</v>
      </c>
      <c r="AA492" t="inlineStr">
        <is>
          <t>754</t>
        </is>
      </c>
      <c r="AB492" t="n">
        <v>19.8</v>
      </c>
      <c r="AC492" t="inlineStr">
        <is>
          <t>766</t>
        </is>
      </c>
      <c r="AD492" t="n">
        <v>5.7</v>
      </c>
      <c r="AE492" t="inlineStr">
        <is>
          <t>801+</t>
        </is>
      </c>
      <c r="AF492" t="n">
        <v>10.5</v>
      </c>
      <c r="AG492" t="inlineStr">
        <is>
          <t>801+</t>
        </is>
      </c>
      <c r="AH492" t="n">
        <v>22.3</v>
      </c>
      <c r="AI492" t="inlineStr">
        <is>
          <t>801+</t>
        </is>
      </c>
      <c r="AJ492" t="inlineStr">
        <is>
          <t>13.7</t>
        </is>
      </c>
      <c r="AK492" t="inlineStr">
        <is>
          <t>601+</t>
        </is>
      </c>
      <c r="AL492" t="inlineStr">
        <is>
          <t>19.9</t>
        </is>
      </c>
      <c r="AM492" t="inlineStr">
        <is>
          <t>457</t>
        </is>
      </c>
      <c r="AN492" t="inlineStr">
        <is>
          <t>32.4</t>
        </is>
      </c>
      <c r="AO492" t="inlineStr">
        <is>
          <t>491</t>
        </is>
      </c>
      <c r="AP492" t="inlineStr">
        <is>
          <t>1.2</t>
        </is>
      </c>
      <c r="AQ492" t="inlineStr">
        <is>
          <t>701+</t>
        </is>
      </c>
      <c r="AR492" t="inlineStr">
        <is>
          <t>22.2</t>
        </is>
      </c>
      <c r="AS492" t="inlineStr">
        <is>
          <t>571</t>
        </is>
      </c>
      <c r="AT492" t="inlineStr">
        <is>
          <t>7.3</t>
        </is>
      </c>
      <c r="AU492" t="inlineStr">
        <is>
          <t>701+</t>
        </is>
      </c>
      <c r="AV492" t="inlineStr">
        <is>
          <t>1.0</t>
        </is>
      </c>
      <c r="AW492" t="inlineStr">
        <is>
          <t>701+</t>
        </is>
      </c>
      <c r="AX492" t="inlineStr">
        <is>
          <t>11.9</t>
        </is>
      </c>
      <c r="AY492" t="inlineStr">
        <is>
          <t>701+</t>
        </is>
      </c>
      <c r="AZ492" t="inlineStr">
        <is>
          <t>1</t>
        </is>
      </c>
      <c r="BA492" t="inlineStr">
        <is>
          <t>701+</t>
        </is>
      </c>
    </row>
    <row r="493">
      <c r="A493" t="inlineStr">
        <is>
          <t>Karaganda State Technical University</t>
        </is>
      </c>
      <c r="B493" t="inlineStr">
        <is>
          <t>Kazakhstan</t>
        </is>
      </c>
      <c r="C493" t="inlineStr">
        <is>
          <t>KZ</t>
        </is>
      </c>
      <c r="D493" t="inlineStr"/>
      <c r="E493" t="inlineStr">
        <is>
          <t>M</t>
        </is>
      </c>
      <c r="F493" t="inlineStr">
        <is>
          <t>FO</t>
        </is>
      </c>
      <c r="G493" t="inlineStr">
        <is>
          <t>HI</t>
        </is>
      </c>
      <c r="H493" t="inlineStr">
        <is>
          <t>4</t>
        </is>
      </c>
      <c r="I493" t="inlineStr">
        <is>
          <t>A</t>
        </is>
      </c>
      <c r="J493" t="inlineStr"/>
      <c r="K493" t="inlineStr"/>
      <c r="L493" t="inlineStr">
        <is>
          <t>801-850</t>
        </is>
      </c>
      <c r="M493" t="inlineStr">
        <is>
          <t>651-700</t>
        </is>
      </c>
      <c r="N493" t="inlineStr"/>
      <c r="O493" t="inlineStr">
        <is>
          <t>-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8.4</t>
        </is>
      </c>
      <c r="AK493" t="inlineStr">
        <is>
          <t>601+</t>
        </is>
      </c>
      <c r="AL493" t="inlineStr">
        <is>
          <t>6.8</t>
        </is>
      </c>
      <c r="AM493" t="inlineStr">
        <is>
          <t>601+</t>
        </is>
      </c>
      <c r="AN493" t="inlineStr">
        <is>
          <t>80.6</t>
        </is>
      </c>
      <c r="AO493" t="inlineStr">
        <is>
          <t>138</t>
        </is>
      </c>
      <c r="AP493" t="inlineStr">
        <is>
          <t>1.1</t>
        </is>
      </c>
      <c r="AQ493" t="inlineStr">
        <is>
          <t>701+</t>
        </is>
      </c>
      <c r="AR493" t="inlineStr">
        <is>
          <t>8.2</t>
        </is>
      </c>
      <c r="AS493" t="inlineStr">
        <is>
          <t>701+</t>
        </is>
      </c>
      <c r="AT493" t="inlineStr">
        <is>
          <t>18.4</t>
        </is>
      </c>
      <c r="AU493" t="inlineStr">
        <is>
          <t>569</t>
        </is>
      </c>
      <c r="AV493" t="inlineStr">
        <is>
          <t>1.0</t>
        </is>
      </c>
      <c r="AW493" t="inlineStr">
        <is>
          <t>701+</t>
        </is>
      </c>
      <c r="AX493" t="inlineStr">
        <is>
          <t>12.1</t>
        </is>
      </c>
      <c r="AY493" t="inlineStr">
        <is>
          <t>701+</t>
        </is>
      </c>
      <c r="AZ493" t="inlineStr">
        <is>
          <t>2.1</t>
        </is>
      </c>
      <c r="BA493" t="inlineStr">
        <is>
          <t>701+</t>
        </is>
      </c>
    </row>
    <row r="494">
      <c r="A494" t="inlineStr">
        <is>
          <t>Karl-Franzens-Universitaet Graz</t>
        </is>
      </c>
      <c r="B494" t="inlineStr">
        <is>
          <t>Austria</t>
        </is>
      </c>
      <c r="C494" t="inlineStr">
        <is>
          <t>AT</t>
        </is>
      </c>
      <c r="D494" t="inlineStr"/>
      <c r="E494" t="inlineStr">
        <is>
          <t>L</t>
        </is>
      </c>
      <c r="F494" t="inlineStr">
        <is>
          <t>CO</t>
        </is>
      </c>
      <c r="G494" t="inlineStr">
        <is>
          <t>VH</t>
        </is>
      </c>
      <c r="H494" t="inlineStr">
        <is>
          <t>5</t>
        </is>
      </c>
      <c r="I494" t="inlineStr">
        <is>
          <t>A</t>
        </is>
      </c>
      <c r="J494" t="inlineStr"/>
      <c r="K494" t="inlineStr"/>
      <c r="L494" t="inlineStr">
        <is>
          <t>661-670</t>
        </is>
      </c>
      <c r="M494" t="inlineStr">
        <is>
          <t>651-700</t>
        </is>
      </c>
      <c r="N494" t="inlineStr"/>
      <c r="O494" t="inlineStr">
        <is>
          <t>-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21.3</t>
        </is>
      </c>
      <c r="AK494" t="inlineStr">
        <is>
          <t>407</t>
        </is>
      </c>
      <c r="AL494" t="inlineStr">
        <is>
          <t>9.5</t>
        </is>
      </c>
      <c r="AM494" t="inlineStr">
        <is>
          <t>601+</t>
        </is>
      </c>
      <c r="AN494" t="inlineStr">
        <is>
          <t>12.3</t>
        </is>
      </c>
      <c r="AO494" t="inlineStr">
        <is>
          <t>701+</t>
        </is>
      </c>
      <c r="AP494" t="inlineStr">
        <is>
          <t>10.9</t>
        </is>
      </c>
      <c r="AQ494" t="inlineStr">
        <is>
          <t>701+</t>
        </is>
      </c>
      <c r="AR494" t="inlineStr">
        <is>
          <t>46.9</t>
        </is>
      </c>
      <c r="AS494" t="inlineStr">
        <is>
          <t>369</t>
        </is>
      </c>
      <c r="AT494" t="inlineStr">
        <is>
          <t>28.4</t>
        </is>
      </c>
      <c r="AU494" t="inlineStr">
        <is>
          <t>439</t>
        </is>
      </c>
      <c r="AV494" t="inlineStr">
        <is>
          <t>15.2</t>
        </is>
      </c>
      <c r="AW494" t="inlineStr">
        <is>
          <t>596</t>
        </is>
      </c>
      <c r="AX494" t="inlineStr">
        <is>
          <t>18.3</t>
        </is>
      </c>
      <c r="AY494" t="inlineStr">
        <is>
          <t>456</t>
        </is>
      </c>
      <c r="AZ494" t="inlineStr">
        <is>
          <t>19.2</t>
        </is>
      </c>
      <c r="BA494" t="inlineStr">
        <is>
          <t>549=</t>
        </is>
      </c>
    </row>
    <row r="495">
      <c r="A495" t="inlineStr">
        <is>
          <t>Karl-Franzens-Universität Graz</t>
        </is>
      </c>
      <c r="B495" t="inlineStr">
        <is>
          <t>Austria</t>
        </is>
      </c>
      <c r="C495" t="inlineStr"/>
      <c r="D495" t="inlineStr">
        <is>
          <t>Europe</t>
        </is>
      </c>
      <c r="E495" t="inlineStr">
        <is>
          <t>L</t>
        </is>
      </c>
      <c r="F495" t="inlineStr">
        <is>
          <t>FO</t>
        </is>
      </c>
      <c r="G495" t="inlineStr">
        <is>
          <t>VH</t>
        </is>
      </c>
      <c r="H495" t="inlineStr"/>
      <c r="I495" t="inlineStr">
        <is>
          <t>Public</t>
        </is>
      </c>
      <c r="J495" t="inlineStr">
        <is>
          <t>668</t>
        </is>
      </c>
      <c r="K495" t="inlineStr">
        <is>
          <t>671-680</t>
        </is>
      </c>
      <c r="L495" t="inlineStr"/>
      <c r="M495" t="inlineStr"/>
      <c r="N495" t="inlineStr">
        <is>
          <t>26.3</t>
        </is>
      </c>
      <c r="O495" t="inlineStr"/>
      <c r="P495" t="n">
        <v>26.8</v>
      </c>
      <c r="Q495" t="inlineStr">
        <is>
          <t>469</t>
        </is>
      </c>
      <c r="R495" t="n">
        <v>13.1</v>
      </c>
      <c r="S495" t="inlineStr">
        <is>
          <t>701+</t>
        </is>
      </c>
      <c r="T495" t="n">
        <v>18.9</v>
      </c>
      <c r="U495" t="inlineStr">
        <is>
          <t>801+</t>
        </is>
      </c>
      <c r="V495" t="n">
        <v>13.6</v>
      </c>
      <c r="W495" t="inlineStr">
        <is>
          <t>801+</t>
        </is>
      </c>
      <c r="X495" t="n">
        <v>53.4</v>
      </c>
      <c r="Y495" t="inlineStr">
        <is>
          <t>424</t>
        </is>
      </c>
      <c r="Z495" t="n">
        <v>38.6</v>
      </c>
      <c r="AA495" t="inlineStr">
        <is>
          <t>511</t>
        </is>
      </c>
      <c r="AB495" t="n">
        <v>28.9</v>
      </c>
      <c r="AC495" t="inlineStr">
        <is>
          <t>628</t>
        </is>
      </c>
      <c r="AD495" t="n">
        <v>70.3</v>
      </c>
      <c r="AE495" t="inlineStr">
        <is>
          <t>524</t>
        </is>
      </c>
      <c r="AF495" t="n">
        <v>44</v>
      </c>
      <c r="AG495" t="inlineStr">
        <is>
          <t>403</t>
        </is>
      </c>
      <c r="AH495" t="n">
        <v>52.7</v>
      </c>
      <c r="AI495" t="inlineStr">
        <is>
          <t>652=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inlineStr">
        <is>
          <t>Karlsruhe Institute of Technology (KIT)</t>
        </is>
      </c>
      <c r="B496" t="inlineStr">
        <is>
          <t>Germany</t>
        </is>
      </c>
      <c r="C496" t="inlineStr"/>
      <c r="D496" t="inlineStr">
        <is>
          <t>Europe</t>
        </is>
      </c>
      <c r="E496" t="inlineStr">
        <is>
          <t>L</t>
        </is>
      </c>
      <c r="F496" t="inlineStr">
        <is>
          <t>FO</t>
        </is>
      </c>
      <c r="G496" t="inlineStr">
        <is>
          <t>VH</t>
        </is>
      </c>
      <c r="H496" t="inlineStr"/>
      <c r="I496" t="inlineStr">
        <is>
          <t>Public</t>
        </is>
      </c>
      <c r="J496" t="inlineStr">
        <is>
          <t>98</t>
        </is>
      </c>
      <c r="K496" t="inlineStr">
        <is>
          <t>102</t>
        </is>
      </c>
      <c r="L496" t="inlineStr"/>
      <c r="M496" t="inlineStr"/>
      <c r="N496" t="inlineStr">
        <is>
          <t>69.1</t>
        </is>
      </c>
      <c r="O496" t="inlineStr"/>
      <c r="P496" t="n">
        <v>57.1</v>
      </c>
      <c r="Q496" t="inlineStr">
        <is>
          <t>194</t>
        </is>
      </c>
      <c r="R496" t="n">
        <v>87.40000000000001</v>
      </c>
      <c r="S496" t="inlineStr">
        <is>
          <t>82</t>
        </is>
      </c>
      <c r="T496" t="n">
        <v>48.9</v>
      </c>
      <c r="U496" t="inlineStr">
        <is>
          <t>397</t>
        </is>
      </c>
      <c r="V496" t="n">
        <v>77.09999999999999</v>
      </c>
      <c r="W496" t="inlineStr">
        <is>
          <t>168</t>
        </is>
      </c>
      <c r="X496" t="n">
        <v>83.8</v>
      </c>
      <c r="Y496" t="inlineStr">
        <is>
          <t>265</t>
        </is>
      </c>
      <c r="Z496" t="n">
        <v>56.9</v>
      </c>
      <c r="AA496" t="inlineStr">
        <is>
          <t>363</t>
        </is>
      </c>
      <c r="AB496" t="n">
        <v>61.1</v>
      </c>
      <c r="AC496" t="inlineStr">
        <is>
          <t>330</t>
        </is>
      </c>
      <c r="AD496" t="n">
        <v>86.90000000000001</v>
      </c>
      <c r="AE496" t="inlineStr">
        <is>
          <t>219</t>
        </is>
      </c>
      <c r="AF496" t="n">
        <v>61.5</v>
      </c>
      <c r="AG496" t="inlineStr">
        <is>
          <t>254</t>
        </is>
      </c>
      <c r="AH496" t="n">
        <v>79.5</v>
      </c>
      <c r="AI496" t="inlineStr">
        <is>
          <t>180=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</row>
    <row r="497">
      <c r="A497" t="inlineStr">
        <is>
          <t>Kasetsart University</t>
        </is>
      </c>
      <c r="B497" t="inlineStr">
        <is>
          <t>Thailand</t>
        </is>
      </c>
      <c r="C497" t="inlineStr">
        <is>
          <t>TH</t>
        </is>
      </c>
      <c r="D497" t="inlineStr">
        <is>
          <t>Asia</t>
        </is>
      </c>
      <c r="E497" t="inlineStr">
        <is>
          <t>XL</t>
        </is>
      </c>
      <c r="F497" t="inlineStr">
        <is>
          <t>CO</t>
        </is>
      </c>
      <c r="G497" t="inlineStr">
        <is>
          <t>VH</t>
        </is>
      </c>
      <c r="H497" t="inlineStr">
        <is>
          <t>4</t>
        </is>
      </c>
      <c r="I497" t="inlineStr">
        <is>
          <t>Public</t>
        </is>
      </c>
      <c r="J497" t="inlineStr">
        <is>
          <t>701-710</t>
        </is>
      </c>
      <c r="K497" t="inlineStr">
        <is>
          <t>781-790</t>
        </is>
      </c>
      <c r="L497" t="inlineStr">
        <is>
          <t>751-760</t>
        </is>
      </c>
      <c r="M497" t="inlineStr">
        <is>
          <t>801-1000</t>
        </is>
      </c>
      <c r="N497" t="inlineStr">
        <is>
          <t>-</t>
        </is>
      </c>
      <c r="O497" t="inlineStr">
        <is>
          <t>-</t>
        </is>
      </c>
      <c r="P497" t="n">
        <v>37.4</v>
      </c>
      <c r="Q497" t="inlineStr">
        <is>
          <t>320</t>
        </is>
      </c>
      <c r="R497" t="n">
        <v>37.1</v>
      </c>
      <c r="S497" t="inlineStr">
        <is>
          <t>383</t>
        </is>
      </c>
      <c r="T497" t="n">
        <v>10.3</v>
      </c>
      <c r="U497" t="inlineStr">
        <is>
          <t>801+</t>
        </is>
      </c>
      <c r="V497" t="n">
        <v>4.6</v>
      </c>
      <c r="W497" t="inlineStr">
        <is>
          <t>801+</t>
        </is>
      </c>
      <c r="X497" t="n">
        <v>7.7</v>
      </c>
      <c r="Y497" t="inlineStr">
        <is>
          <t>801+</t>
        </is>
      </c>
      <c r="Z497" t="n">
        <v>1.7</v>
      </c>
      <c r="AA497" t="inlineStr">
        <is>
          <t>801+</t>
        </is>
      </c>
      <c r="AB497" t="n">
        <v>6.2</v>
      </c>
      <c r="AC497" t="inlineStr">
        <is>
          <t>801+</t>
        </is>
      </c>
      <c r="AD497" t="n">
        <v>46.2</v>
      </c>
      <c r="AE497" t="inlineStr">
        <is>
          <t>801+</t>
        </is>
      </c>
      <c r="AF497" t="n">
        <v>31.2</v>
      </c>
      <c r="AG497" t="inlineStr">
        <is>
          <t>534</t>
        </is>
      </c>
      <c r="AH497" t="n">
        <v>60.8</v>
      </c>
      <c r="AI497" t="inlineStr">
        <is>
          <t>491=</t>
        </is>
      </c>
      <c r="AJ497" t="inlineStr">
        <is>
          <t>24.3</t>
        </is>
      </c>
      <c r="AK497" t="inlineStr">
        <is>
          <t>356</t>
        </is>
      </c>
      <c r="AL497" t="inlineStr">
        <is>
          <t>21.8</t>
        </is>
      </c>
      <c r="AM497" t="inlineStr">
        <is>
          <t>431</t>
        </is>
      </c>
      <c r="AN497" t="inlineStr">
        <is>
          <t>6.2</t>
        </is>
      </c>
      <c r="AO497" t="inlineStr">
        <is>
          <t>701+</t>
        </is>
      </c>
      <c r="AP497" t="inlineStr">
        <is>
          <t>2.5</t>
        </is>
      </c>
      <c r="AQ497" t="inlineStr">
        <is>
          <t>701+</t>
        </is>
      </c>
      <c r="AR497" t="inlineStr">
        <is>
          <t>4.8</t>
        </is>
      </c>
      <c r="AS497" t="inlineStr">
        <is>
          <t>701+</t>
        </is>
      </c>
      <c r="AT497" t="inlineStr">
        <is>
          <t>1.3</t>
        </is>
      </c>
      <c r="AU497" t="inlineStr">
        <is>
          <t>701+</t>
        </is>
      </c>
      <c r="AV497" t="inlineStr">
        <is>
          <t>5.2</t>
        </is>
      </c>
      <c r="AW497" t="inlineStr">
        <is>
          <t>701+</t>
        </is>
      </c>
      <c r="AX497" t="inlineStr">
        <is>
          <t>19.3</t>
        </is>
      </c>
      <c r="AY497" t="inlineStr">
        <is>
          <t>435</t>
        </is>
      </c>
      <c r="AZ497" t="inlineStr">
        <is>
          <t>51.5</t>
        </is>
      </c>
      <c r="BA497" t="inlineStr">
        <is>
          <t>297=</t>
        </is>
      </c>
    </row>
    <row r="498">
      <c r="A498" t="inlineStr">
        <is>
          <t>Kaunas University of Technology</t>
        </is>
      </c>
      <c r="B498" t="inlineStr">
        <is>
          <t>Lithuania</t>
        </is>
      </c>
      <c r="C498" t="inlineStr">
        <is>
          <t>LT</t>
        </is>
      </c>
      <c r="D498" t="inlineStr">
        <is>
          <t>Europe</t>
        </is>
      </c>
      <c r="E498" t="inlineStr">
        <is>
          <t>M</t>
        </is>
      </c>
      <c r="F498" t="inlineStr">
        <is>
          <t>FO</t>
        </is>
      </c>
      <c r="G498" t="inlineStr">
        <is>
          <t>VH</t>
        </is>
      </c>
      <c r="H498" t="inlineStr">
        <is>
          <t>5</t>
        </is>
      </c>
      <c r="I498" t="inlineStr">
        <is>
          <t>Public</t>
        </is>
      </c>
      <c r="J498" t="inlineStr">
        <is>
          <t>741-750</t>
        </is>
      </c>
      <c r="K498" t="inlineStr">
        <is>
          <t>751-760</t>
        </is>
      </c>
      <c r="L498" t="inlineStr">
        <is>
          <t>801-850</t>
        </is>
      </c>
      <c r="M498" t="inlineStr">
        <is>
          <t>801-1000</t>
        </is>
      </c>
      <c r="N498" t="inlineStr">
        <is>
          <t>-</t>
        </is>
      </c>
      <c r="O498" t="inlineStr">
        <is>
          <t>-</t>
        </is>
      </c>
      <c r="P498" t="n">
        <v>15.1</v>
      </c>
      <c r="Q498" t="inlineStr">
        <is>
          <t>701+</t>
        </is>
      </c>
      <c r="R498" t="n">
        <v>22</v>
      </c>
      <c r="S498" t="inlineStr">
        <is>
          <t>602</t>
        </is>
      </c>
      <c r="T498" t="n">
        <v>37.9</v>
      </c>
      <c r="U498" t="inlineStr">
        <is>
          <t>533</t>
        </is>
      </c>
      <c r="V498" t="n">
        <v>17.5</v>
      </c>
      <c r="W498" t="inlineStr">
        <is>
          <t>761</t>
        </is>
      </c>
      <c r="X498" t="n">
        <v>4.8</v>
      </c>
      <c r="Y498" t="inlineStr">
        <is>
          <t>801+</t>
        </is>
      </c>
      <c r="Z498" t="n">
        <v>40</v>
      </c>
      <c r="AA498" t="inlineStr">
        <is>
          <t>489</t>
        </is>
      </c>
      <c r="AB498" t="n">
        <v>45.4</v>
      </c>
      <c r="AC498" t="inlineStr">
        <is>
          <t>458</t>
        </is>
      </c>
      <c r="AD498" t="n">
        <v>68.59999999999999</v>
      </c>
      <c r="AE498" t="inlineStr">
        <is>
          <t>556</t>
        </is>
      </c>
      <c r="AF498" t="n">
        <v>29</v>
      </c>
      <c r="AG498" t="inlineStr">
        <is>
          <t>570</t>
        </is>
      </c>
      <c r="AH498" t="n">
        <v>58.9</v>
      </c>
      <c r="AI498" t="inlineStr">
        <is>
          <t>521=</t>
        </is>
      </c>
      <c r="AJ498" t="inlineStr">
        <is>
          <t>11.3</t>
        </is>
      </c>
      <c r="AK498" t="inlineStr">
        <is>
          <t>601+</t>
        </is>
      </c>
      <c r="AL498" t="inlineStr">
        <is>
          <t>21.8</t>
        </is>
      </c>
      <c r="AM498" t="inlineStr">
        <is>
          <t>430</t>
        </is>
      </c>
      <c r="AN498" t="inlineStr">
        <is>
          <t>31.5</t>
        </is>
      </c>
      <c r="AO498" t="inlineStr">
        <is>
          <t>499</t>
        </is>
      </c>
      <c r="AP498" t="inlineStr">
        <is>
          <t>6.8</t>
        </is>
      </c>
      <c r="AQ498" t="inlineStr">
        <is>
          <t>701+</t>
        </is>
      </c>
      <c r="AR498" t="inlineStr">
        <is>
          <t>3.3</t>
        </is>
      </c>
      <c r="AS498" t="inlineStr">
        <is>
          <t>701+</t>
        </is>
      </c>
      <c r="AT498" t="inlineStr">
        <is>
          <t>24.1</t>
        </is>
      </c>
      <c r="AU498" t="inlineStr">
        <is>
          <t>486</t>
        </is>
      </c>
      <c r="AV498" t="inlineStr">
        <is>
          <t>16.9</t>
        </is>
      </c>
      <c r="AW498" t="inlineStr">
        <is>
          <t>575</t>
        </is>
      </c>
      <c r="AX498" t="inlineStr">
        <is>
          <t>8.4</t>
        </is>
      </c>
      <c r="AY498" t="inlineStr">
        <is>
          <t>701+</t>
        </is>
      </c>
      <c r="AZ498" t="inlineStr">
        <is>
          <t>1.9</t>
        </is>
      </c>
      <c r="BA498" t="inlineStr">
        <is>
          <t>701+</t>
        </is>
      </c>
    </row>
    <row r="499">
      <c r="A499" t="inlineStr">
        <is>
          <t>Kazakh Ablai khan University of International Relations and World Languages</t>
        </is>
      </c>
      <c r="B499" t="inlineStr">
        <is>
          <t>Kazakhstan</t>
        </is>
      </c>
      <c r="C499" t="inlineStr">
        <is>
          <t>KZ</t>
        </is>
      </c>
      <c r="D499" t="inlineStr">
        <is>
          <t>Asia</t>
        </is>
      </c>
      <c r="E499" t="inlineStr">
        <is>
          <t>M</t>
        </is>
      </c>
      <c r="F499" t="inlineStr">
        <is>
          <t>SP</t>
        </is>
      </c>
      <c r="G499" t="inlineStr">
        <is>
          <t>LO</t>
        </is>
      </c>
      <c r="H499" t="inlineStr">
        <is>
          <t>4</t>
        </is>
      </c>
      <c r="I499" t="inlineStr">
        <is>
          <t>Public</t>
        </is>
      </c>
      <c r="J499" t="inlineStr">
        <is>
          <t>1201-1400</t>
        </is>
      </c>
      <c r="K499" t="inlineStr">
        <is>
          <t>1201-1400</t>
        </is>
      </c>
      <c r="L499" t="inlineStr">
        <is>
          <t>1001-1200</t>
        </is>
      </c>
      <c r="M499" t="inlineStr">
        <is>
          <t>1001-1200</t>
        </is>
      </c>
      <c r="N499" t="inlineStr">
        <is>
          <t>-</t>
        </is>
      </c>
      <c r="O499" t="inlineStr">
        <is>
          <t>-</t>
        </is>
      </c>
      <c r="P499" t="n">
        <v>10.4</v>
      </c>
      <c r="Q499" t="inlineStr">
        <is>
          <t>701+</t>
        </is>
      </c>
      <c r="R499" t="n">
        <v>16.7</v>
      </c>
      <c r="S499" t="inlineStr">
        <is>
          <t>701+</t>
        </is>
      </c>
      <c r="T499" t="n">
        <v>54.1</v>
      </c>
      <c r="U499" t="inlineStr">
        <is>
          <t>348</t>
        </is>
      </c>
      <c r="V499" t="n">
        <v>1</v>
      </c>
      <c r="W499" t="inlineStr">
        <is>
          <t>801+</t>
        </is>
      </c>
      <c r="X499" t="n">
        <v>9.9</v>
      </c>
      <c r="Y499" t="inlineStr">
        <is>
          <t>801+</t>
        </is>
      </c>
      <c r="Z499" t="n">
        <v>8.699999999999999</v>
      </c>
      <c r="AA499" t="inlineStr">
        <is>
          <t>801+</t>
        </is>
      </c>
      <c r="AB499" t="n">
        <v>11.8</v>
      </c>
      <c r="AC499" t="inlineStr">
        <is>
          <t>801+</t>
        </is>
      </c>
      <c r="AD499" t="n">
        <v>1.3</v>
      </c>
      <c r="AE499" t="inlineStr">
        <is>
          <t>801+</t>
        </is>
      </c>
      <c r="AF499" t="n">
        <v>4.2</v>
      </c>
      <c r="AG499" t="inlineStr">
        <is>
          <t>801+</t>
        </is>
      </c>
      <c r="AH499" t="inlineStr"/>
      <c r="AI499" t="inlineStr"/>
      <c r="AJ499" t="inlineStr">
        <is>
          <t>6.5</t>
        </is>
      </c>
      <c r="AK499" t="inlineStr">
        <is>
          <t>601+</t>
        </is>
      </c>
      <c r="AL499" t="inlineStr">
        <is>
          <t>6.7</t>
        </is>
      </c>
      <c r="AM499" t="inlineStr">
        <is>
          <t>601+</t>
        </is>
      </c>
      <c r="AN499" t="inlineStr">
        <is>
          <t>35.5</t>
        </is>
      </c>
      <c r="AO499" t="inlineStr">
        <is>
          <t>448</t>
        </is>
      </c>
      <c r="AP499" t="inlineStr">
        <is>
          <t>1.0</t>
        </is>
      </c>
      <c r="AQ499" t="inlineStr">
        <is>
          <t>701+</t>
        </is>
      </c>
      <c r="AR499" t="inlineStr">
        <is>
          <t>6.7</t>
        </is>
      </c>
      <c r="AS499" t="inlineStr">
        <is>
          <t>701+</t>
        </is>
      </c>
      <c r="AT499" t="inlineStr">
        <is>
          <t>4.4</t>
        </is>
      </c>
      <c r="AU499" t="inlineStr">
        <is>
          <t>701+</t>
        </is>
      </c>
      <c r="AV499" t="inlineStr">
        <is>
          <t>1.0</t>
        </is>
      </c>
      <c r="AW499" t="inlineStr">
        <is>
          <t>701+</t>
        </is>
      </c>
      <c r="AX499" t="inlineStr">
        <is>
          <t>12.1</t>
        </is>
      </c>
      <c r="AY499" t="inlineStr">
        <is>
          <t>701+</t>
        </is>
      </c>
      <c r="AZ499" t="inlineStr">
        <is>
          <t>1.8</t>
        </is>
      </c>
      <c r="BA499" t="inlineStr">
        <is>
          <t>701+</t>
        </is>
      </c>
    </row>
    <row r="500">
      <c r="A500" t="inlineStr">
        <is>
          <t>Kazakh-British Technical University</t>
        </is>
      </c>
      <c r="B500" t="inlineStr">
        <is>
          <t>Kazakhstan</t>
        </is>
      </c>
      <c r="C500" t="inlineStr">
        <is>
          <t>KZ</t>
        </is>
      </c>
      <c r="D500" t="inlineStr">
        <is>
          <t>Asia</t>
        </is>
      </c>
      <c r="E500" t="inlineStr">
        <is>
          <t>M</t>
        </is>
      </c>
      <c r="F500" t="inlineStr">
        <is>
          <t>FO</t>
        </is>
      </c>
      <c r="G500" t="inlineStr">
        <is>
          <t>HI</t>
        </is>
      </c>
      <c r="H500" t="inlineStr">
        <is>
          <t>2</t>
        </is>
      </c>
      <c r="I500" t="inlineStr">
        <is>
          <t>Public</t>
        </is>
      </c>
      <c r="J500" t="inlineStr">
        <is>
          <t>1001-1200</t>
        </is>
      </c>
      <c r="K500" t="inlineStr">
        <is>
          <t>1001-1200</t>
        </is>
      </c>
      <c r="L500" t="inlineStr">
        <is>
          <t>1001-1200</t>
        </is>
      </c>
      <c r="M500" t="inlineStr">
        <is>
          <t>801-1000</t>
        </is>
      </c>
      <c r="N500" t="inlineStr">
        <is>
          <t>-</t>
        </is>
      </c>
      <c r="O500" t="inlineStr">
        <is>
          <t>-</t>
        </is>
      </c>
      <c r="P500" t="n">
        <v>15.9</v>
      </c>
      <c r="Q500" t="inlineStr">
        <is>
          <t>701+</t>
        </is>
      </c>
      <c r="R500" t="n">
        <v>41.9</v>
      </c>
      <c r="S500" t="inlineStr">
        <is>
          <t>321</t>
        </is>
      </c>
      <c r="T500" t="n">
        <v>17.8</v>
      </c>
      <c r="U500" t="inlineStr">
        <is>
          <t>801+</t>
        </is>
      </c>
      <c r="V500" t="n">
        <v>2.6</v>
      </c>
      <c r="W500" t="inlineStr">
        <is>
          <t>801+</t>
        </is>
      </c>
      <c r="X500" t="n">
        <v>15.3</v>
      </c>
      <c r="Y500" t="inlineStr">
        <is>
          <t>801+</t>
        </is>
      </c>
      <c r="Z500" t="n">
        <v>4.1</v>
      </c>
      <c r="AA500" t="inlineStr">
        <is>
          <t>801+</t>
        </is>
      </c>
      <c r="AB500" t="n">
        <v>8.199999999999999</v>
      </c>
      <c r="AC500" t="inlineStr">
        <is>
          <t>801+</t>
        </is>
      </c>
      <c r="AD500" t="n">
        <v>13.9</v>
      </c>
      <c r="AE500" t="inlineStr">
        <is>
          <t>801+</t>
        </is>
      </c>
      <c r="AF500" t="n">
        <v>4.3</v>
      </c>
      <c r="AG500" t="inlineStr">
        <is>
          <t>801+</t>
        </is>
      </c>
      <c r="AH500" t="n">
        <v>32.7</v>
      </c>
      <c r="AI500" t="inlineStr">
        <is>
          <t>801+</t>
        </is>
      </c>
      <c r="AJ500" t="inlineStr">
        <is>
          <t>13.1</t>
        </is>
      </c>
      <c r="AK500" t="inlineStr">
        <is>
          <t>601+</t>
        </is>
      </c>
      <c r="AL500" t="inlineStr">
        <is>
          <t>22.6</t>
        </is>
      </c>
      <c r="AM500" t="inlineStr">
        <is>
          <t>420</t>
        </is>
      </c>
      <c r="AN500" t="inlineStr">
        <is>
          <t>20.0</t>
        </is>
      </c>
      <c r="AO500" t="inlineStr">
        <is>
          <t>666</t>
        </is>
      </c>
      <c r="AP500" t="inlineStr">
        <is>
          <t>1.4</t>
        </is>
      </c>
      <c r="AQ500" t="inlineStr">
        <is>
          <t>701+</t>
        </is>
      </c>
      <c r="AR500" t="inlineStr">
        <is>
          <t>5.3</t>
        </is>
      </c>
      <c r="AS500" t="inlineStr">
        <is>
          <t>701+</t>
        </is>
      </c>
      <c r="AT500" t="inlineStr">
        <is>
          <t>2.1</t>
        </is>
      </c>
      <c r="AU500" t="inlineStr">
        <is>
          <t>701+</t>
        </is>
      </c>
      <c r="AV500" t="inlineStr">
        <is>
          <t>1.0</t>
        </is>
      </c>
      <c r="AW500" t="inlineStr">
        <is>
          <t>701+</t>
        </is>
      </c>
      <c r="AX500" t="inlineStr">
        <is>
          <t>12.2</t>
        </is>
      </c>
      <c r="AY500" t="inlineStr">
        <is>
          <t>701+</t>
        </is>
      </c>
      <c r="AZ500" t="inlineStr">
        <is>
          <t>1</t>
        </is>
      </c>
      <c r="BA500" t="inlineStr">
        <is>
          <t>701+</t>
        </is>
      </c>
    </row>
    <row r="501">
      <c r="A501" t="inlineStr">
        <is>
          <t>Kazakh National Agrarian University</t>
        </is>
      </c>
      <c r="B501" t="inlineStr">
        <is>
          <t>Kazakhstan</t>
        </is>
      </c>
      <c r="C501" t="inlineStr"/>
      <c r="D501" t="inlineStr">
        <is>
          <t>Asia</t>
        </is>
      </c>
      <c r="E501" t="inlineStr">
        <is>
          <t>M</t>
        </is>
      </c>
      <c r="F501" t="inlineStr">
        <is>
          <t>SP</t>
        </is>
      </c>
      <c r="G501" t="inlineStr">
        <is>
          <t>MD</t>
        </is>
      </c>
      <c r="H501" t="inlineStr"/>
      <c r="I501" t="inlineStr">
        <is>
          <t>Public</t>
        </is>
      </c>
      <c r="J501" t="inlineStr">
        <is>
          <t>697</t>
        </is>
      </c>
      <c r="K501" t="inlineStr">
        <is>
          <t>671-680</t>
        </is>
      </c>
      <c r="L501" t="inlineStr"/>
      <c r="M501" t="inlineStr"/>
      <c r="N501" t="inlineStr">
        <is>
          <t>25.1</t>
        </is>
      </c>
      <c r="O501" t="inlineStr"/>
      <c r="P501" t="n">
        <v>22.8</v>
      </c>
      <c r="Q501" t="inlineStr">
        <is>
          <t>550</t>
        </is>
      </c>
      <c r="R501" t="n">
        <v>27.7</v>
      </c>
      <c r="S501" t="inlineStr">
        <is>
          <t>499</t>
        </is>
      </c>
      <c r="T501" t="n">
        <v>92.59999999999999</v>
      </c>
      <c r="U501" t="inlineStr">
        <is>
          <t>91</t>
        </is>
      </c>
      <c r="V501" t="n">
        <v>1.4</v>
      </c>
      <c r="W501" t="inlineStr">
        <is>
          <t>801+</t>
        </is>
      </c>
      <c r="X501" t="n">
        <v>26.2</v>
      </c>
      <c r="Y501" t="inlineStr">
        <is>
          <t>634</t>
        </is>
      </c>
      <c r="Z501" t="n">
        <v>39.2</v>
      </c>
      <c r="AA501" t="inlineStr">
        <is>
          <t>499</t>
        </is>
      </c>
      <c r="AB501" t="n">
        <v>35.2</v>
      </c>
      <c r="AC501" t="inlineStr">
        <is>
          <t>550</t>
        </is>
      </c>
      <c r="AD501" t="n">
        <v>7.7</v>
      </c>
      <c r="AE501" t="inlineStr">
        <is>
          <t>801+</t>
        </is>
      </c>
      <c r="AF501" t="n">
        <v>4.3</v>
      </c>
      <c r="AG501" t="inlineStr">
        <is>
          <t>801+</t>
        </is>
      </c>
      <c r="AH501" t="n">
        <v>38.7</v>
      </c>
      <c r="AI501" t="inlineStr">
        <is>
          <t>801+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</row>
    <row r="502">
      <c r="A502" t="inlineStr">
        <is>
          <t>Kazakh National Agrarian University KazNAU</t>
        </is>
      </c>
      <c r="B502" t="inlineStr">
        <is>
          <t>Kazakhstan</t>
        </is>
      </c>
      <c r="C502" t="inlineStr">
        <is>
          <t>KZ</t>
        </is>
      </c>
      <c r="D502" t="inlineStr"/>
      <c r="E502" t="inlineStr">
        <is>
          <t>M</t>
        </is>
      </c>
      <c r="F502" t="inlineStr">
        <is>
          <t>SP</t>
        </is>
      </c>
      <c r="G502" t="inlineStr"/>
      <c r="H502" t="inlineStr">
        <is>
          <t>4</t>
        </is>
      </c>
      <c r="I502" t="inlineStr">
        <is>
          <t>A</t>
        </is>
      </c>
      <c r="J502" t="inlineStr"/>
      <c r="K502" t="inlineStr"/>
      <c r="L502" t="inlineStr">
        <is>
          <t>641-650</t>
        </is>
      </c>
      <c r="M502" t="inlineStr">
        <is>
          <t>481=</t>
        </is>
      </c>
      <c r="N502" t="inlineStr"/>
      <c r="O502" t="inlineStr">
        <is>
          <t>-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17.4</t>
        </is>
      </c>
      <c r="AK502" t="inlineStr">
        <is>
          <t>510</t>
        </is>
      </c>
      <c r="AL502" t="inlineStr">
        <is>
          <t>13.1</t>
        </is>
      </c>
      <c r="AM502" t="inlineStr">
        <is>
          <t>601+</t>
        </is>
      </c>
      <c r="AN502" t="inlineStr">
        <is>
          <t>79.8</t>
        </is>
      </c>
      <c r="AO502" t="inlineStr">
        <is>
          <t>139</t>
        </is>
      </c>
      <c r="AP502" t="inlineStr">
        <is>
          <t>1.1</t>
        </is>
      </c>
      <c r="AQ502" t="inlineStr">
        <is>
          <t>701+</t>
        </is>
      </c>
      <c r="AR502" t="inlineStr">
        <is>
          <t>20.2</t>
        </is>
      </c>
      <c r="AS502" t="inlineStr">
        <is>
          <t>588</t>
        </is>
      </c>
      <c r="AT502" t="inlineStr">
        <is>
          <t>24.3</t>
        </is>
      </c>
      <c r="AU502" t="inlineStr">
        <is>
          <t>481</t>
        </is>
      </c>
      <c r="AV502" t="inlineStr">
        <is>
          <t>1.0</t>
        </is>
      </c>
      <c r="AW502" t="inlineStr">
        <is>
          <t>701+</t>
        </is>
      </c>
      <c r="AX502" t="inlineStr">
        <is>
          <t>11.8</t>
        </is>
      </c>
      <c r="AY502" t="inlineStr">
        <is>
          <t>701+</t>
        </is>
      </c>
      <c r="AZ502" t="inlineStr">
        <is>
          <t>1.1</t>
        </is>
      </c>
      <c r="BA502" t="inlineStr">
        <is>
          <t>701+</t>
        </is>
      </c>
    </row>
    <row r="503">
      <c r="A503" t="inlineStr">
        <is>
          <t>Kazakh National Pedagogical University Abai</t>
        </is>
      </c>
      <c r="B503" t="inlineStr">
        <is>
          <t>Kazakhstan</t>
        </is>
      </c>
      <c r="C503" t="inlineStr"/>
      <c r="D503" t="inlineStr">
        <is>
          <t>Asia</t>
        </is>
      </c>
      <c r="E503" t="inlineStr">
        <is>
          <t>L</t>
        </is>
      </c>
      <c r="F503" t="inlineStr">
        <is>
          <t>CO</t>
        </is>
      </c>
      <c r="G503" t="inlineStr">
        <is>
          <t>MD</t>
        </is>
      </c>
      <c r="H503" t="inlineStr"/>
      <c r="I503" t="inlineStr">
        <is>
          <t>Public</t>
        </is>
      </c>
      <c r="J503" t="inlineStr">
        <is>
          <t>628</t>
        </is>
      </c>
      <c r="K503" t="inlineStr">
        <is>
          <t>671-680</t>
        </is>
      </c>
      <c r="L503" t="inlineStr"/>
      <c r="M503" t="inlineStr"/>
      <c r="N503" t="inlineStr">
        <is>
          <t>27.4</t>
        </is>
      </c>
      <c r="O503" t="inlineStr"/>
      <c r="P503" t="n">
        <v>31.7</v>
      </c>
      <c r="Q503" t="inlineStr">
        <is>
          <t>387</t>
        </is>
      </c>
      <c r="R503" t="n">
        <v>34.9</v>
      </c>
      <c r="S503" t="inlineStr">
        <is>
          <t>409</t>
        </is>
      </c>
      <c r="T503" t="n">
        <v>71.2</v>
      </c>
      <c r="U503" t="inlineStr">
        <is>
          <t>217</t>
        </is>
      </c>
      <c r="V503" t="n">
        <v>1.3</v>
      </c>
      <c r="W503" t="inlineStr">
        <is>
          <t>801+</t>
        </is>
      </c>
      <c r="X503" t="n">
        <v>55.4</v>
      </c>
      <c r="Y503" t="inlineStr">
        <is>
          <t>409</t>
        </is>
      </c>
      <c r="Z503" t="n">
        <v>13.5</v>
      </c>
      <c r="AA503" t="inlineStr">
        <is>
          <t>801+</t>
        </is>
      </c>
      <c r="AB503" t="n">
        <v>15.7</v>
      </c>
      <c r="AC503" t="inlineStr">
        <is>
          <t>801+</t>
        </is>
      </c>
      <c r="AD503" t="n">
        <v>9</v>
      </c>
      <c r="AE503" t="inlineStr">
        <is>
          <t>801+</t>
        </is>
      </c>
      <c r="AF503" t="n">
        <v>16.6</v>
      </c>
      <c r="AG503" t="inlineStr">
        <is>
          <t>792</t>
        </is>
      </c>
      <c r="AH503" t="n">
        <v>35.6</v>
      </c>
      <c r="AI503" t="inlineStr">
        <is>
          <t>801+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</row>
    <row r="504">
      <c r="A504" t="inlineStr">
        <is>
          <t>Kazan Federal University</t>
        </is>
      </c>
      <c r="B504" t="inlineStr">
        <is>
          <t>Russia</t>
        </is>
      </c>
      <c r="C504" t="inlineStr"/>
      <c r="D504" t="inlineStr">
        <is>
          <t>Europe</t>
        </is>
      </c>
      <c r="E504" t="inlineStr">
        <is>
          <t>L</t>
        </is>
      </c>
      <c r="F504" t="inlineStr">
        <is>
          <t>FC</t>
        </is>
      </c>
      <c r="G504" t="inlineStr">
        <is>
          <t>VH</t>
        </is>
      </c>
      <c r="H504" t="inlineStr"/>
      <c r="I504" t="inlineStr">
        <is>
          <t>Public</t>
        </is>
      </c>
      <c r="J504" t="inlineStr">
        <is>
          <t>450</t>
        </is>
      </c>
      <c r="K504" t="inlineStr">
        <is>
          <t>401</t>
        </is>
      </c>
      <c r="L504" t="inlineStr"/>
      <c r="M504" t="inlineStr"/>
      <c r="N504" t="inlineStr">
        <is>
          <t>34.3</t>
        </is>
      </c>
      <c r="O504" t="inlineStr"/>
      <c r="P504" t="n">
        <v>27.2</v>
      </c>
      <c r="Q504" t="inlineStr">
        <is>
          <t>460</t>
        </is>
      </c>
      <c r="R504" t="n">
        <v>19.5</v>
      </c>
      <c r="S504" t="inlineStr">
        <is>
          <t>669</t>
        </is>
      </c>
      <c r="T504" t="n">
        <v>98.09999999999999</v>
      </c>
      <c r="U504" t="inlineStr">
        <is>
          <t>54</t>
        </is>
      </c>
      <c r="V504" t="n">
        <v>3.8</v>
      </c>
      <c r="W504" t="inlineStr">
        <is>
          <t>801+</t>
        </is>
      </c>
      <c r="X504" t="n">
        <v>14</v>
      </c>
      <c r="Y504" t="inlineStr">
        <is>
          <t>801+</t>
        </is>
      </c>
      <c r="Z504" t="n">
        <v>97.7</v>
      </c>
      <c r="AA504" t="inlineStr">
        <is>
          <t>94</t>
        </is>
      </c>
      <c r="AB504" t="n">
        <v>97.8</v>
      </c>
      <c r="AC504" t="inlineStr">
        <is>
          <t>83</t>
        </is>
      </c>
      <c r="AD504" t="n">
        <v>86.7</v>
      </c>
      <c r="AE504" t="inlineStr">
        <is>
          <t>225</t>
        </is>
      </c>
      <c r="AF504" t="n">
        <v>19.6</v>
      </c>
      <c r="AG504" t="inlineStr">
        <is>
          <t>732</t>
        </is>
      </c>
      <c r="AH504" t="n">
        <v>55.3</v>
      </c>
      <c r="AI504" t="inlineStr">
        <is>
          <t>596=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</row>
    <row r="505">
      <c r="A505" t="inlineStr">
        <is>
          <t>Kazan National Research Technological University</t>
        </is>
      </c>
      <c r="B505" t="inlineStr">
        <is>
          <t>Russia</t>
        </is>
      </c>
      <c r="C505" t="inlineStr">
        <is>
          <t>RU</t>
        </is>
      </c>
      <c r="D505" t="inlineStr">
        <is>
          <t>Europe</t>
        </is>
      </c>
      <c r="E505" t="inlineStr">
        <is>
          <t>L</t>
        </is>
      </c>
      <c r="F505" t="inlineStr">
        <is>
          <t>CO</t>
        </is>
      </c>
      <c r="G505" t="inlineStr">
        <is>
          <t>HI</t>
        </is>
      </c>
      <c r="H505" t="inlineStr">
        <is>
          <t>5</t>
        </is>
      </c>
      <c r="I505" t="inlineStr">
        <is>
          <t>Public</t>
        </is>
      </c>
      <c r="J505" t="inlineStr">
        <is>
          <t>1401+</t>
        </is>
      </c>
      <c r="K505" t="inlineStr">
        <is>
          <t>1201-1400</t>
        </is>
      </c>
      <c r="L505" t="inlineStr">
        <is>
          <t>1001-1200</t>
        </is>
      </c>
      <c r="M505" t="inlineStr">
        <is>
          <t>1001-1200</t>
        </is>
      </c>
      <c r="N505" t="inlineStr">
        <is>
          <t>-</t>
        </is>
      </c>
      <c r="O505" t="inlineStr">
        <is>
          <t>-</t>
        </is>
      </c>
      <c r="P505" t="n">
        <v>5.3</v>
      </c>
      <c r="Q505" t="inlineStr">
        <is>
          <t>701+</t>
        </is>
      </c>
      <c r="R505" t="n">
        <v>7.8</v>
      </c>
      <c r="S505" t="inlineStr">
        <is>
          <t>701+</t>
        </is>
      </c>
      <c r="T505" t="n">
        <v>27.9</v>
      </c>
      <c r="U505" t="inlineStr">
        <is>
          <t>682</t>
        </is>
      </c>
      <c r="V505" t="n">
        <v>2</v>
      </c>
      <c r="W505" t="inlineStr">
        <is>
          <t>801+</t>
        </is>
      </c>
      <c r="X505" t="n">
        <v>1.9</v>
      </c>
      <c r="Y505" t="inlineStr">
        <is>
          <t>801+</t>
        </is>
      </c>
      <c r="Z505" t="n">
        <v>30.9</v>
      </c>
      <c r="AA505" t="inlineStr">
        <is>
          <t>581</t>
        </is>
      </c>
      <c r="AB505" t="n">
        <v>32.4</v>
      </c>
      <c r="AC505" t="inlineStr">
        <is>
          <t>585</t>
        </is>
      </c>
      <c r="AD505" t="n">
        <v>10.3</v>
      </c>
      <c r="AE505" t="inlineStr">
        <is>
          <t>801+</t>
        </is>
      </c>
      <c r="AF505" t="n">
        <v>5.5</v>
      </c>
      <c r="AG505" t="inlineStr">
        <is>
          <t>801+</t>
        </is>
      </c>
      <c r="AH505" t="n">
        <v>13.7</v>
      </c>
      <c r="AI505" t="inlineStr">
        <is>
          <t>801+</t>
        </is>
      </c>
      <c r="AJ505" t="inlineStr">
        <is>
          <t>5.0</t>
        </is>
      </c>
      <c r="AK505" t="inlineStr">
        <is>
          <t>601+</t>
        </is>
      </c>
      <c r="AL505" t="inlineStr">
        <is>
          <t>3.6</t>
        </is>
      </c>
      <c r="AM505" t="inlineStr">
        <is>
          <t>601+</t>
        </is>
      </c>
      <c r="AN505" t="inlineStr">
        <is>
          <t>23.1</t>
        </is>
      </c>
      <c r="AO505" t="inlineStr">
        <is>
          <t>615</t>
        </is>
      </c>
      <c r="AP505" t="inlineStr">
        <is>
          <t>1.4</t>
        </is>
      </c>
      <c r="AQ505" t="inlineStr">
        <is>
          <t>701+</t>
        </is>
      </c>
      <c r="AR505" t="inlineStr">
        <is>
          <t>2.5</t>
        </is>
      </c>
      <c r="AS505" t="inlineStr">
        <is>
          <t>701+</t>
        </is>
      </c>
      <c r="AT505" t="inlineStr">
        <is>
          <t>44.0</t>
        </is>
      </c>
      <c r="AU505" t="inlineStr">
        <is>
          <t>329</t>
        </is>
      </c>
      <c r="AV505" t="inlineStr">
        <is>
          <t>1.0</t>
        </is>
      </c>
      <c r="AW505" t="inlineStr">
        <is>
          <t>701+</t>
        </is>
      </c>
      <c r="AX505" t="inlineStr">
        <is>
          <t>7.8</t>
        </is>
      </c>
      <c r="AY505" t="inlineStr">
        <is>
          <t>701+</t>
        </is>
      </c>
      <c r="AZ505" t="inlineStr">
        <is>
          <t>1</t>
        </is>
      </c>
      <c r="BA505" t="inlineStr">
        <is>
          <t>701+</t>
        </is>
      </c>
    </row>
    <row r="506">
      <c r="A506" t="inlineStr">
        <is>
          <t>Kazan (Volga region) Federal University</t>
        </is>
      </c>
      <c r="B506" t="inlineStr">
        <is>
          <t>Russia</t>
        </is>
      </c>
      <c r="C506" t="inlineStr">
        <is>
          <t>RU</t>
        </is>
      </c>
      <c r="D506" t="inlineStr"/>
      <c r="E506" t="inlineStr">
        <is>
          <t>L</t>
        </is>
      </c>
      <c r="F506" t="inlineStr">
        <is>
          <t>FC</t>
        </is>
      </c>
      <c r="G506" t="inlineStr">
        <is>
          <t>VH</t>
        </is>
      </c>
      <c r="H506" t="inlineStr">
        <is>
          <t>5</t>
        </is>
      </c>
      <c r="I506" t="inlineStr">
        <is>
          <t>A</t>
        </is>
      </c>
      <c r="J506" t="inlineStr"/>
      <c r="K506" t="inlineStr"/>
      <c r="L506">
        <f>396</f>
        <v/>
      </c>
      <c r="M506" t="inlineStr">
        <is>
          <t>322</t>
        </is>
      </c>
      <c r="N506" t="inlineStr"/>
      <c r="O506" t="inlineStr">
        <is>
          <t>28.1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22.7</t>
        </is>
      </c>
      <c r="AK506" t="inlineStr">
        <is>
          <t>387</t>
        </is>
      </c>
      <c r="AL506" t="inlineStr">
        <is>
          <t>7.6</t>
        </is>
      </c>
      <c r="AM506" t="inlineStr">
        <is>
          <t>601+</t>
        </is>
      </c>
      <c r="AN506" t="inlineStr">
        <is>
          <t>93.7</t>
        </is>
      </c>
      <c r="AO506" t="inlineStr">
        <is>
          <t>68</t>
        </is>
      </c>
      <c r="AP506" t="inlineStr">
        <is>
          <t>2.8</t>
        </is>
      </c>
      <c r="AQ506" t="inlineStr">
        <is>
          <t>701+</t>
        </is>
      </c>
      <c r="AR506" t="inlineStr">
        <is>
          <t>10.5</t>
        </is>
      </c>
      <c r="AS506" t="inlineStr">
        <is>
          <t>701+</t>
        </is>
      </c>
      <c r="AT506" t="inlineStr">
        <is>
          <t>96.1</t>
        </is>
      </c>
      <c r="AU506" t="inlineStr">
        <is>
          <t>82</t>
        </is>
      </c>
      <c r="AV506" t="inlineStr">
        <is>
          <t>61.7</t>
        </is>
      </c>
      <c r="AW506" t="inlineStr">
        <is>
          <t>234</t>
        </is>
      </c>
      <c r="AX506" t="inlineStr">
        <is>
          <t>11.2</t>
        </is>
      </c>
      <c r="AY506" t="inlineStr">
        <is>
          <t>701+</t>
        </is>
      </c>
      <c r="AZ506" t="inlineStr">
        <is>
          <t>24.4</t>
        </is>
      </c>
      <c r="BA506" t="inlineStr">
        <is>
          <t>497=</t>
        </is>
      </c>
    </row>
    <row r="507">
      <c r="A507" t="inlineStr">
        <is>
          <t>Keele University</t>
        </is>
      </c>
      <c r="B507" t="inlineStr">
        <is>
          <t>United Kingdom</t>
        </is>
      </c>
      <c r="C507" t="inlineStr">
        <is>
          <t>UK</t>
        </is>
      </c>
      <c r="D507" t="inlineStr">
        <is>
          <t>Europe</t>
        </is>
      </c>
      <c r="E507" t="inlineStr">
        <is>
          <t>M</t>
        </is>
      </c>
      <c r="F507" t="inlineStr">
        <is>
          <t>FC</t>
        </is>
      </c>
      <c r="G507" t="inlineStr">
        <is>
          <t>VH</t>
        </is>
      </c>
      <c r="H507" t="inlineStr">
        <is>
          <t>4</t>
        </is>
      </c>
      <c r="I507" t="inlineStr">
        <is>
          <t>Public</t>
        </is>
      </c>
      <c r="J507" t="inlineStr">
        <is>
          <t>801-850</t>
        </is>
      </c>
      <c r="K507" t="inlineStr">
        <is>
          <t>791-800</t>
        </is>
      </c>
      <c r="L507" t="inlineStr">
        <is>
          <t>781-790</t>
        </is>
      </c>
      <c r="M507" t="inlineStr">
        <is>
          <t>751-800</t>
        </is>
      </c>
      <c r="N507" t="inlineStr">
        <is>
          <t>-</t>
        </is>
      </c>
      <c r="O507" t="inlineStr">
        <is>
          <t>-</t>
        </is>
      </c>
      <c r="P507" t="n">
        <v>8.5</v>
      </c>
      <c r="Q507" t="inlineStr">
        <is>
          <t>701+</t>
        </is>
      </c>
      <c r="R507" t="n">
        <v>8</v>
      </c>
      <c r="S507" t="inlineStr">
        <is>
          <t>701+</t>
        </is>
      </c>
      <c r="T507" t="n">
        <v>21.3</v>
      </c>
      <c r="U507" t="inlineStr">
        <is>
          <t>801+</t>
        </is>
      </c>
      <c r="V507" t="n">
        <v>28.5</v>
      </c>
      <c r="W507" t="inlineStr">
        <is>
          <t>600</t>
        </is>
      </c>
      <c r="X507" t="n">
        <v>60.9</v>
      </c>
      <c r="Y507" t="inlineStr">
        <is>
          <t>385</t>
        </is>
      </c>
      <c r="Z507" t="n">
        <v>50.7</v>
      </c>
      <c r="AA507" t="inlineStr">
        <is>
          <t>408</t>
        </is>
      </c>
      <c r="AB507" t="n">
        <v>42.3</v>
      </c>
      <c r="AC507" t="inlineStr">
        <is>
          <t>490</t>
        </is>
      </c>
      <c r="AD507" t="n">
        <v>66.40000000000001</v>
      </c>
      <c r="AE507" t="inlineStr">
        <is>
          <t>601</t>
        </is>
      </c>
      <c r="AF507" t="n">
        <v>10.1</v>
      </c>
      <c r="AG507" t="inlineStr">
        <is>
          <t>801+</t>
        </is>
      </c>
      <c r="AH507" t="n">
        <v>39.4</v>
      </c>
      <c r="AI507" t="inlineStr">
        <is>
          <t>801+</t>
        </is>
      </c>
      <c r="AJ507" t="inlineStr">
        <is>
          <t>6.7</t>
        </is>
      </c>
      <c r="AK507" t="inlineStr">
        <is>
          <t>601+</t>
        </is>
      </c>
      <c r="AL507" t="inlineStr">
        <is>
          <t>4.3</t>
        </is>
      </c>
      <c r="AM507" t="inlineStr">
        <is>
          <t>601+</t>
        </is>
      </c>
      <c r="AN507" t="inlineStr">
        <is>
          <t>15.2</t>
        </is>
      </c>
      <c r="AO507" t="inlineStr">
        <is>
          <t>701+</t>
        </is>
      </c>
      <c r="AP507" t="inlineStr">
        <is>
          <t>27.1</t>
        </is>
      </c>
      <c r="AQ507" t="inlineStr">
        <is>
          <t>462</t>
        </is>
      </c>
      <c r="AR507" t="inlineStr">
        <is>
          <t>53.1</t>
        </is>
      </c>
      <c r="AS507" t="inlineStr">
        <is>
          <t>344</t>
        </is>
      </c>
      <c r="AT507" t="inlineStr">
        <is>
          <t>33.2</t>
        </is>
      </c>
      <c r="AU507" t="inlineStr">
        <is>
          <t>391</t>
        </is>
      </c>
      <c r="AV507" t="inlineStr">
        <is>
          <t>11.6</t>
        </is>
      </c>
      <c r="AW507" t="inlineStr">
        <is>
          <t>642</t>
        </is>
      </c>
      <c r="AX507" t="inlineStr">
        <is>
          <t>10.5</t>
        </is>
      </c>
      <c r="AY507" t="inlineStr">
        <is>
          <t>701+</t>
        </is>
      </c>
      <c r="AZ507" t="inlineStr">
        <is>
          <t>3.1</t>
        </is>
      </c>
      <c r="BA507" t="inlineStr">
        <is>
          <t>701+</t>
        </is>
      </c>
    </row>
    <row r="508">
      <c r="A508" t="inlineStr">
        <is>
          <t>Keio University</t>
        </is>
      </c>
      <c r="B508" t="inlineStr">
        <is>
          <t>Japan</t>
        </is>
      </c>
      <c r="C508" t="inlineStr">
        <is>
          <t>JP</t>
        </is>
      </c>
      <c r="D508" t="inlineStr">
        <is>
          <t>Asia</t>
        </is>
      </c>
      <c r="E508" t="inlineStr">
        <is>
          <t>XL</t>
        </is>
      </c>
      <c r="F508" t="inlineStr">
        <is>
          <t>FC</t>
        </is>
      </c>
      <c r="G508" t="inlineStr">
        <is>
          <t>VH</t>
        </is>
      </c>
      <c r="H508" t="inlineStr">
        <is>
          <t>5</t>
        </is>
      </c>
      <c r="I508" t="inlineStr">
        <is>
          <t>Private not for Profit</t>
        </is>
      </c>
      <c r="J508" t="inlineStr">
        <is>
          <t>215</t>
        </is>
      </c>
      <c r="K508" t="inlineStr">
        <is>
          <t>188</t>
        </is>
      </c>
      <c r="L508" t="inlineStr">
        <is>
          <t>214</t>
        </is>
      </c>
      <c r="M508" t="inlineStr">
        <is>
          <t>197=</t>
        </is>
      </c>
      <c r="N508" t="inlineStr">
        <is>
          <t>54.5</t>
        </is>
      </c>
      <c r="O508" t="inlineStr">
        <is>
          <t>44.0</t>
        </is>
      </c>
      <c r="P508" t="n">
        <v>65.5</v>
      </c>
      <c r="Q508" t="inlineStr">
        <is>
          <t>153</t>
        </is>
      </c>
      <c r="R508" t="n">
        <v>93.8</v>
      </c>
      <c r="S508" t="inlineStr">
        <is>
          <t>57</t>
        </is>
      </c>
      <c r="T508" t="n">
        <v>65.2</v>
      </c>
      <c r="U508" t="inlineStr">
        <is>
          <t>268</t>
        </is>
      </c>
      <c r="V508" t="n">
        <v>9.4</v>
      </c>
      <c r="W508" t="inlineStr">
        <is>
          <t>801+</t>
        </is>
      </c>
      <c r="X508" t="n">
        <v>15.2</v>
      </c>
      <c r="Y508" t="inlineStr">
        <is>
          <t>801+</t>
        </is>
      </c>
      <c r="Z508" t="n">
        <v>19.6</v>
      </c>
      <c r="AA508" t="inlineStr">
        <is>
          <t>735</t>
        </is>
      </c>
      <c r="AB508" t="n">
        <v>25.8</v>
      </c>
      <c r="AC508" t="inlineStr">
        <is>
          <t>674</t>
        </is>
      </c>
      <c r="AD508" t="n">
        <v>55.6</v>
      </c>
      <c r="AE508" t="inlineStr">
        <is>
          <t>759</t>
        </is>
      </c>
      <c r="AF508" t="n">
        <v>95.8</v>
      </c>
      <c r="AG508" t="inlineStr">
        <is>
          <t>71</t>
        </is>
      </c>
      <c r="AH508" t="n">
        <v>68.90000000000001</v>
      </c>
      <c r="AI508" t="inlineStr">
        <is>
          <t>331=</t>
        </is>
      </c>
      <c r="AJ508" t="inlineStr">
        <is>
          <t>51.4</t>
        </is>
      </c>
      <c r="AK508" t="inlineStr">
        <is>
          <t>156</t>
        </is>
      </c>
      <c r="AL508" t="inlineStr">
        <is>
          <t>93.5</t>
        </is>
      </c>
      <c r="AM508" t="inlineStr">
        <is>
          <t>42</t>
        </is>
      </c>
      <c r="AN508" t="inlineStr">
        <is>
          <t>58.0</t>
        </is>
      </c>
      <c r="AO508" t="inlineStr">
        <is>
          <t>246</t>
        </is>
      </c>
      <c r="AP508" t="inlineStr">
        <is>
          <t>6.0</t>
        </is>
      </c>
      <c r="AQ508" t="inlineStr">
        <is>
          <t>701+</t>
        </is>
      </c>
      <c r="AR508" t="inlineStr">
        <is>
          <t>9.6</t>
        </is>
      </c>
      <c r="AS508" t="inlineStr">
        <is>
          <t>701+</t>
        </is>
      </c>
      <c r="AT508" t="inlineStr">
        <is>
          <t>9.2</t>
        </is>
      </c>
      <c r="AU508" t="inlineStr">
        <is>
          <t>701+</t>
        </is>
      </c>
      <c r="AV508" t="inlineStr">
        <is>
          <t>9.2</t>
        </is>
      </c>
      <c r="AW508" t="inlineStr">
        <is>
          <t>689</t>
        </is>
      </c>
      <c r="AX508" t="inlineStr">
        <is>
          <t>79.8</t>
        </is>
      </c>
      <c r="AY508" t="inlineStr">
        <is>
          <t>50</t>
        </is>
      </c>
      <c r="AZ508" t="inlineStr">
        <is>
          <t>39.3</t>
        </is>
      </c>
      <c r="BA508" t="inlineStr">
        <is>
          <t>366</t>
        </is>
      </c>
    </row>
    <row r="509">
      <c r="A509" t="inlineStr">
        <is>
          <t>Kent State University</t>
        </is>
      </c>
      <c r="B509" t="inlineStr">
        <is>
          <t>United States</t>
        </is>
      </c>
      <c r="C509" t="inlineStr">
        <is>
          <t>US</t>
        </is>
      </c>
      <c r="D509" t="inlineStr">
        <is>
          <t>Americas</t>
        </is>
      </c>
      <c r="E509" t="inlineStr">
        <is>
          <t>L</t>
        </is>
      </c>
      <c r="F509" t="inlineStr">
        <is>
          <t>FO</t>
        </is>
      </c>
      <c r="G509" t="inlineStr">
        <is>
          <t>VH</t>
        </is>
      </c>
      <c r="H509" t="inlineStr">
        <is>
          <t>5</t>
        </is>
      </c>
      <c r="I509" t="inlineStr">
        <is>
          <t>Public</t>
        </is>
      </c>
      <c r="J509" t="inlineStr">
        <is>
          <t>1001-1200</t>
        </is>
      </c>
      <c r="K509" t="inlineStr">
        <is>
          <t>1001-1200</t>
        </is>
      </c>
      <c r="L509" t="inlineStr">
        <is>
          <t>1001-1200</t>
        </is>
      </c>
      <c r="M509" t="inlineStr">
        <is>
          <t>1001-1200</t>
        </is>
      </c>
      <c r="N509" t="inlineStr">
        <is>
          <t>-</t>
        </is>
      </c>
      <c r="O509" t="inlineStr">
        <is>
          <t>-</t>
        </is>
      </c>
      <c r="P509" t="n">
        <v>7</v>
      </c>
      <c r="Q509" t="inlineStr">
        <is>
          <t>701+</t>
        </is>
      </c>
      <c r="R509" t="n">
        <v>4.8</v>
      </c>
      <c r="S509" t="inlineStr">
        <is>
          <t>701+</t>
        </is>
      </c>
      <c r="T509" t="n">
        <v>9</v>
      </c>
      <c r="U509" t="inlineStr">
        <is>
          <t>801+</t>
        </is>
      </c>
      <c r="V509" t="n">
        <v>20</v>
      </c>
      <c r="W509" t="inlineStr">
        <is>
          <t>711</t>
        </is>
      </c>
      <c r="X509" t="n">
        <v>25.4</v>
      </c>
      <c r="Y509" t="inlineStr">
        <is>
          <t>645</t>
        </is>
      </c>
      <c r="Z509" t="n">
        <v>15.7</v>
      </c>
      <c r="AA509" t="inlineStr">
        <is>
          <t>801+</t>
        </is>
      </c>
      <c r="AB509" t="n">
        <v>11.9</v>
      </c>
      <c r="AC509" t="inlineStr">
        <is>
          <t>801+</t>
        </is>
      </c>
      <c r="AD509" t="n">
        <v>62.5</v>
      </c>
      <c r="AE509" t="inlineStr">
        <is>
          <t>659</t>
        </is>
      </c>
      <c r="AF509" t="n">
        <v>11.3</v>
      </c>
      <c r="AG509" t="inlineStr">
        <is>
          <t>801+</t>
        </is>
      </c>
      <c r="AH509" t="n">
        <v>40.8</v>
      </c>
      <c r="AI509" t="inlineStr">
        <is>
          <t>801+</t>
        </is>
      </c>
      <c r="AJ509" t="inlineStr">
        <is>
          <t>5.9</t>
        </is>
      </c>
      <c r="AK509" t="inlineStr">
        <is>
          <t>601+</t>
        </is>
      </c>
      <c r="AL509" t="inlineStr">
        <is>
          <t>4.1</t>
        </is>
      </c>
      <c r="AM509" t="inlineStr">
        <is>
          <t>601+</t>
        </is>
      </c>
      <c r="AN509" t="inlineStr">
        <is>
          <t>6.6</t>
        </is>
      </c>
      <c r="AO509" t="inlineStr">
        <is>
          <t>701+</t>
        </is>
      </c>
      <c r="AP509" t="inlineStr">
        <is>
          <t>15.1</t>
        </is>
      </c>
      <c r="AQ509" t="inlineStr">
        <is>
          <t>633</t>
        </is>
      </c>
      <c r="AR509" t="inlineStr">
        <is>
          <t>27.2</t>
        </is>
      </c>
      <c r="AS509" t="inlineStr">
        <is>
          <t>506</t>
        </is>
      </c>
      <c r="AT509" t="inlineStr">
        <is>
          <t>4.8</t>
        </is>
      </c>
      <c r="AU509" t="inlineStr">
        <is>
          <t>701+</t>
        </is>
      </c>
      <c r="AV509" t="inlineStr">
        <is>
          <t>7.5</t>
        </is>
      </c>
      <c r="AW509" t="inlineStr">
        <is>
          <t>701+</t>
        </is>
      </c>
      <c r="AX509" t="inlineStr">
        <is>
          <t>10.4</t>
        </is>
      </c>
      <c r="AY509" t="inlineStr">
        <is>
          <t>701+</t>
        </is>
      </c>
      <c r="AZ509" t="inlineStr">
        <is>
          <t>4.4</t>
        </is>
      </c>
      <c r="BA509" t="inlineStr">
        <is>
          <t>701+</t>
        </is>
      </c>
    </row>
    <row r="510">
      <c r="A510" t="inlineStr">
        <is>
          <t>Kenyatta University</t>
        </is>
      </c>
      <c r="B510" t="inlineStr">
        <is>
          <t>Kenya</t>
        </is>
      </c>
      <c r="C510" t="inlineStr">
        <is>
          <t>KE</t>
        </is>
      </c>
      <c r="D510" t="inlineStr"/>
      <c r="E510" t="inlineStr">
        <is>
          <t>XL</t>
        </is>
      </c>
      <c r="F510" t="inlineStr">
        <is>
          <t>CO</t>
        </is>
      </c>
      <c r="G510" t="inlineStr">
        <is>
          <t>MD</t>
        </is>
      </c>
      <c r="H510" t="inlineStr"/>
      <c r="I510" t="inlineStr"/>
      <c r="J510" t="inlineStr"/>
      <c r="K510" t="inlineStr"/>
      <c r="L510" t="inlineStr">
        <is>
          <t>1201-1400</t>
        </is>
      </c>
      <c r="M510" t="inlineStr"/>
      <c r="N510" t="inlineStr"/>
      <c r="O510" t="inlineStr">
        <is>
          <t>-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7.1</t>
        </is>
      </c>
      <c r="AK510" t="inlineStr">
        <is>
          <t>601+</t>
        </is>
      </c>
      <c r="AL510" t="inlineStr">
        <is>
          <t>8.0</t>
        </is>
      </c>
      <c r="AM510" t="inlineStr">
        <is>
          <t>601+</t>
        </is>
      </c>
      <c r="AN510" t="inlineStr">
        <is>
          <t>1.4</t>
        </is>
      </c>
      <c r="AO510" t="inlineStr">
        <is>
          <t>701+</t>
        </is>
      </c>
      <c r="AP510" t="inlineStr">
        <is>
          <t>1.3</t>
        </is>
      </c>
      <c r="AQ510" t="inlineStr">
        <is>
          <t>701+</t>
        </is>
      </c>
      <c r="AR510" t="inlineStr"/>
      <c r="AS510" t="inlineStr"/>
      <c r="AT510" t="inlineStr"/>
      <c r="AU510" t="inlineStr"/>
      <c r="AV510" t="inlineStr">
        <is>
          <t>1.0</t>
        </is>
      </c>
      <c r="AW510" t="inlineStr">
        <is>
          <t>701+</t>
        </is>
      </c>
      <c r="AX510" t="inlineStr">
        <is>
          <t>15.1</t>
        </is>
      </c>
      <c r="AY510" t="inlineStr">
        <is>
          <t>555</t>
        </is>
      </c>
      <c r="AZ510" t="inlineStr"/>
      <c r="BA510" t="inlineStr"/>
    </row>
    <row r="511">
      <c r="A511" t="inlineStr">
        <is>
          <t>Khalifa University of Science and Technology</t>
        </is>
      </c>
      <c r="B511" t="inlineStr">
        <is>
          <t>United Arab Emirates</t>
        </is>
      </c>
      <c r="C511" t="inlineStr">
        <is>
          <t>AE</t>
        </is>
      </c>
      <c r="D511" t="inlineStr">
        <is>
          <t>Asia</t>
        </is>
      </c>
      <c r="E511" t="inlineStr">
        <is>
          <t>S</t>
        </is>
      </c>
      <c r="F511" t="inlineStr">
        <is>
          <t>SP</t>
        </is>
      </c>
      <c r="G511" t="inlineStr">
        <is>
          <t>VH</t>
        </is>
      </c>
      <c r="H511" t="inlineStr">
        <is>
          <t>2</t>
        </is>
      </c>
      <c r="I511" t="inlineStr">
        <is>
          <t>Public</t>
        </is>
      </c>
      <c r="J511" t="inlineStr">
        <is>
          <t>177</t>
        </is>
      </c>
      <c r="K511" t="inlineStr">
        <is>
          <t>202</t>
        </is>
      </c>
      <c r="L511">
        <f>230</f>
        <v/>
      </c>
      <c r="M511" t="inlineStr">
        <is>
          <t>181=</t>
        </is>
      </c>
      <c r="N511" t="inlineStr">
        <is>
          <t>58.8</t>
        </is>
      </c>
      <c r="O511" t="inlineStr">
        <is>
          <t>41.6</t>
        </is>
      </c>
      <c r="P511" t="n">
        <v>34.3</v>
      </c>
      <c r="Q511" t="inlineStr">
        <is>
          <t>356</t>
        </is>
      </c>
      <c r="R511" t="n">
        <v>42.8</v>
      </c>
      <c r="S511" t="inlineStr">
        <is>
          <t>314</t>
        </is>
      </c>
      <c r="T511" t="n">
        <v>83.2</v>
      </c>
      <c r="U511" t="inlineStr">
        <is>
          <t>152</t>
        </is>
      </c>
      <c r="V511" t="n">
        <v>83.90000000000001</v>
      </c>
      <c r="W511" t="inlineStr">
        <is>
          <t>131</t>
        </is>
      </c>
      <c r="X511" t="n">
        <v>100</v>
      </c>
      <c r="Y511" t="inlineStr">
        <is>
          <t>11</t>
        </is>
      </c>
      <c r="Z511" t="n">
        <v>83</v>
      </c>
      <c r="AA511" t="inlineStr">
        <is>
          <t>206</t>
        </is>
      </c>
      <c r="AB511" t="n">
        <v>82.5</v>
      </c>
      <c r="AC511" t="inlineStr">
        <is>
          <t>186</t>
        </is>
      </c>
      <c r="AD511" t="n">
        <v>81.09999999999999</v>
      </c>
      <c r="AE511" t="inlineStr">
        <is>
          <t>329</t>
        </is>
      </c>
      <c r="AF511" t="n">
        <v>12.6</v>
      </c>
      <c r="AG511" t="inlineStr">
        <is>
          <t>801+</t>
        </is>
      </c>
      <c r="AH511" t="n">
        <v>68.09999999999999</v>
      </c>
      <c r="AI511" t="inlineStr">
        <is>
          <t>349=</t>
        </is>
      </c>
      <c r="AJ511" t="inlineStr">
        <is>
          <t>19.7</t>
        </is>
      </c>
      <c r="AK511" t="inlineStr">
        <is>
          <t>448</t>
        </is>
      </c>
      <c r="AL511" t="inlineStr">
        <is>
          <t>20.4</t>
        </is>
      </c>
      <c r="AM511" t="inlineStr">
        <is>
          <t>451</t>
        </is>
      </c>
      <c r="AN511" t="inlineStr">
        <is>
          <t>87.2</t>
        </is>
      </c>
      <c r="AO511" t="inlineStr">
        <is>
          <t>98</t>
        </is>
      </c>
      <c r="AP511" t="inlineStr">
        <is>
          <t>48.3</t>
        </is>
      </c>
      <c r="AQ511" t="inlineStr">
        <is>
          <t>281</t>
        </is>
      </c>
      <c r="AR511" t="inlineStr">
        <is>
          <t>100.0</t>
        </is>
      </c>
      <c r="AS511" t="inlineStr">
        <is>
          <t>10</t>
        </is>
      </c>
      <c r="AT511" t="inlineStr">
        <is>
          <t>75.3</t>
        </is>
      </c>
      <c r="AU511" t="inlineStr">
        <is>
          <t>184</t>
        </is>
      </c>
      <c r="AV511" t="inlineStr">
        <is>
          <t>29.6</t>
        </is>
      </c>
      <c r="AW511" t="inlineStr">
        <is>
          <t>459</t>
        </is>
      </c>
      <c r="AX511" t="inlineStr">
        <is>
          <t>9</t>
        </is>
      </c>
      <c r="AY511" t="inlineStr">
        <is>
          <t>701+</t>
        </is>
      </c>
      <c r="AZ511" t="inlineStr">
        <is>
          <t>66.5</t>
        </is>
      </c>
      <c r="BA511" t="inlineStr">
        <is>
          <t>220=</t>
        </is>
      </c>
    </row>
    <row r="512">
      <c r="A512" t="inlineStr">
        <is>
          <t>Kharkiv National University of Radio Electronics</t>
        </is>
      </c>
      <c r="B512" t="inlineStr">
        <is>
          <t>Ukraine</t>
        </is>
      </c>
      <c r="C512" t="inlineStr">
        <is>
          <t>UA</t>
        </is>
      </c>
      <c r="D512" t="inlineStr">
        <is>
          <t>Europe</t>
        </is>
      </c>
      <c r="E512" t="inlineStr">
        <is>
          <t>M</t>
        </is>
      </c>
      <c r="F512" t="inlineStr">
        <is>
          <t>SP</t>
        </is>
      </c>
      <c r="G512" t="inlineStr">
        <is>
          <t>HI</t>
        </is>
      </c>
      <c r="H512" t="inlineStr">
        <is>
          <t>4</t>
        </is>
      </c>
      <c r="I512" t="inlineStr">
        <is>
          <t>Public</t>
        </is>
      </c>
      <c r="J512" t="inlineStr">
        <is>
          <t>1201-1400</t>
        </is>
      </c>
      <c r="K512" t="inlineStr">
        <is>
          <t>1201-1400</t>
        </is>
      </c>
      <c r="L512" t="inlineStr">
        <is>
          <t>1201-1400</t>
        </is>
      </c>
      <c r="M512" t="inlineStr">
        <is>
          <t>1001-1200</t>
        </is>
      </c>
      <c r="N512" t="inlineStr">
        <is>
          <t>-</t>
        </is>
      </c>
      <c r="O512" t="inlineStr">
        <is>
          <t>-</t>
        </is>
      </c>
      <c r="P512" t="n">
        <v>3.2</v>
      </c>
      <c r="Q512" t="inlineStr">
        <is>
          <t>701+</t>
        </is>
      </c>
      <c r="R512" t="n">
        <v>22.5</v>
      </c>
      <c r="S512" t="inlineStr">
        <is>
          <t>591</t>
        </is>
      </c>
      <c r="T512" t="n">
        <v>31.1</v>
      </c>
      <c r="U512" t="inlineStr">
        <is>
          <t>615</t>
        </is>
      </c>
      <c r="V512" t="n">
        <v>2.2</v>
      </c>
      <c r="W512" t="inlineStr">
        <is>
          <t>801+</t>
        </is>
      </c>
      <c r="X512" t="n">
        <v>1.8</v>
      </c>
      <c r="Y512" t="inlineStr">
        <is>
          <t>801+</t>
        </is>
      </c>
      <c r="Z512" t="n">
        <v>10.7</v>
      </c>
      <c r="AA512" t="inlineStr">
        <is>
          <t>801+</t>
        </is>
      </c>
      <c r="AB512" t="n">
        <v>14.9</v>
      </c>
      <c r="AC512" t="inlineStr">
        <is>
          <t>801+</t>
        </is>
      </c>
      <c r="AD512" t="n">
        <v>12.9</v>
      </c>
      <c r="AE512" t="inlineStr">
        <is>
          <t>801+</t>
        </is>
      </c>
      <c r="AF512" t="n">
        <v>4.7</v>
      </c>
      <c r="AG512" t="inlineStr">
        <is>
          <t>801+</t>
        </is>
      </c>
      <c r="AH512" t="n">
        <v>33.3</v>
      </c>
      <c r="AI512" t="inlineStr">
        <is>
          <t>801+</t>
        </is>
      </c>
      <c r="AJ512" t="inlineStr">
        <is>
          <t>3.7</t>
        </is>
      </c>
      <c r="AK512" t="inlineStr">
        <is>
          <t>601+</t>
        </is>
      </c>
      <c r="AL512" t="inlineStr">
        <is>
          <t>13.1</t>
        </is>
      </c>
      <c r="AM512" t="inlineStr">
        <is>
          <t>601+</t>
        </is>
      </c>
      <c r="AN512" t="inlineStr">
        <is>
          <t>26.0</t>
        </is>
      </c>
      <c r="AO512" t="inlineStr">
        <is>
          <t>569</t>
        </is>
      </c>
      <c r="AP512" t="inlineStr">
        <is>
          <t>1.5</t>
        </is>
      </c>
      <c r="AQ512" t="inlineStr">
        <is>
          <t>701+</t>
        </is>
      </c>
      <c r="AR512" t="inlineStr">
        <is>
          <t>1.4</t>
        </is>
      </c>
      <c r="AS512" t="inlineStr">
        <is>
          <t>701+</t>
        </is>
      </c>
      <c r="AT512" t="inlineStr">
        <is>
          <t>10.9</t>
        </is>
      </c>
      <c r="AU512" t="inlineStr">
        <is>
          <t>696</t>
        </is>
      </c>
      <c r="AV512" t="inlineStr">
        <is>
          <t>1.0</t>
        </is>
      </c>
      <c r="AW512" t="inlineStr">
        <is>
          <t>701+</t>
        </is>
      </c>
      <c r="AX512" t="inlineStr">
        <is>
          <t>10.5</t>
        </is>
      </c>
      <c r="AY512" t="inlineStr">
        <is>
          <t>701+</t>
        </is>
      </c>
      <c r="AZ512" t="inlineStr">
        <is>
          <t>2.1</t>
        </is>
      </c>
      <c r="BA512" t="inlineStr">
        <is>
          <t>701+</t>
        </is>
      </c>
    </row>
    <row r="513">
      <c r="A513" t="inlineStr">
        <is>
          <t>Khazar University</t>
        </is>
      </c>
      <c r="B513" t="inlineStr">
        <is>
          <t>Azerbaijan</t>
        </is>
      </c>
      <c r="C513" t="inlineStr"/>
      <c r="D513" t="inlineStr">
        <is>
          <t>Asia</t>
        </is>
      </c>
      <c r="E513" t="inlineStr">
        <is>
          <t>M</t>
        </is>
      </c>
      <c r="F513" t="inlineStr">
        <is>
          <t>CO</t>
        </is>
      </c>
      <c r="G513" t="inlineStr">
        <is>
          <t>MD</t>
        </is>
      </c>
      <c r="H513" t="inlineStr"/>
      <c r="I513" t="inlineStr">
        <is>
          <t>Private not for Profit</t>
        </is>
      </c>
      <c r="J513" t="inlineStr">
        <is>
          <t>951-1000</t>
        </is>
      </c>
      <c r="K513" t="inlineStr"/>
      <c r="L513" t="inlineStr"/>
      <c r="M513" t="inlineStr"/>
      <c r="N513" t="inlineStr">
        <is>
          <t>-</t>
        </is>
      </c>
      <c r="O513" t="inlineStr"/>
      <c r="P513" t="n">
        <v>7.8</v>
      </c>
      <c r="Q513" t="inlineStr">
        <is>
          <t>701+</t>
        </is>
      </c>
      <c r="R513" t="n">
        <v>15.1</v>
      </c>
      <c r="S513" t="inlineStr">
        <is>
          <t>701+</t>
        </is>
      </c>
      <c r="T513" t="n">
        <v>60.6</v>
      </c>
      <c r="U513" t="inlineStr">
        <is>
          <t>297</t>
        </is>
      </c>
      <c r="V513" t="n">
        <v>3.3</v>
      </c>
      <c r="W513" t="inlineStr">
        <is>
          <t>801+</t>
        </is>
      </c>
      <c r="X513" t="n">
        <v>82.3</v>
      </c>
      <c r="Y513" t="inlineStr">
        <is>
          <t>277</t>
        </is>
      </c>
      <c r="Z513" t="n">
        <v>37.1</v>
      </c>
      <c r="AA513" t="inlineStr">
        <is>
          <t>525</t>
        </is>
      </c>
      <c r="AB513" t="n">
        <v>35.8</v>
      </c>
      <c r="AC513" t="inlineStr">
        <is>
          <t>538</t>
        </is>
      </c>
      <c r="AD513" t="n">
        <v>7.6</v>
      </c>
      <c r="AE513" t="inlineStr">
        <is>
          <t>801+</t>
        </is>
      </c>
      <c r="AF513" t="n">
        <v>11.9</v>
      </c>
      <c r="AG513" t="inlineStr">
        <is>
          <t>801+</t>
        </is>
      </c>
      <c r="AH513" t="n">
        <v>27.5</v>
      </c>
      <c r="AI513" t="inlineStr">
        <is>
          <t>801+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</row>
    <row r="514">
      <c r="A514" t="inlineStr">
        <is>
          <t>Khoja Akhmet Yassawi International Kazakh-Turkish University</t>
        </is>
      </c>
      <c r="B514" t="inlineStr">
        <is>
          <t>Kazakhstan</t>
        </is>
      </c>
      <c r="C514" t="inlineStr">
        <is>
          <t>KZ</t>
        </is>
      </c>
      <c r="D514" t="inlineStr">
        <is>
          <t>Asia</t>
        </is>
      </c>
      <c r="E514" t="inlineStr">
        <is>
          <t>M</t>
        </is>
      </c>
      <c r="F514" t="inlineStr">
        <is>
          <t>FC</t>
        </is>
      </c>
      <c r="G514" t="inlineStr">
        <is>
          <t>MD</t>
        </is>
      </c>
      <c r="H514" t="inlineStr">
        <is>
          <t>3</t>
        </is>
      </c>
      <c r="I514" t="inlineStr">
        <is>
          <t>Public</t>
        </is>
      </c>
      <c r="J514" t="inlineStr">
        <is>
          <t>761-770</t>
        </is>
      </c>
      <c r="K514" t="inlineStr">
        <is>
          <t>801-850</t>
        </is>
      </c>
      <c r="L514" t="inlineStr">
        <is>
          <t>781-790</t>
        </is>
      </c>
      <c r="M514" t="inlineStr">
        <is>
          <t>701-750</t>
        </is>
      </c>
      <c r="N514" t="inlineStr">
        <is>
          <t>-</t>
        </is>
      </c>
      <c r="O514" t="inlineStr">
        <is>
          <t>-</t>
        </is>
      </c>
      <c r="P514" t="n">
        <v>19.1</v>
      </c>
      <c r="Q514" t="inlineStr">
        <is>
          <t>646</t>
        </is>
      </c>
      <c r="R514" t="n">
        <v>46.3</v>
      </c>
      <c r="S514" t="inlineStr">
        <is>
          <t>287</t>
        </is>
      </c>
      <c r="T514" t="n">
        <v>57.5</v>
      </c>
      <c r="U514" t="inlineStr">
        <is>
          <t>316</t>
        </is>
      </c>
      <c r="V514" t="n">
        <v>1.3</v>
      </c>
      <c r="W514" t="inlineStr">
        <is>
          <t>801+</t>
        </is>
      </c>
      <c r="X514" t="n">
        <v>27.8</v>
      </c>
      <c r="Y514" t="inlineStr">
        <is>
          <t>612</t>
        </is>
      </c>
      <c r="Z514" t="n">
        <v>45.5</v>
      </c>
      <c r="AA514" t="inlineStr">
        <is>
          <t>442</t>
        </is>
      </c>
      <c r="AB514" t="n">
        <v>40</v>
      </c>
      <c r="AC514" t="inlineStr">
        <is>
          <t>503</t>
        </is>
      </c>
      <c r="AD514" t="n">
        <v>4.1</v>
      </c>
      <c r="AE514" t="inlineStr">
        <is>
          <t>801+</t>
        </is>
      </c>
      <c r="AF514" t="n">
        <v>10.7</v>
      </c>
      <c r="AG514" t="inlineStr">
        <is>
          <t>801+</t>
        </is>
      </c>
      <c r="AH514" t="n">
        <v>30.1</v>
      </c>
      <c r="AI514" t="inlineStr">
        <is>
          <t>801+</t>
        </is>
      </c>
      <c r="AJ514" t="inlineStr">
        <is>
          <t>14.6</t>
        </is>
      </c>
      <c r="AK514" t="inlineStr">
        <is>
          <t>593</t>
        </is>
      </c>
      <c r="AL514" t="inlineStr">
        <is>
          <t>20.9</t>
        </is>
      </c>
      <c r="AM514" t="inlineStr">
        <is>
          <t>443</t>
        </is>
      </c>
      <c r="AN514" t="inlineStr">
        <is>
          <t>53.0</t>
        </is>
      </c>
      <c r="AO514" t="inlineStr">
        <is>
          <t>294</t>
        </is>
      </c>
      <c r="AP514" t="inlineStr">
        <is>
          <t>1.2</t>
        </is>
      </c>
      <c r="AQ514" t="inlineStr">
        <is>
          <t>701+</t>
        </is>
      </c>
      <c r="AR514" t="inlineStr">
        <is>
          <t>8.5</t>
        </is>
      </c>
      <c r="AS514" t="inlineStr">
        <is>
          <t>701+</t>
        </is>
      </c>
      <c r="AT514" t="inlineStr">
        <is>
          <t>15.5</t>
        </is>
      </c>
      <c r="AU514" t="inlineStr">
        <is>
          <t>611</t>
        </is>
      </c>
      <c r="AV514" t="inlineStr">
        <is>
          <t>1.0</t>
        </is>
      </c>
      <c r="AW514" t="inlineStr">
        <is>
          <t>701+</t>
        </is>
      </c>
      <c r="AX514" t="inlineStr">
        <is>
          <t>11.6</t>
        </is>
      </c>
      <c r="AY514" t="inlineStr">
        <is>
          <t>701+</t>
        </is>
      </c>
      <c r="AZ514" t="inlineStr">
        <is>
          <t>4.4</t>
        </is>
      </c>
      <c r="BA514" t="inlineStr">
        <is>
          <t>701+</t>
        </is>
      </c>
    </row>
    <row r="515">
      <c r="A515" t="inlineStr">
        <is>
          <t>Khon Kaen University</t>
        </is>
      </c>
      <c r="B515" t="inlineStr">
        <is>
          <t>Thailand</t>
        </is>
      </c>
      <c r="C515" t="inlineStr">
        <is>
          <t>TH</t>
        </is>
      </c>
      <c r="D515" t="inlineStr">
        <is>
          <t>Asia</t>
        </is>
      </c>
      <c r="E515" t="inlineStr">
        <is>
          <t>XL</t>
        </is>
      </c>
      <c r="F515" t="inlineStr">
        <is>
          <t>FC</t>
        </is>
      </c>
      <c r="G515" t="inlineStr">
        <is>
          <t>HI</t>
        </is>
      </c>
      <c r="H515" t="inlineStr">
        <is>
          <t>4</t>
        </is>
      </c>
      <c r="I515" t="inlineStr">
        <is>
          <t>Public</t>
        </is>
      </c>
      <c r="J515" t="inlineStr">
        <is>
          <t>901-950</t>
        </is>
      </c>
      <c r="K515" t="inlineStr">
        <is>
          <t>951-1000</t>
        </is>
      </c>
      <c r="L515" t="inlineStr">
        <is>
          <t>951-1000</t>
        </is>
      </c>
      <c r="M515" t="inlineStr">
        <is>
          <t>801-1000</t>
        </is>
      </c>
      <c r="N515" t="inlineStr">
        <is>
          <t>-</t>
        </is>
      </c>
      <c r="O515" t="inlineStr">
        <is>
          <t>-</t>
        </is>
      </c>
      <c r="P515" t="n">
        <v>26.6</v>
      </c>
      <c r="Q515" t="inlineStr">
        <is>
          <t>472</t>
        </is>
      </c>
      <c r="R515" t="n">
        <v>22.6</v>
      </c>
      <c r="S515" t="inlineStr">
        <is>
          <t>585</t>
        </is>
      </c>
      <c r="T515" t="n">
        <v>11.7</v>
      </c>
      <c r="U515" t="inlineStr">
        <is>
          <t>801+</t>
        </is>
      </c>
      <c r="V515" t="n">
        <v>8.800000000000001</v>
      </c>
      <c r="W515" t="inlineStr">
        <is>
          <t>801+</t>
        </is>
      </c>
      <c r="X515" t="n">
        <v>6.4</v>
      </c>
      <c r="Y515" t="inlineStr">
        <is>
          <t>801+</t>
        </is>
      </c>
      <c r="Z515" t="n">
        <v>3.3</v>
      </c>
      <c r="AA515" t="inlineStr">
        <is>
          <t>801+</t>
        </is>
      </c>
      <c r="AB515" t="n">
        <v>7.6</v>
      </c>
      <c r="AC515" t="inlineStr">
        <is>
          <t>801+</t>
        </is>
      </c>
      <c r="AD515" t="n">
        <v>57.1</v>
      </c>
      <c r="AE515" t="inlineStr">
        <is>
          <t>733</t>
        </is>
      </c>
      <c r="AF515" t="n">
        <v>5.9</v>
      </c>
      <c r="AG515" t="inlineStr">
        <is>
          <t>801+</t>
        </is>
      </c>
      <c r="AH515" t="n">
        <v>59.9</v>
      </c>
      <c r="AI515" t="inlineStr">
        <is>
          <t>504=</t>
        </is>
      </c>
      <c r="AJ515" t="inlineStr">
        <is>
          <t>16.4</t>
        </is>
      </c>
      <c r="AK515" t="inlineStr">
        <is>
          <t>536</t>
        </is>
      </c>
      <c r="AL515" t="inlineStr">
        <is>
          <t>12.1</t>
        </is>
      </c>
      <c r="AM515" t="inlineStr">
        <is>
          <t>601+</t>
        </is>
      </c>
      <c r="AN515" t="inlineStr">
        <is>
          <t>8.1</t>
        </is>
      </c>
      <c r="AO515" t="inlineStr">
        <is>
          <t>701+</t>
        </is>
      </c>
      <c r="AP515" t="inlineStr">
        <is>
          <t>4.1</t>
        </is>
      </c>
      <c r="AQ515" t="inlineStr">
        <is>
          <t>701+</t>
        </is>
      </c>
      <c r="AR515" t="inlineStr">
        <is>
          <t>6.9</t>
        </is>
      </c>
      <c r="AS515" t="inlineStr">
        <is>
          <t>701+</t>
        </is>
      </c>
      <c r="AT515" t="inlineStr">
        <is>
          <t>2.7</t>
        </is>
      </c>
      <c r="AU515" t="inlineStr">
        <is>
          <t>701+</t>
        </is>
      </c>
      <c r="AV515" t="inlineStr">
        <is>
          <t>3.3</t>
        </is>
      </c>
      <c r="AW515" t="inlineStr">
        <is>
          <t>701+</t>
        </is>
      </c>
      <c r="AX515" t="inlineStr">
        <is>
          <t>9.7</t>
        </is>
      </c>
      <c r="AY515" t="inlineStr">
        <is>
          <t>701+</t>
        </is>
      </c>
      <c r="AZ515" t="inlineStr">
        <is>
          <t>29.9</t>
        </is>
      </c>
      <c r="BA515" t="inlineStr">
        <is>
          <t>449=</t>
        </is>
      </c>
    </row>
    <row r="516">
      <c r="A516" t="inlineStr">
        <is>
          <t>Khulna University</t>
        </is>
      </c>
      <c r="B516" t="inlineStr">
        <is>
          <t>Bangladesh</t>
        </is>
      </c>
      <c r="C516" t="inlineStr">
        <is>
          <t>BD</t>
        </is>
      </c>
      <c r="D516" t="inlineStr">
        <is>
          <t>Asia</t>
        </is>
      </c>
      <c r="E516" t="inlineStr">
        <is>
          <t>M</t>
        </is>
      </c>
      <c r="F516" t="inlineStr">
        <is>
          <t>CO</t>
        </is>
      </c>
      <c r="G516" t="inlineStr">
        <is>
          <t>HI</t>
        </is>
      </c>
      <c r="H516" t="inlineStr">
        <is>
          <t>3</t>
        </is>
      </c>
      <c r="I516" t="inlineStr"/>
      <c r="J516" t="inlineStr">
        <is>
          <t>1401+</t>
        </is>
      </c>
      <c r="K516" t="inlineStr">
        <is>
          <t>1201-1400</t>
        </is>
      </c>
      <c r="L516" t="inlineStr">
        <is>
          <t>1401+</t>
        </is>
      </c>
      <c r="M516" t="inlineStr"/>
      <c r="N516" t="inlineStr">
        <is>
          <t>-</t>
        </is>
      </c>
      <c r="O516" t="inlineStr">
        <is>
          <t>-</t>
        </is>
      </c>
      <c r="P516" t="n">
        <v>8.6</v>
      </c>
      <c r="Q516" t="inlineStr">
        <is>
          <t>701+</t>
        </is>
      </c>
      <c r="R516" t="n">
        <v>7.9</v>
      </c>
      <c r="S516" t="inlineStr">
        <is>
          <t>701+</t>
        </is>
      </c>
      <c r="T516" t="n">
        <v>14.3</v>
      </c>
      <c r="U516" t="inlineStr">
        <is>
          <t>801+</t>
        </is>
      </c>
      <c r="V516" t="n">
        <v>8.6</v>
      </c>
      <c r="W516" t="inlineStr">
        <is>
          <t>801+</t>
        </is>
      </c>
      <c r="X516" t="inlineStr"/>
      <c r="Y516" t="inlineStr"/>
      <c r="Z516" t="inlineStr"/>
      <c r="AA516" t="inlineStr"/>
      <c r="AB516" t="inlineStr"/>
      <c r="AC516" t="inlineStr"/>
      <c r="AD516" t="n">
        <v>20.8</v>
      </c>
      <c r="AE516" t="inlineStr">
        <is>
          <t>801+</t>
        </is>
      </c>
      <c r="AF516" t="n">
        <v>4.3</v>
      </c>
      <c r="AG516" t="inlineStr">
        <is>
          <t>801+</t>
        </is>
      </c>
      <c r="AH516" t="n">
        <v>25.4</v>
      </c>
      <c r="AI516" t="inlineStr">
        <is>
          <t>801+</t>
        </is>
      </c>
      <c r="AJ516" t="inlineStr">
        <is>
          <t>5.9</t>
        </is>
      </c>
      <c r="AK516" t="inlineStr">
        <is>
          <t>601+</t>
        </is>
      </c>
      <c r="AL516" t="inlineStr">
        <is>
          <t>5.3</t>
        </is>
      </c>
      <c r="AM516" t="inlineStr">
        <is>
          <t>601+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1.0</t>
        </is>
      </c>
      <c r="AW516" t="inlineStr">
        <is>
          <t>701+</t>
        </is>
      </c>
      <c r="AX516" t="inlineStr"/>
      <c r="AY516" t="inlineStr"/>
      <c r="AZ516" t="inlineStr"/>
      <c r="BA516" t="inlineStr"/>
    </row>
    <row r="517">
      <c r="A517" t="inlineStr">
        <is>
          <t>Khulna University of Engineering and Technology</t>
        </is>
      </c>
      <c r="B517" t="inlineStr">
        <is>
          <t>Bangladesh</t>
        </is>
      </c>
      <c r="C517" t="inlineStr">
        <is>
          <t>BD</t>
        </is>
      </c>
      <c r="D517" t="inlineStr">
        <is>
          <t>Asia</t>
        </is>
      </c>
      <c r="E517" t="inlineStr">
        <is>
          <t>M</t>
        </is>
      </c>
      <c r="F517" t="inlineStr">
        <is>
          <t>SP</t>
        </is>
      </c>
      <c r="G517" t="inlineStr">
        <is>
          <t>HI</t>
        </is>
      </c>
      <c r="H517" t="inlineStr">
        <is>
          <t>3</t>
        </is>
      </c>
      <c r="I517" t="inlineStr">
        <is>
          <t>Public</t>
        </is>
      </c>
      <c r="J517" t="inlineStr">
        <is>
          <t>1401+</t>
        </is>
      </c>
      <c r="K517" t="inlineStr">
        <is>
          <t>1201-1400</t>
        </is>
      </c>
      <c r="L517" t="inlineStr">
        <is>
          <t>1201-1400</t>
        </is>
      </c>
      <c r="M517" t="inlineStr"/>
      <c r="N517" t="inlineStr">
        <is>
          <t>-</t>
        </is>
      </c>
      <c r="O517" t="inlineStr">
        <is>
          <t>-</t>
        </is>
      </c>
      <c r="P517" t="n">
        <v>7.3</v>
      </c>
      <c r="Q517" t="inlineStr">
        <is>
          <t>701+</t>
        </is>
      </c>
      <c r="R517" t="n">
        <v>16.7</v>
      </c>
      <c r="S517" t="inlineStr">
        <is>
          <t>701+</t>
        </is>
      </c>
      <c r="T517" t="n">
        <v>10.5</v>
      </c>
      <c r="U517" t="inlineStr">
        <is>
          <t>801+</t>
        </is>
      </c>
      <c r="V517" t="n">
        <v>13.4</v>
      </c>
      <c r="W517" t="inlineStr">
        <is>
          <t>801+</t>
        </is>
      </c>
      <c r="X517" t="n">
        <v>1.4</v>
      </c>
      <c r="Y517" t="inlineStr">
        <is>
          <t>801+</t>
        </is>
      </c>
      <c r="Z517" t="inlineStr"/>
      <c r="AA517" t="inlineStr"/>
      <c r="AB517" t="inlineStr"/>
      <c r="AC517" t="inlineStr"/>
      <c r="AD517" t="n">
        <v>12.6</v>
      </c>
      <c r="AE517" t="inlineStr">
        <is>
          <t>801+</t>
        </is>
      </c>
      <c r="AF517" t="n">
        <v>4.5</v>
      </c>
      <c r="AG517" t="inlineStr">
        <is>
          <t>801+</t>
        </is>
      </c>
      <c r="AH517" t="n">
        <v>22</v>
      </c>
      <c r="AI517" t="inlineStr">
        <is>
          <t>801+</t>
        </is>
      </c>
      <c r="AJ517" t="inlineStr">
        <is>
          <t>5.9</t>
        </is>
      </c>
      <c r="AK517" t="inlineStr">
        <is>
          <t>601+</t>
        </is>
      </c>
      <c r="AL517" t="inlineStr">
        <is>
          <t>11.4</t>
        </is>
      </c>
      <c r="AM517" t="inlineStr">
        <is>
          <t>601+</t>
        </is>
      </c>
      <c r="AN517" t="inlineStr">
        <is>
          <t>11.2</t>
        </is>
      </c>
      <c r="AO517" t="inlineStr">
        <is>
          <t>701+</t>
        </is>
      </c>
      <c r="AP517" t="inlineStr">
        <is>
          <t>4.8</t>
        </is>
      </c>
      <c r="AQ517" t="inlineStr">
        <is>
          <t>701+</t>
        </is>
      </c>
      <c r="AR517" t="inlineStr"/>
      <c r="AS517" t="inlineStr"/>
      <c r="AT517" t="inlineStr"/>
      <c r="AU517" t="inlineStr"/>
      <c r="AV517" t="inlineStr">
        <is>
          <t>1.0</t>
        </is>
      </c>
      <c r="AW517" t="inlineStr">
        <is>
          <t>701+</t>
        </is>
      </c>
      <c r="AX517" t="inlineStr">
        <is>
          <t>8.3</t>
        </is>
      </c>
      <c r="AY517" t="inlineStr">
        <is>
          <t>701+</t>
        </is>
      </c>
      <c r="AZ517" t="inlineStr">
        <is>
          <t>1</t>
        </is>
      </c>
      <c r="BA517" t="inlineStr">
        <is>
          <t>701+</t>
        </is>
      </c>
    </row>
    <row r="518">
      <c r="A518" t="inlineStr">
        <is>
          <t>Kindai University (Kinki University)</t>
        </is>
      </c>
      <c r="B518" t="inlineStr">
        <is>
          <t>Japan</t>
        </is>
      </c>
      <c r="C518" t="inlineStr">
        <is>
          <t>JP</t>
        </is>
      </c>
      <c r="D518" t="inlineStr"/>
      <c r="E518" t="inlineStr">
        <is>
          <t>XL</t>
        </is>
      </c>
      <c r="F518" t="inlineStr">
        <is>
          <t>FC</t>
        </is>
      </c>
      <c r="G518" t="inlineStr">
        <is>
          <t>HI</t>
        </is>
      </c>
      <c r="H518" t="inlineStr">
        <is>
          <t>4</t>
        </is>
      </c>
      <c r="I518" t="inlineStr">
        <is>
          <t>C</t>
        </is>
      </c>
      <c r="J518" t="inlineStr"/>
      <c r="K518" t="inlineStr"/>
      <c r="L518" t="inlineStr">
        <is>
          <t>1201-1400</t>
        </is>
      </c>
      <c r="M518" t="inlineStr">
        <is>
          <t>1201-1400</t>
        </is>
      </c>
      <c r="N518" t="inlineStr"/>
      <c r="O518" t="inlineStr">
        <is>
          <t>-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5.3</t>
        </is>
      </c>
      <c r="AK518" t="inlineStr">
        <is>
          <t>601+</t>
        </is>
      </c>
      <c r="AL518" t="inlineStr">
        <is>
          <t>4.6</t>
        </is>
      </c>
      <c r="AM518" t="inlineStr">
        <is>
          <t>601+</t>
        </is>
      </c>
      <c r="AN518" t="inlineStr">
        <is>
          <t>10.6</t>
        </is>
      </c>
      <c r="AO518" t="inlineStr">
        <is>
          <t>701+</t>
        </is>
      </c>
      <c r="AP518" t="inlineStr">
        <is>
          <t>4.5</t>
        </is>
      </c>
      <c r="AQ518" t="inlineStr">
        <is>
          <t>701+</t>
        </is>
      </c>
      <c r="AR518" t="inlineStr">
        <is>
          <t>16.4</t>
        </is>
      </c>
      <c r="AS518" t="inlineStr">
        <is>
          <t>646</t>
        </is>
      </c>
      <c r="AT518" t="inlineStr">
        <is>
          <t>2.1</t>
        </is>
      </c>
      <c r="AU518" t="inlineStr">
        <is>
          <t>701+</t>
        </is>
      </c>
      <c r="AV518" t="inlineStr">
        <is>
          <t>1.2</t>
        </is>
      </c>
      <c r="AW518" t="inlineStr">
        <is>
          <t>701+</t>
        </is>
      </c>
      <c r="AX518" t="inlineStr">
        <is>
          <t>7.8</t>
        </is>
      </c>
      <c r="AY518" t="inlineStr">
        <is>
          <t>701+</t>
        </is>
      </c>
      <c r="AZ518" t="inlineStr">
        <is>
          <t>1.1</t>
        </is>
      </c>
      <c r="BA518" t="inlineStr">
        <is>
          <t>701+</t>
        </is>
      </c>
    </row>
    <row r="519">
      <c r="A519" t="inlineStr">
        <is>
          <t>Kindai University (previously Kinki University)</t>
        </is>
      </c>
      <c r="B519" t="inlineStr">
        <is>
          <t>Japan</t>
        </is>
      </c>
      <c r="C519" t="inlineStr"/>
      <c r="D519" t="inlineStr">
        <is>
          <t>Asia</t>
        </is>
      </c>
      <c r="E519" t="inlineStr">
        <is>
          <t>XL</t>
        </is>
      </c>
      <c r="F519" t="inlineStr">
        <is>
          <t>FC</t>
        </is>
      </c>
      <c r="G519" t="inlineStr">
        <is>
          <t>HI</t>
        </is>
      </c>
      <c r="H519" t="inlineStr"/>
      <c r="I519" t="inlineStr">
        <is>
          <t>Private for Profit</t>
        </is>
      </c>
      <c r="J519" t="inlineStr">
        <is>
          <t>1401+</t>
        </is>
      </c>
      <c r="K519" t="inlineStr">
        <is>
          <t>1201-1400</t>
        </is>
      </c>
      <c r="L519" t="inlineStr"/>
      <c r="M519" t="inlineStr"/>
      <c r="N519" t="inlineStr">
        <is>
          <t>-</t>
        </is>
      </c>
      <c r="O519" t="inlineStr"/>
      <c r="P519" t="n">
        <v>5.3</v>
      </c>
      <c r="Q519" t="inlineStr">
        <is>
          <t>701+</t>
        </is>
      </c>
      <c r="R519" t="n">
        <v>6.4</v>
      </c>
      <c r="S519" t="inlineStr">
        <is>
          <t>701+</t>
        </is>
      </c>
      <c r="T519" t="n">
        <v>10.2</v>
      </c>
      <c r="U519" t="inlineStr">
        <is>
          <t>801+</t>
        </is>
      </c>
      <c r="V519" t="n">
        <v>8.6</v>
      </c>
      <c r="W519" t="inlineStr">
        <is>
          <t>801+</t>
        </is>
      </c>
      <c r="X519" t="n">
        <v>25.7</v>
      </c>
      <c r="Y519" t="inlineStr">
        <is>
          <t>637</t>
        </is>
      </c>
      <c r="Z519" t="n">
        <v>3.2</v>
      </c>
      <c r="AA519" t="inlineStr">
        <is>
          <t>801+</t>
        </is>
      </c>
      <c r="AB519" t="n">
        <v>7.4</v>
      </c>
      <c r="AC519" t="inlineStr">
        <is>
          <t>801+</t>
        </is>
      </c>
      <c r="AD519" t="n">
        <v>30.4</v>
      </c>
      <c r="AE519" t="inlineStr">
        <is>
          <t>801+</t>
        </is>
      </c>
      <c r="AF519" t="n">
        <v>1.7</v>
      </c>
      <c r="AG519" t="inlineStr">
        <is>
          <t>801+</t>
        </is>
      </c>
      <c r="AH519" t="n">
        <v>41.2</v>
      </c>
      <c r="AI519" t="inlineStr">
        <is>
          <t>801+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</row>
    <row r="520">
      <c r="A520" t="inlineStr">
        <is>
          <t>King Abdul Aziz University (KAU)</t>
        </is>
      </c>
      <c r="B520" t="inlineStr">
        <is>
          <t>Saudi Arabia</t>
        </is>
      </c>
      <c r="C520" t="inlineStr"/>
      <c r="D520" t="inlineStr">
        <is>
          <t>Asia</t>
        </is>
      </c>
      <c r="E520" t="inlineStr">
        <is>
          <t>XL</t>
        </is>
      </c>
      <c r="F520" t="inlineStr">
        <is>
          <t>FC</t>
        </is>
      </c>
      <c r="G520" t="inlineStr">
        <is>
          <t>VH</t>
        </is>
      </c>
      <c r="H520" t="inlineStr"/>
      <c r="I520" t="inlineStr">
        <is>
          <t>Public</t>
        </is>
      </c>
      <c r="J520" t="inlineStr">
        <is>
          <t>163</t>
        </is>
      </c>
      <c r="K520" t="inlineStr">
        <is>
          <t>149</t>
        </is>
      </c>
      <c r="L520" t="inlineStr"/>
      <c r="M520" t="inlineStr"/>
      <c r="N520" t="inlineStr">
        <is>
          <t>60.7</t>
        </is>
      </c>
      <c r="O520" t="inlineStr"/>
      <c r="P520" t="n">
        <v>67.5</v>
      </c>
      <c r="Q520" t="inlineStr">
        <is>
          <t>145</t>
        </is>
      </c>
      <c r="R520" t="n">
        <v>76.59999999999999</v>
      </c>
      <c r="S520" t="inlineStr">
        <is>
          <t>118</t>
        </is>
      </c>
      <c r="T520" t="n">
        <v>41.4</v>
      </c>
      <c r="U520" t="inlineStr">
        <is>
          <t>490</t>
        </is>
      </c>
      <c r="V520" t="n">
        <v>47.8</v>
      </c>
      <c r="W520" t="inlineStr">
        <is>
          <t>390</t>
        </is>
      </c>
      <c r="X520" t="n">
        <v>83.09999999999999</v>
      </c>
      <c r="Y520" t="inlineStr">
        <is>
          <t>270</t>
        </is>
      </c>
      <c r="Z520" t="n">
        <v>9.199999999999999</v>
      </c>
      <c r="AA520" t="inlineStr">
        <is>
          <t>801+</t>
        </is>
      </c>
      <c r="AB520" t="n">
        <v>14.9</v>
      </c>
      <c r="AC520" t="inlineStr">
        <is>
          <t>801+</t>
        </is>
      </c>
      <c r="AD520" t="n">
        <v>95</v>
      </c>
      <c r="AE520" t="inlineStr">
        <is>
          <t>84</t>
        </is>
      </c>
      <c r="AF520" t="n">
        <v>44.9</v>
      </c>
      <c r="AG520" t="inlineStr">
        <is>
          <t>392</t>
        </is>
      </c>
      <c r="AH520" t="n">
        <v>77.5</v>
      </c>
      <c r="AI520" t="inlineStr">
        <is>
          <t>206=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</row>
    <row r="521">
      <c r="A521" t="inlineStr">
        <is>
          <t>King Abdulaziz University (KAU)</t>
        </is>
      </c>
      <c r="B521" t="inlineStr">
        <is>
          <t>Saudi Arabia</t>
        </is>
      </c>
      <c r="C521" t="inlineStr">
        <is>
          <t>SA</t>
        </is>
      </c>
      <c r="D521" t="inlineStr"/>
      <c r="E521" t="inlineStr">
        <is>
          <t>XL</t>
        </is>
      </c>
      <c r="F521" t="inlineStr">
        <is>
          <t>FC</t>
        </is>
      </c>
      <c r="G521" t="inlineStr">
        <is>
          <t>VH</t>
        </is>
      </c>
      <c r="H521" t="inlineStr">
        <is>
          <t>4</t>
        </is>
      </c>
      <c r="I521" t="inlineStr">
        <is>
          <t>A</t>
        </is>
      </c>
      <c r="J521" t="inlineStr"/>
      <c r="K521" t="inlineStr"/>
      <c r="L521">
        <f>143</f>
        <v/>
      </c>
      <c r="M521" t="inlineStr">
        <is>
          <t>106=</t>
        </is>
      </c>
      <c r="N521" t="inlineStr"/>
      <c r="O521" t="inlineStr">
        <is>
          <t>52.0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54.5</t>
        </is>
      </c>
      <c r="AK521" t="inlineStr">
        <is>
          <t>143</t>
        </is>
      </c>
      <c r="AL521" t="inlineStr">
        <is>
          <t>61.6</t>
        </is>
      </c>
      <c r="AM521" t="inlineStr">
        <is>
          <t>127</t>
        </is>
      </c>
      <c r="AN521" t="inlineStr">
        <is>
          <t>52.5</t>
        </is>
      </c>
      <c r="AO521" t="inlineStr">
        <is>
          <t>300</t>
        </is>
      </c>
      <c r="AP521" t="inlineStr">
        <is>
          <t>37.5</t>
        </is>
      </c>
      <c r="AQ521" t="inlineStr">
        <is>
          <t>374</t>
        </is>
      </c>
      <c r="AR521" t="inlineStr">
        <is>
          <t>97.5</t>
        </is>
      </c>
      <c r="AS521" t="inlineStr">
        <is>
          <t>124</t>
        </is>
      </c>
      <c r="AT521" t="inlineStr">
        <is>
          <t>23.1</t>
        </is>
      </c>
      <c r="AU521" t="inlineStr">
        <is>
          <t>500</t>
        </is>
      </c>
      <c r="AV521" t="inlineStr">
        <is>
          <t>84.4</t>
        </is>
      </c>
      <c r="AW521" t="inlineStr">
        <is>
          <t>121</t>
        </is>
      </c>
      <c r="AX521" t="inlineStr">
        <is>
          <t>17.3</t>
        </is>
      </c>
      <c r="AY521" t="inlineStr">
        <is>
          <t>483</t>
        </is>
      </c>
      <c r="AZ521" t="inlineStr">
        <is>
          <t>43.5</t>
        </is>
      </c>
      <c r="BA521" t="inlineStr">
        <is>
          <t>342=</t>
        </is>
      </c>
    </row>
    <row r="522">
      <c r="A522" t="inlineStr">
        <is>
          <t>King Fahd University of Petroleum &amp; Minerals</t>
        </is>
      </c>
      <c r="B522" t="inlineStr">
        <is>
          <t>Saudi Arabia</t>
        </is>
      </c>
      <c r="C522" t="inlineStr">
        <is>
          <t>SA</t>
        </is>
      </c>
      <c r="D522" t="inlineStr">
        <is>
          <t>Asia</t>
        </is>
      </c>
      <c r="E522" t="inlineStr">
        <is>
          <t>M</t>
        </is>
      </c>
      <c r="F522" t="inlineStr">
        <is>
          <t>FO</t>
        </is>
      </c>
      <c r="G522" t="inlineStr">
        <is>
          <t>VH</t>
        </is>
      </c>
      <c r="H522" t="inlineStr">
        <is>
          <t>4</t>
        </is>
      </c>
      <c r="I522" t="inlineStr">
        <is>
          <t>Public</t>
        </is>
      </c>
      <c r="J522" t="inlineStr">
        <is>
          <t>67</t>
        </is>
      </c>
      <c r="K522" t="inlineStr">
        <is>
          <t>101</t>
        </is>
      </c>
      <c r="L522">
        <f>180</f>
        <v/>
      </c>
      <c r="M522" t="inlineStr">
        <is>
          <t>160</t>
        </is>
      </c>
      <c r="N522" t="inlineStr">
        <is>
          <t>76.5</t>
        </is>
      </c>
      <c r="O522" t="inlineStr">
        <is>
          <t>48.0</t>
        </is>
      </c>
      <c r="P522" t="n">
        <v>53.5</v>
      </c>
      <c r="Q522" t="inlineStr">
        <is>
          <t>206</t>
        </is>
      </c>
      <c r="R522" t="n">
        <v>75.59999999999999</v>
      </c>
      <c r="S522" t="inlineStr">
        <is>
          <t>124</t>
        </is>
      </c>
      <c r="T522" t="n">
        <v>92.40000000000001</v>
      </c>
      <c r="U522" t="inlineStr">
        <is>
          <t>93</t>
        </is>
      </c>
      <c r="V522" t="n">
        <v>93.2</v>
      </c>
      <c r="W522" t="inlineStr">
        <is>
          <t>85</t>
        </is>
      </c>
      <c r="X522" t="n">
        <v>100</v>
      </c>
      <c r="Y522" t="inlineStr">
        <is>
          <t>27</t>
        </is>
      </c>
      <c r="Z522" t="n">
        <v>76.2</v>
      </c>
      <c r="AA522" t="inlineStr">
        <is>
          <t>250</t>
        </is>
      </c>
      <c r="AB522" t="n">
        <v>76.59999999999999</v>
      </c>
      <c r="AC522" t="inlineStr">
        <is>
          <t>228</t>
        </is>
      </c>
      <c r="AD522" t="n">
        <v>81</v>
      </c>
      <c r="AE522" t="inlineStr">
        <is>
          <t>330</t>
        </is>
      </c>
      <c r="AF522" t="n">
        <v>97.8</v>
      </c>
      <c r="AG522" t="inlineStr">
        <is>
          <t>48</t>
        </is>
      </c>
      <c r="AH522" t="n">
        <v>62.7</v>
      </c>
      <c r="AI522" t="inlineStr">
        <is>
          <t>444=</t>
        </is>
      </c>
      <c r="AJ522" t="inlineStr">
        <is>
          <t>32.9</t>
        </is>
      </c>
      <c r="AK522" t="inlineStr">
        <is>
          <t>267</t>
        </is>
      </c>
      <c r="AL522" t="inlineStr">
        <is>
          <t>36.5</t>
        </is>
      </c>
      <c r="AM522" t="inlineStr">
        <is>
          <t>268</t>
        </is>
      </c>
      <c r="AN522" t="inlineStr">
        <is>
          <t>82.8</t>
        </is>
      </c>
      <c r="AO522" t="inlineStr">
        <is>
          <t>124</t>
        </is>
      </c>
      <c r="AP522" t="inlineStr">
        <is>
          <t>65.8</t>
        </is>
      </c>
      <c r="AQ522" t="inlineStr">
        <is>
          <t>165</t>
        </is>
      </c>
      <c r="AR522" t="inlineStr">
        <is>
          <t>100.0</t>
        </is>
      </c>
      <c r="AS522" t="inlineStr">
        <is>
          <t>24</t>
        </is>
      </c>
      <c r="AT522" t="inlineStr">
        <is>
          <t>31.8</t>
        </is>
      </c>
      <c r="AU522" t="inlineStr">
        <is>
          <t>402</t>
        </is>
      </c>
      <c r="AV522" t="inlineStr">
        <is>
          <t>25.7</t>
        </is>
      </c>
      <c r="AW522" t="inlineStr">
        <is>
          <t>492</t>
        </is>
      </c>
      <c r="AX522" t="inlineStr">
        <is>
          <t>38.9</t>
        </is>
      </c>
      <c r="AY522" t="inlineStr">
        <is>
          <t>185</t>
        </is>
      </c>
      <c r="AZ522" t="inlineStr">
        <is>
          <t>20.9</t>
        </is>
      </c>
      <c r="BA522" t="inlineStr">
        <is>
          <t>536=</t>
        </is>
      </c>
    </row>
    <row r="523">
      <c r="A523" t="inlineStr">
        <is>
          <t>King Faisal University</t>
        </is>
      </c>
      <c r="B523" t="inlineStr">
        <is>
          <t>Saudi Arabia</t>
        </is>
      </c>
      <c r="C523" t="inlineStr">
        <is>
          <t>SA</t>
        </is>
      </c>
      <c r="D523" t="inlineStr">
        <is>
          <t>Asia</t>
        </is>
      </c>
      <c r="E523" t="inlineStr">
        <is>
          <t>L</t>
        </is>
      </c>
      <c r="F523" t="inlineStr">
        <is>
          <t>FC</t>
        </is>
      </c>
      <c r="G523" t="inlineStr">
        <is>
          <t>HI</t>
        </is>
      </c>
      <c r="H523" t="inlineStr">
        <is>
          <t>3</t>
        </is>
      </c>
      <c r="I523" t="inlineStr">
        <is>
          <t>Public</t>
        </is>
      </c>
      <c r="J523" t="inlineStr">
        <is>
          <t>648</t>
        </is>
      </c>
      <c r="K523" t="inlineStr">
        <is>
          <t>761-770</t>
        </is>
      </c>
      <c r="L523" t="inlineStr">
        <is>
          <t>851-900</t>
        </is>
      </c>
      <c r="M523" t="inlineStr">
        <is>
          <t>801-1000</t>
        </is>
      </c>
      <c r="N523" t="inlineStr">
        <is>
          <t>26.8</t>
        </is>
      </c>
      <c r="O523" t="inlineStr">
        <is>
          <t>-</t>
        </is>
      </c>
      <c r="P523" t="n">
        <v>25.3</v>
      </c>
      <c r="Q523" t="inlineStr">
        <is>
          <t>506</t>
        </is>
      </c>
      <c r="R523" t="n">
        <v>29.8</v>
      </c>
      <c r="S523" t="inlineStr">
        <is>
          <t>476</t>
        </is>
      </c>
      <c r="T523" t="n">
        <v>24.5</v>
      </c>
      <c r="U523" t="inlineStr">
        <is>
          <t>743</t>
        </is>
      </c>
      <c r="V523" t="n">
        <v>6.3</v>
      </c>
      <c r="W523" t="inlineStr">
        <is>
          <t>801+</t>
        </is>
      </c>
      <c r="X523" t="n">
        <v>99.40000000000001</v>
      </c>
      <c r="Y523" t="inlineStr">
        <is>
          <t>121</t>
        </is>
      </c>
      <c r="Z523" t="n">
        <v>11</v>
      </c>
      <c r="AA523" t="inlineStr">
        <is>
          <t>801+</t>
        </is>
      </c>
      <c r="AB523" t="n">
        <v>14.9</v>
      </c>
      <c r="AC523" t="inlineStr">
        <is>
          <t>801+</t>
        </is>
      </c>
      <c r="AD523" t="n">
        <v>66</v>
      </c>
      <c r="AE523" t="inlineStr">
        <is>
          <t>609</t>
        </is>
      </c>
      <c r="AF523" t="n">
        <v>14.9</v>
      </c>
      <c r="AG523" t="inlineStr">
        <is>
          <t>801+</t>
        </is>
      </c>
      <c r="AH523" t="n">
        <v>54.3</v>
      </c>
      <c r="AI523" t="inlineStr">
        <is>
          <t>617=</t>
        </is>
      </c>
      <c r="AJ523" t="inlineStr">
        <is>
          <t>15.0</t>
        </is>
      </c>
      <c r="AK523" t="inlineStr">
        <is>
          <t>585</t>
        </is>
      </c>
      <c r="AL523" t="inlineStr">
        <is>
          <t>8.6</t>
        </is>
      </c>
      <c r="AM523" t="inlineStr">
        <is>
          <t>601+</t>
        </is>
      </c>
      <c r="AN523" t="inlineStr">
        <is>
          <t>11.4</t>
        </is>
      </c>
      <c r="AO523" t="inlineStr">
        <is>
          <t>701+</t>
        </is>
      </c>
      <c r="AP523" t="inlineStr">
        <is>
          <t>2.4</t>
        </is>
      </c>
      <c r="AQ523" t="inlineStr">
        <is>
          <t>701+</t>
        </is>
      </c>
      <c r="AR523" t="inlineStr">
        <is>
          <t>99.2</t>
        </is>
      </c>
      <c r="AS523" t="inlineStr">
        <is>
          <t>95</t>
        </is>
      </c>
      <c r="AT523" t="inlineStr">
        <is>
          <t>2.0</t>
        </is>
      </c>
      <c r="AU523" t="inlineStr">
        <is>
          <t>701+</t>
        </is>
      </c>
      <c r="AV523" t="inlineStr">
        <is>
          <t>3.1</t>
        </is>
      </c>
      <c r="AW523" t="inlineStr">
        <is>
          <t>701+</t>
        </is>
      </c>
      <c r="AX523" t="inlineStr">
        <is>
          <t>7.5</t>
        </is>
      </c>
      <c r="AY523" t="inlineStr">
        <is>
          <t>701+</t>
        </is>
      </c>
      <c r="AZ523" t="inlineStr">
        <is>
          <t>1.1</t>
        </is>
      </c>
      <c r="BA523" t="inlineStr">
        <is>
          <t>701+</t>
        </is>
      </c>
    </row>
    <row r="524">
      <c r="A524" t="inlineStr">
        <is>
          <t>King Khalid University</t>
        </is>
      </c>
      <c r="B524" t="inlineStr">
        <is>
          <t>Saudi Arabia</t>
        </is>
      </c>
      <c r="C524" t="inlineStr">
        <is>
          <t>SA</t>
        </is>
      </c>
      <c r="D524" t="inlineStr">
        <is>
          <t>Asia</t>
        </is>
      </c>
      <c r="E524" t="inlineStr">
        <is>
          <t>L</t>
        </is>
      </c>
      <c r="F524" t="inlineStr">
        <is>
          <t>FC</t>
        </is>
      </c>
      <c r="G524" t="inlineStr">
        <is>
          <t>VH</t>
        </is>
      </c>
      <c r="H524" t="inlineStr">
        <is>
          <t>3</t>
        </is>
      </c>
      <c r="I524" t="inlineStr">
        <is>
          <t>Public</t>
        </is>
      </c>
      <c r="J524" t="inlineStr">
        <is>
          <t>535</t>
        </is>
      </c>
      <c r="K524" t="inlineStr">
        <is>
          <t>601-610</t>
        </is>
      </c>
      <c r="L524" t="inlineStr">
        <is>
          <t>761-770</t>
        </is>
      </c>
      <c r="M524" t="inlineStr">
        <is>
          <t>701-750</t>
        </is>
      </c>
      <c r="N524" t="inlineStr">
        <is>
          <t>30.6</t>
        </is>
      </c>
      <c r="O524" t="inlineStr">
        <is>
          <t>-</t>
        </is>
      </c>
      <c r="P524" t="n">
        <v>25.8</v>
      </c>
      <c r="Q524" t="inlineStr">
        <is>
          <t>489</t>
        </is>
      </c>
      <c r="R524" t="n">
        <v>17.6</v>
      </c>
      <c r="S524" t="inlineStr">
        <is>
          <t>701+</t>
        </is>
      </c>
      <c r="T524" t="n">
        <v>64.59999999999999</v>
      </c>
      <c r="U524" t="inlineStr">
        <is>
          <t>274</t>
        </is>
      </c>
      <c r="V524" t="n">
        <v>7</v>
      </c>
      <c r="W524" t="inlineStr">
        <is>
          <t>801+</t>
        </is>
      </c>
      <c r="X524" t="n">
        <v>100</v>
      </c>
      <c r="Y524" t="inlineStr">
        <is>
          <t>30</t>
        </is>
      </c>
      <c r="Z524" t="n">
        <v>35.9</v>
      </c>
      <c r="AA524" t="inlineStr">
        <is>
          <t>535</t>
        </is>
      </c>
      <c r="AB524" t="n">
        <v>26.9</v>
      </c>
      <c r="AC524" t="inlineStr">
        <is>
          <t>658</t>
        </is>
      </c>
      <c r="AD524" t="n">
        <v>84.40000000000001</v>
      </c>
      <c r="AE524" t="inlineStr">
        <is>
          <t>266</t>
        </is>
      </c>
      <c r="AF524" t="n">
        <v>2.7</v>
      </c>
      <c r="AG524" t="inlineStr">
        <is>
          <t>801+</t>
        </is>
      </c>
      <c r="AH524" t="n">
        <v>45.7</v>
      </c>
      <c r="AI524" t="inlineStr">
        <is>
          <t>801+</t>
        </is>
      </c>
      <c r="AJ524" t="inlineStr">
        <is>
          <t>12.8</t>
        </is>
      </c>
      <c r="AK524" t="inlineStr">
        <is>
          <t>601+</t>
        </is>
      </c>
      <c r="AL524" t="inlineStr">
        <is>
          <t>5.1</t>
        </is>
      </c>
      <c r="AM524" t="inlineStr">
        <is>
          <t>601+</t>
        </is>
      </c>
      <c r="AN524" t="inlineStr">
        <is>
          <t>43.0</t>
        </is>
      </c>
      <c r="AO524" t="inlineStr">
        <is>
          <t>366</t>
        </is>
      </c>
      <c r="AP524" t="inlineStr">
        <is>
          <t>2.2</t>
        </is>
      </c>
      <c r="AQ524" t="inlineStr">
        <is>
          <t>701+</t>
        </is>
      </c>
      <c r="AR524" t="inlineStr">
        <is>
          <t>100.0</t>
        </is>
      </c>
      <c r="AS524" t="inlineStr">
        <is>
          <t>31</t>
        </is>
      </c>
      <c r="AT524" t="inlineStr">
        <is>
          <t>10.2</t>
        </is>
      </c>
      <c r="AU524" t="inlineStr">
        <is>
          <t>701+</t>
        </is>
      </c>
      <c r="AV524" t="inlineStr">
        <is>
          <t>7.8</t>
        </is>
      </c>
      <c r="AW524" t="inlineStr">
        <is>
          <t>701+</t>
        </is>
      </c>
      <c r="AX524" t="inlineStr">
        <is>
          <t>7.8</t>
        </is>
      </c>
      <c r="AY524" t="inlineStr">
        <is>
          <t>701+</t>
        </is>
      </c>
      <c r="AZ524" t="inlineStr">
        <is>
          <t>1.1</t>
        </is>
      </c>
      <c r="BA524" t="inlineStr">
        <is>
          <t>701+</t>
        </is>
      </c>
    </row>
    <row r="525">
      <c r="A525" t="inlineStr">
        <is>
          <t>King Mongkut's Institute of Technology Ladkrabang</t>
        </is>
      </c>
      <c r="B525" t="inlineStr">
        <is>
          <t>Thailand</t>
        </is>
      </c>
      <c r="C525" t="inlineStr">
        <is>
          <t>TH</t>
        </is>
      </c>
      <c r="D525" t="inlineStr">
        <is>
          <t>Asia</t>
        </is>
      </c>
      <c r="E525" t="inlineStr">
        <is>
          <t>L</t>
        </is>
      </c>
      <c r="F525" t="inlineStr">
        <is>
          <t>CO</t>
        </is>
      </c>
      <c r="G525" t="inlineStr">
        <is>
          <t>VH</t>
        </is>
      </c>
      <c r="H525" t="inlineStr">
        <is>
          <t>4</t>
        </is>
      </c>
      <c r="I525" t="inlineStr">
        <is>
          <t>Public</t>
        </is>
      </c>
      <c r="J525" t="inlineStr">
        <is>
          <t>1201-1400</t>
        </is>
      </c>
      <c r="K525" t="inlineStr">
        <is>
          <t>1201-1400</t>
        </is>
      </c>
      <c r="L525" t="inlineStr">
        <is>
          <t>1201-1400</t>
        </is>
      </c>
      <c r="M525" t="inlineStr">
        <is>
          <t>1201-1400</t>
        </is>
      </c>
      <c r="N525" t="inlineStr">
        <is>
          <t>-</t>
        </is>
      </c>
      <c r="O525" t="inlineStr">
        <is>
          <t>-</t>
        </is>
      </c>
      <c r="P525" t="n">
        <v>13.5</v>
      </c>
      <c r="Q525" t="inlineStr">
        <is>
          <t>701+</t>
        </is>
      </c>
      <c r="R525" t="n">
        <v>11.4</v>
      </c>
      <c r="S525" t="inlineStr">
        <is>
          <t>701+</t>
        </is>
      </c>
      <c r="T525" t="n">
        <v>6.3</v>
      </c>
      <c r="U525" t="inlineStr">
        <is>
          <t>801+</t>
        </is>
      </c>
      <c r="V525" t="n">
        <v>6.1</v>
      </c>
      <c r="W525" t="inlineStr">
        <is>
          <t>801+</t>
        </is>
      </c>
      <c r="X525" t="n">
        <v>31.2</v>
      </c>
      <c r="Y525" t="inlineStr">
        <is>
          <t>576</t>
        </is>
      </c>
      <c r="Z525" t="n">
        <v>4.2</v>
      </c>
      <c r="AA525" t="inlineStr">
        <is>
          <t>801+</t>
        </is>
      </c>
      <c r="AB525" t="n">
        <v>8.5</v>
      </c>
      <c r="AC525" t="inlineStr">
        <is>
          <t>801+</t>
        </is>
      </c>
      <c r="AD525" t="n">
        <v>20.2</v>
      </c>
      <c r="AE525" t="inlineStr">
        <is>
          <t>801+</t>
        </is>
      </c>
      <c r="AF525" t="n">
        <v>10.7</v>
      </c>
      <c r="AG525" t="inlineStr">
        <is>
          <t>801+</t>
        </is>
      </c>
      <c r="AH525" t="n">
        <v>36.7</v>
      </c>
      <c r="AI525" t="inlineStr">
        <is>
          <t>801+</t>
        </is>
      </c>
      <c r="AJ525" t="inlineStr">
        <is>
          <t>8.1</t>
        </is>
      </c>
      <c r="AK525" t="inlineStr">
        <is>
          <t>601+</t>
        </is>
      </c>
      <c r="AL525" t="inlineStr">
        <is>
          <t>7.4</t>
        </is>
      </c>
      <c r="AM525" t="inlineStr">
        <is>
          <t>601+</t>
        </is>
      </c>
      <c r="AN525" t="inlineStr">
        <is>
          <t>4.8</t>
        </is>
      </c>
      <c r="AO525" t="inlineStr">
        <is>
          <t>701+</t>
        </is>
      </c>
      <c r="AP525" t="inlineStr">
        <is>
          <t>3.1</t>
        </is>
      </c>
      <c r="AQ525" t="inlineStr">
        <is>
          <t>701+</t>
        </is>
      </c>
      <c r="AR525" t="inlineStr">
        <is>
          <t>15.7</t>
        </is>
      </c>
      <c r="AS525" t="inlineStr">
        <is>
          <t>656</t>
        </is>
      </c>
      <c r="AT525" t="inlineStr">
        <is>
          <t>1.6</t>
        </is>
      </c>
      <c r="AU525" t="inlineStr">
        <is>
          <t>701+</t>
        </is>
      </c>
      <c r="AV525" t="inlineStr">
        <is>
          <t>1.1</t>
        </is>
      </c>
      <c r="AW525" t="inlineStr">
        <is>
          <t>701+</t>
        </is>
      </c>
      <c r="AX525" t="inlineStr">
        <is>
          <t>9.5</t>
        </is>
      </c>
      <c r="AY525" t="inlineStr">
        <is>
          <t>701+</t>
        </is>
      </c>
      <c r="AZ525" t="inlineStr">
        <is>
          <t>1.3</t>
        </is>
      </c>
      <c r="BA525" t="inlineStr">
        <is>
          <t>701+</t>
        </is>
      </c>
    </row>
    <row r="526">
      <c r="A526" t="inlineStr">
        <is>
          <t>King Mongkut's University of Technology North Bangkok</t>
        </is>
      </c>
      <c r="B526" t="inlineStr">
        <is>
          <t>Thailand</t>
        </is>
      </c>
      <c r="C526" t="inlineStr">
        <is>
          <t>TH</t>
        </is>
      </c>
      <c r="D526" t="inlineStr">
        <is>
          <t>Asia</t>
        </is>
      </c>
      <c r="E526" t="inlineStr">
        <is>
          <t>L</t>
        </is>
      </c>
      <c r="F526" t="inlineStr">
        <is>
          <t>FO</t>
        </is>
      </c>
      <c r="G526" t="inlineStr">
        <is>
          <t>VH</t>
        </is>
      </c>
      <c r="H526" t="inlineStr">
        <is>
          <t>3</t>
        </is>
      </c>
      <c r="I526" t="inlineStr">
        <is>
          <t>Public</t>
        </is>
      </c>
      <c r="J526" t="inlineStr">
        <is>
          <t>1201-1400</t>
        </is>
      </c>
      <c r="K526" t="inlineStr">
        <is>
          <t>1201-1400</t>
        </is>
      </c>
      <c r="L526" t="inlineStr">
        <is>
          <t>1201-1400</t>
        </is>
      </c>
      <c r="M526" t="inlineStr"/>
      <c r="N526" t="inlineStr">
        <is>
          <t>-</t>
        </is>
      </c>
      <c r="O526" t="inlineStr">
        <is>
          <t>-</t>
        </is>
      </c>
      <c r="P526" t="n">
        <v>13.4</v>
      </c>
      <c r="Q526" t="inlineStr">
        <is>
          <t>701+</t>
        </is>
      </c>
      <c r="R526" t="n">
        <v>11.9</v>
      </c>
      <c r="S526" t="inlineStr">
        <is>
          <t>701+</t>
        </is>
      </c>
      <c r="T526" t="n">
        <v>5.3</v>
      </c>
      <c r="U526" t="inlineStr">
        <is>
          <t>801+</t>
        </is>
      </c>
      <c r="V526" t="n">
        <v>7.3</v>
      </c>
      <c r="W526" t="inlineStr">
        <is>
          <t>801+</t>
        </is>
      </c>
      <c r="X526" t="n">
        <v>3.8</v>
      </c>
      <c r="Y526" t="inlineStr">
        <is>
          <t>801+</t>
        </is>
      </c>
      <c r="Z526" t="n">
        <v>1.4</v>
      </c>
      <c r="AA526" t="inlineStr">
        <is>
          <t>801+</t>
        </is>
      </c>
      <c r="AB526" t="n">
        <v>5.8</v>
      </c>
      <c r="AC526" t="inlineStr">
        <is>
          <t>801+</t>
        </is>
      </c>
      <c r="AD526" t="n">
        <v>31.1</v>
      </c>
      <c r="AE526" t="inlineStr">
        <is>
          <t>801+</t>
        </is>
      </c>
      <c r="AF526" t="n">
        <v>3.1</v>
      </c>
      <c r="AG526" t="inlineStr">
        <is>
          <t>801+</t>
        </is>
      </c>
      <c r="AH526" t="n">
        <v>31.7</v>
      </c>
      <c r="AI526" t="inlineStr">
        <is>
          <t>801+</t>
        </is>
      </c>
      <c r="AJ526" t="inlineStr">
        <is>
          <t>8.1</t>
        </is>
      </c>
      <c r="AK526" t="inlineStr">
        <is>
          <t>601+</t>
        </is>
      </c>
      <c r="AL526" t="inlineStr">
        <is>
          <t>5.8</t>
        </is>
      </c>
      <c r="AM526" t="inlineStr">
        <is>
          <t>601+</t>
        </is>
      </c>
      <c r="AN526" t="inlineStr">
        <is>
          <t>3.7</t>
        </is>
      </c>
      <c r="AO526" t="inlineStr">
        <is>
          <t>701+</t>
        </is>
      </c>
      <c r="AP526" t="inlineStr">
        <is>
          <t>3.0</t>
        </is>
      </c>
      <c r="AQ526" t="inlineStr">
        <is>
          <t>701+</t>
        </is>
      </c>
      <c r="AR526" t="inlineStr">
        <is>
          <t>3.4</t>
        </is>
      </c>
      <c r="AS526" t="inlineStr">
        <is>
          <t>701+</t>
        </is>
      </c>
      <c r="AT526" t="inlineStr">
        <is>
          <t>1.1</t>
        </is>
      </c>
      <c r="AU526" t="inlineStr">
        <is>
          <t>701+</t>
        </is>
      </c>
      <c r="AV526" t="inlineStr">
        <is>
          <t>1.1</t>
        </is>
      </c>
      <c r="AW526" t="inlineStr">
        <is>
          <t>701+</t>
        </is>
      </c>
      <c r="AX526" t="inlineStr">
        <is>
          <t>8.3</t>
        </is>
      </c>
      <c r="AY526" t="inlineStr">
        <is>
          <t>701+</t>
        </is>
      </c>
      <c r="AZ526" t="inlineStr">
        <is>
          <t>1.1</t>
        </is>
      </c>
      <c r="BA526" t="inlineStr">
        <is>
          <t>701+</t>
        </is>
      </c>
    </row>
    <row r="527">
      <c r="A527" t="inlineStr">
        <is>
          <t>King Mongkut's University of Technology Thonburi</t>
        </is>
      </c>
      <c r="B527" t="inlineStr">
        <is>
          <t>Thailand</t>
        </is>
      </c>
      <c r="C527" t="inlineStr">
        <is>
          <t>TH</t>
        </is>
      </c>
      <c r="D527" t="inlineStr">
        <is>
          <t>Asia</t>
        </is>
      </c>
      <c r="E527" t="inlineStr">
        <is>
          <t>L</t>
        </is>
      </c>
      <c r="F527" t="inlineStr">
        <is>
          <t>CO</t>
        </is>
      </c>
      <c r="G527" t="inlineStr">
        <is>
          <t>VH</t>
        </is>
      </c>
      <c r="H527" t="inlineStr">
        <is>
          <t>3</t>
        </is>
      </c>
      <c r="I527" t="inlineStr">
        <is>
          <t>Public</t>
        </is>
      </c>
      <c r="J527" t="inlineStr">
        <is>
          <t>901-950</t>
        </is>
      </c>
      <c r="K527" t="inlineStr">
        <is>
          <t>951-1000</t>
        </is>
      </c>
      <c r="L527" t="inlineStr">
        <is>
          <t>951-1000</t>
        </is>
      </c>
      <c r="M527" t="inlineStr">
        <is>
          <t>801-1000</t>
        </is>
      </c>
      <c r="N527" t="inlineStr">
        <is>
          <t>-</t>
        </is>
      </c>
      <c r="O527" t="inlineStr">
        <is>
          <t>-</t>
        </is>
      </c>
      <c r="P527" t="n">
        <v>20.8</v>
      </c>
      <c r="Q527" t="inlineStr">
        <is>
          <t>596</t>
        </is>
      </c>
      <c r="R527" t="n">
        <v>15.1</v>
      </c>
      <c r="S527" t="inlineStr">
        <is>
          <t>701+</t>
        </is>
      </c>
      <c r="T527" t="n">
        <v>17.9</v>
      </c>
      <c r="U527" t="inlineStr">
        <is>
          <t>801+</t>
        </is>
      </c>
      <c r="V527" t="n">
        <v>17.7</v>
      </c>
      <c r="W527" t="inlineStr">
        <is>
          <t>757</t>
        </is>
      </c>
      <c r="X527" t="n">
        <v>11.7</v>
      </c>
      <c r="Y527" t="inlineStr">
        <is>
          <t>801+</t>
        </is>
      </c>
      <c r="Z527" t="n">
        <v>7.1</v>
      </c>
      <c r="AA527" t="inlineStr">
        <is>
          <t>801+</t>
        </is>
      </c>
      <c r="AB527" t="n">
        <v>11.5</v>
      </c>
      <c r="AC527" t="inlineStr">
        <is>
          <t>801+</t>
        </is>
      </c>
      <c r="AD527" t="n">
        <v>45</v>
      </c>
      <c r="AE527" t="inlineStr">
        <is>
          <t>801+</t>
        </is>
      </c>
      <c r="AF527" t="n">
        <v>3.1</v>
      </c>
      <c r="AG527" t="inlineStr">
        <is>
          <t>801+</t>
        </is>
      </c>
      <c r="AH527" t="n">
        <v>61.5</v>
      </c>
      <c r="AI527" t="inlineStr">
        <is>
          <t>467=</t>
        </is>
      </c>
      <c r="AJ527" t="inlineStr">
        <is>
          <t>13.1</t>
        </is>
      </c>
      <c r="AK527" t="inlineStr">
        <is>
          <t>601+</t>
        </is>
      </c>
      <c r="AL527" t="inlineStr">
        <is>
          <t>7.2</t>
        </is>
      </c>
      <c r="AM527" t="inlineStr">
        <is>
          <t>601+</t>
        </is>
      </c>
      <c r="AN527" t="inlineStr">
        <is>
          <t>14.0</t>
        </is>
      </c>
      <c r="AO527" t="inlineStr">
        <is>
          <t>701+</t>
        </is>
      </c>
      <c r="AP527" t="inlineStr">
        <is>
          <t>7.6</t>
        </is>
      </c>
      <c r="AQ527" t="inlineStr">
        <is>
          <t>701+</t>
        </is>
      </c>
      <c r="AR527" t="inlineStr">
        <is>
          <t>12.5</t>
        </is>
      </c>
      <c r="AS527" t="inlineStr">
        <is>
          <t>701+</t>
        </is>
      </c>
      <c r="AT527" t="inlineStr">
        <is>
          <t>3.5</t>
        </is>
      </c>
      <c r="AU527" t="inlineStr">
        <is>
          <t>701+</t>
        </is>
      </c>
      <c r="AV527" t="inlineStr">
        <is>
          <t>1.6</t>
        </is>
      </c>
      <c r="AW527" t="inlineStr">
        <is>
          <t>701+</t>
        </is>
      </c>
      <c r="AX527" t="inlineStr">
        <is>
          <t>8.4</t>
        </is>
      </c>
      <c r="AY527" t="inlineStr">
        <is>
          <t>701+</t>
        </is>
      </c>
      <c r="AZ527" t="inlineStr">
        <is>
          <t>49.4</t>
        </is>
      </c>
      <c r="BA527" t="inlineStr">
        <is>
          <t>312=</t>
        </is>
      </c>
    </row>
    <row r="528">
      <c r="A528" t="inlineStr">
        <is>
          <t>King's College London</t>
        </is>
      </c>
      <c r="B528" t="inlineStr">
        <is>
          <t>United Kingdom</t>
        </is>
      </c>
      <c r="C528" t="inlineStr">
        <is>
          <t>UK</t>
        </is>
      </c>
      <c r="D528" t="inlineStr"/>
      <c r="E528" t="inlineStr">
        <is>
          <t>XL</t>
        </is>
      </c>
      <c r="F528" t="inlineStr">
        <is>
          <t>FC</t>
        </is>
      </c>
      <c r="G528" t="inlineStr">
        <is>
          <t>VH</t>
        </is>
      </c>
      <c r="H528" t="inlineStr">
        <is>
          <t>5</t>
        </is>
      </c>
      <c r="I528" t="inlineStr">
        <is>
          <t>A</t>
        </is>
      </c>
      <c r="J528" t="inlineStr"/>
      <c r="K528" t="inlineStr"/>
      <c r="L528" t="inlineStr">
        <is>
          <t>40</t>
        </is>
      </c>
      <c r="M528" t="inlineStr">
        <is>
          <t>37</t>
        </is>
      </c>
      <c r="N528" t="inlineStr"/>
      <c r="O528" t="inlineStr">
        <is>
          <t>79.3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89.5</t>
        </is>
      </c>
      <c r="AK528" t="inlineStr">
        <is>
          <t>46</t>
        </is>
      </c>
      <c r="AL528" t="inlineStr">
        <is>
          <t>82.3</t>
        </is>
      </c>
      <c r="AM528" t="inlineStr">
        <is>
          <t>68</t>
        </is>
      </c>
      <c r="AN528" t="inlineStr">
        <is>
          <t>64.6</t>
        </is>
      </c>
      <c r="AO528" t="inlineStr">
        <is>
          <t>215</t>
        </is>
      </c>
      <c r="AP528" t="inlineStr">
        <is>
          <t>61.1</t>
        </is>
      </c>
      <c r="AQ528" t="inlineStr">
        <is>
          <t>201</t>
        </is>
      </c>
      <c r="AR528" t="inlineStr">
        <is>
          <t>98.8</t>
        </is>
      </c>
      <c r="AS528" t="inlineStr">
        <is>
          <t>99</t>
        </is>
      </c>
      <c r="AT528" t="inlineStr">
        <is>
          <t>100.0</t>
        </is>
      </c>
      <c r="AU528" t="inlineStr">
        <is>
          <t>23</t>
        </is>
      </c>
      <c r="AV528" t="inlineStr">
        <is>
          <t>99.2</t>
        </is>
      </c>
      <c r="AW528" t="inlineStr">
        <is>
          <t>14</t>
        </is>
      </c>
      <c r="AX528" t="inlineStr">
        <is>
          <t>34.4</t>
        </is>
      </c>
      <c r="AY528" t="inlineStr">
        <is>
          <t>223</t>
        </is>
      </c>
      <c r="AZ528" t="inlineStr">
        <is>
          <t>81.1</t>
        </is>
      </c>
      <c r="BA528" t="inlineStr">
        <is>
          <t>142=</t>
        </is>
      </c>
    </row>
    <row r="529">
      <c r="A529" t="inlineStr">
        <is>
          <t>King's College London (KCL)</t>
        </is>
      </c>
      <c r="B529" t="inlineStr">
        <is>
          <t>United Kingdom</t>
        </is>
      </c>
      <c r="C529" t="inlineStr"/>
      <c r="D529" t="inlineStr">
        <is>
          <t>Europe</t>
        </is>
      </c>
      <c r="E529" t="inlineStr">
        <is>
          <t>XL</t>
        </is>
      </c>
      <c r="F529" t="inlineStr">
        <is>
          <t>FC</t>
        </is>
      </c>
      <c r="G529" t="inlineStr">
        <is>
          <t>VH</t>
        </is>
      </c>
      <c r="H529" t="inlineStr"/>
      <c r="I529" t="inlineStr">
        <is>
          <t>Public</t>
        </is>
      </c>
      <c r="J529" t="inlineStr">
        <is>
          <t>31</t>
        </is>
      </c>
      <c r="K529" t="inlineStr">
        <is>
          <t>40</t>
        </is>
      </c>
      <c r="L529" t="inlineStr"/>
      <c r="M529" t="inlineStr"/>
      <c r="N529" t="inlineStr">
        <is>
          <t>88.3</t>
        </is>
      </c>
      <c r="O529" t="inlineStr"/>
      <c r="P529" t="n">
        <v>96.2</v>
      </c>
      <c r="Q529" t="inlineStr">
        <is>
          <t>44</t>
        </is>
      </c>
      <c r="R529" t="n">
        <v>91.8</v>
      </c>
      <c r="S529" t="inlineStr">
        <is>
          <t>65</t>
        </is>
      </c>
      <c r="T529" t="n">
        <v>74.40000000000001</v>
      </c>
      <c r="U529" t="inlineStr">
        <is>
          <t>202</t>
        </is>
      </c>
      <c r="V529" t="n">
        <v>70.2</v>
      </c>
      <c r="W529" t="inlineStr">
        <is>
          <t>215</t>
        </is>
      </c>
      <c r="X529" t="n">
        <v>99.5</v>
      </c>
      <c r="Y529" t="inlineStr">
        <is>
          <t>115</t>
        </is>
      </c>
      <c r="Z529" t="n">
        <v>99</v>
      </c>
      <c r="AA529" t="inlineStr">
        <is>
          <t>70</t>
        </is>
      </c>
      <c r="AB529" t="n">
        <v>99</v>
      </c>
      <c r="AC529" t="inlineStr">
        <is>
          <t>61</t>
        </is>
      </c>
      <c r="AD529" t="n">
        <v>98.40000000000001</v>
      </c>
      <c r="AE529" t="inlineStr">
        <is>
          <t>19</t>
        </is>
      </c>
      <c r="AF529" t="n">
        <v>76.40000000000001</v>
      </c>
      <c r="AG529" t="inlineStr">
        <is>
          <t>174</t>
        </is>
      </c>
      <c r="AH529" t="n">
        <v>96.5</v>
      </c>
      <c r="AI529" t="inlineStr">
        <is>
          <t>14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</row>
    <row r="530">
      <c r="A530" t="inlineStr">
        <is>
          <t>King Saud University</t>
        </is>
      </c>
      <c r="B530" t="inlineStr">
        <is>
          <t>Saudi Arabia</t>
        </is>
      </c>
      <c r="C530" t="inlineStr">
        <is>
          <t>SA</t>
        </is>
      </c>
      <c r="D530" t="inlineStr">
        <is>
          <t>Asia</t>
        </is>
      </c>
      <c r="E530" t="inlineStr">
        <is>
          <t>XL</t>
        </is>
      </c>
      <c r="F530" t="inlineStr">
        <is>
          <t>FC</t>
        </is>
      </c>
      <c r="G530" t="inlineStr">
        <is>
          <t>VH</t>
        </is>
      </c>
      <c r="H530" t="inlineStr">
        <is>
          <t>4</t>
        </is>
      </c>
      <c r="I530" t="inlineStr">
        <is>
          <t>Public</t>
        </is>
      </c>
      <c r="J530" t="inlineStr">
        <is>
          <t>143</t>
        </is>
      </c>
      <c r="K530" t="inlineStr">
        <is>
          <t>200</t>
        </is>
      </c>
      <c r="L530">
        <f>203</f>
        <v/>
      </c>
      <c r="M530" t="inlineStr">
        <is>
          <t>237=</t>
        </is>
      </c>
      <c r="N530" t="inlineStr">
        <is>
          <t>63.1</t>
        </is>
      </c>
      <c r="O530" t="inlineStr">
        <is>
          <t>45.2</t>
        </is>
      </c>
      <c r="P530" t="n">
        <v>54.8</v>
      </c>
      <c r="Q530" t="inlineStr">
        <is>
          <t>204</t>
        </is>
      </c>
      <c r="R530" t="n">
        <v>57.7</v>
      </c>
      <c r="S530" t="inlineStr">
        <is>
          <t>201</t>
        </is>
      </c>
      <c r="T530" t="n">
        <v>55.7</v>
      </c>
      <c r="U530" t="inlineStr">
        <is>
          <t>336</t>
        </is>
      </c>
      <c r="V530" t="n">
        <v>65.59999999999999</v>
      </c>
      <c r="W530" t="inlineStr">
        <is>
          <t>244</t>
        </is>
      </c>
      <c r="X530" t="n">
        <v>100</v>
      </c>
      <c r="Y530" t="inlineStr">
        <is>
          <t>89</t>
        </is>
      </c>
      <c r="Z530" t="n">
        <v>29.2</v>
      </c>
      <c r="AA530" t="inlineStr">
        <is>
          <t>600</t>
        </is>
      </c>
      <c r="AB530" t="n">
        <v>35.2</v>
      </c>
      <c r="AC530" t="inlineStr">
        <is>
          <t>549</t>
        </is>
      </c>
      <c r="AD530" t="n">
        <v>96.8</v>
      </c>
      <c r="AE530" t="inlineStr">
        <is>
          <t>41</t>
        </is>
      </c>
      <c r="AF530" t="n">
        <v>99.40000000000001</v>
      </c>
      <c r="AG530" t="inlineStr">
        <is>
          <t>23</t>
        </is>
      </c>
      <c r="AH530" t="n">
        <v>63.1</v>
      </c>
      <c r="AI530" t="inlineStr">
        <is>
          <t>439=</t>
        </is>
      </c>
      <c r="AJ530" t="inlineStr">
        <is>
          <t>36.9</t>
        </is>
      </c>
      <c r="AK530" t="inlineStr">
        <is>
          <t>236</t>
        </is>
      </c>
      <c r="AL530" t="inlineStr">
        <is>
          <t>21.3</t>
        </is>
      </c>
      <c r="AM530" t="inlineStr">
        <is>
          <t>435</t>
        </is>
      </c>
      <c r="AN530" t="inlineStr">
        <is>
          <t>64.2</t>
        </is>
      </c>
      <c r="AO530" t="inlineStr">
        <is>
          <t>218</t>
        </is>
      </c>
      <c r="AP530" t="inlineStr">
        <is>
          <t>32.2</t>
        </is>
      </c>
      <c r="AQ530" t="inlineStr">
        <is>
          <t>419</t>
        </is>
      </c>
      <c r="AR530" t="inlineStr">
        <is>
          <t>99.7</t>
        </is>
      </c>
      <c r="AS530" t="inlineStr">
        <is>
          <t>83</t>
        </is>
      </c>
      <c r="AT530" t="inlineStr">
        <is>
          <t>21.3</t>
        </is>
      </c>
      <c r="AU530" t="inlineStr">
        <is>
          <t>525</t>
        </is>
      </c>
      <c r="AV530" t="inlineStr">
        <is>
          <t>88.6</t>
        </is>
      </c>
      <c r="AW530" t="inlineStr">
        <is>
          <t>92</t>
        </is>
      </c>
      <c r="AX530" t="inlineStr">
        <is>
          <t>71.7</t>
        </is>
      </c>
      <c r="AY530" t="inlineStr">
        <is>
          <t>67</t>
        </is>
      </c>
      <c r="AZ530" t="inlineStr">
        <is>
          <t>75.8</t>
        </is>
      </c>
      <c r="BA530" t="inlineStr">
        <is>
          <t>171=</t>
        </is>
      </c>
    </row>
    <row r="531">
      <c r="A531" t="inlineStr">
        <is>
          <t>Kingston University, London</t>
        </is>
      </c>
      <c r="B531" t="inlineStr">
        <is>
          <t>United Kingdom</t>
        </is>
      </c>
      <c r="C531" t="inlineStr">
        <is>
          <t>UK</t>
        </is>
      </c>
      <c r="D531" t="inlineStr">
        <is>
          <t>Europe</t>
        </is>
      </c>
      <c r="E531" t="inlineStr">
        <is>
          <t>L</t>
        </is>
      </c>
      <c r="F531" t="inlineStr">
        <is>
          <t>CO</t>
        </is>
      </c>
      <c r="G531" t="inlineStr">
        <is>
          <t>HI</t>
        </is>
      </c>
      <c r="H531" t="inlineStr">
        <is>
          <t>3</t>
        </is>
      </c>
      <c r="I531" t="inlineStr">
        <is>
          <t>Public</t>
        </is>
      </c>
      <c r="J531" t="inlineStr">
        <is>
          <t>660</t>
        </is>
      </c>
      <c r="K531" t="inlineStr">
        <is>
          <t>601-610</t>
        </is>
      </c>
      <c r="L531" t="inlineStr">
        <is>
          <t>601-610</t>
        </is>
      </c>
      <c r="M531" t="inlineStr">
        <is>
          <t>601-650</t>
        </is>
      </c>
      <c r="N531" t="inlineStr">
        <is>
          <t>26.5</t>
        </is>
      </c>
      <c r="O531" t="inlineStr">
        <is>
          <t>-</t>
        </is>
      </c>
      <c r="P531" t="n">
        <v>20.7</v>
      </c>
      <c r="Q531" t="inlineStr">
        <is>
          <t>598</t>
        </is>
      </c>
      <c r="R531" t="n">
        <v>24.6</v>
      </c>
      <c r="S531" t="inlineStr">
        <is>
          <t>547</t>
        </is>
      </c>
      <c r="T531" t="n">
        <v>7.2</v>
      </c>
      <c r="U531" t="inlineStr">
        <is>
          <t>801+</t>
        </is>
      </c>
      <c r="V531" t="n">
        <v>12.7</v>
      </c>
      <c r="W531" t="inlineStr">
        <is>
          <t>801+</t>
        </is>
      </c>
      <c r="X531" t="n">
        <v>77.3</v>
      </c>
      <c r="Y531" t="inlineStr">
        <is>
          <t>309</t>
        </is>
      </c>
      <c r="Z531" t="n">
        <v>95.8</v>
      </c>
      <c r="AA531" t="inlineStr">
        <is>
          <t>115</t>
        </is>
      </c>
      <c r="AB531" t="n">
        <v>96.09999999999999</v>
      </c>
      <c r="AC531" t="inlineStr">
        <is>
          <t>98</t>
        </is>
      </c>
      <c r="AD531" t="n">
        <v>52</v>
      </c>
      <c r="AE531" t="inlineStr">
        <is>
          <t>801+</t>
        </is>
      </c>
      <c r="AF531" t="n">
        <v>16.4</v>
      </c>
      <c r="AG531" t="inlineStr">
        <is>
          <t>801+</t>
        </is>
      </c>
      <c r="AH531" t="n">
        <v>49.5</v>
      </c>
      <c r="AI531" t="inlineStr">
        <is>
          <t>715=</t>
        </is>
      </c>
      <c r="AJ531" t="inlineStr">
        <is>
          <t>17.5</t>
        </is>
      </c>
      <c r="AK531" t="inlineStr">
        <is>
          <t>506</t>
        </is>
      </c>
      <c r="AL531" t="inlineStr">
        <is>
          <t>12.6</t>
        </is>
      </c>
      <c r="AM531" t="inlineStr">
        <is>
          <t>601+</t>
        </is>
      </c>
      <c r="AN531" t="inlineStr">
        <is>
          <t>6.1</t>
        </is>
      </c>
      <c r="AO531" t="inlineStr">
        <is>
          <t>701+</t>
        </is>
      </c>
      <c r="AP531" t="inlineStr">
        <is>
          <t>8.7</t>
        </is>
      </c>
      <c r="AQ531" t="inlineStr">
        <is>
          <t>701+</t>
        </is>
      </c>
      <c r="AR531" t="inlineStr">
        <is>
          <t>71.9</t>
        </is>
      </c>
      <c r="AS531" t="inlineStr">
        <is>
          <t>265</t>
        </is>
      </c>
      <c r="AT531" t="inlineStr">
        <is>
          <t>99.4</t>
        </is>
      </c>
      <c r="AU531" t="inlineStr">
        <is>
          <t>45</t>
        </is>
      </c>
      <c r="AV531" t="inlineStr">
        <is>
          <t>9.2</t>
        </is>
      </c>
      <c r="AW531" t="inlineStr">
        <is>
          <t>690</t>
        </is>
      </c>
      <c r="AX531" t="inlineStr">
        <is>
          <t>14.1</t>
        </is>
      </c>
      <c r="AY531" t="inlineStr">
        <is>
          <t>605</t>
        </is>
      </c>
      <c r="AZ531" t="inlineStr">
        <is>
          <t>9.8</t>
        </is>
      </c>
      <c r="BA531" t="inlineStr">
        <is>
          <t>669=</t>
        </is>
      </c>
    </row>
    <row r="532">
      <c r="A532" t="inlineStr">
        <is>
          <t>KIT, Karlsruhe Institute of Technology</t>
        </is>
      </c>
      <c r="B532" t="inlineStr">
        <is>
          <t>Germany</t>
        </is>
      </c>
      <c r="C532" t="inlineStr">
        <is>
          <t>DE</t>
        </is>
      </c>
      <c r="D532" t="inlineStr"/>
      <c r="E532" t="inlineStr">
        <is>
          <t>L</t>
        </is>
      </c>
      <c r="F532" t="inlineStr">
        <is>
          <t>CO</t>
        </is>
      </c>
      <c r="G532" t="inlineStr">
        <is>
          <t>VH</t>
        </is>
      </c>
      <c r="H532" t="inlineStr">
        <is>
          <t>4</t>
        </is>
      </c>
      <c r="I532" t="inlineStr">
        <is>
          <t>A</t>
        </is>
      </c>
      <c r="J532" t="inlineStr"/>
      <c r="K532" t="inlineStr"/>
      <c r="L532" t="inlineStr">
        <is>
          <t>119</t>
        </is>
      </c>
      <c r="M532" t="inlineStr">
        <is>
          <t>141=</t>
        </is>
      </c>
      <c r="N532" t="inlineStr"/>
      <c r="O532" t="inlineStr">
        <is>
          <t>56.4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45.6</t>
        </is>
      </c>
      <c r="AK532" t="inlineStr">
        <is>
          <t>182</t>
        </is>
      </c>
      <c r="AL532" t="inlineStr">
        <is>
          <t>76.8</t>
        </is>
      </c>
      <c r="AM532" t="inlineStr">
        <is>
          <t>76</t>
        </is>
      </c>
      <c r="AN532" t="inlineStr">
        <is>
          <t>36.0</t>
        </is>
      </c>
      <c r="AO532" t="inlineStr">
        <is>
          <t>443</t>
        </is>
      </c>
      <c r="AP532" t="inlineStr">
        <is>
          <t>71.9</t>
        </is>
      </c>
      <c r="AQ532" t="inlineStr">
        <is>
          <t>139</t>
        </is>
      </c>
      <c r="AR532" t="inlineStr">
        <is>
          <t>70.4</t>
        </is>
      </c>
      <c r="AS532" t="inlineStr">
        <is>
          <t>275</t>
        </is>
      </c>
      <c r="AT532" t="inlineStr">
        <is>
          <t>46.7</t>
        </is>
      </c>
      <c r="AU532" t="inlineStr">
        <is>
          <t>312</t>
        </is>
      </c>
      <c r="AV532" t="inlineStr">
        <is>
          <t>76.0</t>
        </is>
      </c>
      <c r="AW532" t="inlineStr">
        <is>
          <t>166</t>
        </is>
      </c>
      <c r="AX532" t="inlineStr">
        <is>
          <t>38.7</t>
        </is>
      </c>
      <c r="AY532" t="inlineStr">
        <is>
          <t>187</t>
        </is>
      </c>
      <c r="AZ532" t="inlineStr">
        <is>
          <t>23.9</t>
        </is>
      </c>
      <c r="BA532" t="inlineStr">
        <is>
          <t>504=</t>
        </is>
      </c>
    </row>
    <row r="533">
      <c r="A533" t="inlineStr">
        <is>
          <t>Kobe University</t>
        </is>
      </c>
      <c r="B533" t="inlineStr">
        <is>
          <t>Japan</t>
        </is>
      </c>
      <c r="C533" t="inlineStr">
        <is>
          <t>JP</t>
        </is>
      </c>
      <c r="D533" t="inlineStr">
        <is>
          <t>Asia</t>
        </is>
      </c>
      <c r="E533" t="inlineStr">
        <is>
          <t>L</t>
        </is>
      </c>
      <c r="F533" t="inlineStr">
        <is>
          <t>FC</t>
        </is>
      </c>
      <c r="G533" t="inlineStr">
        <is>
          <t>VH</t>
        </is>
      </c>
      <c r="H533" t="inlineStr">
        <is>
          <t>4</t>
        </is>
      </c>
      <c r="I533" t="inlineStr">
        <is>
          <t>Public</t>
        </is>
      </c>
      <c r="J533" t="inlineStr">
        <is>
          <t>482</t>
        </is>
      </c>
      <c r="K533" t="inlineStr">
        <is>
          <t>465</t>
        </is>
      </c>
      <c r="L533">
        <f>476</f>
        <v/>
      </c>
      <c r="M533" t="inlineStr">
        <is>
          <t>363=</t>
        </is>
      </c>
      <c r="N533" t="inlineStr">
        <is>
          <t>33</t>
        </is>
      </c>
      <c r="O533" t="inlineStr">
        <is>
          <t>24.3</t>
        </is>
      </c>
      <c r="P533" t="n">
        <v>36.9</v>
      </c>
      <c r="Q533" t="inlineStr">
        <is>
          <t>324</t>
        </is>
      </c>
      <c r="R533" t="n">
        <v>39</v>
      </c>
      <c r="S533" t="inlineStr">
        <is>
          <t>353</t>
        </is>
      </c>
      <c r="T533" t="n">
        <v>45</v>
      </c>
      <c r="U533" t="inlineStr">
        <is>
          <t>434</t>
        </is>
      </c>
      <c r="V533" t="n">
        <v>19.4</v>
      </c>
      <c r="W533" t="inlineStr">
        <is>
          <t>725</t>
        </is>
      </c>
      <c r="X533" t="n">
        <v>11.2</v>
      </c>
      <c r="Y533" t="inlineStr">
        <is>
          <t>801+</t>
        </is>
      </c>
      <c r="Z533" t="n">
        <v>10.7</v>
      </c>
      <c r="AA533" t="inlineStr">
        <is>
          <t>801+</t>
        </is>
      </c>
      <c r="AB533" t="n">
        <v>15.9</v>
      </c>
      <c r="AC533" t="inlineStr">
        <is>
          <t>801+</t>
        </is>
      </c>
      <c r="AD533" t="n">
        <v>53.3</v>
      </c>
      <c r="AE533" t="inlineStr">
        <is>
          <t>791</t>
        </is>
      </c>
      <c r="AF533" t="n">
        <v>27</v>
      </c>
      <c r="AG533" t="inlineStr">
        <is>
          <t>608</t>
        </is>
      </c>
      <c r="AH533" t="n">
        <v>73.3</v>
      </c>
      <c r="AI533" t="inlineStr">
        <is>
          <t>269=</t>
        </is>
      </c>
      <c r="AJ533" t="inlineStr">
        <is>
          <t>28.5</t>
        </is>
      </c>
      <c r="AK533" t="inlineStr">
        <is>
          <t>308</t>
        </is>
      </c>
      <c r="AL533" t="inlineStr">
        <is>
          <t>38.8</t>
        </is>
      </c>
      <c r="AM533" t="inlineStr">
        <is>
          <t>248</t>
        </is>
      </c>
      <c r="AN533" t="inlineStr">
        <is>
          <t>53.2</t>
        </is>
      </c>
      <c r="AO533" t="inlineStr">
        <is>
          <t>292</t>
        </is>
      </c>
      <c r="AP533" t="inlineStr">
        <is>
          <t>11.6</t>
        </is>
      </c>
      <c r="AQ533" t="inlineStr">
        <is>
          <t>701+</t>
        </is>
      </c>
      <c r="AR533" t="inlineStr">
        <is>
          <t>7.4</t>
        </is>
      </c>
      <c r="AS533" t="inlineStr">
        <is>
          <t>701+</t>
        </is>
      </c>
      <c r="AT533" t="inlineStr">
        <is>
          <t>7.7</t>
        </is>
      </c>
      <c r="AU533" t="inlineStr">
        <is>
          <t>701+</t>
        </is>
      </c>
      <c r="AV533" t="inlineStr">
        <is>
          <t>8.7</t>
        </is>
      </c>
      <c r="AW533" t="inlineStr">
        <is>
          <t>701+</t>
        </is>
      </c>
      <c r="AX533" t="inlineStr">
        <is>
          <t>11.9</t>
        </is>
      </c>
      <c r="AY533" t="inlineStr">
        <is>
          <t>701+</t>
        </is>
      </c>
      <c r="AZ533" t="inlineStr">
        <is>
          <t>10.9</t>
        </is>
      </c>
      <c r="BA533" t="inlineStr">
        <is>
          <t>658=</t>
        </is>
      </c>
    </row>
    <row r="534">
      <c r="A534" t="inlineStr">
        <is>
          <t>Koc University</t>
        </is>
      </c>
      <c r="B534" t="inlineStr">
        <is>
          <t>Turkey</t>
        </is>
      </c>
      <c r="C534" t="inlineStr"/>
      <c r="D534" t="inlineStr">
        <is>
          <t>Asia</t>
        </is>
      </c>
      <c r="E534" t="inlineStr">
        <is>
          <t>M</t>
        </is>
      </c>
      <c r="F534" t="inlineStr">
        <is>
          <t>FC</t>
        </is>
      </c>
      <c r="G534" t="inlineStr">
        <is>
          <t>VH</t>
        </is>
      </c>
      <c r="H534" t="inlineStr"/>
      <c r="I534" t="inlineStr">
        <is>
          <t>Private not for Profit</t>
        </is>
      </c>
      <c r="J534" t="inlineStr">
        <is>
          <t>323</t>
        </is>
      </c>
      <c r="K534" t="inlineStr">
        <is>
          <t>401</t>
        </is>
      </c>
      <c r="L534" t="inlineStr"/>
      <c r="M534" t="inlineStr"/>
      <c r="N534" t="inlineStr">
        <is>
          <t>43.1</t>
        </is>
      </c>
      <c r="O534" t="inlineStr"/>
      <c r="P534" t="n">
        <v>36</v>
      </c>
      <c r="Q534" t="inlineStr">
        <is>
          <t>338</t>
        </is>
      </c>
      <c r="R534" t="n">
        <v>77.5</v>
      </c>
      <c r="S534" t="inlineStr">
        <is>
          <t>113</t>
        </is>
      </c>
      <c r="T534" t="n">
        <v>21</v>
      </c>
      <c r="U534" t="inlineStr">
        <is>
          <t>801+</t>
        </is>
      </c>
      <c r="V534" t="n">
        <v>52.6</v>
      </c>
      <c r="W534" t="inlineStr">
        <is>
          <t>359</t>
        </is>
      </c>
      <c r="X534" t="n">
        <v>30.1</v>
      </c>
      <c r="Y534" t="inlineStr">
        <is>
          <t>584</t>
        </is>
      </c>
      <c r="Z534" t="n">
        <v>22.2</v>
      </c>
      <c r="AA534" t="inlineStr">
        <is>
          <t>697</t>
        </is>
      </c>
      <c r="AB534" t="n">
        <v>27.7</v>
      </c>
      <c r="AC534" t="inlineStr">
        <is>
          <t>643</t>
        </is>
      </c>
      <c r="AD534" t="n">
        <v>50.4</v>
      </c>
      <c r="AE534" t="inlineStr">
        <is>
          <t>801+</t>
        </is>
      </c>
      <c r="AF534" t="n">
        <v>10.8</v>
      </c>
      <c r="AG534" t="inlineStr">
        <is>
          <t>801+</t>
        </is>
      </c>
      <c r="AH534" t="n">
        <v>62.4</v>
      </c>
      <c r="AI534" t="inlineStr">
        <is>
          <t>450=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inlineStr">
        <is>
          <t>Konkuk University</t>
        </is>
      </c>
      <c r="B535" t="inlineStr">
        <is>
          <t>Republic of Korea</t>
        </is>
      </c>
      <c r="C535" t="inlineStr"/>
      <c r="D535" t="inlineStr">
        <is>
          <t>Asia</t>
        </is>
      </c>
      <c r="E535" t="inlineStr">
        <is>
          <t>L</t>
        </is>
      </c>
      <c r="F535" t="inlineStr">
        <is>
          <t>FC</t>
        </is>
      </c>
      <c r="G535" t="inlineStr">
        <is>
          <t>VH</t>
        </is>
      </c>
      <c r="H535" t="inlineStr"/>
      <c r="I535" t="inlineStr">
        <is>
          <t>Private not for Profit</t>
        </is>
      </c>
      <c r="J535" t="inlineStr">
        <is>
          <t>654</t>
        </is>
      </c>
      <c r="K535" t="inlineStr">
        <is>
          <t>721-730</t>
        </is>
      </c>
      <c r="L535" t="inlineStr"/>
      <c r="M535" t="inlineStr"/>
      <c r="N535" t="inlineStr">
        <is>
          <t>26.6</t>
        </is>
      </c>
      <c r="O535" t="inlineStr"/>
      <c r="P535" t="n">
        <v>11.6</v>
      </c>
      <c r="Q535" t="inlineStr">
        <is>
          <t>701+</t>
        </is>
      </c>
      <c r="R535" t="n">
        <v>12.8</v>
      </c>
      <c r="S535" t="inlineStr">
        <is>
          <t>701+</t>
        </is>
      </c>
      <c r="T535" t="n">
        <v>61.3</v>
      </c>
      <c r="U535" t="inlineStr">
        <is>
          <t>292</t>
        </is>
      </c>
      <c r="V535" t="n">
        <v>34.1</v>
      </c>
      <c r="W535" t="inlineStr">
        <is>
          <t>537</t>
        </is>
      </c>
      <c r="X535" t="n">
        <v>16.2</v>
      </c>
      <c r="Y535" t="inlineStr">
        <is>
          <t>774</t>
        </is>
      </c>
      <c r="Z535" t="n">
        <v>43.9</v>
      </c>
      <c r="AA535" t="inlineStr">
        <is>
          <t>458</t>
        </is>
      </c>
      <c r="AB535" t="n">
        <v>49.1</v>
      </c>
      <c r="AC535" t="inlineStr">
        <is>
          <t>424</t>
        </is>
      </c>
      <c r="AD535" t="n">
        <v>52.5</v>
      </c>
      <c r="AE535" t="inlineStr">
        <is>
          <t>799</t>
        </is>
      </c>
      <c r="AF535" t="n">
        <v>14.7</v>
      </c>
      <c r="AG535" t="inlineStr">
        <is>
          <t>801+</t>
        </is>
      </c>
      <c r="AH535" t="n">
        <v>61.8</v>
      </c>
      <c r="AI535" t="inlineStr">
        <is>
          <t>460=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</row>
    <row r="536">
      <c r="A536" t="inlineStr">
        <is>
          <t xml:space="preserve">Konkuk University </t>
        </is>
      </c>
      <c r="B536" t="inlineStr">
        <is>
          <t>South Korea</t>
        </is>
      </c>
      <c r="C536" t="inlineStr">
        <is>
          <t>KR</t>
        </is>
      </c>
      <c r="D536" t="inlineStr"/>
      <c r="E536" t="inlineStr">
        <is>
          <t>L</t>
        </is>
      </c>
      <c r="F536" t="inlineStr">
        <is>
          <t>FC</t>
        </is>
      </c>
      <c r="G536" t="inlineStr">
        <is>
          <t>VH</t>
        </is>
      </c>
      <c r="H536" t="inlineStr">
        <is>
          <t>4</t>
        </is>
      </c>
      <c r="I536" t="inlineStr">
        <is>
          <t>B</t>
        </is>
      </c>
      <c r="J536" t="inlineStr"/>
      <c r="K536" t="inlineStr"/>
      <c r="L536" t="inlineStr">
        <is>
          <t>801-850</t>
        </is>
      </c>
      <c r="M536" t="inlineStr">
        <is>
          <t>651-700</t>
        </is>
      </c>
      <c r="N536" t="inlineStr"/>
      <c r="O536" t="inlineStr">
        <is>
          <t>-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9.4</t>
        </is>
      </c>
      <c r="AK536" t="inlineStr">
        <is>
          <t>601+</t>
        </is>
      </c>
      <c r="AL536" t="inlineStr">
        <is>
          <t>9.3</t>
        </is>
      </c>
      <c r="AM536" t="inlineStr">
        <is>
          <t>601+</t>
        </is>
      </c>
      <c r="AN536" t="inlineStr">
        <is>
          <t>59.0</t>
        </is>
      </c>
      <c r="AO536" t="inlineStr">
        <is>
          <t>241</t>
        </is>
      </c>
      <c r="AP536" t="inlineStr">
        <is>
          <t>13.8</t>
        </is>
      </c>
      <c r="AQ536" t="inlineStr">
        <is>
          <t>660</t>
        </is>
      </c>
      <c r="AR536" t="inlineStr">
        <is>
          <t>7.7</t>
        </is>
      </c>
      <c r="AS536" t="inlineStr">
        <is>
          <t>701+</t>
        </is>
      </c>
      <c r="AT536" t="inlineStr">
        <is>
          <t>9.8</t>
        </is>
      </c>
      <c r="AU536" t="inlineStr">
        <is>
          <t>701+</t>
        </is>
      </c>
      <c r="AV536" t="inlineStr">
        <is>
          <t>2.8</t>
        </is>
      </c>
      <c r="AW536" t="inlineStr">
        <is>
          <t>701+</t>
        </is>
      </c>
      <c r="AX536" t="inlineStr">
        <is>
          <t>9.9</t>
        </is>
      </c>
      <c r="AY536" t="inlineStr">
        <is>
          <t>701+</t>
        </is>
      </c>
      <c r="AZ536" t="inlineStr">
        <is>
          <t>2.3</t>
        </is>
      </c>
      <c r="BA536" t="inlineStr">
        <is>
          <t>701+</t>
        </is>
      </c>
    </row>
    <row r="537">
      <c r="A537" t="inlineStr">
        <is>
          <t>Kookmin University</t>
        </is>
      </c>
      <c r="B537" t="inlineStr">
        <is>
          <t>Republic of Korea</t>
        </is>
      </c>
      <c r="C537" t="inlineStr"/>
      <c r="D537" t="inlineStr">
        <is>
          <t>Asia</t>
        </is>
      </c>
      <c r="E537" t="inlineStr">
        <is>
          <t>L</t>
        </is>
      </c>
      <c r="F537" t="inlineStr">
        <is>
          <t>CO</t>
        </is>
      </c>
      <c r="G537" t="inlineStr">
        <is>
          <t>HI</t>
        </is>
      </c>
      <c r="H537" t="inlineStr"/>
      <c r="I537" t="inlineStr">
        <is>
          <t>Private for Profit</t>
        </is>
      </c>
      <c r="J537" t="inlineStr">
        <is>
          <t>1001-1200</t>
        </is>
      </c>
      <c r="K537" t="inlineStr">
        <is>
          <t>1201-1400</t>
        </is>
      </c>
      <c r="L537" t="inlineStr"/>
      <c r="M537" t="inlineStr"/>
      <c r="N537" t="inlineStr">
        <is>
          <t>-</t>
        </is>
      </c>
      <c r="O537" t="inlineStr"/>
      <c r="P537" t="n">
        <v>5.3</v>
      </c>
      <c r="Q537" t="inlineStr">
        <is>
          <t>701+</t>
        </is>
      </c>
      <c r="R537" t="n">
        <v>6.2</v>
      </c>
      <c r="S537" t="inlineStr">
        <is>
          <t>701+</t>
        </is>
      </c>
      <c r="T537" t="n">
        <v>51</v>
      </c>
      <c r="U537" t="inlineStr">
        <is>
          <t>371</t>
        </is>
      </c>
      <c r="V537" t="n">
        <v>5.3</v>
      </c>
      <c r="W537" t="inlineStr">
        <is>
          <t>801+</t>
        </is>
      </c>
      <c r="X537" t="n">
        <v>7</v>
      </c>
      <c r="Y537" t="inlineStr">
        <is>
          <t>801+</t>
        </is>
      </c>
      <c r="Z537" t="n">
        <v>63.5</v>
      </c>
      <c r="AA537" t="inlineStr">
        <is>
          <t>316</t>
        </is>
      </c>
      <c r="AB537" t="n">
        <v>63.9</v>
      </c>
      <c r="AC537" t="inlineStr">
        <is>
          <t>311</t>
        </is>
      </c>
      <c r="AD537" t="n">
        <v>9.9</v>
      </c>
      <c r="AE537" t="inlineStr">
        <is>
          <t>801+</t>
        </is>
      </c>
      <c r="AF537" t="n">
        <v>5.2</v>
      </c>
      <c r="AG537" t="inlineStr">
        <is>
          <t>801+</t>
        </is>
      </c>
      <c r="AH537" t="n">
        <v>43.7</v>
      </c>
      <c r="AI537" t="inlineStr">
        <is>
          <t>801+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</row>
    <row r="538">
      <c r="A538" t="inlineStr">
        <is>
          <t xml:space="preserve">Kookmin University </t>
        </is>
      </c>
      <c r="B538" t="inlineStr">
        <is>
          <t>South Korea</t>
        </is>
      </c>
      <c r="C538" t="inlineStr">
        <is>
          <t>KR</t>
        </is>
      </c>
      <c r="D538" t="inlineStr"/>
      <c r="E538" t="inlineStr">
        <is>
          <t>L</t>
        </is>
      </c>
      <c r="F538" t="inlineStr">
        <is>
          <t>CO</t>
        </is>
      </c>
      <c r="G538" t="inlineStr">
        <is>
          <t>HI</t>
        </is>
      </c>
      <c r="H538" t="inlineStr">
        <is>
          <t>4</t>
        </is>
      </c>
      <c r="I538" t="inlineStr">
        <is>
          <t>C</t>
        </is>
      </c>
      <c r="J538" t="inlineStr"/>
      <c r="K538" t="inlineStr"/>
      <c r="L538" t="inlineStr">
        <is>
          <t>1001-1200</t>
        </is>
      </c>
      <c r="M538" t="inlineStr">
        <is>
          <t>1001-1200</t>
        </is>
      </c>
      <c r="N538" t="inlineStr"/>
      <c r="O538" t="inlineStr">
        <is>
          <t>-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5.2</t>
        </is>
      </c>
      <c r="AK538" t="inlineStr">
        <is>
          <t>601+</t>
        </is>
      </c>
      <c r="AL538" t="inlineStr">
        <is>
          <t>4.0</t>
        </is>
      </c>
      <c r="AM538" t="inlineStr">
        <is>
          <t>601+</t>
        </is>
      </c>
      <c r="AN538" t="inlineStr">
        <is>
          <t>28.8</t>
        </is>
      </c>
      <c r="AO538" t="inlineStr">
        <is>
          <t>535</t>
        </is>
      </c>
      <c r="AP538" t="inlineStr">
        <is>
          <t>3.5</t>
        </is>
      </c>
      <c r="AQ538" t="inlineStr">
        <is>
          <t>701+</t>
        </is>
      </c>
      <c r="AR538" t="inlineStr">
        <is>
          <t>5.5</t>
        </is>
      </c>
      <c r="AS538" t="inlineStr">
        <is>
          <t>701+</t>
        </is>
      </c>
      <c r="AT538" t="inlineStr">
        <is>
          <t>21.0</t>
        </is>
      </c>
      <c r="AU538" t="inlineStr">
        <is>
          <t>535</t>
        </is>
      </c>
      <c r="AV538" t="inlineStr">
        <is>
          <t>1.0</t>
        </is>
      </c>
      <c r="AW538" t="inlineStr">
        <is>
          <t>701+</t>
        </is>
      </c>
      <c r="AX538" t="inlineStr">
        <is>
          <t>6.5</t>
        </is>
      </c>
      <c r="AY538" t="inlineStr">
        <is>
          <t>701+</t>
        </is>
      </c>
      <c r="AZ538" t="inlineStr">
        <is>
          <t>1</t>
        </is>
      </c>
      <c r="BA538" t="inlineStr">
        <is>
          <t>701+</t>
        </is>
      </c>
    </row>
    <row r="539">
      <c r="A539" t="inlineStr">
        <is>
          <t>Korea University</t>
        </is>
      </c>
      <c r="B539" t="inlineStr">
        <is>
          <t>Republic of Korea</t>
        </is>
      </c>
      <c r="C539" t="inlineStr"/>
      <c r="D539" t="inlineStr">
        <is>
          <t>Asia</t>
        </is>
      </c>
      <c r="E539" t="inlineStr">
        <is>
          <t>L</t>
        </is>
      </c>
      <c r="F539" t="inlineStr">
        <is>
          <t>FC</t>
        </is>
      </c>
      <c r="G539" t="inlineStr">
        <is>
          <t>VH</t>
        </is>
      </c>
      <c r="H539" t="inlineStr"/>
      <c r="I539" t="inlineStr">
        <is>
          <t>Private not for Profit</t>
        </is>
      </c>
      <c r="J539" t="inlineStr">
        <is>
          <t>61</t>
        </is>
      </c>
      <c r="K539" t="inlineStr">
        <is>
          <t>67</t>
        </is>
      </c>
      <c r="L539" t="inlineStr"/>
      <c r="M539" t="inlineStr"/>
      <c r="N539" t="inlineStr">
        <is>
          <t>79.6</t>
        </is>
      </c>
      <c r="O539" t="inlineStr"/>
      <c r="P539" t="n">
        <v>89.2</v>
      </c>
      <c r="Q539" t="inlineStr">
        <is>
          <t>70</t>
        </is>
      </c>
      <c r="R539" t="n">
        <v>95.40000000000001</v>
      </c>
      <c r="S539" t="inlineStr">
        <is>
          <t>48</t>
        </is>
      </c>
      <c r="T539" t="n">
        <v>77</v>
      </c>
      <c r="U539" t="inlineStr">
        <is>
          <t>183</t>
        </is>
      </c>
      <c r="V539" t="n">
        <v>68.2</v>
      </c>
      <c r="W539" t="inlineStr">
        <is>
          <t>229</t>
        </is>
      </c>
      <c r="X539" t="n">
        <v>24.5</v>
      </c>
      <c r="Y539" t="inlineStr">
        <is>
          <t>656</t>
        </is>
      </c>
      <c r="Z539" t="n">
        <v>64</v>
      </c>
      <c r="AA539" t="inlineStr">
        <is>
          <t>311</t>
        </is>
      </c>
      <c r="AB539" t="n">
        <v>67.5</v>
      </c>
      <c r="AC539" t="inlineStr">
        <is>
          <t>287</t>
        </is>
      </c>
      <c r="AD539" t="n">
        <v>67.7</v>
      </c>
      <c r="AE539" t="inlineStr">
        <is>
          <t>573</t>
        </is>
      </c>
      <c r="AF539" t="n">
        <v>93.59999999999999</v>
      </c>
      <c r="AG539" t="inlineStr">
        <is>
          <t>83</t>
        </is>
      </c>
      <c r="AH539" t="n">
        <v>85.90000000000001</v>
      </c>
      <c r="AI539" t="inlineStr">
        <is>
          <t>101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</row>
    <row r="540">
      <c r="A540" t="inlineStr">
        <is>
          <t>Korea University</t>
        </is>
      </c>
      <c r="B540" t="inlineStr">
        <is>
          <t>South Korea</t>
        </is>
      </c>
      <c r="C540" t="inlineStr">
        <is>
          <t>KR</t>
        </is>
      </c>
      <c r="D540" t="inlineStr"/>
      <c r="E540" t="inlineStr">
        <is>
          <t>L</t>
        </is>
      </c>
      <c r="F540" t="inlineStr">
        <is>
          <t>FC</t>
        </is>
      </c>
      <c r="G540" t="inlineStr">
        <is>
          <t>VH</t>
        </is>
      </c>
      <c r="H540" t="inlineStr">
        <is>
          <t>4</t>
        </is>
      </c>
      <c r="I540" t="inlineStr">
        <is>
          <t>B</t>
        </is>
      </c>
      <c r="J540" t="inlineStr"/>
      <c r="K540" t="inlineStr"/>
      <c r="L540" t="inlineStr">
        <is>
          <t>79</t>
        </is>
      </c>
      <c r="M540" t="inlineStr">
        <is>
          <t>74</t>
        </is>
      </c>
      <c r="N540" t="inlineStr"/>
      <c r="O540" t="inlineStr">
        <is>
          <t>64.7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82.2</t>
        </is>
      </c>
      <c r="AK540" t="inlineStr">
        <is>
          <t>64</t>
        </is>
      </c>
      <c r="AL540" t="inlineStr">
        <is>
          <t>94.0</t>
        </is>
      </c>
      <c r="AM540" t="inlineStr">
        <is>
          <t>40</t>
        </is>
      </c>
      <c r="AN540" t="inlineStr">
        <is>
          <t>81.0</t>
        </is>
      </c>
      <c r="AO540" t="inlineStr">
        <is>
          <t>137</t>
        </is>
      </c>
      <c r="AP540" t="inlineStr">
        <is>
          <t>36.6</t>
        </is>
      </c>
      <c r="AQ540" t="inlineStr">
        <is>
          <t>382</t>
        </is>
      </c>
      <c r="AR540" t="inlineStr">
        <is>
          <t>13.6</t>
        </is>
      </c>
      <c r="AS540" t="inlineStr">
        <is>
          <t>694</t>
        </is>
      </c>
      <c r="AT540" t="inlineStr">
        <is>
          <t>36.3</t>
        </is>
      </c>
      <c r="AU540" t="inlineStr">
        <is>
          <t>370</t>
        </is>
      </c>
      <c r="AV540" t="inlineStr">
        <is>
          <t>19.6</t>
        </is>
      </c>
      <c r="AW540" t="inlineStr">
        <is>
          <t>546</t>
        </is>
      </c>
      <c r="AX540" t="inlineStr">
        <is>
          <t>70.6</t>
        </is>
      </c>
      <c r="AY540" t="inlineStr">
        <is>
          <t>71</t>
        </is>
      </c>
      <c r="AZ540" t="inlineStr">
        <is>
          <t>58.6</t>
        </is>
      </c>
      <c r="BA540" t="inlineStr">
        <is>
          <t>255=</t>
        </is>
      </c>
    </row>
    <row r="541">
      <c r="A541" t="inlineStr">
        <is>
          <t>Korkyt Ata Kyzylorda University</t>
        </is>
      </c>
      <c r="B541" t="inlineStr">
        <is>
          <t>Kazakhstan</t>
        </is>
      </c>
      <c r="C541" t="inlineStr">
        <is>
          <t>KZ</t>
        </is>
      </c>
      <c r="D541" t="inlineStr"/>
      <c r="E541" t="inlineStr">
        <is>
          <t>M</t>
        </is>
      </c>
      <c r="F541" t="inlineStr">
        <is>
          <t>FO</t>
        </is>
      </c>
      <c r="G541" t="inlineStr">
        <is>
          <t>MD</t>
        </is>
      </c>
      <c r="H541" t="inlineStr">
        <is>
          <t>4</t>
        </is>
      </c>
      <c r="I541" t="inlineStr">
        <is>
          <t>A</t>
        </is>
      </c>
      <c r="J541" t="inlineStr"/>
      <c r="K541" t="inlineStr"/>
      <c r="L541" t="inlineStr">
        <is>
          <t>1201-1400</t>
        </is>
      </c>
      <c r="M541" t="inlineStr"/>
      <c r="N541" t="inlineStr"/>
      <c r="O541" t="inlineStr">
        <is>
          <t>-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5.9</t>
        </is>
      </c>
      <c r="AK541" t="inlineStr">
        <is>
          <t>601+</t>
        </is>
      </c>
      <c r="AL541" t="inlineStr">
        <is>
          <t>6.3</t>
        </is>
      </c>
      <c r="AM541" t="inlineStr">
        <is>
          <t>601+</t>
        </is>
      </c>
      <c r="AN541" t="inlineStr">
        <is>
          <t>5.1</t>
        </is>
      </c>
      <c r="AO541" t="inlineStr">
        <is>
          <t>701+</t>
        </is>
      </c>
      <c r="AP541" t="inlineStr">
        <is>
          <t>1.0</t>
        </is>
      </c>
      <c r="AQ541" t="inlineStr">
        <is>
          <t>701+</t>
        </is>
      </c>
      <c r="AR541" t="inlineStr">
        <is>
          <t>2.6</t>
        </is>
      </c>
      <c r="AS541" t="inlineStr">
        <is>
          <t>701+</t>
        </is>
      </c>
      <c r="AT541" t="inlineStr">
        <is>
          <t>1.2</t>
        </is>
      </c>
      <c r="AU541" t="inlineStr">
        <is>
          <t>701+</t>
        </is>
      </c>
      <c r="AV541" t="inlineStr">
        <is>
          <t>1.0</t>
        </is>
      </c>
      <c r="AW541" t="inlineStr">
        <is>
          <t>701+</t>
        </is>
      </c>
      <c r="AX541" t="inlineStr">
        <is>
          <t>12.4</t>
        </is>
      </c>
      <c r="AY541" t="inlineStr">
        <is>
          <t>701+</t>
        </is>
      </c>
      <c r="AZ541" t="inlineStr">
        <is>
          <t>1.3</t>
        </is>
      </c>
      <c r="BA541" t="inlineStr">
        <is>
          <t>701+</t>
        </is>
      </c>
    </row>
    <row r="542">
      <c r="A542" t="inlineStr">
        <is>
          <t>Koç University</t>
        </is>
      </c>
      <c r="B542" t="inlineStr">
        <is>
          <t>Turkey</t>
        </is>
      </c>
      <c r="C542" t="inlineStr">
        <is>
          <t>TR</t>
        </is>
      </c>
      <c r="D542" t="inlineStr"/>
      <c r="E542" t="inlineStr">
        <is>
          <t>M</t>
        </is>
      </c>
      <c r="F542" t="inlineStr">
        <is>
          <t>FC</t>
        </is>
      </c>
      <c r="G542" t="inlineStr">
        <is>
          <t>HI</t>
        </is>
      </c>
      <c r="H542" t="inlineStr">
        <is>
          <t>3</t>
        </is>
      </c>
      <c r="I542" t="inlineStr">
        <is>
          <t>B</t>
        </is>
      </c>
      <c r="J542" t="inlineStr"/>
      <c r="K542" t="inlineStr"/>
      <c r="L542">
        <f>431</f>
        <v/>
      </c>
      <c r="M542" t="inlineStr">
        <is>
          <t>477=</t>
        </is>
      </c>
      <c r="N542" t="inlineStr"/>
      <c r="O542" t="inlineStr">
        <is>
          <t>26.2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22.4</t>
        </is>
      </c>
      <c r="AK542" t="inlineStr">
        <is>
          <t>393</t>
        </is>
      </c>
      <c r="AL542" t="inlineStr">
        <is>
          <t>47.3</t>
        </is>
      </c>
      <c r="AM542" t="inlineStr">
        <is>
          <t>187</t>
        </is>
      </c>
      <c r="AN542" t="inlineStr">
        <is>
          <t>24.0</t>
        </is>
      </c>
      <c r="AO542" t="inlineStr">
        <is>
          <t>591</t>
        </is>
      </c>
      <c r="AP542" t="inlineStr">
        <is>
          <t>28.6</t>
        </is>
      </c>
      <c r="AQ542" t="inlineStr">
        <is>
          <t>448</t>
        </is>
      </c>
      <c r="AR542" t="inlineStr">
        <is>
          <t>27.3</t>
        </is>
      </c>
      <c r="AS542" t="inlineStr">
        <is>
          <t>504</t>
        </is>
      </c>
      <c r="AT542" t="inlineStr">
        <is>
          <t>11.2</t>
        </is>
      </c>
      <c r="AU542" t="inlineStr">
        <is>
          <t>687</t>
        </is>
      </c>
      <c r="AV542" t="inlineStr">
        <is>
          <t>6.4</t>
        </is>
      </c>
      <c r="AW542" t="inlineStr">
        <is>
          <t>701+</t>
        </is>
      </c>
      <c r="AX542" t="inlineStr">
        <is>
          <t>11</t>
        </is>
      </c>
      <c r="AY542" t="inlineStr">
        <is>
          <t>701+</t>
        </is>
      </c>
      <c r="AZ542" t="inlineStr">
        <is>
          <t>29.9</t>
        </is>
      </c>
      <c r="BA542" t="inlineStr">
        <is>
          <t>449=</t>
        </is>
      </c>
    </row>
    <row r="543">
      <c r="A543" t="inlineStr">
        <is>
          <t>KTH Royal Institute of Technology</t>
        </is>
      </c>
      <c r="B543" t="inlineStr">
        <is>
          <t>Sweden</t>
        </is>
      </c>
      <c r="C543" t="inlineStr">
        <is>
          <t>SE</t>
        </is>
      </c>
      <c r="D543" t="inlineStr">
        <is>
          <t>Europe</t>
        </is>
      </c>
      <c r="E543" t="inlineStr">
        <is>
          <t>L</t>
        </is>
      </c>
      <c r="F543" t="inlineStr">
        <is>
          <t>FO</t>
        </is>
      </c>
      <c r="G543" t="inlineStr">
        <is>
          <t>VH</t>
        </is>
      </c>
      <c r="H543" t="inlineStr">
        <is>
          <t>5</t>
        </is>
      </c>
      <c r="I543" t="inlineStr">
        <is>
          <t>Public</t>
        </is>
      </c>
      <c r="J543" t="inlineStr">
        <is>
          <t>78</t>
        </is>
      </c>
      <c r="K543" t="inlineStr">
        <is>
          <t>74</t>
        </is>
      </c>
      <c r="L543">
        <f>73</f>
        <v/>
      </c>
      <c r="M543" t="inlineStr">
        <is>
          <t>89</t>
        </is>
      </c>
      <c r="N543" t="inlineStr">
        <is>
          <t>73.6</t>
        </is>
      </c>
      <c r="O543" t="inlineStr">
        <is>
          <t>66.4</t>
        </is>
      </c>
      <c r="P543" t="n">
        <v>60.2</v>
      </c>
      <c r="Q543" t="inlineStr">
        <is>
          <t>174</t>
        </is>
      </c>
      <c r="R543" t="n">
        <v>62.1</v>
      </c>
      <c r="S543" t="inlineStr">
        <is>
          <t>183</t>
        </is>
      </c>
      <c r="T543" t="n">
        <v>68.3</v>
      </c>
      <c r="U543" t="inlineStr">
        <is>
          <t>242</t>
        </is>
      </c>
      <c r="V543" t="n">
        <v>88.2</v>
      </c>
      <c r="W543" t="inlineStr">
        <is>
          <t>109</t>
        </is>
      </c>
      <c r="X543" t="n">
        <v>95.59999999999999</v>
      </c>
      <c r="Y543" t="inlineStr">
        <is>
          <t>171</t>
        </is>
      </c>
      <c r="Z543" t="n">
        <v>81.8</v>
      </c>
      <c r="AA543" t="inlineStr">
        <is>
          <t>215</t>
        </is>
      </c>
      <c r="AB543" t="n">
        <v>60.9</v>
      </c>
      <c r="AC543" t="inlineStr">
        <is>
          <t>331</t>
        </is>
      </c>
      <c r="AD543" t="n">
        <v>91.7</v>
      </c>
      <c r="AE543" t="inlineStr">
        <is>
          <t>147</t>
        </is>
      </c>
      <c r="AF543" t="n">
        <v>72.7</v>
      </c>
      <c r="AG543" t="inlineStr">
        <is>
          <t>197</t>
        </is>
      </c>
      <c r="AH543" t="n">
        <v>89.8</v>
      </c>
      <c r="AI543" t="inlineStr">
        <is>
          <t>66</t>
        </is>
      </c>
      <c r="AJ543" t="inlineStr">
        <is>
          <t>45.7</t>
        </is>
      </c>
      <c r="AK543" t="inlineStr">
        <is>
          <t>181</t>
        </is>
      </c>
      <c r="AL543" t="inlineStr">
        <is>
          <t>51.1</t>
        </is>
      </c>
      <c r="AM543" t="inlineStr">
        <is>
          <t>162</t>
        </is>
      </c>
      <c r="AN543" t="inlineStr">
        <is>
          <t>66.2</t>
        </is>
      </c>
      <c r="AO543" t="inlineStr">
        <is>
          <t>201</t>
        </is>
      </c>
      <c r="AP543" t="inlineStr">
        <is>
          <t>90.2</t>
        </is>
      </c>
      <c r="AQ543" t="inlineStr">
        <is>
          <t>74</t>
        </is>
      </c>
      <c r="AR543" t="inlineStr">
        <is>
          <t>93.2</t>
        </is>
      </c>
      <c r="AS543" t="inlineStr">
        <is>
          <t>162</t>
        </is>
      </c>
      <c r="AT543" t="inlineStr">
        <is>
          <t>68.1</t>
        </is>
      </c>
      <c r="AU543" t="inlineStr">
        <is>
          <t>217</t>
        </is>
      </c>
      <c r="AV543" t="inlineStr">
        <is>
          <t>80.7</t>
        </is>
      </c>
      <c r="AW543" t="inlineStr">
        <is>
          <t>142</t>
        </is>
      </c>
      <c r="AX543" t="inlineStr">
        <is>
          <t>56.9</t>
        </is>
      </c>
      <c r="AY543" t="inlineStr">
        <is>
          <t>108</t>
        </is>
      </c>
      <c r="AZ543" t="inlineStr">
        <is>
          <t>96.1</t>
        </is>
      </c>
      <c r="BA543" t="inlineStr">
        <is>
          <t>44=</t>
        </is>
      </c>
    </row>
    <row r="544">
      <c r="A544" t="inlineStr">
        <is>
          <t>KU Leuven</t>
        </is>
      </c>
      <c r="B544" t="inlineStr">
        <is>
          <t>Belgium</t>
        </is>
      </c>
      <c r="C544" t="inlineStr">
        <is>
          <t>BE</t>
        </is>
      </c>
      <c r="D544" t="inlineStr">
        <is>
          <t>Europe</t>
        </is>
      </c>
      <c r="E544" t="inlineStr">
        <is>
          <t>XL</t>
        </is>
      </c>
      <c r="F544" t="inlineStr">
        <is>
          <t>FC</t>
        </is>
      </c>
      <c r="G544" t="inlineStr">
        <is>
          <t>VH</t>
        </is>
      </c>
      <c r="H544" t="inlineStr">
        <is>
          <t>5</t>
        </is>
      </c>
      <c r="I544" t="inlineStr">
        <is>
          <t>Public</t>
        </is>
      </c>
      <c r="J544" t="inlineStr">
        <is>
          <t>60</t>
        </is>
      </c>
      <c r="K544" t="inlineStr">
        <is>
          <t>63</t>
        </is>
      </c>
      <c r="L544" t="inlineStr">
        <is>
          <t>61</t>
        </is>
      </c>
      <c r="M544" t="inlineStr">
        <is>
          <t>76</t>
        </is>
      </c>
      <c r="N544" t="inlineStr">
        <is>
          <t>79.7</t>
        </is>
      </c>
      <c r="O544" t="inlineStr">
        <is>
          <t>70.1</t>
        </is>
      </c>
      <c r="P544" t="n">
        <v>93</v>
      </c>
      <c r="Q544" t="inlineStr">
        <is>
          <t>53</t>
        </is>
      </c>
      <c r="R544" t="n">
        <v>63.5</v>
      </c>
      <c r="S544" t="inlineStr">
        <is>
          <t>169</t>
        </is>
      </c>
      <c r="T544" t="n">
        <v>9.6</v>
      </c>
      <c r="U544" t="inlineStr">
        <is>
          <t>801+</t>
        </is>
      </c>
      <c r="V544" t="n">
        <v>94.7</v>
      </c>
      <c r="W544" t="inlineStr">
        <is>
          <t>75</t>
        </is>
      </c>
      <c r="X544" t="n">
        <v>95.8</v>
      </c>
      <c r="Y544" t="inlineStr">
        <is>
          <t>166</t>
        </is>
      </c>
      <c r="Z544" t="n">
        <v>65.09999999999999</v>
      </c>
      <c r="AA544" t="inlineStr">
        <is>
          <t>307</t>
        </is>
      </c>
      <c r="AB544" t="n">
        <v>48.5</v>
      </c>
      <c r="AC544" t="inlineStr">
        <is>
          <t>428</t>
        </is>
      </c>
      <c r="AD544" t="n">
        <v>99.5</v>
      </c>
      <c r="AE544" t="inlineStr">
        <is>
          <t>4</t>
        </is>
      </c>
      <c r="AF544" t="n">
        <v>83.5</v>
      </c>
      <c r="AG544" t="inlineStr">
        <is>
          <t>143</t>
        </is>
      </c>
      <c r="AH544" t="n">
        <v>94.7</v>
      </c>
      <c r="AI544" t="inlineStr">
        <is>
          <t>25</t>
        </is>
      </c>
      <c r="AJ544" t="inlineStr">
        <is>
          <t>84.6</t>
        </is>
      </c>
      <c r="AK544" t="inlineStr">
        <is>
          <t>56</t>
        </is>
      </c>
      <c r="AL544" t="inlineStr">
        <is>
          <t>42.4</t>
        </is>
      </c>
      <c r="AM544" t="inlineStr">
        <is>
          <t>220</t>
        </is>
      </c>
      <c r="AN544" t="inlineStr">
        <is>
          <t>7.0</t>
        </is>
      </c>
      <c r="AO544" t="inlineStr">
        <is>
          <t>701+</t>
        </is>
      </c>
      <c r="AP544" t="inlineStr">
        <is>
          <t>92.7</t>
        </is>
      </c>
      <c r="AQ544" t="inlineStr">
        <is>
          <t>66</t>
        </is>
      </c>
      <c r="AR544" t="inlineStr">
        <is>
          <t>93.1</t>
        </is>
      </c>
      <c r="AS544" t="inlineStr">
        <is>
          <t>163</t>
        </is>
      </c>
      <c r="AT544" t="inlineStr">
        <is>
          <t>45.7</t>
        </is>
      </c>
      <c r="AU544" t="inlineStr">
        <is>
          <t>318</t>
        </is>
      </c>
      <c r="AV544" t="inlineStr">
        <is>
          <t>99.9</t>
        </is>
      </c>
      <c r="AW544" t="inlineStr">
        <is>
          <t>6</t>
        </is>
      </c>
      <c r="AX544" t="inlineStr">
        <is>
          <t>56.1</t>
        </is>
      </c>
      <c r="AY544" t="inlineStr">
        <is>
          <t>111</t>
        </is>
      </c>
      <c r="AZ544" t="inlineStr">
        <is>
          <t>75.6</t>
        </is>
      </c>
      <c r="BA544" t="inlineStr">
        <is>
          <t>173=</t>
        </is>
      </c>
    </row>
    <row r="545">
      <c r="A545" t="inlineStr">
        <is>
          <t>Kumamoto University</t>
        </is>
      </c>
      <c r="B545" t="inlineStr">
        <is>
          <t>Japan</t>
        </is>
      </c>
      <c r="C545" t="inlineStr">
        <is>
          <t>JP</t>
        </is>
      </c>
      <c r="D545" t="inlineStr">
        <is>
          <t>Asia</t>
        </is>
      </c>
      <c r="E545" t="inlineStr">
        <is>
          <t>M</t>
        </is>
      </c>
      <c r="F545" t="inlineStr">
        <is>
          <t>FC</t>
        </is>
      </c>
      <c r="G545" t="inlineStr">
        <is>
          <t>VH</t>
        </is>
      </c>
      <c r="H545" t="inlineStr">
        <is>
          <t>4</t>
        </is>
      </c>
      <c r="I545" t="inlineStr">
        <is>
          <t>Public</t>
        </is>
      </c>
      <c r="J545" t="inlineStr">
        <is>
          <t>951-1000</t>
        </is>
      </c>
      <c r="K545" t="inlineStr">
        <is>
          <t>951-1000</t>
        </is>
      </c>
      <c r="L545" t="inlineStr">
        <is>
          <t>901-950</t>
        </is>
      </c>
      <c r="M545" t="inlineStr">
        <is>
          <t>651-700</t>
        </is>
      </c>
      <c r="N545" t="inlineStr">
        <is>
          <t>-</t>
        </is>
      </c>
      <c r="O545" t="inlineStr">
        <is>
          <t>-</t>
        </is>
      </c>
      <c r="P545" t="n">
        <v>9.199999999999999</v>
      </c>
      <c r="Q545" t="inlineStr">
        <is>
          <t>701+</t>
        </is>
      </c>
      <c r="R545" t="n">
        <v>4.4</v>
      </c>
      <c r="S545" t="inlineStr">
        <is>
          <t>701+</t>
        </is>
      </c>
      <c r="T545" t="n">
        <v>67.5</v>
      </c>
      <c r="U545" t="inlineStr">
        <is>
          <t>249</t>
        </is>
      </c>
      <c r="V545" t="n">
        <v>21.4</v>
      </c>
      <c r="W545" t="inlineStr">
        <is>
          <t>692</t>
        </is>
      </c>
      <c r="X545" t="n">
        <v>8.199999999999999</v>
      </c>
      <c r="Y545" t="inlineStr">
        <is>
          <t>801+</t>
        </is>
      </c>
      <c r="Z545" t="n">
        <v>6.9</v>
      </c>
      <c r="AA545" t="inlineStr">
        <is>
          <t>801+</t>
        </is>
      </c>
      <c r="AB545" t="n">
        <v>11.4</v>
      </c>
      <c r="AC545" t="inlineStr">
        <is>
          <t>801+</t>
        </is>
      </c>
      <c r="AD545" t="n">
        <v>33.9</v>
      </c>
      <c r="AE545" t="inlineStr">
        <is>
          <t>801+</t>
        </is>
      </c>
      <c r="AF545" t="n">
        <v>3.4</v>
      </c>
      <c r="AG545" t="inlineStr">
        <is>
          <t>801+</t>
        </is>
      </c>
      <c r="AH545" t="n">
        <v>50.4</v>
      </c>
      <c r="AI545" t="inlineStr">
        <is>
          <t>696=</t>
        </is>
      </c>
      <c r="AJ545" t="inlineStr">
        <is>
          <t>7.6</t>
        </is>
      </c>
      <c r="AK545" t="inlineStr">
        <is>
          <t>601+</t>
        </is>
      </c>
      <c r="AL545" t="inlineStr">
        <is>
          <t>3.1</t>
        </is>
      </c>
      <c r="AM545" t="inlineStr">
        <is>
          <t>601+</t>
        </is>
      </c>
      <c r="AN545" t="inlineStr">
        <is>
          <t>56.0</t>
        </is>
      </c>
      <c r="AO545" t="inlineStr">
        <is>
          <t>266</t>
        </is>
      </c>
      <c r="AP545" t="inlineStr">
        <is>
          <t>12.3</t>
        </is>
      </c>
      <c r="AQ545" t="inlineStr">
        <is>
          <t>691</t>
        </is>
      </c>
      <c r="AR545" t="inlineStr">
        <is>
          <t>5.9</t>
        </is>
      </c>
      <c r="AS545" t="inlineStr">
        <is>
          <t>701+</t>
        </is>
      </c>
      <c r="AT545" t="inlineStr">
        <is>
          <t>3.4</t>
        </is>
      </c>
      <c r="AU545" t="inlineStr">
        <is>
          <t>701+</t>
        </is>
      </c>
      <c r="AV545" t="inlineStr">
        <is>
          <t>3.1</t>
        </is>
      </c>
      <c r="AW545" t="inlineStr">
        <is>
          <t>701+</t>
        </is>
      </c>
      <c r="AX545" t="inlineStr">
        <is>
          <t>8.1</t>
        </is>
      </c>
      <c r="AY545" t="inlineStr">
        <is>
          <t>701+</t>
        </is>
      </c>
      <c r="AZ545" t="inlineStr">
        <is>
          <t>1.9</t>
        </is>
      </c>
      <c r="BA545" t="inlineStr">
        <is>
          <t>701+</t>
        </is>
      </c>
    </row>
    <row r="546">
      <c r="A546" t="inlineStr">
        <is>
          <t>Kuwait University</t>
        </is>
      </c>
      <c r="B546" t="inlineStr">
        <is>
          <t>Kuwait</t>
        </is>
      </c>
      <c r="C546" t="inlineStr">
        <is>
          <t>KW</t>
        </is>
      </c>
      <c r="D546" t="inlineStr">
        <is>
          <t>Asia</t>
        </is>
      </c>
      <c r="E546" t="inlineStr">
        <is>
          <t>XL</t>
        </is>
      </c>
      <c r="F546" t="inlineStr">
        <is>
          <t>FC</t>
        </is>
      </c>
      <c r="G546" t="inlineStr">
        <is>
          <t>HI</t>
        </is>
      </c>
      <c r="H546" t="inlineStr">
        <is>
          <t>4</t>
        </is>
      </c>
      <c r="I546" t="inlineStr">
        <is>
          <t>Public</t>
        </is>
      </c>
      <c r="J546" t="inlineStr">
        <is>
          <t>781-790</t>
        </is>
      </c>
      <c r="K546" t="inlineStr">
        <is>
          <t>801-850</t>
        </is>
      </c>
      <c r="L546" t="inlineStr">
        <is>
          <t>851-900</t>
        </is>
      </c>
      <c r="M546" t="inlineStr">
        <is>
          <t>1001-1200</t>
        </is>
      </c>
      <c r="N546" t="inlineStr">
        <is>
          <t>-</t>
        </is>
      </c>
      <c r="O546" t="inlineStr">
        <is>
          <t>-</t>
        </is>
      </c>
      <c r="P546" t="n">
        <v>20.9</v>
      </c>
      <c r="Q546" t="inlineStr">
        <is>
          <t>594</t>
        </is>
      </c>
      <c r="R546" t="n">
        <v>17.5</v>
      </c>
      <c r="S546" t="inlineStr">
        <is>
          <t>701+</t>
        </is>
      </c>
      <c r="T546" t="n">
        <v>9.4</v>
      </c>
      <c r="U546" t="inlineStr">
        <is>
          <t>801+</t>
        </is>
      </c>
      <c r="V546" t="n">
        <v>5.5</v>
      </c>
      <c r="W546" t="inlineStr">
        <is>
          <t>801+</t>
        </is>
      </c>
      <c r="X546" t="n">
        <v>24.1</v>
      </c>
      <c r="Y546" t="inlineStr">
        <is>
          <t>662</t>
        </is>
      </c>
      <c r="Z546" t="n">
        <v>32</v>
      </c>
      <c r="AA546" t="inlineStr">
        <is>
          <t>567</t>
        </is>
      </c>
      <c r="AB546" t="n">
        <v>37.8</v>
      </c>
      <c r="AC546" t="inlineStr">
        <is>
          <t>519</t>
        </is>
      </c>
      <c r="AD546" t="n">
        <v>55.1</v>
      </c>
      <c r="AE546" t="inlineStr">
        <is>
          <t>769</t>
        </is>
      </c>
      <c r="AF546" t="n">
        <v>97.09999999999999</v>
      </c>
      <c r="AG546" t="inlineStr">
        <is>
          <t>56</t>
        </is>
      </c>
      <c r="AH546" t="n">
        <v>58.3</v>
      </c>
      <c r="AI546" t="inlineStr">
        <is>
          <t>539=</t>
        </is>
      </c>
      <c r="AJ546" t="inlineStr">
        <is>
          <t>13.6</t>
        </is>
      </c>
      <c r="AK546" t="inlineStr">
        <is>
          <t>601+</t>
        </is>
      </c>
      <c r="AL546" t="inlineStr">
        <is>
          <t>8.3</t>
        </is>
      </c>
      <c r="AM546" t="inlineStr">
        <is>
          <t>601+</t>
        </is>
      </c>
      <c r="AN546" t="inlineStr">
        <is>
          <t>6.4</t>
        </is>
      </c>
      <c r="AO546" t="inlineStr">
        <is>
          <t>701+</t>
        </is>
      </c>
      <c r="AP546" t="inlineStr">
        <is>
          <t>2.2</t>
        </is>
      </c>
      <c r="AQ546" t="inlineStr">
        <is>
          <t>701+</t>
        </is>
      </c>
      <c r="AR546" t="inlineStr">
        <is>
          <t>30.4</t>
        </is>
      </c>
      <c r="AS546" t="inlineStr">
        <is>
          <t>487</t>
        </is>
      </c>
      <c r="AT546" t="inlineStr">
        <is>
          <t>21.0</t>
        </is>
      </c>
      <c r="AU546" t="inlineStr">
        <is>
          <t>534</t>
        </is>
      </c>
      <c r="AV546" t="inlineStr">
        <is>
          <t>10.9</t>
        </is>
      </c>
      <c r="AW546" t="inlineStr">
        <is>
          <t>654</t>
        </is>
      </c>
      <c r="AX546" t="inlineStr">
        <is>
          <t>51.3</t>
        </is>
      </c>
      <c r="AY546" t="inlineStr">
        <is>
          <t>128</t>
        </is>
      </c>
      <c r="AZ546" t="inlineStr">
        <is>
          <t>18.8</t>
        </is>
      </c>
      <c r="BA546" t="inlineStr">
        <is>
          <t>555=</t>
        </is>
      </c>
    </row>
    <row r="547">
      <c r="A547" t="inlineStr">
        <is>
          <t>Kwame Nkrumah University of Science and Technology</t>
        </is>
      </c>
      <c r="B547" t="inlineStr">
        <is>
          <t>Ghana</t>
        </is>
      </c>
      <c r="C547" t="inlineStr">
        <is>
          <t>GH</t>
        </is>
      </c>
      <c r="D547" t="inlineStr">
        <is>
          <t>Africa</t>
        </is>
      </c>
      <c r="E547" t="inlineStr">
        <is>
          <t>XL</t>
        </is>
      </c>
      <c r="F547" t="inlineStr">
        <is>
          <t>CO</t>
        </is>
      </c>
      <c r="G547" t="inlineStr">
        <is>
          <t>HI</t>
        </is>
      </c>
      <c r="H547" t="inlineStr"/>
      <c r="I547" t="inlineStr"/>
      <c r="J547" t="inlineStr">
        <is>
          <t>1201-1400</t>
        </is>
      </c>
      <c r="K547" t="inlineStr">
        <is>
          <t>1201-1400</t>
        </is>
      </c>
      <c r="L547" t="inlineStr">
        <is>
          <t>1401+</t>
        </is>
      </c>
      <c r="M547" t="inlineStr"/>
      <c r="N547" t="inlineStr">
        <is>
          <t>-</t>
        </is>
      </c>
      <c r="O547" t="inlineStr">
        <is>
          <t>-</t>
        </is>
      </c>
      <c r="P547" t="n">
        <v>10.2</v>
      </c>
      <c r="Q547" t="inlineStr">
        <is>
          <t>701+</t>
        </is>
      </c>
      <c r="R547" t="n">
        <v>9.199999999999999</v>
      </c>
      <c r="S547" t="inlineStr">
        <is>
          <t>701+</t>
        </is>
      </c>
      <c r="T547" t="n">
        <v>6</v>
      </c>
      <c r="U547" t="inlineStr">
        <is>
          <t>801+</t>
        </is>
      </c>
      <c r="V547" t="n">
        <v>3.9</v>
      </c>
      <c r="W547" t="inlineStr">
        <is>
          <t>801+</t>
        </is>
      </c>
      <c r="X547" t="inlineStr"/>
      <c r="Y547" t="inlineStr"/>
      <c r="Z547" t="inlineStr"/>
      <c r="AA547" t="inlineStr"/>
      <c r="AB547" t="inlineStr"/>
      <c r="AC547" t="inlineStr"/>
      <c r="AD547" t="n">
        <v>65.90000000000001</v>
      </c>
      <c r="AE547" t="inlineStr">
        <is>
          <t>611</t>
        </is>
      </c>
      <c r="AF547" t="n">
        <v>49.9</v>
      </c>
      <c r="AG547" t="inlineStr">
        <is>
          <t>344</t>
        </is>
      </c>
      <c r="AH547" t="n">
        <v>42.3</v>
      </c>
      <c r="AI547" t="inlineStr">
        <is>
          <t>801+</t>
        </is>
      </c>
      <c r="AJ547" t="inlineStr">
        <is>
          <t>5.9</t>
        </is>
      </c>
      <c r="AK547" t="inlineStr">
        <is>
          <t>601+</t>
        </is>
      </c>
      <c r="AL547" t="inlineStr">
        <is>
          <t>7.6</t>
        </is>
      </c>
      <c r="AM547" t="inlineStr">
        <is>
          <t>601+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>
        <is>
          <t>10.8</t>
        </is>
      </c>
      <c r="AW547" t="inlineStr">
        <is>
          <t>656</t>
        </is>
      </c>
      <c r="AX547" t="inlineStr"/>
      <c r="AY547" t="inlineStr"/>
      <c r="AZ547" t="inlineStr"/>
      <c r="BA547" t="inlineStr"/>
    </row>
    <row r="548">
      <c r="A548" t="inlineStr">
        <is>
          <t>Kwansei Gakuin University</t>
        </is>
      </c>
      <c r="B548" t="inlineStr">
        <is>
          <t>Japan</t>
        </is>
      </c>
      <c r="C548" t="inlineStr">
        <is>
          <t>JP</t>
        </is>
      </c>
      <c r="D548" t="inlineStr"/>
      <c r="E548" t="inlineStr">
        <is>
          <t>L</t>
        </is>
      </c>
      <c r="F548" t="inlineStr">
        <is>
          <t>CO</t>
        </is>
      </c>
      <c r="G548" t="inlineStr">
        <is>
          <t>HI</t>
        </is>
      </c>
      <c r="H548" t="inlineStr">
        <is>
          <t>4</t>
        </is>
      </c>
      <c r="I548" t="inlineStr">
        <is>
          <t>B</t>
        </is>
      </c>
      <c r="J548" t="inlineStr"/>
      <c r="K548" t="inlineStr"/>
      <c r="L548" t="inlineStr">
        <is>
          <t>1201-1400</t>
        </is>
      </c>
      <c r="M548" t="inlineStr">
        <is>
          <t>1201-1400</t>
        </is>
      </c>
      <c r="N548" t="inlineStr"/>
      <c r="O548" t="inlineStr">
        <is>
          <t>-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4.2</t>
        </is>
      </c>
      <c r="AK548" t="inlineStr">
        <is>
          <t>601+</t>
        </is>
      </c>
      <c r="AL548" t="inlineStr">
        <is>
          <t>6.4</t>
        </is>
      </c>
      <c r="AM548" t="inlineStr">
        <is>
          <t>601+</t>
        </is>
      </c>
      <c r="AN548" t="inlineStr">
        <is>
          <t>4.5</t>
        </is>
      </c>
      <c r="AO548" t="inlineStr">
        <is>
          <t>701+</t>
        </is>
      </c>
      <c r="AP548" t="inlineStr">
        <is>
          <t>2.5</t>
        </is>
      </c>
      <c r="AQ548" t="inlineStr">
        <is>
          <t>701+</t>
        </is>
      </c>
      <c r="AR548" t="inlineStr">
        <is>
          <t>24.4</t>
        </is>
      </c>
      <c r="AS548" t="inlineStr">
        <is>
          <t>543</t>
        </is>
      </c>
      <c r="AT548" t="inlineStr">
        <is>
          <t>3.9</t>
        </is>
      </c>
      <c r="AU548" t="inlineStr">
        <is>
          <t>701+</t>
        </is>
      </c>
      <c r="AV548" t="inlineStr">
        <is>
          <t>1.0</t>
        </is>
      </c>
      <c r="AW548" t="inlineStr">
        <is>
          <t>701+</t>
        </is>
      </c>
      <c r="AX548" t="inlineStr">
        <is>
          <t>10.6</t>
        </is>
      </c>
      <c r="AY548" t="inlineStr">
        <is>
          <t>701+</t>
        </is>
      </c>
      <c r="AZ548" t="inlineStr">
        <is>
          <t>1</t>
        </is>
      </c>
      <c r="BA548" t="inlineStr">
        <is>
          <t>701+</t>
        </is>
      </c>
    </row>
    <row r="549">
      <c r="A549" t="inlineStr">
        <is>
          <t>Kyoto Institute of Technology</t>
        </is>
      </c>
      <c r="B549" t="inlineStr">
        <is>
          <t>Japan</t>
        </is>
      </c>
      <c r="C549" t="inlineStr">
        <is>
          <t>JP</t>
        </is>
      </c>
      <c r="D549" t="inlineStr">
        <is>
          <t>Asia</t>
        </is>
      </c>
      <c r="E549" t="inlineStr">
        <is>
          <t>S</t>
        </is>
      </c>
      <c r="F549" t="inlineStr">
        <is>
          <t>FO</t>
        </is>
      </c>
      <c r="G549" t="inlineStr">
        <is>
          <t>VH</t>
        </is>
      </c>
      <c r="H549" t="inlineStr">
        <is>
          <t>4</t>
        </is>
      </c>
      <c r="I549" t="inlineStr">
        <is>
          <t>Public</t>
        </is>
      </c>
      <c r="J549" t="inlineStr">
        <is>
          <t>1201-1400</t>
        </is>
      </c>
      <c r="K549" t="inlineStr">
        <is>
          <t>1201-1400</t>
        </is>
      </c>
      <c r="L549" t="inlineStr">
        <is>
          <t>1001-1200</t>
        </is>
      </c>
      <c r="M549" t="inlineStr">
        <is>
          <t>1001-1200</t>
        </is>
      </c>
      <c r="N549" t="inlineStr">
        <is>
          <t>-</t>
        </is>
      </c>
      <c r="O549" t="inlineStr">
        <is>
          <t>-</t>
        </is>
      </c>
      <c r="P549" t="n">
        <v>8</v>
      </c>
      <c r="Q549" t="inlineStr">
        <is>
          <t>701+</t>
        </is>
      </c>
      <c r="R549" t="n">
        <v>6.3</v>
      </c>
      <c r="S549" t="inlineStr">
        <is>
          <t>701+</t>
        </is>
      </c>
      <c r="T549" t="n">
        <v>18.6</v>
      </c>
      <c r="U549" t="inlineStr">
        <is>
          <t>801+</t>
        </is>
      </c>
      <c r="V549" t="n">
        <v>18.7</v>
      </c>
      <c r="W549" t="inlineStr">
        <is>
          <t>741</t>
        </is>
      </c>
      <c r="X549" t="n">
        <v>15.3</v>
      </c>
      <c r="Y549" t="inlineStr">
        <is>
          <t>801+</t>
        </is>
      </c>
      <c r="Z549" t="n">
        <v>13.6</v>
      </c>
      <c r="AA549" t="inlineStr">
        <is>
          <t>801+</t>
        </is>
      </c>
      <c r="AB549" t="n">
        <v>17.1</v>
      </c>
      <c r="AC549" t="inlineStr">
        <is>
          <t>801+</t>
        </is>
      </c>
      <c r="AD549" t="n">
        <v>13.2</v>
      </c>
      <c r="AE549" t="inlineStr">
        <is>
          <t>801+</t>
        </is>
      </c>
      <c r="AF549" t="n">
        <v>1.8</v>
      </c>
      <c r="AG549" t="inlineStr">
        <is>
          <t>801+</t>
        </is>
      </c>
      <c r="AH549" t="n">
        <v>24.6</v>
      </c>
      <c r="AI549" t="inlineStr">
        <is>
          <t>801+</t>
        </is>
      </c>
      <c r="AJ549" t="inlineStr">
        <is>
          <t>6.4</t>
        </is>
      </c>
      <c r="AK549" t="inlineStr">
        <is>
          <t>601+</t>
        </is>
      </c>
      <c r="AL549" t="inlineStr">
        <is>
          <t>4.0</t>
        </is>
      </c>
      <c r="AM549" t="inlineStr">
        <is>
          <t>601+</t>
        </is>
      </c>
      <c r="AN549" t="inlineStr">
        <is>
          <t>16.2</t>
        </is>
      </c>
      <c r="AO549" t="inlineStr">
        <is>
          <t>701+</t>
        </is>
      </c>
      <c r="AP549" t="inlineStr">
        <is>
          <t>12.9</t>
        </is>
      </c>
      <c r="AQ549" t="inlineStr">
        <is>
          <t>678</t>
        </is>
      </c>
      <c r="AR549" t="inlineStr">
        <is>
          <t>11.0</t>
        </is>
      </c>
      <c r="AS549" t="inlineStr">
        <is>
          <t>701+</t>
        </is>
      </c>
      <c r="AT549" t="inlineStr">
        <is>
          <t>7.9</t>
        </is>
      </c>
      <c r="AU549" t="inlineStr">
        <is>
          <t>701+</t>
        </is>
      </c>
      <c r="AV549" t="inlineStr">
        <is>
          <t>1.0</t>
        </is>
      </c>
      <c r="AW549" t="inlineStr">
        <is>
          <t>701+</t>
        </is>
      </c>
      <c r="AX549" t="inlineStr">
        <is>
          <t>7.8</t>
        </is>
      </c>
      <c r="AY549" t="inlineStr">
        <is>
          <t>701+</t>
        </is>
      </c>
      <c r="AZ549" t="inlineStr">
        <is>
          <t>1.1</t>
        </is>
      </c>
      <c r="BA549" t="inlineStr">
        <is>
          <t>701+</t>
        </is>
      </c>
    </row>
    <row r="550">
      <c r="A550" t="inlineStr">
        <is>
          <t>Kyoto University</t>
        </is>
      </c>
      <c r="B550" t="inlineStr">
        <is>
          <t>Japan</t>
        </is>
      </c>
      <c r="C550" t="inlineStr">
        <is>
          <t>JP</t>
        </is>
      </c>
      <c r="D550" t="inlineStr">
        <is>
          <t>Asia</t>
        </is>
      </c>
      <c r="E550" t="inlineStr">
        <is>
          <t>L</t>
        </is>
      </c>
      <c r="F550" t="inlineStr">
        <is>
          <t>FC</t>
        </is>
      </c>
      <c r="G550" t="inlineStr">
        <is>
          <t>VH</t>
        </is>
      </c>
      <c r="H550" t="inlineStr">
        <is>
          <t>5</t>
        </is>
      </c>
      <c r="I550" t="inlineStr">
        <is>
          <t>Public</t>
        </is>
      </c>
      <c r="J550" t="inlineStr">
        <is>
          <t>57</t>
        </is>
      </c>
      <c r="K550" t="inlineStr">
        <is>
          <t>50</t>
        </is>
      </c>
      <c r="L550" t="inlineStr">
        <is>
          <t>46</t>
        </is>
      </c>
      <c r="M550" t="inlineStr">
        <is>
          <t>36</t>
        </is>
      </c>
      <c r="N550" t="inlineStr">
        <is>
          <t>80.2</t>
        </is>
      </c>
      <c r="O550" t="inlineStr">
        <is>
          <t>76.3</t>
        </is>
      </c>
      <c r="P550" t="n">
        <v>99.7</v>
      </c>
      <c r="Q550" t="inlineStr">
        <is>
          <t>19</t>
        </is>
      </c>
      <c r="R550" t="n">
        <v>99.3</v>
      </c>
      <c r="S550" t="inlineStr">
        <is>
          <t>22</t>
        </is>
      </c>
      <c r="T550" t="n">
        <v>94.3</v>
      </c>
      <c r="U550" t="inlineStr">
        <is>
          <t>80</t>
        </is>
      </c>
      <c r="V550" t="n">
        <v>50.9</v>
      </c>
      <c r="W550" t="inlineStr">
        <is>
          <t>369</t>
        </is>
      </c>
      <c r="X550" t="n">
        <v>22.9</v>
      </c>
      <c r="Y550" t="inlineStr">
        <is>
          <t>675</t>
        </is>
      </c>
      <c r="Z550" t="n">
        <v>29.2</v>
      </c>
      <c r="AA550" t="inlineStr">
        <is>
          <t>601</t>
        </is>
      </c>
      <c r="AB550" t="n">
        <v>35.1</v>
      </c>
      <c r="AC550" t="inlineStr">
        <is>
          <t>551</t>
        </is>
      </c>
      <c r="AD550" t="n">
        <v>85.5</v>
      </c>
      <c r="AE550" t="inlineStr">
        <is>
          <t>247</t>
        </is>
      </c>
      <c r="AF550" t="n">
        <v>85.90000000000001</v>
      </c>
      <c r="AG550" t="inlineStr">
        <is>
          <t>132</t>
        </is>
      </c>
      <c r="AH550" t="n">
        <v>84</v>
      </c>
      <c r="AI550" t="inlineStr">
        <is>
          <t>124=</t>
        </is>
      </c>
      <c r="AJ550" t="inlineStr">
        <is>
          <t>98.7</t>
        </is>
      </c>
      <c r="AK550" t="inlineStr">
        <is>
          <t>20</t>
        </is>
      </c>
      <c r="AL550" t="inlineStr">
        <is>
          <t>99.1</t>
        </is>
      </c>
      <c r="AM550" t="inlineStr">
        <is>
          <t>14</t>
        </is>
      </c>
      <c r="AN550" t="inlineStr">
        <is>
          <t>94.7</t>
        </is>
      </c>
      <c r="AO550" t="inlineStr">
        <is>
          <t>63</t>
        </is>
      </c>
      <c r="AP550" t="inlineStr">
        <is>
          <t>49.3</t>
        </is>
      </c>
      <c r="AQ550" t="inlineStr">
        <is>
          <t>270</t>
        </is>
      </c>
      <c r="AR550" t="inlineStr">
        <is>
          <t>14.9</t>
        </is>
      </c>
      <c r="AS550" t="inlineStr">
        <is>
          <t>670</t>
        </is>
      </c>
      <c r="AT550" t="inlineStr">
        <is>
          <t>20.8</t>
        </is>
      </c>
      <c r="AU550" t="inlineStr">
        <is>
          <t>538</t>
        </is>
      </c>
      <c r="AV550" t="inlineStr">
        <is>
          <t>57.3</t>
        </is>
      </c>
      <c r="AW550" t="inlineStr">
        <is>
          <t>266</t>
        </is>
      </c>
      <c r="AX550" t="inlineStr">
        <is>
          <t>53.2</t>
        </is>
      </c>
      <c r="AY550" t="inlineStr">
        <is>
          <t>118</t>
        </is>
      </c>
      <c r="AZ550" t="inlineStr">
        <is>
          <t>88.4</t>
        </is>
      </c>
      <c r="BA550" t="inlineStr">
        <is>
          <t>103=</t>
        </is>
      </c>
    </row>
    <row r="551">
      <c r="A551" t="inlineStr">
        <is>
          <t>Kyrgyz National University</t>
        </is>
      </c>
      <c r="B551" t="inlineStr">
        <is>
          <t>Kyrgyzstan</t>
        </is>
      </c>
      <c r="C551" t="inlineStr"/>
      <c r="D551" t="inlineStr">
        <is>
          <t>Asia</t>
        </is>
      </c>
      <c r="E551" t="inlineStr">
        <is>
          <t>L</t>
        </is>
      </c>
      <c r="F551" t="inlineStr">
        <is>
          <t>CO</t>
        </is>
      </c>
      <c r="G551" t="inlineStr">
        <is>
          <t>LO</t>
        </is>
      </c>
      <c r="H551" t="inlineStr"/>
      <c r="I551" t="inlineStr">
        <is>
          <t>Public</t>
        </is>
      </c>
      <c r="J551" t="inlineStr">
        <is>
          <t>1201-1400</t>
        </is>
      </c>
      <c r="K551" t="inlineStr"/>
      <c r="L551" t="inlineStr"/>
      <c r="M551" t="inlineStr"/>
      <c r="N551" t="inlineStr">
        <is>
          <t>-</t>
        </is>
      </c>
      <c r="O551" t="inlineStr"/>
      <c r="P551" t="n">
        <v>14.3</v>
      </c>
      <c r="Q551" t="inlineStr">
        <is>
          <t>701+</t>
        </is>
      </c>
      <c r="R551" t="n">
        <v>12.6</v>
      </c>
      <c r="S551" t="inlineStr">
        <is>
          <t>701+</t>
        </is>
      </c>
      <c r="T551" t="n">
        <v>28.4</v>
      </c>
      <c r="U551" t="inlineStr">
        <is>
          <t>671</t>
        </is>
      </c>
      <c r="V551" t="n">
        <v>1.1</v>
      </c>
      <c r="W551" t="inlineStr">
        <is>
          <t>801+</t>
        </is>
      </c>
      <c r="X551" t="n">
        <v>2.6</v>
      </c>
      <c r="Y551" t="inlineStr">
        <is>
          <t>801+</t>
        </is>
      </c>
      <c r="Z551" t="n">
        <v>14</v>
      </c>
      <c r="AA551" t="inlineStr">
        <is>
          <t>801+</t>
        </is>
      </c>
      <c r="AB551" t="n">
        <v>16.2</v>
      </c>
      <c r="AC551" t="inlineStr">
        <is>
          <t>801+</t>
        </is>
      </c>
      <c r="AD551" t="n">
        <v>4.5</v>
      </c>
      <c r="AE551" t="inlineStr">
        <is>
          <t>801+</t>
        </is>
      </c>
      <c r="AF551" t="n">
        <v>51.7</v>
      </c>
      <c r="AG551" t="inlineStr">
        <is>
          <t>327</t>
        </is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</row>
    <row r="552">
      <c r="A552" t="inlineStr">
        <is>
          <t>Kyrgyz Russian Slavic University</t>
        </is>
      </c>
      <c r="B552" t="inlineStr">
        <is>
          <t>Kyrgyzstan</t>
        </is>
      </c>
      <c r="C552" t="inlineStr"/>
      <c r="D552" t="inlineStr">
        <is>
          <t>Asia</t>
        </is>
      </c>
      <c r="E552" t="inlineStr">
        <is>
          <t>M</t>
        </is>
      </c>
      <c r="F552" t="inlineStr">
        <is>
          <t>CO</t>
        </is>
      </c>
      <c r="G552" t="inlineStr">
        <is>
          <t>MD</t>
        </is>
      </c>
      <c r="H552" t="inlineStr"/>
      <c r="I552" t="inlineStr">
        <is>
          <t>Public</t>
        </is>
      </c>
      <c r="J552" t="inlineStr">
        <is>
          <t>1001-1200</t>
        </is>
      </c>
      <c r="K552" t="inlineStr">
        <is>
          <t>851-900</t>
        </is>
      </c>
      <c r="L552" t="inlineStr"/>
      <c r="M552" t="inlineStr"/>
      <c r="N552" t="inlineStr">
        <is>
          <t>-</t>
        </is>
      </c>
      <c r="O552" t="inlineStr"/>
      <c r="P552" t="n">
        <v>10.9</v>
      </c>
      <c r="Q552" t="inlineStr">
        <is>
          <t>701+</t>
        </is>
      </c>
      <c r="R552" t="n">
        <v>13.4</v>
      </c>
      <c r="S552" t="inlineStr">
        <is>
          <t>701+</t>
        </is>
      </c>
      <c r="T552" t="n">
        <v>99.90000000000001</v>
      </c>
      <c r="U552" t="inlineStr">
        <is>
          <t>30</t>
        </is>
      </c>
      <c r="V552" t="n">
        <v>1</v>
      </c>
      <c r="W552" t="inlineStr">
        <is>
          <t>801+</t>
        </is>
      </c>
      <c r="X552" t="inlineStr"/>
      <c r="Y552" t="inlineStr"/>
      <c r="Z552" t="inlineStr"/>
      <c r="AA552" t="inlineStr"/>
      <c r="AB552" t="inlineStr"/>
      <c r="AC552" t="inlineStr"/>
      <c r="AD552" t="n">
        <v>1.6</v>
      </c>
      <c r="AE552" t="inlineStr">
        <is>
          <t>801+</t>
        </is>
      </c>
      <c r="AF552" t="n">
        <v>35.4</v>
      </c>
      <c r="AG552" t="inlineStr">
        <is>
          <t>486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</row>
    <row r="553">
      <c r="A553" t="inlineStr">
        <is>
          <t>Kyrgyz State Technical University named after I. Razzakov</t>
        </is>
      </c>
      <c r="B553" t="inlineStr">
        <is>
          <t>Kyrgyzstan</t>
        </is>
      </c>
      <c r="C553" t="inlineStr"/>
      <c r="D553" t="inlineStr">
        <is>
          <t>Asia</t>
        </is>
      </c>
      <c r="E553" t="inlineStr">
        <is>
          <t>L</t>
        </is>
      </c>
      <c r="F553" t="inlineStr">
        <is>
          <t>SP</t>
        </is>
      </c>
      <c r="G553" t="inlineStr">
        <is>
          <t>LO</t>
        </is>
      </c>
      <c r="H553" t="inlineStr"/>
      <c r="I553" t="inlineStr">
        <is>
          <t>Public</t>
        </is>
      </c>
      <c r="J553" t="inlineStr">
        <is>
          <t>1201-1400</t>
        </is>
      </c>
      <c r="K553" t="inlineStr">
        <is>
          <t>1201-1400</t>
        </is>
      </c>
      <c r="L553" t="inlineStr"/>
      <c r="M553" t="inlineStr"/>
      <c r="N553" t="inlineStr">
        <is>
          <t>-</t>
        </is>
      </c>
      <c r="O553" t="inlineStr"/>
      <c r="P553" t="n">
        <v>16.1</v>
      </c>
      <c r="Q553" t="inlineStr">
        <is>
          <t>701+</t>
        </is>
      </c>
      <c r="R553" t="n">
        <v>15.1</v>
      </c>
      <c r="S553" t="inlineStr">
        <is>
          <t>701+</t>
        </is>
      </c>
      <c r="T553" t="n">
        <v>13.9</v>
      </c>
      <c r="U553" t="inlineStr">
        <is>
          <t>801+</t>
        </is>
      </c>
      <c r="V553" t="n">
        <v>1</v>
      </c>
      <c r="W553" t="inlineStr">
        <is>
          <t>801+</t>
        </is>
      </c>
      <c r="X553" t="n">
        <v>10.7</v>
      </c>
      <c r="Y553" t="inlineStr">
        <is>
          <t>801+</t>
        </is>
      </c>
      <c r="Z553" t="n">
        <v>11.5</v>
      </c>
      <c r="AA553" t="inlineStr">
        <is>
          <t>801+</t>
        </is>
      </c>
      <c r="AB553" t="n">
        <v>14.2</v>
      </c>
      <c r="AC553" t="inlineStr">
        <is>
          <t>801+</t>
        </is>
      </c>
      <c r="AD553" t="n">
        <v>1.1</v>
      </c>
      <c r="AE553" t="inlineStr">
        <is>
          <t>801+</t>
        </is>
      </c>
      <c r="AF553" t="n">
        <v>30.6</v>
      </c>
      <c r="AG553" t="inlineStr">
        <is>
          <t>542</t>
        </is>
      </c>
      <c r="AH553" t="n">
        <v>8.5</v>
      </c>
      <c r="AI553" t="inlineStr">
        <is>
          <t>801+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</row>
    <row r="554">
      <c r="A554" t="inlineStr">
        <is>
          <t>Kyrgyz-Turkish Manas University</t>
        </is>
      </c>
      <c r="B554" t="inlineStr">
        <is>
          <t>Kyrgyzstan</t>
        </is>
      </c>
      <c r="C554" t="inlineStr">
        <is>
          <t>KG</t>
        </is>
      </c>
      <c r="D554" t="inlineStr">
        <is>
          <t>Asia</t>
        </is>
      </c>
      <c r="E554" t="inlineStr">
        <is>
          <t>S</t>
        </is>
      </c>
      <c r="F554" t="inlineStr">
        <is>
          <t>CO</t>
        </is>
      </c>
      <c r="G554" t="inlineStr">
        <is>
          <t>HI</t>
        </is>
      </c>
      <c r="H554" t="inlineStr">
        <is>
          <t>3</t>
        </is>
      </c>
      <c r="I554" t="inlineStr">
        <is>
          <t>Public</t>
        </is>
      </c>
      <c r="J554" t="inlineStr">
        <is>
          <t>951-1000</t>
        </is>
      </c>
      <c r="K554" t="inlineStr">
        <is>
          <t>901-950</t>
        </is>
      </c>
      <c r="L554" t="inlineStr">
        <is>
          <t>851-900</t>
        </is>
      </c>
      <c r="M554" t="inlineStr">
        <is>
          <t>801-1000</t>
        </is>
      </c>
      <c r="N554" t="inlineStr">
        <is>
          <t>-</t>
        </is>
      </c>
      <c r="O554" t="inlineStr">
        <is>
          <t>-</t>
        </is>
      </c>
      <c r="P554" t="n">
        <v>19.2</v>
      </c>
      <c r="Q554" t="inlineStr">
        <is>
          <t>642</t>
        </is>
      </c>
      <c r="R554" t="n">
        <v>23</v>
      </c>
      <c r="S554" t="inlineStr">
        <is>
          <t>579</t>
        </is>
      </c>
      <c r="T554" t="n">
        <v>14.5</v>
      </c>
      <c r="U554" t="inlineStr">
        <is>
          <t>801+</t>
        </is>
      </c>
      <c r="V554" t="n">
        <v>3</v>
      </c>
      <c r="W554" t="inlineStr">
        <is>
          <t>801+</t>
        </is>
      </c>
      <c r="X554" t="n">
        <v>95.3</v>
      </c>
      <c r="Y554" t="inlineStr">
        <is>
          <t>175</t>
        </is>
      </c>
      <c r="Z554" t="n">
        <v>28.2</v>
      </c>
      <c r="AA554" t="inlineStr">
        <is>
          <t>613</t>
        </is>
      </c>
      <c r="AB554" t="n">
        <v>26.6</v>
      </c>
      <c r="AC554" t="inlineStr">
        <is>
          <t>663</t>
        </is>
      </c>
      <c r="AD554" t="n">
        <v>8.199999999999999</v>
      </c>
      <c r="AE554" t="inlineStr">
        <is>
          <t>801+</t>
        </is>
      </c>
      <c r="AF554" t="n">
        <v>7.9</v>
      </c>
      <c r="AG554" t="inlineStr">
        <is>
          <t>801+</t>
        </is>
      </c>
      <c r="AH554" t="n">
        <v>33.1</v>
      </c>
      <c r="AI554" t="inlineStr">
        <is>
          <t>801+</t>
        </is>
      </c>
      <c r="AJ554" t="inlineStr">
        <is>
          <t>13.0</t>
        </is>
      </c>
      <c r="AK554" t="inlineStr">
        <is>
          <t>601+</t>
        </is>
      </c>
      <c r="AL554" t="inlineStr">
        <is>
          <t>7.3</t>
        </is>
      </c>
      <c r="AM554" t="inlineStr">
        <is>
          <t>601+</t>
        </is>
      </c>
      <c r="AN554" t="inlineStr">
        <is>
          <t>12.2</t>
        </is>
      </c>
      <c r="AO554" t="inlineStr">
        <is>
          <t>701+</t>
        </is>
      </c>
      <c r="AP554" t="inlineStr">
        <is>
          <t>1.6</t>
        </is>
      </c>
      <c r="AQ554" t="inlineStr">
        <is>
          <t>701+</t>
        </is>
      </c>
      <c r="AR554" t="inlineStr">
        <is>
          <t>85.3</t>
        </is>
      </c>
      <c r="AS554" t="inlineStr">
        <is>
          <t>206</t>
        </is>
      </c>
      <c r="AT554" t="inlineStr">
        <is>
          <t>24.7</t>
        </is>
      </c>
      <c r="AU554" t="inlineStr">
        <is>
          <t>478</t>
        </is>
      </c>
      <c r="AV554" t="inlineStr">
        <is>
          <t>1.0</t>
        </is>
      </c>
      <c r="AW554" t="inlineStr">
        <is>
          <t>701+</t>
        </is>
      </c>
      <c r="AX554" t="inlineStr">
        <is>
          <t>14.5</t>
        </is>
      </c>
      <c r="AY554" t="inlineStr">
        <is>
          <t>578</t>
        </is>
      </c>
      <c r="AZ554" t="inlineStr"/>
      <c r="BA554" t="inlineStr"/>
    </row>
    <row r="555">
      <c r="A555" t="inlineStr">
        <is>
          <t>Kyung Hee University</t>
        </is>
      </c>
      <c r="B555" t="inlineStr">
        <is>
          <t>Republic of Korea</t>
        </is>
      </c>
      <c r="C555" t="inlineStr"/>
      <c r="D555" t="inlineStr">
        <is>
          <t>Asia</t>
        </is>
      </c>
      <c r="E555" t="inlineStr">
        <is>
          <t>L</t>
        </is>
      </c>
      <c r="F555" t="inlineStr">
        <is>
          <t>FC</t>
        </is>
      </c>
      <c r="G555" t="inlineStr">
        <is>
          <t>VH</t>
        </is>
      </c>
      <c r="H555" t="inlineStr"/>
      <c r="I555" t="inlineStr">
        <is>
          <t>Private not for Profit</t>
        </is>
      </c>
      <c r="J555" t="inlineStr">
        <is>
          <t>331</t>
        </is>
      </c>
      <c r="K555" t="inlineStr">
        <is>
          <t>328</t>
        </is>
      </c>
      <c r="L555" t="inlineStr"/>
      <c r="M555" t="inlineStr"/>
      <c r="N555" t="inlineStr">
        <is>
          <t>42.5</t>
        </is>
      </c>
      <c r="O555" t="inlineStr"/>
      <c r="P555" t="n">
        <v>34.6</v>
      </c>
      <c r="Q555" t="inlineStr">
        <is>
          <t>349</t>
        </is>
      </c>
      <c r="R555" t="n">
        <v>43</v>
      </c>
      <c r="S555" t="inlineStr">
        <is>
          <t>312</t>
        </is>
      </c>
      <c r="T555" t="n">
        <v>86.2</v>
      </c>
      <c r="U555" t="inlineStr">
        <is>
          <t>125</t>
        </is>
      </c>
      <c r="V555" t="n">
        <v>25.9</v>
      </c>
      <c r="W555" t="inlineStr">
        <is>
          <t>625</t>
        </is>
      </c>
      <c r="X555" t="n">
        <v>19.8</v>
      </c>
      <c r="Y555" t="inlineStr">
        <is>
          <t>715</t>
        </is>
      </c>
      <c r="Z555" t="n">
        <v>68.5</v>
      </c>
      <c r="AA555" t="inlineStr">
        <is>
          <t>286</t>
        </is>
      </c>
      <c r="AB555" t="n">
        <v>71.5</v>
      </c>
      <c r="AC555" t="inlineStr">
        <is>
          <t>256</t>
        </is>
      </c>
      <c r="AD555" t="n">
        <v>66.8</v>
      </c>
      <c r="AE555" t="inlineStr">
        <is>
          <t>592</t>
        </is>
      </c>
      <c r="AF555" t="n">
        <v>21.6</v>
      </c>
      <c r="AG555" t="inlineStr">
        <is>
          <t>698</t>
        </is>
      </c>
      <c r="AH555" t="n">
        <v>74.90000000000001</v>
      </c>
      <c r="AI555" t="inlineStr">
        <is>
          <t>237=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</row>
    <row r="556">
      <c r="A556" t="inlineStr">
        <is>
          <t>Kyung Hee University</t>
        </is>
      </c>
      <c r="B556" t="inlineStr">
        <is>
          <t>South Korea</t>
        </is>
      </c>
      <c r="C556" t="inlineStr">
        <is>
          <t>KR</t>
        </is>
      </c>
      <c r="D556" t="inlineStr"/>
      <c r="E556" t="inlineStr">
        <is>
          <t>L</t>
        </is>
      </c>
      <c r="F556" t="inlineStr">
        <is>
          <t>FC</t>
        </is>
      </c>
      <c r="G556" t="inlineStr">
        <is>
          <t>VH</t>
        </is>
      </c>
      <c r="H556" t="inlineStr">
        <is>
          <t>4</t>
        </is>
      </c>
      <c r="I556" t="inlineStr">
        <is>
          <t>B</t>
        </is>
      </c>
      <c r="J556" t="inlineStr"/>
      <c r="K556" t="inlineStr"/>
      <c r="L556">
        <f>332</f>
        <v/>
      </c>
      <c r="M556" t="inlineStr">
        <is>
          <t>270=</t>
        </is>
      </c>
      <c r="N556" t="inlineStr"/>
      <c r="O556" t="inlineStr">
        <is>
          <t>32.5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28.0</t>
        </is>
      </c>
      <c r="AK556" t="inlineStr">
        <is>
          <t>312</t>
        </is>
      </c>
      <c r="AL556" t="inlineStr">
        <is>
          <t>41.6</t>
        </is>
      </c>
      <c r="AM556" t="inlineStr">
        <is>
          <t>224</t>
        </is>
      </c>
      <c r="AN556" t="inlineStr">
        <is>
          <t>84.8</t>
        </is>
      </c>
      <c r="AO556" t="inlineStr">
        <is>
          <t>106</t>
        </is>
      </c>
      <c r="AP556" t="inlineStr">
        <is>
          <t>14.0</t>
        </is>
      </c>
      <c r="AQ556" t="inlineStr">
        <is>
          <t>657</t>
        </is>
      </c>
      <c r="AR556" t="inlineStr">
        <is>
          <t>14.2</t>
        </is>
      </c>
      <c r="AS556" t="inlineStr">
        <is>
          <t>684</t>
        </is>
      </c>
      <c r="AT556" t="inlineStr">
        <is>
          <t>54.0</t>
        </is>
      </c>
      <c r="AU556" t="inlineStr">
        <is>
          <t>272</t>
        </is>
      </c>
      <c r="AV556" t="inlineStr">
        <is>
          <t>16.7</t>
        </is>
      </c>
      <c r="AW556" t="inlineStr">
        <is>
          <t>577</t>
        </is>
      </c>
      <c r="AX556" t="inlineStr">
        <is>
          <t>12.1</t>
        </is>
      </c>
      <c r="AY556" t="inlineStr">
        <is>
          <t>701+</t>
        </is>
      </c>
      <c r="AZ556" t="inlineStr">
        <is>
          <t>33.5</t>
        </is>
      </c>
      <c r="BA556" t="inlineStr">
        <is>
          <t>413=</t>
        </is>
      </c>
    </row>
    <row r="557">
      <c r="A557" t="inlineStr">
        <is>
          <t>Kyungpook National University</t>
        </is>
      </c>
      <c r="B557" t="inlineStr">
        <is>
          <t>Republic of Korea</t>
        </is>
      </c>
      <c r="C557" t="inlineStr"/>
      <c r="D557" t="inlineStr">
        <is>
          <t>Asia</t>
        </is>
      </c>
      <c r="E557" t="inlineStr">
        <is>
          <t>L</t>
        </is>
      </c>
      <c r="F557" t="inlineStr">
        <is>
          <t>FC</t>
        </is>
      </c>
      <c r="G557" t="inlineStr">
        <is>
          <t>VH</t>
        </is>
      </c>
      <c r="H557" t="inlineStr"/>
      <c r="I557" t="inlineStr">
        <is>
          <t>Public</t>
        </is>
      </c>
      <c r="J557" t="inlineStr">
        <is>
          <t>519</t>
        </is>
      </c>
      <c r="K557" t="inlineStr">
        <is>
          <t>516</t>
        </is>
      </c>
      <c r="L557" t="inlineStr"/>
      <c r="M557" t="inlineStr"/>
      <c r="N557" t="inlineStr">
        <is>
          <t>31.3</t>
        </is>
      </c>
      <c r="O557" t="inlineStr"/>
      <c r="P557" t="n">
        <v>18</v>
      </c>
      <c r="Q557" t="inlineStr">
        <is>
          <t>680</t>
        </is>
      </c>
      <c r="R557" t="n">
        <v>20.3</v>
      </c>
      <c r="S557" t="inlineStr">
        <is>
          <t>649</t>
        </is>
      </c>
      <c r="T557" t="n">
        <v>78.5</v>
      </c>
      <c r="U557" t="inlineStr">
        <is>
          <t>175</t>
        </is>
      </c>
      <c r="V557" t="n">
        <v>29.6</v>
      </c>
      <c r="W557" t="inlineStr">
        <is>
          <t>593</t>
        </is>
      </c>
      <c r="X557" t="n">
        <v>18.7</v>
      </c>
      <c r="Y557" t="inlineStr">
        <is>
          <t>733</t>
        </is>
      </c>
      <c r="Z557" t="n">
        <v>44.6</v>
      </c>
      <c r="AA557" t="inlineStr">
        <is>
          <t>452</t>
        </is>
      </c>
      <c r="AB557" t="n">
        <v>49.7</v>
      </c>
      <c r="AC557" t="inlineStr">
        <is>
          <t>417</t>
        </is>
      </c>
      <c r="AD557" t="n">
        <v>55.8</v>
      </c>
      <c r="AE557" t="inlineStr">
        <is>
          <t>752</t>
        </is>
      </c>
      <c r="AF557" t="n">
        <v>15.5</v>
      </c>
      <c r="AG557" t="inlineStr">
        <is>
          <t>801+</t>
        </is>
      </c>
      <c r="AH557" t="n">
        <v>68.3</v>
      </c>
      <c r="AI557" t="inlineStr">
        <is>
          <t>344=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</row>
    <row r="558">
      <c r="A558" t="inlineStr">
        <is>
          <t>Kyungpook National University</t>
        </is>
      </c>
      <c r="B558" t="inlineStr">
        <is>
          <t>South Korea</t>
        </is>
      </c>
      <c r="C558" t="inlineStr">
        <is>
          <t>KR</t>
        </is>
      </c>
      <c r="D558" t="inlineStr"/>
      <c r="E558" t="inlineStr">
        <is>
          <t>L</t>
        </is>
      </c>
      <c r="F558" t="inlineStr">
        <is>
          <t>FC</t>
        </is>
      </c>
      <c r="G558" t="inlineStr">
        <is>
          <t>VH</t>
        </is>
      </c>
      <c r="H558" t="inlineStr">
        <is>
          <t>4</t>
        </is>
      </c>
      <c r="I558" t="inlineStr">
        <is>
          <t>A</t>
        </is>
      </c>
      <c r="J558" t="inlineStr"/>
      <c r="K558" t="inlineStr"/>
      <c r="L558">
        <f>520</f>
        <v/>
      </c>
      <c r="M558" t="inlineStr">
        <is>
          <t>501-510</t>
        </is>
      </c>
      <c r="N558" t="inlineStr"/>
      <c r="O558" t="inlineStr">
        <is>
          <t>22.6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11.1</t>
        </is>
      </c>
      <c r="AK558" t="inlineStr">
        <is>
          <t>601+</t>
        </is>
      </c>
      <c r="AL558" t="inlineStr">
        <is>
          <t>18.0</t>
        </is>
      </c>
      <c r="AM558" t="inlineStr">
        <is>
          <t>486</t>
        </is>
      </c>
      <c r="AN558" t="inlineStr">
        <is>
          <t>64.5</t>
        </is>
      </c>
      <c r="AO558" t="inlineStr">
        <is>
          <t>217</t>
        </is>
      </c>
      <c r="AP558" t="inlineStr">
        <is>
          <t>17.2</t>
        </is>
      </c>
      <c r="AQ558" t="inlineStr">
        <is>
          <t>597</t>
        </is>
      </c>
      <c r="AR558" t="inlineStr">
        <is>
          <t>9.8</t>
        </is>
      </c>
      <c r="AS558" t="inlineStr">
        <is>
          <t>701+</t>
        </is>
      </c>
      <c r="AT558" t="inlineStr">
        <is>
          <t>20.1</t>
        </is>
      </c>
      <c r="AU558" t="inlineStr">
        <is>
          <t>545</t>
        </is>
      </c>
      <c r="AV558" t="inlineStr">
        <is>
          <t>7.7</t>
        </is>
      </c>
      <c r="AW558" t="inlineStr">
        <is>
          <t>701+</t>
        </is>
      </c>
      <c r="AX558" t="inlineStr">
        <is>
          <t>43.1</t>
        </is>
      </c>
      <c r="AY558" t="inlineStr">
        <is>
          <t>168</t>
        </is>
      </c>
      <c r="AZ558" t="inlineStr">
        <is>
          <t>54.6</t>
        </is>
      </c>
      <c r="BA558" t="inlineStr">
        <is>
          <t>279=</t>
        </is>
      </c>
    </row>
    <row r="559">
      <c r="A559" t="inlineStr">
        <is>
          <t>Kyushu Institute of Technology</t>
        </is>
      </c>
      <c r="B559" t="inlineStr">
        <is>
          <t>Japan</t>
        </is>
      </c>
      <c r="C559" t="inlineStr">
        <is>
          <t>JP</t>
        </is>
      </c>
      <c r="D559" t="inlineStr">
        <is>
          <t>Asia</t>
        </is>
      </c>
      <c r="E559" t="inlineStr">
        <is>
          <t>M</t>
        </is>
      </c>
      <c r="F559" t="inlineStr">
        <is>
          <t>SP</t>
        </is>
      </c>
      <c r="G559" t="inlineStr">
        <is>
          <t>VH</t>
        </is>
      </c>
      <c r="H559" t="inlineStr">
        <is>
          <t>5</t>
        </is>
      </c>
      <c r="I559" t="inlineStr">
        <is>
          <t>Public</t>
        </is>
      </c>
      <c r="J559" t="inlineStr">
        <is>
          <t>1001-1200</t>
        </is>
      </c>
      <c r="K559" t="inlineStr">
        <is>
          <t>1001-1200</t>
        </is>
      </c>
      <c r="L559" t="inlineStr">
        <is>
          <t>1001-1200</t>
        </is>
      </c>
      <c r="M559" t="inlineStr">
        <is>
          <t>1001-1200</t>
        </is>
      </c>
      <c r="N559" t="inlineStr">
        <is>
          <t>-</t>
        </is>
      </c>
      <c r="O559" t="inlineStr">
        <is>
          <t>-</t>
        </is>
      </c>
      <c r="P559" t="n">
        <v>5</v>
      </c>
      <c r="Q559" t="inlineStr">
        <is>
          <t>701+</t>
        </is>
      </c>
      <c r="R559" t="n">
        <v>9</v>
      </c>
      <c r="S559" t="inlineStr">
        <is>
          <t>701+</t>
        </is>
      </c>
      <c r="T559" t="n">
        <v>12.9</v>
      </c>
      <c r="U559" t="inlineStr">
        <is>
          <t>801+</t>
        </is>
      </c>
      <c r="V559" t="n">
        <v>37.5</v>
      </c>
      <c r="W559" t="inlineStr">
        <is>
          <t>499</t>
        </is>
      </c>
      <c r="X559" t="n">
        <v>10.4</v>
      </c>
      <c r="Y559" t="inlineStr">
        <is>
          <t>801+</t>
        </is>
      </c>
      <c r="Z559" t="n">
        <v>5.9</v>
      </c>
      <c r="AA559" t="inlineStr">
        <is>
          <t>801+</t>
        </is>
      </c>
      <c r="AB559" t="n">
        <v>10.1</v>
      </c>
      <c r="AC559" t="inlineStr">
        <is>
          <t>801+</t>
        </is>
      </c>
      <c r="AD559" t="n">
        <v>21.6</v>
      </c>
      <c r="AE559" t="inlineStr">
        <is>
          <t>801+</t>
        </is>
      </c>
      <c r="AF559" t="n">
        <v>1.8</v>
      </c>
      <c r="AG559" t="inlineStr">
        <is>
          <t>801+</t>
        </is>
      </c>
      <c r="AH559" t="n">
        <v>34.9</v>
      </c>
      <c r="AI559" t="inlineStr">
        <is>
          <t>801+</t>
        </is>
      </c>
      <c r="AJ559" t="inlineStr">
        <is>
          <t>4.7</t>
        </is>
      </c>
      <c r="AK559" t="inlineStr">
        <is>
          <t>601+</t>
        </is>
      </c>
      <c r="AL559" t="inlineStr">
        <is>
          <t>5.4</t>
        </is>
      </c>
      <c r="AM559" t="inlineStr">
        <is>
          <t>601+</t>
        </is>
      </c>
      <c r="AN559" t="inlineStr">
        <is>
          <t>11.3</t>
        </is>
      </c>
      <c r="AO559" t="inlineStr">
        <is>
          <t>701+</t>
        </is>
      </c>
      <c r="AP559" t="inlineStr">
        <is>
          <t>23.0</t>
        </is>
      </c>
      <c r="AQ559" t="inlineStr">
        <is>
          <t>514</t>
        </is>
      </c>
      <c r="AR559" t="inlineStr">
        <is>
          <t>9.0</t>
        </is>
      </c>
      <c r="AS559" t="inlineStr">
        <is>
          <t>701+</t>
        </is>
      </c>
      <c r="AT559" t="inlineStr">
        <is>
          <t>4.6</t>
        </is>
      </c>
      <c r="AU559" t="inlineStr">
        <is>
          <t>701+</t>
        </is>
      </c>
      <c r="AV559" t="inlineStr">
        <is>
          <t>1.1</t>
        </is>
      </c>
      <c r="AW559" t="inlineStr">
        <is>
          <t>701+</t>
        </is>
      </c>
      <c r="AX559" t="inlineStr">
        <is>
          <t>8</t>
        </is>
      </c>
      <c r="AY559" t="inlineStr">
        <is>
          <t>701+</t>
        </is>
      </c>
      <c r="AZ559" t="inlineStr">
        <is>
          <t>1</t>
        </is>
      </c>
      <c r="BA559" t="inlineStr">
        <is>
          <t>701+</t>
        </is>
      </c>
    </row>
    <row r="560">
      <c r="A560" t="inlineStr">
        <is>
          <t>Kyushu University</t>
        </is>
      </c>
      <c r="B560" t="inlineStr">
        <is>
          <t>Japan</t>
        </is>
      </c>
      <c r="C560" t="inlineStr">
        <is>
          <t>JP</t>
        </is>
      </c>
      <c r="D560" t="inlineStr">
        <is>
          <t>Asia</t>
        </is>
      </c>
      <c r="E560" t="inlineStr">
        <is>
          <t>L</t>
        </is>
      </c>
      <c r="F560" t="inlineStr">
        <is>
          <t>FC</t>
        </is>
      </c>
      <c r="G560" t="inlineStr">
        <is>
          <t>VH</t>
        </is>
      </c>
      <c r="H560" t="inlineStr">
        <is>
          <t>5</t>
        </is>
      </c>
      <c r="I560" t="inlineStr">
        <is>
          <t>Public</t>
        </is>
      </c>
      <c r="J560" t="inlineStr">
        <is>
          <t>170</t>
        </is>
      </c>
      <c r="K560" t="inlineStr">
        <is>
          <t>167</t>
        </is>
      </c>
      <c r="L560">
        <f>164</f>
        <v/>
      </c>
      <c r="M560" t="inlineStr">
        <is>
          <t>135</t>
        </is>
      </c>
      <c r="N560" t="inlineStr">
        <is>
          <t>59.3</t>
        </is>
      </c>
      <c r="O560" t="inlineStr">
        <is>
          <t>49.7</t>
        </is>
      </c>
      <c r="P560" t="n">
        <v>71.3</v>
      </c>
      <c r="Q560" t="inlineStr">
        <is>
          <t>130</t>
        </is>
      </c>
      <c r="R560" t="n">
        <v>72.09999999999999</v>
      </c>
      <c r="S560" t="inlineStr">
        <is>
          <t>140</t>
        </is>
      </c>
      <c r="T560" t="n">
        <v>87.09999999999999</v>
      </c>
      <c r="U560" t="inlineStr">
        <is>
          <t>121</t>
        </is>
      </c>
      <c r="V560" t="n">
        <v>34.2</v>
      </c>
      <c r="W560" t="inlineStr">
        <is>
          <t>534</t>
        </is>
      </c>
      <c r="X560" t="n">
        <v>24.5</v>
      </c>
      <c r="Y560" t="inlineStr">
        <is>
          <t>657</t>
        </is>
      </c>
      <c r="Z560" t="n">
        <v>39</v>
      </c>
      <c r="AA560" t="inlineStr">
        <is>
          <t>502</t>
        </is>
      </c>
      <c r="AB560" t="n">
        <v>44.5</v>
      </c>
      <c r="AC560" t="inlineStr">
        <is>
          <t>468</t>
        </is>
      </c>
      <c r="AD560" t="n">
        <v>76.40000000000001</v>
      </c>
      <c r="AE560" t="inlineStr">
        <is>
          <t>416</t>
        </is>
      </c>
      <c r="AF560" t="n">
        <v>20.9</v>
      </c>
      <c r="AG560" t="inlineStr">
        <is>
          <t>710</t>
        </is>
      </c>
      <c r="AH560" t="n">
        <v>74.8</v>
      </c>
      <c r="AI560" t="inlineStr">
        <is>
          <t>241=</t>
        </is>
      </c>
      <c r="AJ560" t="inlineStr">
        <is>
          <t>57.4</t>
        </is>
      </c>
      <c r="AK560" t="inlineStr">
        <is>
          <t>132</t>
        </is>
      </c>
      <c r="AL560" t="inlineStr">
        <is>
          <t>70.0</t>
        </is>
      </c>
      <c r="AM560" t="inlineStr">
        <is>
          <t>104</t>
        </is>
      </c>
      <c r="AN560" t="inlineStr">
        <is>
          <t>85.7</t>
        </is>
      </c>
      <c r="AO560" t="inlineStr">
        <is>
          <t>103</t>
        </is>
      </c>
      <c r="AP560" t="inlineStr">
        <is>
          <t>23.9</t>
        </is>
      </c>
      <c r="AQ560" t="inlineStr">
        <is>
          <t>503</t>
        </is>
      </c>
      <c r="AR560" t="inlineStr">
        <is>
          <t>14.7</t>
        </is>
      </c>
      <c r="AS560" t="inlineStr">
        <is>
          <t>671</t>
        </is>
      </c>
      <c r="AT560" t="inlineStr">
        <is>
          <t>25.6</t>
        </is>
      </c>
      <c r="AU560" t="inlineStr">
        <is>
          <t>467</t>
        </is>
      </c>
      <c r="AV560" t="inlineStr">
        <is>
          <t>32.8</t>
        </is>
      </c>
      <c r="AW560" t="inlineStr">
        <is>
          <t>436</t>
        </is>
      </c>
      <c r="AX560" t="inlineStr">
        <is>
          <t>15.4</t>
        </is>
      </c>
      <c r="AY560" t="inlineStr">
        <is>
          <t>547</t>
        </is>
      </c>
      <c r="AZ560" t="inlineStr">
        <is>
          <t>77.7</t>
        </is>
      </c>
      <c r="BA560" t="inlineStr">
        <is>
          <t>163=</t>
        </is>
      </c>
    </row>
    <row r="561">
      <c r="A561" t="inlineStr">
        <is>
          <t>L.N. Gumilyov Eurasian National University</t>
        </is>
      </c>
      <c r="B561" t="inlineStr">
        <is>
          <t>Kazakhstan</t>
        </is>
      </c>
      <c r="C561" t="inlineStr"/>
      <c r="D561" t="inlineStr">
        <is>
          <t>Asia</t>
        </is>
      </c>
      <c r="E561" t="inlineStr">
        <is>
          <t>L</t>
        </is>
      </c>
      <c r="F561" t="inlineStr">
        <is>
          <t>FO</t>
        </is>
      </c>
      <c r="G561" t="inlineStr">
        <is>
          <t>VH</t>
        </is>
      </c>
      <c r="H561" t="inlineStr"/>
      <c r="I561" t="inlineStr">
        <is>
          <t>Public</t>
        </is>
      </c>
      <c r="J561" t="inlineStr">
        <is>
          <t>317</t>
        </is>
      </c>
      <c r="K561" t="inlineStr">
        <is>
          <t>321</t>
        </is>
      </c>
      <c r="L561" t="inlineStr"/>
      <c r="M561" t="inlineStr"/>
      <c r="N561" t="inlineStr">
        <is>
          <t>43.9</t>
        </is>
      </c>
      <c r="O561" t="inlineStr"/>
      <c r="P561" t="n">
        <v>40.1</v>
      </c>
      <c r="Q561" t="inlineStr">
        <is>
          <t>300</t>
        </is>
      </c>
      <c r="R561" t="n">
        <v>85.8</v>
      </c>
      <c r="S561" t="inlineStr">
        <is>
          <t>86</t>
        </is>
      </c>
      <c r="T561" t="n">
        <v>94.7</v>
      </c>
      <c r="U561" t="inlineStr">
        <is>
          <t>78</t>
        </is>
      </c>
      <c r="V561" t="n">
        <v>2</v>
      </c>
      <c r="W561" t="inlineStr">
        <is>
          <t>801+</t>
        </is>
      </c>
      <c r="X561" t="n">
        <v>84.59999999999999</v>
      </c>
      <c r="Y561" t="inlineStr">
        <is>
          <t>262</t>
        </is>
      </c>
      <c r="Z561" t="n">
        <v>25.8</v>
      </c>
      <c r="AA561" t="inlineStr">
        <is>
          <t>649</t>
        </is>
      </c>
      <c r="AB561" t="n">
        <v>27.2</v>
      </c>
      <c r="AC561" t="inlineStr">
        <is>
          <t>650</t>
        </is>
      </c>
      <c r="AD561" t="n">
        <v>31.4</v>
      </c>
      <c r="AE561" t="inlineStr">
        <is>
          <t>801+</t>
        </is>
      </c>
      <c r="AF561" t="n">
        <v>7.5</v>
      </c>
      <c r="AG561" t="inlineStr">
        <is>
          <t>801+</t>
        </is>
      </c>
      <c r="AH561" t="n">
        <v>46.6</v>
      </c>
      <c r="AI561" t="inlineStr">
        <is>
          <t>801+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</row>
    <row r="562">
      <c r="A562" t="inlineStr">
        <is>
          <t>L.N. Gumilyov Eurasian National University (ENU)</t>
        </is>
      </c>
      <c r="B562" t="inlineStr">
        <is>
          <t>Kazakhstan</t>
        </is>
      </c>
      <c r="C562" t="inlineStr">
        <is>
          <t>KZ</t>
        </is>
      </c>
      <c r="D562" t="inlineStr"/>
      <c r="E562" t="inlineStr">
        <is>
          <t>L</t>
        </is>
      </c>
      <c r="F562" t="inlineStr">
        <is>
          <t>FO</t>
        </is>
      </c>
      <c r="G562" t="inlineStr">
        <is>
          <t>VH</t>
        </is>
      </c>
      <c r="H562" t="inlineStr">
        <is>
          <t>3</t>
        </is>
      </c>
      <c r="I562" t="inlineStr">
        <is>
          <t>A</t>
        </is>
      </c>
      <c r="J562" t="inlineStr"/>
      <c r="K562" t="inlineStr"/>
      <c r="L562">
        <f>355</f>
        <v/>
      </c>
      <c r="M562" t="inlineStr">
        <is>
          <t>277</t>
        </is>
      </c>
      <c r="N562" t="inlineStr"/>
      <c r="O562" t="inlineStr">
        <is>
          <t>30.9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29.5</t>
        </is>
      </c>
      <c r="AK562" t="inlineStr">
        <is>
          <t>293</t>
        </is>
      </c>
      <c r="AL562" t="inlineStr">
        <is>
          <t>51.7</t>
        </is>
      </c>
      <c r="AM562" t="inlineStr">
        <is>
          <t>157</t>
        </is>
      </c>
      <c r="AN562" t="inlineStr">
        <is>
          <t>96.8</t>
        </is>
      </c>
      <c r="AO562" t="inlineStr">
        <is>
          <t>53</t>
        </is>
      </c>
      <c r="AP562" t="inlineStr">
        <is>
          <t>1.4</t>
        </is>
      </c>
      <c r="AQ562" t="inlineStr">
        <is>
          <t>701+</t>
        </is>
      </c>
      <c r="AR562" t="inlineStr">
        <is>
          <t>59.3</t>
        </is>
      </c>
      <c r="AS562" t="inlineStr">
        <is>
          <t>319</t>
        </is>
      </c>
      <c r="AT562" t="inlineStr">
        <is>
          <t>5.7</t>
        </is>
      </c>
      <c r="AU562" t="inlineStr">
        <is>
          <t>701+</t>
        </is>
      </c>
      <c r="AV562" t="inlineStr">
        <is>
          <t>1.1</t>
        </is>
      </c>
      <c r="AW562" t="inlineStr">
        <is>
          <t>701+</t>
        </is>
      </c>
      <c r="AX562" t="inlineStr">
        <is>
          <t>10.9</t>
        </is>
      </c>
      <c r="AY562" t="inlineStr">
        <is>
          <t>701+</t>
        </is>
      </c>
      <c r="AZ562" t="inlineStr">
        <is>
          <t>9.6</t>
        </is>
      </c>
      <c r="BA562" t="inlineStr">
        <is>
          <t>678=</t>
        </is>
      </c>
    </row>
    <row r="563">
      <c r="A563" t="inlineStr">
        <is>
          <t>La Trobe University</t>
        </is>
      </c>
      <c r="B563" t="inlineStr">
        <is>
          <t>Australia</t>
        </is>
      </c>
      <c r="C563" t="inlineStr">
        <is>
          <t>AU</t>
        </is>
      </c>
      <c r="D563" t="inlineStr">
        <is>
          <t>Oceania</t>
        </is>
      </c>
      <c r="E563" t="inlineStr">
        <is>
          <t>L</t>
        </is>
      </c>
      <c r="F563" t="inlineStr">
        <is>
          <t>CO</t>
        </is>
      </c>
      <c r="G563" t="inlineStr">
        <is>
          <t>VH</t>
        </is>
      </c>
      <c r="H563" t="inlineStr">
        <is>
          <t>4</t>
        </is>
      </c>
      <c r="I563" t="inlineStr">
        <is>
          <t>Public</t>
        </is>
      </c>
      <c r="J563" t="inlineStr">
        <is>
          <t>233</t>
        </is>
      </c>
      <c r="K563" t="inlineStr">
        <is>
          <t>217</t>
        </is>
      </c>
      <c r="L563" t="inlineStr">
        <is>
          <t>242</t>
        </is>
      </c>
      <c r="M563" t="inlineStr">
        <is>
          <t>316</t>
        </is>
      </c>
      <c r="N563" t="inlineStr">
        <is>
          <t>52.1</t>
        </is>
      </c>
      <c r="O563" t="inlineStr">
        <is>
          <t>40.3</t>
        </is>
      </c>
      <c r="P563" t="n">
        <v>33.4</v>
      </c>
      <c r="Q563" t="inlineStr">
        <is>
          <t>365</t>
        </is>
      </c>
      <c r="R563" t="n">
        <v>29</v>
      </c>
      <c r="S563" t="inlineStr">
        <is>
          <t>488</t>
        </is>
      </c>
      <c r="T563" t="n">
        <v>13.2</v>
      </c>
      <c r="U563" t="inlineStr">
        <is>
          <t>801+</t>
        </is>
      </c>
      <c r="V563" t="n">
        <v>87.8</v>
      </c>
      <c r="W563" t="inlineStr">
        <is>
          <t>110</t>
        </is>
      </c>
      <c r="X563" t="n">
        <v>95.59999999999999</v>
      </c>
      <c r="Y563" t="inlineStr">
        <is>
          <t>173</t>
        </is>
      </c>
      <c r="Z563" t="n">
        <v>97.40000000000001</v>
      </c>
      <c r="AA563" t="inlineStr">
        <is>
          <t>97</t>
        </is>
      </c>
      <c r="AB563" t="n">
        <v>97.5</v>
      </c>
      <c r="AC563" t="inlineStr">
        <is>
          <t>85</t>
        </is>
      </c>
      <c r="AD563" t="n">
        <v>82.09999999999999</v>
      </c>
      <c r="AE563" t="inlineStr">
        <is>
          <t>310</t>
        </is>
      </c>
      <c r="AF563" t="n">
        <v>28</v>
      </c>
      <c r="AG563" t="inlineStr">
        <is>
          <t>594</t>
        </is>
      </c>
      <c r="AH563" t="n">
        <v>82.2</v>
      </c>
      <c r="AI563" t="inlineStr">
        <is>
          <t>146=</t>
        </is>
      </c>
      <c r="AJ563" t="inlineStr">
        <is>
          <t>22.6</t>
        </is>
      </c>
      <c r="AK563" t="inlineStr">
        <is>
          <t>388</t>
        </is>
      </c>
      <c r="AL563" t="inlineStr">
        <is>
          <t>20.2</t>
        </is>
      </c>
      <c r="AM563" t="inlineStr">
        <is>
          <t>453</t>
        </is>
      </c>
      <c r="AN563" t="inlineStr">
        <is>
          <t>6.9</t>
        </is>
      </c>
      <c r="AO563" t="inlineStr">
        <is>
          <t>701+</t>
        </is>
      </c>
      <c r="AP563" t="inlineStr">
        <is>
          <t>77.5</t>
        </is>
      </c>
      <c r="AQ563" t="inlineStr">
        <is>
          <t>124</t>
        </is>
      </c>
      <c r="AR563" t="inlineStr">
        <is>
          <t>94.4</t>
        </is>
      </c>
      <c r="AS563" t="inlineStr">
        <is>
          <t>156</t>
        </is>
      </c>
      <c r="AT563" t="inlineStr">
        <is>
          <t>98.4</t>
        </is>
      </c>
      <c r="AU563" t="inlineStr">
        <is>
          <t>57</t>
        </is>
      </c>
      <c r="AV563" t="inlineStr">
        <is>
          <t>45.8</t>
        </is>
      </c>
      <c r="AW563" t="inlineStr">
        <is>
          <t>337</t>
        </is>
      </c>
      <c r="AX563" t="inlineStr">
        <is>
          <t>14.3</t>
        </is>
      </c>
      <c r="AY563" t="inlineStr">
        <is>
          <t>591</t>
        </is>
      </c>
      <c r="AZ563" t="inlineStr">
        <is>
          <t>28.9</t>
        </is>
      </c>
      <c r="BA563" t="inlineStr">
        <is>
          <t>460=</t>
        </is>
      </c>
    </row>
    <row r="564">
      <c r="A564" t="inlineStr">
        <is>
          <t>Lahore University of Management Sciences (LUMS)</t>
        </is>
      </c>
      <c r="B564" t="inlineStr">
        <is>
          <t>Pakistan</t>
        </is>
      </c>
      <c r="C564" t="inlineStr">
        <is>
          <t>PK</t>
        </is>
      </c>
      <c r="D564" t="inlineStr">
        <is>
          <t>Asia</t>
        </is>
      </c>
      <c r="E564" t="inlineStr">
        <is>
          <t>S</t>
        </is>
      </c>
      <c r="F564" t="inlineStr">
        <is>
          <t>CO</t>
        </is>
      </c>
      <c r="G564" t="inlineStr">
        <is>
          <t>VH</t>
        </is>
      </c>
      <c r="H564" t="inlineStr">
        <is>
          <t>3</t>
        </is>
      </c>
      <c r="I564" t="inlineStr">
        <is>
          <t>Private not for Profit</t>
        </is>
      </c>
      <c r="J564" t="inlineStr">
        <is>
          <t>555</t>
        </is>
      </c>
      <c r="K564" t="inlineStr">
        <is>
          <t>535</t>
        </is>
      </c>
      <c r="L564">
        <f>540</f>
        <v/>
      </c>
      <c r="M564" t="inlineStr">
        <is>
          <t>601-650</t>
        </is>
      </c>
      <c r="N564" t="inlineStr">
        <is>
          <t>29.7</t>
        </is>
      </c>
      <c r="O564" t="inlineStr">
        <is>
          <t>21.8</t>
        </is>
      </c>
      <c r="P564" t="n">
        <v>21.4</v>
      </c>
      <c r="Q564" t="inlineStr">
        <is>
          <t>578</t>
        </is>
      </c>
      <c r="R564" t="n">
        <v>77.3</v>
      </c>
      <c r="S564" t="inlineStr">
        <is>
          <t>114</t>
        </is>
      </c>
      <c r="T564" t="n">
        <v>28.8</v>
      </c>
      <c r="U564" t="inlineStr">
        <is>
          <t>660</t>
        </is>
      </c>
      <c r="V564" t="n">
        <v>16.5</v>
      </c>
      <c r="W564" t="inlineStr">
        <is>
          <t>775</t>
        </is>
      </c>
      <c r="X564" t="n">
        <v>10.8</v>
      </c>
      <c r="Y564" t="inlineStr">
        <is>
          <t>801+</t>
        </is>
      </c>
      <c r="Z564" t="n">
        <v>3.1</v>
      </c>
      <c r="AA564" t="inlineStr">
        <is>
          <t>801+</t>
        </is>
      </c>
      <c r="AB564" t="n">
        <v>7.3</v>
      </c>
      <c r="AC564" t="inlineStr">
        <is>
          <t>801+</t>
        </is>
      </c>
      <c r="AD564" t="n">
        <v>26.2</v>
      </c>
      <c r="AE564" t="inlineStr">
        <is>
          <t>801+</t>
        </is>
      </c>
      <c r="AF564" t="n">
        <v>48.4</v>
      </c>
      <c r="AG564" t="inlineStr">
        <is>
          <t>358</t>
        </is>
      </c>
      <c r="AH564" t="n">
        <v>45</v>
      </c>
      <c r="AI564" t="inlineStr">
        <is>
          <t>801+</t>
        </is>
      </c>
      <c r="AJ564" t="inlineStr">
        <is>
          <t>15.7</t>
        </is>
      </c>
      <c r="AK564" t="inlineStr">
        <is>
          <t>555</t>
        </is>
      </c>
      <c r="AL564" t="inlineStr">
        <is>
          <t>72.0</t>
        </is>
      </c>
      <c r="AM564" t="inlineStr">
        <is>
          <t>97</t>
        </is>
      </c>
      <c r="AN564" t="inlineStr">
        <is>
          <t>35.1</t>
        </is>
      </c>
      <c r="AO564" t="inlineStr">
        <is>
          <t>452</t>
        </is>
      </c>
      <c r="AP564" t="inlineStr">
        <is>
          <t>6.0</t>
        </is>
      </c>
      <c r="AQ564" t="inlineStr">
        <is>
          <t>701+</t>
        </is>
      </c>
      <c r="AR564" t="inlineStr">
        <is>
          <t>7.3</t>
        </is>
      </c>
      <c r="AS564" t="inlineStr">
        <is>
          <t>701+</t>
        </is>
      </c>
      <c r="AT564" t="inlineStr">
        <is>
          <t>1.9</t>
        </is>
      </c>
      <c r="AU564" t="inlineStr">
        <is>
          <t>701+</t>
        </is>
      </c>
      <c r="AV564" t="inlineStr">
        <is>
          <t>1.1</t>
        </is>
      </c>
      <c r="AW564" t="inlineStr">
        <is>
          <t>701+</t>
        </is>
      </c>
      <c r="AX564" t="inlineStr">
        <is>
          <t>22.2</t>
        </is>
      </c>
      <c r="AY564" t="inlineStr">
        <is>
          <t>373</t>
        </is>
      </c>
      <c r="AZ564" t="inlineStr">
        <is>
          <t>1.4</t>
        </is>
      </c>
      <c r="BA564" t="inlineStr">
        <is>
          <t>701+</t>
        </is>
      </c>
    </row>
    <row r="565">
      <c r="A565" t="inlineStr">
        <is>
          <t>Lancaster University</t>
        </is>
      </c>
      <c r="B565" t="inlineStr">
        <is>
          <t>United Kingdom</t>
        </is>
      </c>
      <c r="C565" t="inlineStr">
        <is>
          <t>UK</t>
        </is>
      </c>
      <c r="D565" t="inlineStr">
        <is>
          <t>Europe</t>
        </is>
      </c>
      <c r="E565" t="inlineStr">
        <is>
          <t>L</t>
        </is>
      </c>
      <c r="F565" t="inlineStr">
        <is>
          <t>FC</t>
        </is>
      </c>
      <c r="G565" t="inlineStr">
        <is>
          <t>VH</t>
        </is>
      </c>
      <c r="H565" t="inlineStr">
        <is>
          <t>4</t>
        </is>
      </c>
      <c r="I565" t="inlineStr">
        <is>
          <t>Public</t>
        </is>
      </c>
      <c r="J565" t="inlineStr">
        <is>
          <t>157</t>
        </is>
      </c>
      <c r="K565" t="inlineStr">
        <is>
          <t>141</t>
        </is>
      </c>
      <c r="L565" t="inlineStr">
        <is>
          <t>122</t>
        </is>
      </c>
      <c r="M565" t="inlineStr">
        <is>
          <t>146</t>
        </is>
      </c>
      <c r="N565" t="inlineStr">
        <is>
          <t>61.4</t>
        </is>
      </c>
      <c r="O565" t="inlineStr">
        <is>
          <t>55.7</t>
        </is>
      </c>
      <c r="P565" t="n">
        <v>51.2</v>
      </c>
      <c r="Q565" t="inlineStr">
        <is>
          <t>217</t>
        </is>
      </c>
      <c r="R565" t="n">
        <v>45.8</v>
      </c>
      <c r="S565" t="inlineStr">
        <is>
          <t>296</t>
        </is>
      </c>
      <c r="T565" t="n">
        <v>36.1</v>
      </c>
      <c r="U565" t="inlineStr">
        <is>
          <t>555</t>
        </is>
      </c>
      <c r="V565" t="n">
        <v>77.5</v>
      </c>
      <c r="W565" t="inlineStr">
        <is>
          <t>166</t>
        </is>
      </c>
      <c r="X565" t="n">
        <v>96.40000000000001</v>
      </c>
      <c r="Y565" t="inlineStr">
        <is>
          <t>161</t>
        </is>
      </c>
      <c r="Z565" t="n">
        <v>93.3</v>
      </c>
      <c r="AA565" t="inlineStr">
        <is>
          <t>141</t>
        </is>
      </c>
      <c r="AB565" t="n">
        <v>93.8</v>
      </c>
      <c r="AC565" t="inlineStr">
        <is>
          <t>117</t>
        </is>
      </c>
      <c r="AD565" t="n">
        <v>87</v>
      </c>
      <c r="AE565" t="inlineStr">
        <is>
          <t>216</t>
        </is>
      </c>
      <c r="AF565" t="n">
        <v>38.2</v>
      </c>
      <c r="AG565" t="inlineStr">
        <is>
          <t>452</t>
        </is>
      </c>
      <c r="AH565" t="n">
        <v>89.2</v>
      </c>
      <c r="AI565" t="inlineStr">
        <is>
          <t>68=</t>
        </is>
      </c>
      <c r="AJ565" t="inlineStr">
        <is>
          <t>39.7</t>
        </is>
      </c>
      <c r="AK565" t="inlineStr">
        <is>
          <t>215</t>
        </is>
      </c>
      <c r="AL565" t="inlineStr">
        <is>
          <t>40.2</t>
        </is>
      </c>
      <c r="AM565" t="inlineStr">
        <is>
          <t>236</t>
        </is>
      </c>
      <c r="AN565" t="inlineStr">
        <is>
          <t>25.2</t>
        </is>
      </c>
      <c r="AO565" t="inlineStr">
        <is>
          <t>581</t>
        </is>
      </c>
      <c r="AP565" t="inlineStr">
        <is>
          <t>79.3</t>
        </is>
      </c>
      <c r="AQ565" t="inlineStr">
        <is>
          <t>115</t>
        </is>
      </c>
      <c r="AR565" t="inlineStr">
        <is>
          <t>93.6</t>
        </is>
      </c>
      <c r="AS565" t="inlineStr">
        <is>
          <t>157</t>
        </is>
      </c>
      <c r="AT565" t="inlineStr">
        <is>
          <t>90.6</t>
        </is>
      </c>
      <c r="AU565" t="inlineStr">
        <is>
          <t>116</t>
        </is>
      </c>
      <c r="AV565" t="inlineStr">
        <is>
          <t>75.3</t>
        </is>
      </c>
      <c r="AW565" t="inlineStr">
        <is>
          <t>171</t>
        </is>
      </c>
      <c r="AX565" t="inlineStr">
        <is>
          <t>20.7</t>
        </is>
      </c>
      <c r="AY565" t="inlineStr">
        <is>
          <t>400</t>
        </is>
      </c>
      <c r="AZ565" t="inlineStr">
        <is>
          <t>98</t>
        </is>
      </c>
      <c r="BA565" t="inlineStr">
        <is>
          <t>24</t>
        </is>
      </c>
    </row>
    <row r="566">
      <c r="A566" t="inlineStr">
        <is>
          <t>Lanzhou University</t>
        </is>
      </c>
      <c r="B566" t="inlineStr">
        <is>
          <t>China (Mainland)</t>
        </is>
      </c>
      <c r="C566" t="inlineStr">
        <is>
          <t>CN</t>
        </is>
      </c>
      <c r="D566" t="inlineStr">
        <is>
          <t>Asia</t>
        </is>
      </c>
      <c r="E566" t="inlineStr">
        <is>
          <t>XL</t>
        </is>
      </c>
      <c r="F566" t="inlineStr">
        <is>
          <t>CO</t>
        </is>
      </c>
      <c r="G566" t="inlineStr">
        <is>
          <t>VH</t>
        </is>
      </c>
      <c r="H566" t="inlineStr">
        <is>
          <t>5</t>
        </is>
      </c>
      <c r="I566" t="inlineStr">
        <is>
          <t>Public</t>
        </is>
      </c>
      <c r="J566" t="inlineStr">
        <is>
          <t>791-800</t>
        </is>
      </c>
      <c r="K566" t="inlineStr">
        <is>
          <t>721-730</t>
        </is>
      </c>
      <c r="L566" t="inlineStr">
        <is>
          <t>791-800</t>
        </is>
      </c>
      <c r="M566" t="inlineStr">
        <is>
          <t>751-800</t>
        </is>
      </c>
      <c r="N566" t="inlineStr">
        <is>
          <t>-</t>
        </is>
      </c>
      <c r="O566" t="inlineStr">
        <is>
          <t>-</t>
        </is>
      </c>
      <c r="P566" t="n">
        <v>9.4</v>
      </c>
      <c r="Q566" t="inlineStr">
        <is>
          <t>701+</t>
        </is>
      </c>
      <c r="R566" t="n">
        <v>5.3</v>
      </c>
      <c r="S566" t="inlineStr">
        <is>
          <t>701+</t>
        </is>
      </c>
      <c r="T566" t="n">
        <v>43.4</v>
      </c>
      <c r="U566" t="inlineStr">
        <is>
          <t>460</t>
        </is>
      </c>
      <c r="V566" t="n">
        <v>47.7</v>
      </c>
      <c r="W566" t="inlineStr">
        <is>
          <t>393</t>
        </is>
      </c>
      <c r="X566" t="n">
        <v>3</v>
      </c>
      <c r="Y566" t="inlineStr">
        <is>
          <t>801+</t>
        </is>
      </c>
      <c r="Z566" t="n">
        <v>2.2</v>
      </c>
      <c r="AA566" t="inlineStr">
        <is>
          <t>801+</t>
        </is>
      </c>
      <c r="AB566" t="n">
        <v>1.9</v>
      </c>
      <c r="AC566" t="inlineStr">
        <is>
          <t>801+</t>
        </is>
      </c>
      <c r="AD566" t="n">
        <v>69.59999999999999</v>
      </c>
      <c r="AE566" t="inlineStr">
        <is>
          <t>540</t>
        </is>
      </c>
      <c r="AF566" t="n">
        <v>11.1</v>
      </c>
      <c r="AG566" t="inlineStr">
        <is>
          <t>801+</t>
        </is>
      </c>
      <c r="AH566" t="n">
        <v>45.3</v>
      </c>
      <c r="AI566" t="inlineStr">
        <is>
          <t>801+</t>
        </is>
      </c>
      <c r="AJ566" t="inlineStr">
        <is>
          <t>8.3</t>
        </is>
      </c>
      <c r="AK566" t="inlineStr">
        <is>
          <t>601+</t>
        </is>
      </c>
      <c r="AL566" t="inlineStr">
        <is>
          <t>2.3</t>
        </is>
      </c>
      <c r="AM566" t="inlineStr">
        <is>
          <t>601+</t>
        </is>
      </c>
      <c r="AN566" t="inlineStr">
        <is>
          <t>26.3</t>
        </is>
      </c>
      <c r="AO566" t="inlineStr">
        <is>
          <t>566</t>
        </is>
      </c>
      <c r="AP566" t="inlineStr">
        <is>
          <t>38.1</t>
        </is>
      </c>
      <c r="AQ566" t="inlineStr">
        <is>
          <t>366</t>
        </is>
      </c>
      <c r="AR566" t="inlineStr">
        <is>
          <t>2.5</t>
        </is>
      </c>
      <c r="AS566" t="inlineStr">
        <is>
          <t>701+</t>
        </is>
      </c>
      <c r="AT566" t="inlineStr">
        <is>
          <t>1.6</t>
        </is>
      </c>
      <c r="AU566" t="inlineStr">
        <is>
          <t>701+</t>
        </is>
      </c>
      <c r="AV566" t="inlineStr">
        <is>
          <t>15.3</t>
        </is>
      </c>
      <c r="AW566" t="inlineStr">
        <is>
          <t>594</t>
        </is>
      </c>
      <c r="AX566" t="inlineStr">
        <is>
          <t>6.2</t>
        </is>
      </c>
      <c r="AY566" t="inlineStr">
        <is>
          <t>701+</t>
        </is>
      </c>
      <c r="AZ566" t="inlineStr">
        <is>
          <t>9.8</t>
        </is>
      </c>
      <c r="BA566" t="inlineStr">
        <is>
          <t>669=</t>
        </is>
      </c>
    </row>
    <row r="567">
      <c r="A567" t="inlineStr">
        <is>
          <t>Lappeenranta-Lahti University of Technology LUT</t>
        </is>
      </c>
      <c r="B567" t="inlineStr">
        <is>
          <t>Finland</t>
        </is>
      </c>
      <c r="C567" t="inlineStr">
        <is>
          <t>FI</t>
        </is>
      </c>
      <c r="D567" t="inlineStr">
        <is>
          <t>Europe</t>
        </is>
      </c>
      <c r="E567" t="inlineStr">
        <is>
          <t>M</t>
        </is>
      </c>
      <c r="F567" t="inlineStr">
        <is>
          <t>SP</t>
        </is>
      </c>
      <c r="G567" t="inlineStr">
        <is>
          <t>VH</t>
        </is>
      </c>
      <c r="H567" t="inlineStr">
        <is>
          <t>4</t>
        </is>
      </c>
      <c r="I567" t="inlineStr">
        <is>
          <t>Public</t>
        </is>
      </c>
      <c r="J567" t="inlineStr">
        <is>
          <t>397</t>
        </is>
      </c>
      <c r="K567" t="inlineStr">
        <is>
          <t>336</t>
        </is>
      </c>
      <c r="L567">
        <f>351</f>
        <v/>
      </c>
      <c r="M567" t="inlineStr">
        <is>
          <t>388=</t>
        </is>
      </c>
      <c r="N567" t="inlineStr">
        <is>
          <t>37.7</t>
        </is>
      </c>
      <c r="O567" t="inlineStr">
        <is>
          <t>31.2</t>
        </is>
      </c>
      <c r="P567" t="n">
        <v>8.699999999999999</v>
      </c>
      <c r="Q567" t="inlineStr">
        <is>
          <t>701+</t>
        </is>
      </c>
      <c r="R567" t="n">
        <v>15.7</v>
      </c>
      <c r="S567" t="inlineStr">
        <is>
          <t>701+</t>
        </is>
      </c>
      <c r="T567" t="n">
        <v>11.9</v>
      </c>
      <c r="U567" t="inlineStr">
        <is>
          <t>801+</t>
        </is>
      </c>
      <c r="V567" t="n">
        <v>95.90000000000001</v>
      </c>
      <c r="W567" t="inlineStr">
        <is>
          <t>63</t>
        </is>
      </c>
      <c r="X567" t="n">
        <v>70.09999999999999</v>
      </c>
      <c r="Y567" t="inlineStr">
        <is>
          <t>334</t>
        </is>
      </c>
      <c r="Z567" t="n">
        <v>58.1</v>
      </c>
      <c r="AA567" t="inlineStr">
        <is>
          <t>354</t>
        </is>
      </c>
      <c r="AB567" t="n">
        <v>62.1</v>
      </c>
      <c r="AC567" t="inlineStr">
        <is>
          <t>321</t>
        </is>
      </c>
      <c r="AD567" t="n">
        <v>54.4</v>
      </c>
      <c r="AE567" t="inlineStr">
        <is>
          <t>778</t>
        </is>
      </c>
      <c r="AF567" t="n">
        <v>10.4</v>
      </c>
      <c r="AG567" t="inlineStr">
        <is>
          <t>801+</t>
        </is>
      </c>
      <c r="AH567" t="n">
        <v>72.2</v>
      </c>
      <c r="AI567" t="inlineStr">
        <is>
          <t>289=</t>
        </is>
      </c>
      <c r="AJ567" t="inlineStr">
        <is>
          <t>6.9</t>
        </is>
      </c>
      <c r="AK567" t="inlineStr">
        <is>
          <t>601+</t>
        </is>
      </c>
      <c r="AL567" t="inlineStr">
        <is>
          <t>13.3</t>
        </is>
      </c>
      <c r="AM567" t="inlineStr">
        <is>
          <t>601+</t>
        </is>
      </c>
      <c r="AN567" t="inlineStr">
        <is>
          <t>11.1</t>
        </is>
      </c>
      <c r="AO567" t="inlineStr">
        <is>
          <t>701+</t>
        </is>
      </c>
      <c r="AP567" t="inlineStr">
        <is>
          <t>97.7</t>
        </is>
      </c>
      <c r="AQ567" t="inlineStr">
        <is>
          <t>36</t>
        </is>
      </c>
      <c r="AR567" t="inlineStr">
        <is>
          <t>45.2</t>
        </is>
      </c>
      <c r="AS567" t="inlineStr">
        <is>
          <t>378</t>
        </is>
      </c>
      <c r="AT567" t="inlineStr">
        <is>
          <t>18.2</t>
        </is>
      </c>
      <c r="AU567" t="inlineStr">
        <is>
          <t>573</t>
        </is>
      </c>
      <c r="AV567" t="inlineStr">
        <is>
          <t>14.7</t>
        </is>
      </c>
      <c r="AW567" t="inlineStr">
        <is>
          <t>599</t>
        </is>
      </c>
      <c r="AX567" t="inlineStr">
        <is>
          <t>11.4</t>
        </is>
      </c>
      <c r="AY567" t="inlineStr">
        <is>
          <t>701+</t>
        </is>
      </c>
      <c r="AZ567" t="inlineStr">
        <is>
          <t>39</t>
        </is>
      </c>
      <c r="BA567" t="inlineStr">
        <is>
          <t>367=</t>
        </is>
      </c>
    </row>
    <row r="568">
      <c r="A568" t="inlineStr">
        <is>
          <t>Latvia University of Life Sciences and Technologies</t>
        </is>
      </c>
      <c r="B568" t="inlineStr">
        <is>
          <t>Latvia</t>
        </is>
      </c>
      <c r="C568" t="inlineStr"/>
      <c r="D568" t="inlineStr">
        <is>
          <t>Europe</t>
        </is>
      </c>
      <c r="E568" t="inlineStr">
        <is>
          <t>S</t>
        </is>
      </c>
      <c r="F568" t="inlineStr">
        <is>
          <t>FO</t>
        </is>
      </c>
      <c r="G568" t="inlineStr">
        <is>
          <t>VH</t>
        </is>
      </c>
      <c r="H568" t="inlineStr"/>
      <c r="I568" t="inlineStr">
        <is>
          <t>Public</t>
        </is>
      </c>
      <c r="J568" t="inlineStr">
        <is>
          <t>1201-1400</t>
        </is>
      </c>
      <c r="K568" t="inlineStr"/>
      <c r="L568" t="inlineStr"/>
      <c r="M568" t="inlineStr"/>
      <c r="N568" t="inlineStr">
        <is>
          <t>-</t>
        </is>
      </c>
      <c r="O568" t="inlineStr"/>
      <c r="P568" t="n">
        <v>7.5</v>
      </c>
      <c r="Q568" t="inlineStr">
        <is>
          <t>701+</t>
        </is>
      </c>
      <c r="R568" t="n">
        <v>10.1</v>
      </c>
      <c r="S568" t="inlineStr">
        <is>
          <t>701+</t>
        </is>
      </c>
      <c r="T568" t="n">
        <v>5.7</v>
      </c>
      <c r="U568" t="inlineStr">
        <is>
          <t>801+</t>
        </is>
      </c>
      <c r="V568" t="n">
        <v>7.9</v>
      </c>
      <c r="W568" t="inlineStr">
        <is>
          <t>801+</t>
        </is>
      </c>
      <c r="X568" t="n">
        <v>1.8</v>
      </c>
      <c r="Y568" t="inlineStr">
        <is>
          <t>801+</t>
        </is>
      </c>
      <c r="Z568" t="n">
        <v>16.5</v>
      </c>
      <c r="AA568" t="inlineStr">
        <is>
          <t>790</t>
        </is>
      </c>
      <c r="AB568" t="n">
        <v>19.1</v>
      </c>
      <c r="AC568" t="inlineStr">
        <is>
          <t>776</t>
        </is>
      </c>
      <c r="AD568" t="n">
        <v>24.1</v>
      </c>
      <c r="AE568" t="inlineStr">
        <is>
          <t>801+</t>
        </is>
      </c>
      <c r="AF568" t="n">
        <v>17.7</v>
      </c>
      <c r="AG568" t="inlineStr">
        <is>
          <t>768</t>
        </is>
      </c>
      <c r="AH568" t="n">
        <v>35.8</v>
      </c>
      <c r="AI568" t="inlineStr">
        <is>
          <t>801+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</row>
    <row r="569">
      <c r="A569" t="inlineStr">
        <is>
          <t>Laval University</t>
        </is>
      </c>
      <c r="B569" t="inlineStr">
        <is>
          <t>Canada</t>
        </is>
      </c>
      <c r="C569" t="inlineStr"/>
      <c r="D569" t="inlineStr">
        <is>
          <t>Americas</t>
        </is>
      </c>
      <c r="E569" t="inlineStr">
        <is>
          <t>L</t>
        </is>
      </c>
      <c r="F569" t="inlineStr">
        <is>
          <t>FC</t>
        </is>
      </c>
      <c r="G569" t="inlineStr">
        <is>
          <t>VH</t>
        </is>
      </c>
      <c r="H569" t="inlineStr"/>
      <c r="I569" t="inlineStr">
        <is>
          <t>Public</t>
        </is>
      </c>
      <c r="J569" t="inlineStr">
        <is>
          <t>469</t>
        </is>
      </c>
      <c r="K569" t="inlineStr">
        <is>
          <t>423</t>
        </is>
      </c>
      <c r="L569" t="inlineStr"/>
      <c r="M569" t="inlineStr"/>
      <c r="N569" t="inlineStr">
        <is>
          <t>33.7</t>
        </is>
      </c>
      <c r="O569" t="inlineStr"/>
      <c r="P569" t="n">
        <v>25.3</v>
      </c>
      <c r="Q569" t="inlineStr">
        <is>
          <t>503</t>
        </is>
      </c>
      <c r="R569" t="n">
        <v>11.3</v>
      </c>
      <c r="S569" t="inlineStr">
        <is>
          <t>701+</t>
        </is>
      </c>
      <c r="T569" t="n">
        <v>33.3</v>
      </c>
      <c r="U569" t="inlineStr">
        <is>
          <t>585</t>
        </is>
      </c>
      <c r="V569" t="n">
        <v>29.8</v>
      </c>
      <c r="W569" t="inlineStr">
        <is>
          <t>590</t>
        </is>
      </c>
      <c r="X569" t="n">
        <v>57.4</v>
      </c>
      <c r="Y569" t="inlineStr">
        <is>
          <t>402</t>
        </is>
      </c>
      <c r="Z569" t="n">
        <v>54.9</v>
      </c>
      <c r="AA569" t="inlineStr">
        <is>
          <t>378</t>
        </is>
      </c>
      <c r="AB569" t="n">
        <v>59.2</v>
      </c>
      <c r="AC569" t="inlineStr">
        <is>
          <t>345</t>
        </is>
      </c>
      <c r="AD569" t="n">
        <v>78.8</v>
      </c>
      <c r="AE569" t="inlineStr">
        <is>
          <t>371</t>
        </is>
      </c>
      <c r="AF569" t="n">
        <v>49.9</v>
      </c>
      <c r="AG569" t="inlineStr">
        <is>
          <t>347</t>
        </is>
      </c>
      <c r="AH569" t="n">
        <v>81.59999999999999</v>
      </c>
      <c r="AI569" t="inlineStr">
        <is>
          <t>154=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</row>
    <row r="570">
      <c r="A570" t="inlineStr">
        <is>
          <t>Lebanese American University</t>
        </is>
      </c>
      <c r="B570" t="inlineStr">
        <is>
          <t>Lebanon</t>
        </is>
      </c>
      <c r="C570" t="inlineStr">
        <is>
          <t>LB</t>
        </is>
      </c>
      <c r="D570" t="inlineStr">
        <is>
          <t>Asia</t>
        </is>
      </c>
      <c r="E570" t="inlineStr">
        <is>
          <t>M</t>
        </is>
      </c>
      <c r="F570" t="inlineStr">
        <is>
          <t>FC</t>
        </is>
      </c>
      <c r="G570" t="inlineStr">
        <is>
          <t>HI</t>
        </is>
      </c>
      <c r="H570" t="inlineStr">
        <is>
          <t>4</t>
        </is>
      </c>
      <c r="I570" t="inlineStr">
        <is>
          <t>Private not for Profit</t>
        </is>
      </c>
      <c r="J570" t="inlineStr">
        <is>
          <t>535</t>
        </is>
      </c>
      <c r="K570" t="inlineStr">
        <is>
          <t>701-710</t>
        </is>
      </c>
      <c r="L570" t="inlineStr">
        <is>
          <t>661-670</t>
        </is>
      </c>
      <c r="M570" t="inlineStr">
        <is>
          <t>601-650</t>
        </is>
      </c>
      <c r="N570" t="inlineStr">
        <is>
          <t>30.6</t>
        </is>
      </c>
      <c r="O570" t="inlineStr">
        <is>
          <t>-</t>
        </is>
      </c>
      <c r="P570" t="n">
        <v>20.2</v>
      </c>
      <c r="Q570" t="inlineStr">
        <is>
          <t>610</t>
        </is>
      </c>
      <c r="R570" t="n">
        <v>44.6</v>
      </c>
      <c r="S570" t="inlineStr">
        <is>
          <t>301</t>
        </is>
      </c>
      <c r="T570" t="n">
        <v>31.3</v>
      </c>
      <c r="U570" t="inlineStr">
        <is>
          <t>612</t>
        </is>
      </c>
      <c r="V570" t="n">
        <v>10.7</v>
      </c>
      <c r="W570" t="inlineStr">
        <is>
          <t>801+</t>
        </is>
      </c>
      <c r="X570" t="n">
        <v>80.59999999999999</v>
      </c>
      <c r="Y570" t="inlineStr">
        <is>
          <t>293</t>
        </is>
      </c>
      <c r="Z570" t="n">
        <v>26.6</v>
      </c>
      <c r="AA570" t="inlineStr">
        <is>
          <t>638</t>
        </is>
      </c>
      <c r="AB570" t="n">
        <v>31.7</v>
      </c>
      <c r="AC570" t="inlineStr">
        <is>
          <t>593</t>
        </is>
      </c>
      <c r="AD570" t="n">
        <v>78.3</v>
      </c>
      <c r="AE570" t="inlineStr">
        <is>
          <t>380</t>
        </is>
      </c>
      <c r="AF570" t="n">
        <v>29.2</v>
      </c>
      <c r="AG570" t="inlineStr">
        <is>
          <t>564</t>
        </is>
      </c>
      <c r="AH570" t="n">
        <v>58.3</v>
      </c>
      <c r="AI570" t="inlineStr">
        <is>
          <t>539=</t>
        </is>
      </c>
      <c r="AJ570" t="inlineStr">
        <is>
          <t>10.5</t>
        </is>
      </c>
      <c r="AK570" t="inlineStr">
        <is>
          <t>601+</t>
        </is>
      </c>
      <c r="AL570" t="inlineStr">
        <is>
          <t>28.2</t>
        </is>
      </c>
      <c r="AM570" t="inlineStr">
        <is>
          <t>342</t>
        </is>
      </c>
      <c r="AN570" t="inlineStr">
        <is>
          <t>35.5</t>
        </is>
      </c>
      <c r="AO570" t="inlineStr">
        <is>
          <t>447</t>
        </is>
      </c>
      <c r="AP570" t="inlineStr">
        <is>
          <t>3.2</t>
        </is>
      </c>
      <c r="AQ570" t="inlineStr">
        <is>
          <t>701+</t>
        </is>
      </c>
      <c r="AR570" t="inlineStr">
        <is>
          <t>78.9</t>
        </is>
      </c>
      <c r="AS570" t="inlineStr">
        <is>
          <t>233</t>
        </is>
      </c>
      <c r="AT570" t="inlineStr">
        <is>
          <t>26.4</t>
        </is>
      </c>
      <c r="AU570" t="inlineStr">
        <is>
          <t>457</t>
        </is>
      </c>
      <c r="AV570" t="inlineStr">
        <is>
          <t>1.0</t>
        </is>
      </c>
      <c r="AW570" t="inlineStr">
        <is>
          <t>701+</t>
        </is>
      </c>
      <c r="AX570" t="inlineStr">
        <is>
          <t>10.4</t>
        </is>
      </c>
      <c r="AY570" t="inlineStr">
        <is>
          <t>701+</t>
        </is>
      </c>
      <c r="AZ570" t="inlineStr">
        <is>
          <t>7.8</t>
        </is>
      </c>
      <c r="BA570" t="inlineStr">
        <is>
          <t>701+</t>
        </is>
      </c>
    </row>
    <row r="571">
      <c r="A571" t="inlineStr">
        <is>
          <t>Lebanese University</t>
        </is>
      </c>
      <c r="B571" t="inlineStr">
        <is>
          <t>Lebanon</t>
        </is>
      </c>
      <c r="C571" t="inlineStr">
        <is>
          <t>LB</t>
        </is>
      </c>
      <c r="D571" t="inlineStr">
        <is>
          <t>Asia</t>
        </is>
      </c>
      <c r="E571" t="inlineStr">
        <is>
          <t>XL</t>
        </is>
      </c>
      <c r="F571" t="inlineStr">
        <is>
          <t>FC</t>
        </is>
      </c>
      <c r="G571" t="inlineStr">
        <is>
          <t>HI</t>
        </is>
      </c>
      <c r="H571" t="inlineStr">
        <is>
          <t>4</t>
        </is>
      </c>
      <c r="I571" t="inlineStr">
        <is>
          <t>Public</t>
        </is>
      </c>
      <c r="J571" t="inlineStr">
        <is>
          <t>515</t>
        </is>
      </c>
      <c r="K571" t="inlineStr">
        <is>
          <t>567</t>
        </is>
      </c>
      <c r="L571">
        <f>577</f>
        <v/>
      </c>
      <c r="M571" t="inlineStr">
        <is>
          <t>601-650</t>
        </is>
      </c>
      <c r="N571" t="inlineStr">
        <is>
          <t>31.5</t>
        </is>
      </c>
      <c r="O571" t="inlineStr">
        <is>
          <t>20.5</t>
        </is>
      </c>
      <c r="P571" t="n">
        <v>32.9</v>
      </c>
      <c r="Q571" t="inlineStr">
        <is>
          <t>372</t>
        </is>
      </c>
      <c r="R571" t="n">
        <v>55.3</v>
      </c>
      <c r="S571" t="inlineStr">
        <is>
          <t>219</t>
        </is>
      </c>
      <c r="T571" t="n">
        <v>16</v>
      </c>
      <c r="U571" t="inlineStr">
        <is>
          <t>801+</t>
        </is>
      </c>
      <c r="V571" t="n">
        <v>3.4</v>
      </c>
      <c r="W571" t="inlineStr">
        <is>
          <t>801+</t>
        </is>
      </c>
      <c r="X571" t="n">
        <v>52.2</v>
      </c>
      <c r="Y571" t="inlineStr">
        <is>
          <t>427</t>
        </is>
      </c>
      <c r="Z571" t="n">
        <v>47.2</v>
      </c>
      <c r="AA571" t="inlineStr">
        <is>
          <t>428</t>
        </is>
      </c>
      <c r="AB571" t="n">
        <v>44.1</v>
      </c>
      <c r="AC571" t="inlineStr">
        <is>
          <t>474</t>
        </is>
      </c>
      <c r="AD571" t="n">
        <v>59.9</v>
      </c>
      <c r="AE571" t="inlineStr">
        <is>
          <t>695</t>
        </is>
      </c>
      <c r="AF571" t="n">
        <v>38.9</v>
      </c>
      <c r="AG571" t="inlineStr">
        <is>
          <t>445</t>
        </is>
      </c>
      <c r="AH571" t="n">
        <v>45.2</v>
      </c>
      <c r="AI571" t="inlineStr">
        <is>
          <t>801+</t>
        </is>
      </c>
      <c r="AJ571" t="inlineStr">
        <is>
          <t>23.7</t>
        </is>
      </c>
      <c r="AK571" t="inlineStr">
        <is>
          <t>364</t>
        </is>
      </c>
      <c r="AL571" t="inlineStr">
        <is>
          <t>49.8</t>
        </is>
      </c>
      <c r="AM571" t="inlineStr">
        <is>
          <t>171</t>
        </is>
      </c>
      <c r="AN571" t="inlineStr">
        <is>
          <t>11.6</t>
        </is>
      </c>
      <c r="AO571" t="inlineStr">
        <is>
          <t>701+</t>
        </is>
      </c>
      <c r="AP571" t="inlineStr">
        <is>
          <t>2.1</t>
        </is>
      </c>
      <c r="AQ571" t="inlineStr">
        <is>
          <t>701+</t>
        </is>
      </c>
      <c r="AR571" t="inlineStr">
        <is>
          <t>43.3</t>
        </is>
      </c>
      <c r="AS571" t="inlineStr">
        <is>
          <t>387</t>
        </is>
      </c>
      <c r="AT571" t="inlineStr">
        <is>
          <t>31.9</t>
        </is>
      </c>
      <c r="AU571" t="inlineStr">
        <is>
          <t>401</t>
        </is>
      </c>
      <c r="AV571" t="inlineStr">
        <is>
          <t>2.3</t>
        </is>
      </c>
      <c r="AW571" t="inlineStr">
        <is>
          <t>701+</t>
        </is>
      </c>
      <c r="AX571" t="inlineStr">
        <is>
          <t>9.9</t>
        </is>
      </c>
      <c r="AY571" t="inlineStr">
        <is>
          <t>701+</t>
        </is>
      </c>
      <c r="AZ571" t="inlineStr">
        <is>
          <t>2.1</t>
        </is>
      </c>
      <c r="BA571" t="inlineStr">
        <is>
          <t>701+</t>
        </is>
      </c>
    </row>
    <row r="572">
      <c r="A572" t="inlineStr">
        <is>
          <t>Leeds Beckett University</t>
        </is>
      </c>
      <c r="B572" t="inlineStr">
        <is>
          <t>United Kingdom</t>
        </is>
      </c>
      <c r="C572" t="inlineStr">
        <is>
          <t>UK</t>
        </is>
      </c>
      <c r="D572" t="inlineStr">
        <is>
          <t>Europe</t>
        </is>
      </c>
      <c r="E572" t="inlineStr">
        <is>
          <t>L</t>
        </is>
      </c>
      <c r="F572" t="inlineStr">
        <is>
          <t>CO</t>
        </is>
      </c>
      <c r="G572" t="inlineStr">
        <is>
          <t>HI</t>
        </is>
      </c>
      <c r="H572" t="inlineStr">
        <is>
          <t>3</t>
        </is>
      </c>
      <c r="I572" t="inlineStr">
        <is>
          <t>Public</t>
        </is>
      </c>
      <c r="J572" t="inlineStr">
        <is>
          <t>1001-1200</t>
        </is>
      </c>
      <c r="K572" t="inlineStr">
        <is>
          <t>1001-1200</t>
        </is>
      </c>
      <c r="L572" t="inlineStr">
        <is>
          <t>1001-1200</t>
        </is>
      </c>
      <c r="M572" t="inlineStr">
        <is>
          <t>1001-1200</t>
        </is>
      </c>
      <c r="N572" t="inlineStr">
        <is>
          <t>-</t>
        </is>
      </c>
      <c r="O572" t="inlineStr">
        <is>
          <t>-</t>
        </is>
      </c>
      <c r="P572" t="n">
        <v>5.1</v>
      </c>
      <c r="Q572" t="inlineStr">
        <is>
          <t>701+</t>
        </is>
      </c>
      <c r="R572" t="n">
        <v>10.3</v>
      </c>
      <c r="S572" t="inlineStr">
        <is>
          <t>701+</t>
        </is>
      </c>
      <c r="T572" t="n">
        <v>5.2</v>
      </c>
      <c r="U572" t="inlineStr">
        <is>
          <t>801+</t>
        </is>
      </c>
      <c r="V572" t="n">
        <v>13.5</v>
      </c>
      <c r="W572" t="inlineStr">
        <is>
          <t>801+</t>
        </is>
      </c>
      <c r="X572" t="n">
        <v>46.9</v>
      </c>
      <c r="Y572" t="inlineStr">
        <is>
          <t>453</t>
        </is>
      </c>
      <c r="Z572" t="n">
        <v>45.2</v>
      </c>
      <c r="AA572" t="inlineStr">
        <is>
          <t>447</t>
        </is>
      </c>
      <c r="AB572" t="n">
        <v>50.3</v>
      </c>
      <c r="AC572" t="inlineStr">
        <is>
          <t>412</t>
        </is>
      </c>
      <c r="AD572" t="n">
        <v>36.6</v>
      </c>
      <c r="AE572" t="inlineStr">
        <is>
          <t>801+</t>
        </is>
      </c>
      <c r="AF572" t="n">
        <v>10.8</v>
      </c>
      <c r="AG572" t="inlineStr">
        <is>
          <t>801+</t>
        </is>
      </c>
      <c r="AH572" t="n">
        <v>61.7</v>
      </c>
      <c r="AI572" t="inlineStr">
        <is>
          <t>464=</t>
        </is>
      </c>
      <c r="AJ572" t="inlineStr">
        <is>
          <t>4.4</t>
        </is>
      </c>
      <c r="AK572" t="inlineStr">
        <is>
          <t>601+</t>
        </is>
      </c>
      <c r="AL572" t="inlineStr">
        <is>
          <t>8.0</t>
        </is>
      </c>
      <c r="AM572" t="inlineStr">
        <is>
          <t>601+</t>
        </is>
      </c>
      <c r="AN572" t="inlineStr">
        <is>
          <t>4.4</t>
        </is>
      </c>
      <c r="AO572" t="inlineStr">
        <is>
          <t>701+</t>
        </is>
      </c>
      <c r="AP572" t="inlineStr">
        <is>
          <t>8.1</t>
        </is>
      </c>
      <c r="AQ572" t="inlineStr">
        <is>
          <t>701+</t>
        </is>
      </c>
      <c r="AR572" t="inlineStr">
        <is>
          <t>35.2</t>
        </is>
      </c>
      <c r="AS572" t="inlineStr">
        <is>
          <t>453</t>
        </is>
      </c>
      <c r="AT572" t="inlineStr">
        <is>
          <t>18.0</t>
        </is>
      </c>
      <c r="AU572" t="inlineStr">
        <is>
          <t>574</t>
        </is>
      </c>
      <c r="AV572" t="inlineStr">
        <is>
          <t>2.2</t>
        </is>
      </c>
      <c r="AW572" t="inlineStr">
        <is>
          <t>701+</t>
        </is>
      </c>
      <c r="AX572" t="inlineStr">
        <is>
          <t>11.5</t>
        </is>
      </c>
      <c r="AY572" t="inlineStr">
        <is>
          <t>701+</t>
        </is>
      </c>
      <c r="AZ572" t="inlineStr">
        <is>
          <t>1.6</t>
        </is>
      </c>
      <c r="BA572" t="inlineStr">
        <is>
          <t>701+</t>
        </is>
      </c>
    </row>
    <row r="573">
      <c r="A573" t="inlineStr">
        <is>
          <t>Lehigh University</t>
        </is>
      </c>
      <c r="B573" t="inlineStr">
        <is>
          <t>United States</t>
        </is>
      </c>
      <c r="C573" t="inlineStr">
        <is>
          <t>US</t>
        </is>
      </c>
      <c r="D573" t="inlineStr">
        <is>
          <t>Americas</t>
        </is>
      </c>
      <c r="E573" t="inlineStr">
        <is>
          <t>M</t>
        </is>
      </c>
      <c r="F573" t="inlineStr">
        <is>
          <t>CO</t>
        </is>
      </c>
      <c r="G573" t="inlineStr">
        <is>
          <t>VH</t>
        </is>
      </c>
      <c r="H573" t="inlineStr">
        <is>
          <t>5</t>
        </is>
      </c>
      <c r="I573" t="inlineStr">
        <is>
          <t>Private not for Profit</t>
        </is>
      </c>
      <c r="J573" t="inlineStr">
        <is>
          <t>668</t>
        </is>
      </c>
      <c r="K573" t="inlineStr">
        <is>
          <t>641-650</t>
        </is>
      </c>
      <c r="L573">
        <f>548</f>
        <v/>
      </c>
      <c r="M573" t="inlineStr">
        <is>
          <t>591-600</t>
        </is>
      </c>
      <c r="N573" t="inlineStr">
        <is>
          <t>26.3</t>
        </is>
      </c>
      <c r="O573" t="inlineStr">
        <is>
          <t>21.4</t>
        </is>
      </c>
      <c r="P573" t="n">
        <v>7.2</v>
      </c>
      <c r="Q573" t="inlineStr">
        <is>
          <t>701+</t>
        </is>
      </c>
      <c r="R573" t="n">
        <v>12.4</v>
      </c>
      <c r="S573" t="inlineStr">
        <is>
          <t>701+</t>
        </is>
      </c>
      <c r="T573" t="n">
        <v>30.5</v>
      </c>
      <c r="U573" t="inlineStr">
        <is>
          <t>625</t>
        </is>
      </c>
      <c r="V573" t="n">
        <v>37.1</v>
      </c>
      <c r="W573" t="inlineStr">
        <is>
          <t>501</t>
        </is>
      </c>
      <c r="X573" t="n">
        <v>68.90000000000001</v>
      </c>
      <c r="Y573" t="inlineStr">
        <is>
          <t>339</t>
        </is>
      </c>
      <c r="Z573" t="n">
        <v>40</v>
      </c>
      <c r="AA573" t="inlineStr">
        <is>
          <t>490</t>
        </is>
      </c>
      <c r="AB573" t="n">
        <v>45.4</v>
      </c>
      <c r="AC573" t="inlineStr">
        <is>
          <t>459</t>
        </is>
      </c>
      <c r="AD573" t="n">
        <v>44.9</v>
      </c>
      <c r="AE573" t="inlineStr">
        <is>
          <t>801+</t>
        </is>
      </c>
      <c r="AF573" t="n">
        <v>45.4</v>
      </c>
      <c r="AG573" t="inlineStr">
        <is>
          <t>385</t>
        </is>
      </c>
      <c r="AH573" t="n">
        <v>61.5</v>
      </c>
      <c r="AI573" t="inlineStr">
        <is>
          <t>467=</t>
        </is>
      </c>
      <c r="AJ573" t="inlineStr">
        <is>
          <t>5.8</t>
        </is>
      </c>
      <c r="AK573" t="inlineStr">
        <is>
          <t>601+</t>
        </is>
      </c>
      <c r="AL573" t="inlineStr">
        <is>
          <t>4.2</t>
        </is>
      </c>
      <c r="AM573" t="inlineStr">
        <is>
          <t>601+</t>
        </is>
      </c>
      <c r="AN573" t="inlineStr">
        <is>
          <t>26.2</t>
        </is>
      </c>
      <c r="AO573" t="inlineStr">
        <is>
          <t>567</t>
        </is>
      </c>
      <c r="AP573" t="inlineStr">
        <is>
          <t>38.4</t>
        </is>
      </c>
      <c r="AQ573" t="inlineStr">
        <is>
          <t>362</t>
        </is>
      </c>
      <c r="AR573" t="inlineStr">
        <is>
          <t>62.4</t>
        </is>
      </c>
      <c r="AS573" t="inlineStr">
        <is>
          <t>311</t>
        </is>
      </c>
      <c r="AT573" t="inlineStr">
        <is>
          <t>29.6</t>
        </is>
      </c>
      <c r="AU573" t="inlineStr">
        <is>
          <t>426</t>
        </is>
      </c>
      <c r="AV573" t="inlineStr">
        <is>
          <t>9.1</t>
        </is>
      </c>
      <c r="AW573" t="inlineStr">
        <is>
          <t>693</t>
        </is>
      </c>
      <c r="AX573" t="inlineStr">
        <is>
          <t>28.3</t>
        </is>
      </c>
      <c r="AY573" t="inlineStr">
        <is>
          <t>285</t>
        </is>
      </c>
      <c r="AZ573" t="inlineStr">
        <is>
          <t>47.5</t>
        </is>
      </c>
      <c r="BA573" t="inlineStr">
        <is>
          <t>320=</t>
        </is>
      </c>
    </row>
    <row r="574">
      <c r="A574" t="inlineStr">
        <is>
          <t>Leibniz University Hannover</t>
        </is>
      </c>
      <c r="B574" t="inlineStr">
        <is>
          <t>Germany</t>
        </is>
      </c>
      <c r="C574" t="inlineStr">
        <is>
          <t>DE</t>
        </is>
      </c>
      <c r="D574" t="inlineStr"/>
      <c r="E574" t="inlineStr">
        <is>
          <t>L</t>
        </is>
      </c>
      <c r="F574" t="inlineStr">
        <is>
          <t>CO</t>
        </is>
      </c>
      <c r="G574" t="inlineStr">
        <is>
          <t>VH</t>
        </is>
      </c>
      <c r="H574" t="inlineStr">
        <is>
          <t>5</t>
        </is>
      </c>
      <c r="I574" t="inlineStr">
        <is>
          <t>A</t>
        </is>
      </c>
      <c r="J574" t="inlineStr"/>
      <c r="K574" t="inlineStr"/>
      <c r="L574">
        <f>481</f>
        <v/>
      </c>
      <c r="M574" t="inlineStr">
        <is>
          <t>601-650</t>
        </is>
      </c>
      <c r="N574" t="inlineStr"/>
      <c r="O574" t="inlineStr">
        <is>
          <t>23.9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21.3</t>
        </is>
      </c>
      <c r="AK574" t="inlineStr">
        <is>
          <t>408</t>
        </is>
      </c>
      <c r="AL574" t="inlineStr">
        <is>
          <t>33.2</t>
        </is>
      </c>
      <c r="AM574" t="inlineStr">
        <is>
          <t>298</t>
        </is>
      </c>
      <c r="AN574" t="inlineStr">
        <is>
          <t>16.8</t>
        </is>
      </c>
      <c r="AO574" t="inlineStr">
        <is>
          <t>701+</t>
        </is>
      </c>
      <c r="AP574" t="inlineStr">
        <is>
          <t>14.8</t>
        </is>
      </c>
      <c r="AQ574" t="inlineStr">
        <is>
          <t>640</t>
        </is>
      </c>
      <c r="AR574" t="inlineStr">
        <is>
          <t>40.5</t>
        </is>
      </c>
      <c r="AS574" t="inlineStr">
        <is>
          <t>408</t>
        </is>
      </c>
      <c r="AT574" t="inlineStr">
        <is>
          <t>30.6</t>
        </is>
      </c>
      <c r="AU574" t="inlineStr">
        <is>
          <t>418</t>
        </is>
      </c>
      <c r="AV574" t="inlineStr">
        <is>
          <t>44.3</t>
        </is>
      </c>
      <c r="AW574" t="inlineStr">
        <is>
          <t>350</t>
        </is>
      </c>
      <c r="AX574" t="inlineStr">
        <is>
          <t>13.1</t>
        </is>
      </c>
      <c r="AY574" t="inlineStr">
        <is>
          <t>654</t>
        </is>
      </c>
      <c r="AZ574" t="inlineStr">
        <is>
          <t>29.9</t>
        </is>
      </c>
      <c r="BA574" t="inlineStr">
        <is>
          <t>449=</t>
        </is>
      </c>
    </row>
    <row r="575">
      <c r="A575" t="inlineStr">
        <is>
          <t>Leibniz Universität Hannover</t>
        </is>
      </c>
      <c r="B575" t="inlineStr">
        <is>
          <t>Germany</t>
        </is>
      </c>
      <c r="C575" t="inlineStr"/>
      <c r="D575" t="inlineStr">
        <is>
          <t>Europe</t>
        </is>
      </c>
      <c r="E575" t="inlineStr">
        <is>
          <t>L</t>
        </is>
      </c>
      <c r="F575" t="inlineStr">
        <is>
          <t>FO</t>
        </is>
      </c>
      <c r="G575" t="inlineStr">
        <is>
          <t>VH</t>
        </is>
      </c>
      <c r="H575" t="inlineStr"/>
      <c r="I575" t="inlineStr">
        <is>
          <t>Public</t>
        </is>
      </c>
      <c r="J575" t="inlineStr">
        <is>
          <t>433</t>
        </is>
      </c>
      <c r="K575" t="inlineStr">
        <is>
          <t>426</t>
        </is>
      </c>
      <c r="L575" t="inlineStr"/>
      <c r="M575" t="inlineStr"/>
      <c r="N575" t="inlineStr">
        <is>
          <t>35.6</t>
        </is>
      </c>
      <c r="O575" t="inlineStr"/>
      <c r="P575" t="n">
        <v>29.6</v>
      </c>
      <c r="Q575" t="inlineStr">
        <is>
          <t>419</t>
        </is>
      </c>
      <c r="R575" t="n">
        <v>37.2</v>
      </c>
      <c r="S575" t="inlineStr">
        <is>
          <t>378</t>
        </is>
      </c>
      <c r="T575" t="n">
        <v>19.9</v>
      </c>
      <c r="U575" t="inlineStr">
        <is>
          <t>801+</t>
        </is>
      </c>
      <c r="V575" t="n">
        <v>33.7</v>
      </c>
      <c r="W575" t="inlineStr">
        <is>
          <t>540</t>
        </is>
      </c>
      <c r="X575" t="n">
        <v>54.7</v>
      </c>
      <c r="Y575" t="inlineStr">
        <is>
          <t>413</t>
        </is>
      </c>
      <c r="Z575" t="n">
        <v>33.3</v>
      </c>
      <c r="AA575" t="inlineStr">
        <is>
          <t>556</t>
        </is>
      </c>
      <c r="AB575" t="n">
        <v>39.1</v>
      </c>
      <c r="AC575" t="inlineStr">
        <is>
          <t>507</t>
        </is>
      </c>
      <c r="AD575" t="n">
        <v>80.5</v>
      </c>
      <c r="AE575" t="inlineStr">
        <is>
          <t>345</t>
        </is>
      </c>
      <c r="AF575" t="n">
        <v>20.3</v>
      </c>
      <c r="AG575" t="inlineStr">
        <is>
          <t>720</t>
        </is>
      </c>
      <c r="AH575" t="n">
        <v>78.7</v>
      </c>
      <c r="AI575" t="inlineStr">
        <is>
          <t>188=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</row>
    <row r="576">
      <c r="A576" t="inlineStr">
        <is>
          <t>Leiden University</t>
        </is>
      </c>
      <c r="B576" t="inlineStr">
        <is>
          <t>Netherlands</t>
        </is>
      </c>
      <c r="C576" t="inlineStr">
        <is>
          <t>NL</t>
        </is>
      </c>
      <c r="D576" t="inlineStr">
        <is>
          <t>Europe</t>
        </is>
      </c>
      <c r="E576" t="inlineStr">
        <is>
          <t>XL</t>
        </is>
      </c>
      <c r="F576" t="inlineStr">
        <is>
          <t>FC</t>
        </is>
      </c>
      <c r="G576" t="inlineStr">
        <is>
          <t>VH</t>
        </is>
      </c>
      <c r="H576" t="inlineStr">
        <is>
          <t>5</t>
        </is>
      </c>
      <c r="I576" t="inlineStr">
        <is>
          <t>Public</t>
        </is>
      </c>
      <c r="J576" t="inlineStr">
        <is>
          <t>119</t>
        </is>
      </c>
      <c r="K576" t="inlineStr">
        <is>
          <t>141</t>
        </is>
      </c>
      <c r="L576">
        <f>126</f>
        <v/>
      </c>
      <c r="M576" t="inlineStr">
        <is>
          <t>131=</t>
        </is>
      </c>
      <c r="N576" t="inlineStr">
        <is>
          <t>65.7</t>
        </is>
      </c>
      <c r="O576" t="inlineStr">
        <is>
          <t>54.8</t>
        </is>
      </c>
      <c r="P576" t="n">
        <v>80.40000000000001</v>
      </c>
      <c r="Q576" t="inlineStr">
        <is>
          <t>97</t>
        </is>
      </c>
      <c r="R576" t="n">
        <v>46.3</v>
      </c>
      <c r="S576" t="inlineStr">
        <is>
          <t>288</t>
        </is>
      </c>
      <c r="T576" t="n">
        <v>30.3</v>
      </c>
      <c r="U576" t="inlineStr">
        <is>
          <t>629</t>
        </is>
      </c>
      <c r="V576" t="n">
        <v>64.90000000000001</v>
      </c>
      <c r="W576" t="inlineStr">
        <is>
          <t>249</t>
        </is>
      </c>
      <c r="X576" t="n">
        <v>89.7</v>
      </c>
      <c r="Y576" t="inlineStr">
        <is>
          <t>225</t>
        </is>
      </c>
      <c r="Z576" t="n">
        <v>68.40000000000001</v>
      </c>
      <c r="AA576" t="inlineStr">
        <is>
          <t>288</t>
        </is>
      </c>
      <c r="AB576" t="n">
        <v>50.9</v>
      </c>
      <c r="AC576" t="inlineStr">
        <is>
          <t>408</t>
        </is>
      </c>
      <c r="AD576" t="n">
        <v>94.3</v>
      </c>
      <c r="AE576" t="inlineStr">
        <is>
          <t>93</t>
        </is>
      </c>
      <c r="AF576" t="n">
        <v>61.2</v>
      </c>
      <c r="AG576" t="inlineStr">
        <is>
          <t>263</t>
        </is>
      </c>
      <c r="AH576" t="n">
        <v>58.6</v>
      </c>
      <c r="AI576" t="inlineStr">
        <is>
          <t>530=</t>
        </is>
      </c>
      <c r="AJ576" t="inlineStr">
        <is>
          <t>69.1</t>
        </is>
      </c>
      <c r="AK576" t="inlineStr">
        <is>
          <t>95</t>
        </is>
      </c>
      <c r="AL576" t="inlineStr">
        <is>
          <t>26.8</t>
        </is>
      </c>
      <c r="AM576" t="inlineStr">
        <is>
          <t>362</t>
        </is>
      </c>
      <c r="AN576" t="inlineStr">
        <is>
          <t>20.2</t>
        </is>
      </c>
      <c r="AO576" t="inlineStr">
        <is>
          <t>659</t>
        </is>
      </c>
      <c r="AP576" t="inlineStr">
        <is>
          <t>62.7</t>
        </is>
      </c>
      <c r="AQ576" t="inlineStr">
        <is>
          <t>190</t>
        </is>
      </c>
      <c r="AR576" t="inlineStr">
        <is>
          <t>85.5</t>
        </is>
      </c>
      <c r="AS576" t="inlineStr">
        <is>
          <t>204</t>
        </is>
      </c>
      <c r="AT576" t="inlineStr">
        <is>
          <t>50.2</t>
        </is>
      </c>
      <c r="AU576" t="inlineStr">
        <is>
          <t>292</t>
        </is>
      </c>
      <c r="AV576" t="inlineStr">
        <is>
          <t>93.7</t>
        </is>
      </c>
      <c r="AW576" t="inlineStr">
        <is>
          <t>61</t>
        </is>
      </c>
      <c r="AX576" t="inlineStr">
        <is>
          <t>26.9</t>
        </is>
      </c>
      <c r="AY576" t="inlineStr">
        <is>
          <t>303</t>
        </is>
      </c>
      <c r="AZ576" t="inlineStr">
        <is>
          <t>46</t>
        </is>
      </c>
      <c r="BA576" t="inlineStr">
        <is>
          <t>331=</t>
        </is>
      </c>
    </row>
    <row r="577">
      <c r="A577" t="inlineStr">
        <is>
          <t>Libera Universita' di Bolzano</t>
        </is>
      </c>
      <c r="B577" t="inlineStr">
        <is>
          <t>Italy</t>
        </is>
      </c>
      <c r="C577" t="inlineStr"/>
      <c r="D577" t="inlineStr">
        <is>
          <t>Europe</t>
        </is>
      </c>
      <c r="E577" t="inlineStr">
        <is>
          <t>S</t>
        </is>
      </c>
      <c r="F577" t="inlineStr">
        <is>
          <t>FO</t>
        </is>
      </c>
      <c r="G577" t="inlineStr">
        <is>
          <t>VH</t>
        </is>
      </c>
      <c r="H577" t="inlineStr"/>
      <c r="I577" t="inlineStr">
        <is>
          <t>Public</t>
        </is>
      </c>
      <c r="J577" t="inlineStr">
        <is>
          <t>643</t>
        </is>
      </c>
      <c r="K577" t="inlineStr">
        <is>
          <t>661-670</t>
        </is>
      </c>
      <c r="L577" t="inlineStr"/>
      <c r="M577" t="inlineStr"/>
      <c r="N577" t="inlineStr">
        <is>
          <t>26.9</t>
        </is>
      </c>
      <c r="O577" t="inlineStr"/>
      <c r="P577" t="n">
        <v>7.8</v>
      </c>
      <c r="Q577" t="inlineStr">
        <is>
          <t>701+</t>
        </is>
      </c>
      <c r="R577" t="n">
        <v>3.1</v>
      </c>
      <c r="S577" t="inlineStr">
        <is>
          <t>701+</t>
        </is>
      </c>
      <c r="T577" t="n">
        <v>20.6</v>
      </c>
      <c r="U577" t="inlineStr">
        <is>
          <t>801+</t>
        </is>
      </c>
      <c r="V577" t="n">
        <v>62.4</v>
      </c>
      <c r="W577" t="inlineStr">
        <is>
          <t>267</t>
        </is>
      </c>
      <c r="X577" t="n">
        <v>66.09999999999999</v>
      </c>
      <c r="Y577" t="inlineStr">
        <is>
          <t>355</t>
        </is>
      </c>
      <c r="Z577" t="n">
        <v>56.3</v>
      </c>
      <c r="AA577" t="inlineStr">
        <is>
          <t>370</t>
        </is>
      </c>
      <c r="AB577" t="n">
        <v>60.5</v>
      </c>
      <c r="AC577" t="inlineStr">
        <is>
          <t>338</t>
        </is>
      </c>
      <c r="AD577" t="n">
        <v>51.9</v>
      </c>
      <c r="AE577" t="inlineStr">
        <is>
          <t>801+</t>
        </is>
      </c>
      <c r="AF577" t="n">
        <v>4</v>
      </c>
      <c r="AG577" t="inlineStr">
        <is>
          <t>801+</t>
        </is>
      </c>
      <c r="AH577" t="n">
        <v>37.4</v>
      </c>
      <c r="AI577" t="inlineStr">
        <is>
          <t>801+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</row>
    <row r="578">
      <c r="A578" t="inlineStr">
        <is>
          <t>Lincoln University</t>
        </is>
      </c>
      <c r="B578" t="inlineStr">
        <is>
          <t>New Zealand</t>
        </is>
      </c>
      <c r="C578" t="inlineStr">
        <is>
          <t>NZ</t>
        </is>
      </c>
      <c r="D578" t="inlineStr">
        <is>
          <t>Oceania</t>
        </is>
      </c>
      <c r="E578" t="inlineStr">
        <is>
          <t>S</t>
        </is>
      </c>
      <c r="F578" t="inlineStr">
        <is>
          <t>SP</t>
        </is>
      </c>
      <c r="G578" t="inlineStr">
        <is>
          <t>VH</t>
        </is>
      </c>
      <c r="H578" t="inlineStr">
        <is>
          <t>3</t>
        </is>
      </c>
      <c r="I578" t="inlineStr">
        <is>
          <t>Public</t>
        </is>
      </c>
      <c r="J578" t="inlineStr">
        <is>
          <t>407</t>
        </is>
      </c>
      <c r="K578" t="inlineStr">
        <is>
          <t>371</t>
        </is>
      </c>
      <c r="L578">
        <f>362</f>
        <v/>
      </c>
      <c r="M578" t="inlineStr">
        <is>
          <t>368</t>
        </is>
      </c>
      <c r="N578" t="inlineStr">
        <is>
          <t>37</t>
        </is>
      </c>
      <c r="O578" t="inlineStr">
        <is>
          <t>30.6</t>
        </is>
      </c>
      <c r="P578" t="n">
        <v>13.3</v>
      </c>
      <c r="Q578" t="inlineStr">
        <is>
          <t>701+</t>
        </is>
      </c>
      <c r="R578" t="n">
        <v>10.7</v>
      </c>
      <c r="S578" t="inlineStr">
        <is>
          <t>701+</t>
        </is>
      </c>
      <c r="T578" t="n">
        <v>32.4</v>
      </c>
      <c r="U578" t="inlineStr">
        <is>
          <t>597</t>
        </is>
      </c>
      <c r="V578" t="n">
        <v>62.6</v>
      </c>
      <c r="W578" t="inlineStr">
        <is>
          <t>264</t>
        </is>
      </c>
      <c r="X578" t="n">
        <v>100</v>
      </c>
      <c r="Y578" t="inlineStr">
        <is>
          <t>55</t>
        </is>
      </c>
      <c r="Z578" t="n">
        <v>99.59999999999999</v>
      </c>
      <c r="AA578" t="inlineStr">
        <is>
          <t>53</t>
        </is>
      </c>
      <c r="AB578" t="n">
        <v>99.09999999999999</v>
      </c>
      <c r="AC578" t="inlineStr">
        <is>
          <t>58</t>
        </is>
      </c>
      <c r="AD578" t="n">
        <v>25.4</v>
      </c>
      <c r="AE578" t="inlineStr">
        <is>
          <t>801+</t>
        </is>
      </c>
      <c r="AF578" t="n">
        <v>45.1</v>
      </c>
      <c r="AG578" t="inlineStr">
        <is>
          <t>389</t>
        </is>
      </c>
      <c r="AH578" t="n">
        <v>62</v>
      </c>
      <c r="AI578" t="inlineStr">
        <is>
          <t>458=</t>
        </is>
      </c>
      <c r="AJ578" t="inlineStr">
        <is>
          <t>7.9</t>
        </is>
      </c>
      <c r="AK578" t="inlineStr">
        <is>
          <t>601+</t>
        </is>
      </c>
      <c r="AL578" t="inlineStr">
        <is>
          <t>5.3</t>
        </is>
      </c>
      <c r="AM578" t="inlineStr">
        <is>
          <t>601+</t>
        </is>
      </c>
      <c r="AN578" t="inlineStr">
        <is>
          <t>39.9</t>
        </is>
      </c>
      <c r="AO578" t="inlineStr">
        <is>
          <t>393</t>
        </is>
      </c>
      <c r="AP578" t="inlineStr">
        <is>
          <t>51.5</t>
        </is>
      </c>
      <c r="AQ578" t="inlineStr">
        <is>
          <t>253</t>
        </is>
      </c>
      <c r="AR578" t="inlineStr">
        <is>
          <t>100.0</t>
        </is>
      </c>
      <c r="AS578" t="inlineStr">
        <is>
          <t>62</t>
        </is>
      </c>
      <c r="AT578" t="inlineStr">
        <is>
          <t>91.0</t>
        </is>
      </c>
      <c r="AU578" t="inlineStr">
        <is>
          <t>113</t>
        </is>
      </c>
      <c r="AV578" t="inlineStr">
        <is>
          <t>1.2</t>
        </is>
      </c>
      <c r="AW578" t="inlineStr">
        <is>
          <t>701+</t>
        </is>
      </c>
      <c r="AX578" t="inlineStr">
        <is>
          <t>31.7</t>
        </is>
      </c>
      <c r="AY578" t="inlineStr">
        <is>
          <t>241</t>
        </is>
      </c>
      <c r="AZ578" t="inlineStr">
        <is>
          <t>37.8</t>
        </is>
      </c>
      <c r="BA578" t="inlineStr">
        <is>
          <t>379=</t>
        </is>
      </c>
    </row>
    <row r="579">
      <c r="A579" t="inlineStr">
        <is>
          <t>Lincoln University College, Malaysia</t>
        </is>
      </c>
      <c r="B579" t="inlineStr">
        <is>
          <t>Malaysia</t>
        </is>
      </c>
      <c r="C579" t="inlineStr"/>
      <c r="D579" t="inlineStr">
        <is>
          <t>Asia</t>
        </is>
      </c>
      <c r="E579" t="inlineStr">
        <is>
          <t>S</t>
        </is>
      </c>
      <c r="F579" t="inlineStr">
        <is>
          <t>CO</t>
        </is>
      </c>
      <c r="G579" t="inlineStr">
        <is>
          <t>HI</t>
        </is>
      </c>
      <c r="H579" t="inlineStr"/>
      <c r="I579" t="inlineStr">
        <is>
          <t>Private for Profit</t>
        </is>
      </c>
      <c r="J579" t="inlineStr">
        <is>
          <t>638</t>
        </is>
      </c>
      <c r="K579" t="inlineStr"/>
      <c r="L579" t="inlineStr"/>
      <c r="M579" t="inlineStr"/>
      <c r="N579" t="inlineStr">
        <is>
          <t>27.1</t>
        </is>
      </c>
      <c r="O579" t="inlineStr"/>
      <c r="P579" t="n">
        <v>11.1</v>
      </c>
      <c r="Q579" t="inlineStr">
        <is>
          <t>701+</t>
        </is>
      </c>
      <c r="R579" t="n">
        <v>26</v>
      </c>
      <c r="S579" t="inlineStr">
        <is>
          <t>521</t>
        </is>
      </c>
      <c r="T579" t="n">
        <v>95.59999999999999</v>
      </c>
      <c r="U579" t="inlineStr">
        <is>
          <t>69</t>
        </is>
      </c>
      <c r="V579" t="n">
        <v>1.8</v>
      </c>
      <c r="W579" t="inlineStr">
        <is>
          <t>801+</t>
        </is>
      </c>
      <c r="X579" t="n">
        <v>100</v>
      </c>
      <c r="Y579" t="inlineStr">
        <is>
          <t>75</t>
        </is>
      </c>
      <c r="Z579" t="n">
        <v>100</v>
      </c>
      <c r="AA579" t="inlineStr">
        <is>
          <t>26</t>
        </is>
      </c>
      <c r="AB579" t="n">
        <v>99.2</v>
      </c>
      <c r="AC579" t="inlineStr">
        <is>
          <t>55</t>
        </is>
      </c>
      <c r="AD579" t="n">
        <v>5.2</v>
      </c>
      <c r="AE579" t="inlineStr">
        <is>
          <t>801+</t>
        </is>
      </c>
      <c r="AF579" t="n">
        <v>5.3</v>
      </c>
      <c r="AG579" t="inlineStr">
        <is>
          <t>801+</t>
        </is>
      </c>
      <c r="AH579" t="n">
        <v>12.5</v>
      </c>
      <c r="AI579" t="inlineStr">
        <is>
          <t>801+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</row>
    <row r="580">
      <c r="A580" t="inlineStr">
        <is>
          <t>Lingnan University, Hong Kong</t>
        </is>
      </c>
      <c r="B580" t="inlineStr">
        <is>
          <t>Hong Kong</t>
        </is>
      </c>
      <c r="C580" t="inlineStr">
        <is>
          <t>HK</t>
        </is>
      </c>
      <c r="D580" t="inlineStr"/>
      <c r="E580" t="inlineStr">
        <is>
          <t>S</t>
        </is>
      </c>
      <c r="F580" t="inlineStr">
        <is>
          <t>SP</t>
        </is>
      </c>
      <c r="G580" t="inlineStr"/>
      <c r="H580" t="inlineStr">
        <is>
          <t>2</t>
        </is>
      </c>
      <c r="I580" t="inlineStr">
        <is>
          <t>A</t>
        </is>
      </c>
      <c r="J580" t="inlineStr"/>
      <c r="K580" t="inlineStr"/>
      <c r="L580" t="inlineStr">
        <is>
          <t>641-650</t>
        </is>
      </c>
      <c r="M580" t="inlineStr">
        <is>
          <t>601-650</t>
        </is>
      </c>
      <c r="N580" t="inlineStr"/>
      <c r="O580" t="inlineStr">
        <is>
          <t>-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9.3</t>
        </is>
      </c>
      <c r="AK580" t="inlineStr">
        <is>
          <t>601+</t>
        </is>
      </c>
      <c r="AL580" t="inlineStr">
        <is>
          <t>5.5</t>
        </is>
      </c>
      <c r="AM580" t="inlineStr">
        <is>
          <t>601+</t>
        </is>
      </c>
      <c r="AN580" t="inlineStr">
        <is>
          <t>14.6</t>
        </is>
      </c>
      <c r="AO580" t="inlineStr">
        <is>
          <t>701+</t>
        </is>
      </c>
      <c r="AP580" t="inlineStr">
        <is>
          <t>16.3</t>
        </is>
      </c>
      <c r="AQ580" t="inlineStr">
        <is>
          <t>611</t>
        </is>
      </c>
      <c r="AR580" t="inlineStr">
        <is>
          <t>100.0</t>
        </is>
      </c>
      <c r="AS580" t="inlineStr">
        <is>
          <t>32</t>
        </is>
      </c>
      <c r="AT580" t="inlineStr">
        <is>
          <t>95.0</t>
        </is>
      </c>
      <c r="AU580" t="inlineStr">
        <is>
          <t>88</t>
        </is>
      </c>
      <c r="AV580" t="inlineStr">
        <is>
          <t>1.1</t>
        </is>
      </c>
      <c r="AW580" t="inlineStr">
        <is>
          <t>701+</t>
        </is>
      </c>
      <c r="AX580" t="inlineStr">
        <is>
          <t>8</t>
        </is>
      </c>
      <c r="AY580" t="inlineStr">
        <is>
          <t>701+</t>
        </is>
      </c>
      <c r="AZ580" t="inlineStr">
        <is>
          <t>1.1</t>
        </is>
      </c>
      <c r="BA580" t="inlineStr">
        <is>
          <t>701+</t>
        </is>
      </c>
    </row>
    <row r="581">
      <c r="A581" t="inlineStr">
        <is>
          <t>Lingnan University, Hong Kong</t>
        </is>
      </c>
      <c r="B581" t="inlineStr">
        <is>
          <t>Hong Kong SAR, China</t>
        </is>
      </c>
      <c r="C581" t="inlineStr"/>
      <c r="D581" t="inlineStr">
        <is>
          <t>Asia</t>
        </is>
      </c>
      <c r="E581" t="inlineStr">
        <is>
          <t>S</t>
        </is>
      </c>
      <c r="F581" t="inlineStr">
        <is>
          <t>CO</t>
        </is>
      </c>
      <c r="G581" t="inlineStr">
        <is>
          <t>VH</t>
        </is>
      </c>
      <c r="H581" t="inlineStr"/>
      <c r="I581" t="inlineStr">
        <is>
          <t>Public</t>
        </is>
      </c>
      <c r="J581" t="inlineStr">
        <is>
          <t>701-710</t>
        </is>
      </c>
      <c r="K581" t="inlineStr">
        <is>
          <t>711-720</t>
        </is>
      </c>
      <c r="L581" t="inlineStr"/>
      <c r="M581" t="inlineStr"/>
      <c r="N581" t="inlineStr">
        <is>
          <t>-</t>
        </is>
      </c>
      <c r="O581" t="inlineStr"/>
      <c r="P581" t="n">
        <v>16</v>
      </c>
      <c r="Q581" t="inlineStr">
        <is>
          <t>701+</t>
        </is>
      </c>
      <c r="R581" t="n">
        <v>12.5</v>
      </c>
      <c r="S581" t="inlineStr">
        <is>
          <t>701+</t>
        </is>
      </c>
      <c r="T581" t="n">
        <v>19.3</v>
      </c>
      <c r="U581" t="inlineStr">
        <is>
          <t>801+</t>
        </is>
      </c>
      <c r="V581" t="n">
        <v>22.3</v>
      </c>
      <c r="W581" t="inlineStr">
        <is>
          <t>681</t>
        </is>
      </c>
      <c r="X581" t="n">
        <v>100</v>
      </c>
      <c r="Y581" t="inlineStr">
        <is>
          <t>38</t>
        </is>
      </c>
      <c r="Z581" t="n">
        <v>99.59999999999999</v>
      </c>
      <c r="AA581" t="inlineStr">
        <is>
          <t>55</t>
        </is>
      </c>
      <c r="AB581" t="n">
        <v>93.09999999999999</v>
      </c>
      <c r="AC581" t="inlineStr">
        <is>
          <t>126</t>
        </is>
      </c>
      <c r="AD581" t="n">
        <v>10.6</v>
      </c>
      <c r="AE581" t="inlineStr">
        <is>
          <t>801+</t>
        </is>
      </c>
      <c r="AF581" t="n">
        <v>5</v>
      </c>
      <c r="AG581" t="inlineStr">
        <is>
          <t>801+</t>
        </is>
      </c>
      <c r="AH581" t="n">
        <v>47</v>
      </c>
      <c r="AI581" t="inlineStr">
        <is>
          <t>789=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</row>
    <row r="582">
      <c r="A582" t="inlineStr">
        <is>
          <t>Linköping University</t>
        </is>
      </c>
      <c r="B582" t="inlineStr">
        <is>
          <t>Sweden</t>
        </is>
      </c>
      <c r="C582" t="inlineStr">
        <is>
          <t>SE</t>
        </is>
      </c>
      <c r="D582" t="inlineStr">
        <is>
          <t>Europe</t>
        </is>
      </c>
      <c r="E582" t="inlineStr">
        <is>
          <t>L</t>
        </is>
      </c>
      <c r="F582" t="inlineStr">
        <is>
          <t>CO</t>
        </is>
      </c>
      <c r="G582" t="inlineStr">
        <is>
          <t>VH</t>
        </is>
      </c>
      <c r="H582" t="inlineStr">
        <is>
          <t>3</t>
        </is>
      </c>
      <c r="I582" t="inlineStr">
        <is>
          <t>Public</t>
        </is>
      </c>
      <c r="J582" t="inlineStr">
        <is>
          <t>310</t>
        </is>
      </c>
      <c r="K582" t="inlineStr">
        <is>
          <t>304</t>
        </is>
      </c>
      <c r="L582">
        <f>268</f>
        <v/>
      </c>
      <c r="M582" t="inlineStr">
        <is>
          <t>320=</t>
        </is>
      </c>
      <c r="N582" t="inlineStr">
        <is>
          <t>44.5</t>
        </is>
      </c>
      <c r="O582" t="inlineStr">
        <is>
          <t>37.5</t>
        </is>
      </c>
      <c r="P582" t="n">
        <v>25.4</v>
      </c>
      <c r="Q582" t="inlineStr">
        <is>
          <t>501</t>
        </is>
      </c>
      <c r="R582" t="n">
        <v>32.2</v>
      </c>
      <c r="S582" t="inlineStr">
        <is>
          <t>446</t>
        </is>
      </c>
      <c r="T582" t="n">
        <v>50.2</v>
      </c>
      <c r="U582" t="inlineStr">
        <is>
          <t>382</t>
        </is>
      </c>
      <c r="V582" t="n">
        <v>55.2</v>
      </c>
      <c r="W582" t="inlineStr">
        <is>
          <t>328</t>
        </is>
      </c>
      <c r="X582" t="n">
        <v>85.8</v>
      </c>
      <c r="Y582" t="inlineStr">
        <is>
          <t>255</t>
        </is>
      </c>
      <c r="Z582" t="n">
        <v>46.3</v>
      </c>
      <c r="AA582" t="inlineStr">
        <is>
          <t>437</t>
        </is>
      </c>
      <c r="AB582" t="n">
        <v>48.3</v>
      </c>
      <c r="AC582" t="inlineStr">
        <is>
          <t>430</t>
        </is>
      </c>
      <c r="AD582" t="n">
        <v>81.5</v>
      </c>
      <c r="AE582" t="inlineStr">
        <is>
          <t>320</t>
        </is>
      </c>
      <c r="AF582" t="n">
        <v>50.8</v>
      </c>
      <c r="AG582" t="inlineStr">
        <is>
          <t>336</t>
        </is>
      </c>
      <c r="AH582" t="n">
        <v>68.2</v>
      </c>
      <c r="AI582" t="inlineStr">
        <is>
          <t>346=</t>
        </is>
      </c>
      <c r="AJ582" t="inlineStr">
        <is>
          <t>19.0</t>
        </is>
      </c>
      <c r="AK582" t="inlineStr">
        <is>
          <t>470</t>
        </is>
      </c>
      <c r="AL582" t="inlineStr">
        <is>
          <t>26.6</t>
        </is>
      </c>
      <c r="AM582" t="inlineStr">
        <is>
          <t>363</t>
        </is>
      </c>
      <c r="AN582" t="inlineStr">
        <is>
          <t>34.8</t>
        </is>
      </c>
      <c r="AO582" t="inlineStr">
        <is>
          <t>457</t>
        </is>
      </c>
      <c r="AP582" t="inlineStr">
        <is>
          <t>48.8</t>
        </is>
      </c>
      <c r="AQ582" t="inlineStr">
        <is>
          <t>277</t>
        </is>
      </c>
      <c r="AR582" t="inlineStr">
        <is>
          <t>77.8</t>
        </is>
      </c>
      <c r="AS582" t="inlineStr">
        <is>
          <t>239</t>
        </is>
      </c>
      <c r="AT582" t="inlineStr">
        <is>
          <t>30.3</t>
        </is>
      </c>
      <c r="AU582" t="inlineStr">
        <is>
          <t>420</t>
        </is>
      </c>
      <c r="AV582" t="inlineStr">
        <is>
          <t>57.9</t>
        </is>
      </c>
      <c r="AW582" t="inlineStr">
        <is>
          <t>260</t>
        </is>
      </c>
      <c r="AX582" t="inlineStr">
        <is>
          <t>34.7</t>
        </is>
      </c>
      <c r="AY582" t="inlineStr">
        <is>
          <t>221</t>
        </is>
      </c>
      <c r="AZ582" t="inlineStr">
        <is>
          <t>87.4</t>
        </is>
      </c>
      <c r="BA582" t="inlineStr">
        <is>
          <t>108=</t>
        </is>
      </c>
    </row>
    <row r="583">
      <c r="A583" t="inlineStr">
        <is>
          <t>Liverpool John Moores University</t>
        </is>
      </c>
      <c r="B583" t="inlineStr">
        <is>
          <t>United Kingdom</t>
        </is>
      </c>
      <c r="C583" t="inlineStr">
        <is>
          <t>UK</t>
        </is>
      </c>
      <c r="D583" t="inlineStr">
        <is>
          <t>Europe</t>
        </is>
      </c>
      <c r="E583" t="inlineStr">
        <is>
          <t>L</t>
        </is>
      </c>
      <c r="F583" t="inlineStr">
        <is>
          <t>CO</t>
        </is>
      </c>
      <c r="G583" t="inlineStr">
        <is>
          <t>VH</t>
        </is>
      </c>
      <c r="H583" t="inlineStr">
        <is>
          <t>3</t>
        </is>
      </c>
      <c r="I583" t="inlineStr">
        <is>
          <t>Public</t>
        </is>
      </c>
      <c r="J583" t="inlineStr">
        <is>
          <t>851-900</t>
        </is>
      </c>
      <c r="K583" t="inlineStr">
        <is>
          <t>801-850</t>
        </is>
      </c>
      <c r="L583" t="inlineStr">
        <is>
          <t>751-760</t>
        </is>
      </c>
      <c r="M583" t="inlineStr">
        <is>
          <t>801-1000</t>
        </is>
      </c>
      <c r="N583" t="inlineStr">
        <is>
          <t>-</t>
        </is>
      </c>
      <c r="O583" t="inlineStr">
        <is>
          <t>-</t>
        </is>
      </c>
      <c r="P583" t="n">
        <v>13.5</v>
      </c>
      <c r="Q583" t="inlineStr">
        <is>
          <t>701+</t>
        </is>
      </c>
      <c r="R583" t="n">
        <v>12</v>
      </c>
      <c r="S583" t="inlineStr">
        <is>
          <t>701+</t>
        </is>
      </c>
      <c r="T583" t="n">
        <v>9.6</v>
      </c>
      <c r="U583" t="inlineStr">
        <is>
          <t>801+</t>
        </is>
      </c>
      <c r="V583" t="n">
        <v>20.4</v>
      </c>
      <c r="W583" t="inlineStr">
        <is>
          <t>707</t>
        </is>
      </c>
      <c r="X583" t="n">
        <v>53.8</v>
      </c>
      <c r="Y583" t="inlineStr">
        <is>
          <t>420</t>
        </is>
      </c>
      <c r="Z583" t="n">
        <v>21.2</v>
      </c>
      <c r="AA583" t="inlineStr">
        <is>
          <t>707</t>
        </is>
      </c>
      <c r="AB583" t="n">
        <v>27.3</v>
      </c>
      <c r="AC583" t="inlineStr">
        <is>
          <t>648</t>
        </is>
      </c>
      <c r="AD583" t="n">
        <v>89.7</v>
      </c>
      <c r="AE583" t="inlineStr">
        <is>
          <t>178</t>
        </is>
      </c>
      <c r="AF583" t="n">
        <v>11.5</v>
      </c>
      <c r="AG583" t="inlineStr">
        <is>
          <t>801+</t>
        </is>
      </c>
      <c r="AH583" t="n">
        <v>53.9</v>
      </c>
      <c r="AI583" t="inlineStr">
        <is>
          <t>624=</t>
        </is>
      </c>
      <c r="AJ583" t="inlineStr">
        <is>
          <t>9.9</t>
        </is>
      </c>
      <c r="AK583" t="inlineStr">
        <is>
          <t>601+</t>
        </is>
      </c>
      <c r="AL583" t="inlineStr">
        <is>
          <t>6.8</t>
        </is>
      </c>
      <c r="AM583" t="inlineStr">
        <is>
          <t>601+</t>
        </is>
      </c>
      <c r="AN583" t="inlineStr">
        <is>
          <t>8.4</t>
        </is>
      </c>
      <c r="AO583" t="inlineStr">
        <is>
          <t>701+</t>
        </is>
      </c>
      <c r="AP583" t="inlineStr">
        <is>
          <t>14.5</t>
        </is>
      </c>
      <c r="AQ583" t="inlineStr">
        <is>
          <t>645</t>
        </is>
      </c>
      <c r="AR583" t="inlineStr">
        <is>
          <t>48.1</t>
        </is>
      </c>
      <c r="AS583" t="inlineStr">
        <is>
          <t>365</t>
        </is>
      </c>
      <c r="AT583" t="inlineStr">
        <is>
          <t>24.4</t>
        </is>
      </c>
      <c r="AU583" t="inlineStr">
        <is>
          <t>480</t>
        </is>
      </c>
      <c r="AV583" t="inlineStr">
        <is>
          <t>56.2</t>
        </is>
      </c>
      <c r="AW583" t="inlineStr">
        <is>
          <t>278</t>
        </is>
      </c>
      <c r="AX583" t="inlineStr">
        <is>
          <t>10.4</t>
        </is>
      </c>
      <c r="AY583" t="inlineStr">
        <is>
          <t>701+</t>
        </is>
      </c>
      <c r="AZ583" t="inlineStr">
        <is>
          <t>24.4</t>
        </is>
      </c>
      <c r="BA583" t="inlineStr">
        <is>
          <t>497=</t>
        </is>
      </c>
    </row>
    <row r="584">
      <c r="A584" t="inlineStr">
        <is>
          <t>Lobachevsky State University of Nizhni Novgorod</t>
        </is>
      </c>
      <c r="B584" t="inlineStr">
        <is>
          <t>Russia</t>
        </is>
      </c>
      <c r="C584" t="inlineStr"/>
      <c r="D584" t="inlineStr">
        <is>
          <t>Europe</t>
        </is>
      </c>
      <c r="E584" t="inlineStr">
        <is>
          <t>L</t>
        </is>
      </c>
      <c r="F584" t="inlineStr">
        <is>
          <t>FO</t>
        </is>
      </c>
      <c r="G584" t="inlineStr">
        <is>
          <t>VH</t>
        </is>
      </c>
      <c r="H584" t="inlineStr"/>
      <c r="I584" t="inlineStr">
        <is>
          <t>Public</t>
        </is>
      </c>
      <c r="J584" t="inlineStr">
        <is>
          <t>1001-1200</t>
        </is>
      </c>
      <c r="K584" t="inlineStr">
        <is>
          <t>1001-1200</t>
        </is>
      </c>
      <c r="L584" t="inlineStr"/>
      <c r="M584" t="inlineStr"/>
      <c r="N584" t="inlineStr">
        <is>
          <t>-</t>
        </is>
      </c>
      <c r="O584" t="inlineStr"/>
      <c r="P584" t="n">
        <v>10</v>
      </c>
      <c r="Q584" t="inlineStr">
        <is>
          <t>701+</t>
        </is>
      </c>
      <c r="R584" t="n">
        <v>8.199999999999999</v>
      </c>
      <c r="S584" t="inlineStr">
        <is>
          <t>701+</t>
        </is>
      </c>
      <c r="T584" t="n">
        <v>50.9</v>
      </c>
      <c r="U584" t="inlineStr">
        <is>
          <t>372</t>
        </is>
      </c>
      <c r="V584" t="n">
        <v>3.5</v>
      </c>
      <c r="W584" t="inlineStr">
        <is>
          <t>801+</t>
        </is>
      </c>
      <c r="X584" t="n">
        <v>2.6</v>
      </c>
      <c r="Y584" t="inlineStr">
        <is>
          <t>801+</t>
        </is>
      </c>
      <c r="Z584" t="n">
        <v>37</v>
      </c>
      <c r="AA584" t="inlineStr">
        <is>
          <t>526</t>
        </is>
      </c>
      <c r="AB584" t="n">
        <v>42.6</v>
      </c>
      <c r="AC584" t="inlineStr">
        <is>
          <t>487</t>
        </is>
      </c>
      <c r="AD584" t="n">
        <v>18</v>
      </c>
      <c r="AE584" t="inlineStr">
        <is>
          <t>801+</t>
        </is>
      </c>
      <c r="AF584" t="n">
        <v>3.9</v>
      </c>
      <c r="AG584" t="inlineStr">
        <is>
          <t>801+</t>
        </is>
      </c>
      <c r="AH584" t="n">
        <v>38.2</v>
      </c>
      <c r="AI584" t="inlineStr">
        <is>
          <t>801+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</row>
    <row r="585">
      <c r="A585" t="inlineStr">
        <is>
          <t>Lobachevsky University</t>
        </is>
      </c>
      <c r="B585" t="inlineStr">
        <is>
          <t>Russia</t>
        </is>
      </c>
      <c r="C585" t="inlineStr">
        <is>
          <t>RU</t>
        </is>
      </c>
      <c r="D585" t="inlineStr"/>
      <c r="E585" t="inlineStr">
        <is>
          <t>L</t>
        </is>
      </c>
      <c r="F585" t="inlineStr">
        <is>
          <t>FO</t>
        </is>
      </c>
      <c r="G585" t="inlineStr">
        <is>
          <t>VH</t>
        </is>
      </c>
      <c r="H585" t="inlineStr">
        <is>
          <t>5</t>
        </is>
      </c>
      <c r="I585" t="inlineStr">
        <is>
          <t>A</t>
        </is>
      </c>
      <c r="J585" t="inlineStr"/>
      <c r="K585" t="inlineStr"/>
      <c r="L585" t="inlineStr">
        <is>
          <t>1001-1200</t>
        </is>
      </c>
      <c r="M585" t="inlineStr">
        <is>
          <t>751-800</t>
        </is>
      </c>
      <c r="N585" t="inlineStr"/>
      <c r="O585" t="inlineStr">
        <is>
          <t>-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8.8</t>
        </is>
      </c>
      <c r="AK585" t="inlineStr">
        <is>
          <t>601+</t>
        </is>
      </c>
      <c r="AL585" t="inlineStr">
        <is>
          <t>3.7</t>
        </is>
      </c>
      <c r="AM585" t="inlineStr">
        <is>
          <t>601+</t>
        </is>
      </c>
      <c r="AN585" t="inlineStr">
        <is>
          <t>45.9</t>
        </is>
      </c>
      <c r="AO585" t="inlineStr">
        <is>
          <t>342</t>
        </is>
      </c>
      <c r="AP585" t="inlineStr">
        <is>
          <t>2.1</t>
        </is>
      </c>
      <c r="AQ585" t="inlineStr">
        <is>
          <t>701+</t>
        </is>
      </c>
      <c r="AR585" t="inlineStr">
        <is>
          <t>2.2</t>
        </is>
      </c>
      <c r="AS585" t="inlineStr">
        <is>
          <t>701+</t>
        </is>
      </c>
      <c r="AT585" t="inlineStr">
        <is>
          <t>21.9</t>
        </is>
      </c>
      <c r="AU585" t="inlineStr">
        <is>
          <t>516</t>
        </is>
      </c>
      <c r="AV585" t="inlineStr">
        <is>
          <t>1.3</t>
        </is>
      </c>
      <c r="AW585" t="inlineStr">
        <is>
          <t>701+</t>
        </is>
      </c>
      <c r="AX585" t="inlineStr">
        <is>
          <t>8.5</t>
        </is>
      </c>
      <c r="AY585" t="inlineStr">
        <is>
          <t>701+</t>
        </is>
      </c>
      <c r="AZ585" t="inlineStr">
        <is>
          <t>5.9</t>
        </is>
      </c>
      <c r="BA585" t="inlineStr">
        <is>
          <t>701+</t>
        </is>
      </c>
    </row>
    <row r="586">
      <c r="A586" t="inlineStr">
        <is>
          <t>Lodz University</t>
        </is>
      </c>
      <c r="B586" t="inlineStr">
        <is>
          <t>Poland</t>
        </is>
      </c>
      <c r="C586" t="inlineStr"/>
      <c r="D586" t="inlineStr">
        <is>
          <t>Europe</t>
        </is>
      </c>
      <c r="E586" t="inlineStr">
        <is>
          <t>L</t>
        </is>
      </c>
      <c r="F586" t="inlineStr">
        <is>
          <t>CO</t>
        </is>
      </c>
      <c r="G586" t="inlineStr">
        <is>
          <t>VH</t>
        </is>
      </c>
      <c r="H586" t="inlineStr"/>
      <c r="I586" t="inlineStr">
        <is>
          <t>Public</t>
        </is>
      </c>
      <c r="J586" t="inlineStr">
        <is>
          <t>951-1000</t>
        </is>
      </c>
      <c r="K586" t="inlineStr">
        <is>
          <t>901-950</t>
        </is>
      </c>
      <c r="L586" t="inlineStr"/>
      <c r="M586" t="inlineStr"/>
      <c r="N586" t="inlineStr">
        <is>
          <t>-</t>
        </is>
      </c>
      <c r="O586" t="inlineStr"/>
      <c r="P586" t="n">
        <v>15.4</v>
      </c>
      <c r="Q586" t="inlineStr">
        <is>
          <t>701+</t>
        </is>
      </c>
      <c r="R586" t="n">
        <v>7.3</v>
      </c>
      <c r="S586" t="inlineStr">
        <is>
          <t>701+</t>
        </is>
      </c>
      <c r="T586" t="n">
        <v>47.9</v>
      </c>
      <c r="U586" t="inlineStr">
        <is>
          <t>406</t>
        </is>
      </c>
      <c r="V586" t="n">
        <v>6.9</v>
      </c>
      <c r="W586" t="inlineStr">
        <is>
          <t>801+</t>
        </is>
      </c>
      <c r="X586" t="n">
        <v>5.7</v>
      </c>
      <c r="Y586" t="inlineStr">
        <is>
          <t>801+</t>
        </is>
      </c>
      <c r="Z586" t="n">
        <v>19</v>
      </c>
      <c r="AA586" t="inlineStr">
        <is>
          <t>743</t>
        </is>
      </c>
      <c r="AB586" t="n">
        <v>25.1</v>
      </c>
      <c r="AC586" t="inlineStr">
        <is>
          <t>684</t>
        </is>
      </c>
      <c r="AD586" t="n">
        <v>75.7</v>
      </c>
      <c r="AE586" t="inlineStr">
        <is>
          <t>427</t>
        </is>
      </c>
      <c r="AF586" t="n">
        <v>21</v>
      </c>
      <c r="AG586" t="inlineStr">
        <is>
          <t>705</t>
        </is>
      </c>
      <c r="AH586" t="n">
        <v>29.8</v>
      </c>
      <c r="AI586" t="inlineStr">
        <is>
          <t>801+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</row>
    <row r="587">
      <c r="A587" t="inlineStr">
        <is>
          <t>Lodz University of Technology</t>
        </is>
      </c>
      <c r="B587" t="inlineStr">
        <is>
          <t>Poland</t>
        </is>
      </c>
      <c r="C587" t="inlineStr">
        <is>
          <t>PL</t>
        </is>
      </c>
      <c r="D587" t="inlineStr">
        <is>
          <t>Europe</t>
        </is>
      </c>
      <c r="E587" t="inlineStr">
        <is>
          <t>M</t>
        </is>
      </c>
      <c r="F587" t="inlineStr">
        <is>
          <t>SP</t>
        </is>
      </c>
      <c r="G587" t="inlineStr">
        <is>
          <t>VH</t>
        </is>
      </c>
      <c r="H587" t="inlineStr">
        <is>
          <t>4</t>
        </is>
      </c>
      <c r="I587" t="inlineStr">
        <is>
          <t>Public</t>
        </is>
      </c>
      <c r="J587" t="inlineStr">
        <is>
          <t>1001-1200</t>
        </is>
      </c>
      <c r="K587" t="inlineStr">
        <is>
          <t>1001-1200</t>
        </is>
      </c>
      <c r="L587" t="inlineStr">
        <is>
          <t>1001-1200</t>
        </is>
      </c>
      <c r="M587" t="inlineStr">
        <is>
          <t>801-1000</t>
        </is>
      </c>
      <c r="N587" t="inlineStr">
        <is>
          <t>-</t>
        </is>
      </c>
      <c r="O587" t="inlineStr">
        <is>
          <t>-</t>
        </is>
      </c>
      <c r="P587" t="n">
        <v>6</v>
      </c>
      <c r="Q587" t="inlineStr">
        <is>
          <t>701+</t>
        </is>
      </c>
      <c r="R587" t="n">
        <v>7.3</v>
      </c>
      <c r="S587" t="inlineStr">
        <is>
          <t>701+</t>
        </is>
      </c>
      <c r="T587" t="n">
        <v>59</v>
      </c>
      <c r="U587" t="inlineStr">
        <is>
          <t>306</t>
        </is>
      </c>
      <c r="V587" t="n">
        <v>16</v>
      </c>
      <c r="W587" t="inlineStr">
        <is>
          <t>784</t>
        </is>
      </c>
      <c r="X587" t="n">
        <v>4.1</v>
      </c>
      <c r="Y587" t="inlineStr">
        <is>
          <t>801+</t>
        </is>
      </c>
      <c r="Z587" t="n">
        <v>8.300000000000001</v>
      </c>
      <c r="AA587" t="inlineStr">
        <is>
          <t>801+</t>
        </is>
      </c>
      <c r="AB587" t="n">
        <v>12.4</v>
      </c>
      <c r="AC587" t="inlineStr">
        <is>
          <t>801+</t>
        </is>
      </c>
      <c r="AD587" t="n">
        <v>49.2</v>
      </c>
      <c r="AE587" t="inlineStr">
        <is>
          <t>801+</t>
        </is>
      </c>
      <c r="AF587" t="n">
        <v>4.1</v>
      </c>
      <c r="AG587" t="inlineStr">
        <is>
          <t>801+</t>
        </is>
      </c>
      <c r="AH587" t="n">
        <v>40.3</v>
      </c>
      <c r="AI587" t="inlineStr">
        <is>
          <t>801+</t>
        </is>
      </c>
      <c r="AJ587" t="inlineStr">
        <is>
          <t>5.4</t>
        </is>
      </c>
      <c r="AK587" t="inlineStr">
        <is>
          <t>601+</t>
        </is>
      </c>
      <c r="AL587" t="inlineStr">
        <is>
          <t>3.7</t>
        </is>
      </c>
      <c r="AM587" t="inlineStr">
        <is>
          <t>601+</t>
        </is>
      </c>
      <c r="AN587" t="inlineStr">
        <is>
          <t>42.4</t>
        </is>
      </c>
      <c r="AO587" t="inlineStr">
        <is>
          <t>372</t>
        </is>
      </c>
      <c r="AP587" t="inlineStr">
        <is>
          <t>8.3</t>
        </is>
      </c>
      <c r="AQ587" t="inlineStr">
        <is>
          <t>701+</t>
        </is>
      </c>
      <c r="AR587" t="inlineStr">
        <is>
          <t>4.2</t>
        </is>
      </c>
      <c r="AS587" t="inlineStr">
        <is>
          <t>701+</t>
        </is>
      </c>
      <c r="AT587" t="inlineStr">
        <is>
          <t>3.5</t>
        </is>
      </c>
      <c r="AU587" t="inlineStr">
        <is>
          <t>701+</t>
        </is>
      </c>
      <c r="AV587" t="inlineStr">
        <is>
          <t>7.8</t>
        </is>
      </c>
      <c r="AW587" t="inlineStr">
        <is>
          <t>701+</t>
        </is>
      </c>
      <c r="AX587" t="inlineStr">
        <is>
          <t>8.4</t>
        </is>
      </c>
      <c r="AY587" t="inlineStr">
        <is>
          <t>701+</t>
        </is>
      </c>
      <c r="AZ587" t="inlineStr">
        <is>
          <t>3.9</t>
        </is>
      </c>
      <c r="BA587" t="inlineStr">
        <is>
          <t>701+</t>
        </is>
      </c>
    </row>
    <row r="588">
      <c r="A588" t="inlineStr">
        <is>
          <t>Lomonosov Moscow State University</t>
        </is>
      </c>
      <c r="B588" t="inlineStr">
        <is>
          <t>Russia</t>
        </is>
      </c>
      <c r="C588" t="inlineStr">
        <is>
          <t>RU</t>
        </is>
      </c>
      <c r="D588" t="inlineStr">
        <is>
          <t>Europe</t>
        </is>
      </c>
      <c r="E588" t="inlineStr">
        <is>
          <t>L</t>
        </is>
      </c>
      <c r="F588" t="inlineStr">
        <is>
          <t>FC</t>
        </is>
      </c>
      <c r="G588" t="inlineStr">
        <is>
          <t>VH</t>
        </is>
      </c>
      <c r="H588" t="inlineStr">
        <is>
          <t>5</t>
        </is>
      </c>
      <c r="I588" t="inlineStr">
        <is>
          <t>Public</t>
        </is>
      </c>
      <c r="J588" t="inlineStr">
        <is>
          <t>105</t>
        </is>
      </c>
      <c r="K588" t="inlineStr">
        <is>
          <t>94</t>
        </is>
      </c>
      <c r="L588">
        <f>87</f>
        <v/>
      </c>
      <c r="M588" t="inlineStr">
        <is>
          <t>75</t>
        </is>
      </c>
      <c r="N588" t="inlineStr">
        <is>
          <t>67.6</t>
        </is>
      </c>
      <c r="O588" t="inlineStr">
        <is>
          <t>62.2</t>
        </is>
      </c>
      <c r="P588" t="n">
        <v>83.7</v>
      </c>
      <c r="Q588" t="inlineStr">
        <is>
          <t>83</t>
        </is>
      </c>
      <c r="R588" t="n">
        <v>87.90000000000001</v>
      </c>
      <c r="S588" t="inlineStr">
        <is>
          <t>80</t>
        </is>
      </c>
      <c r="T588" t="n">
        <v>99.90000000000001</v>
      </c>
      <c r="U588" t="inlineStr">
        <is>
          <t>26</t>
        </is>
      </c>
      <c r="V588" t="n">
        <v>7.3</v>
      </c>
      <c r="W588" t="inlineStr">
        <is>
          <t>801+</t>
        </is>
      </c>
      <c r="X588" t="n">
        <v>25.5</v>
      </c>
      <c r="Y588" t="inlineStr">
        <is>
          <t>641</t>
        </is>
      </c>
      <c r="Z588" t="n">
        <v>96</v>
      </c>
      <c r="AA588" t="inlineStr">
        <is>
          <t>112</t>
        </is>
      </c>
      <c r="AB588" t="n">
        <v>96.09999999999999</v>
      </c>
      <c r="AC588" t="inlineStr">
        <is>
          <t>97</t>
        </is>
      </c>
      <c r="AD588" t="n">
        <v>87</v>
      </c>
      <c r="AE588" t="inlineStr">
        <is>
          <t>214</t>
        </is>
      </c>
      <c r="AF588" t="n">
        <v>98.3</v>
      </c>
      <c r="AG588" t="inlineStr">
        <is>
          <t>37</t>
        </is>
      </c>
      <c r="AH588" t="n">
        <v>48.8</v>
      </c>
      <c r="AI588" t="inlineStr">
        <is>
          <t>734=</t>
        </is>
      </c>
      <c r="AJ588" t="inlineStr">
        <is>
          <t>81.2</t>
        </is>
      </c>
      <c r="AK588" t="inlineStr">
        <is>
          <t>69</t>
        </is>
      </c>
      <c r="AL588" t="inlineStr">
        <is>
          <t>78.3</t>
        </is>
      </c>
      <c r="AM588" t="inlineStr">
        <is>
          <t>74</t>
        </is>
      </c>
      <c r="AN588" t="inlineStr">
        <is>
          <t>99.8</t>
        </is>
      </c>
      <c r="AO588" t="inlineStr">
        <is>
          <t>26</t>
        </is>
      </c>
      <c r="AP588" t="inlineStr">
        <is>
          <t>4.6</t>
        </is>
      </c>
      <c r="AQ588" t="inlineStr">
        <is>
          <t>701+</t>
        </is>
      </c>
      <c r="AR588" t="inlineStr">
        <is>
          <t>20.3</t>
        </is>
      </c>
      <c r="AS588" t="inlineStr">
        <is>
          <t>587</t>
        </is>
      </c>
      <c r="AT588" t="inlineStr">
        <is>
          <t>92.3</t>
        </is>
      </c>
      <c r="AU588" t="inlineStr">
        <is>
          <t>105</t>
        </is>
      </c>
      <c r="AV588" t="inlineStr">
        <is>
          <t>85.2</t>
        </is>
      </c>
      <c r="AW588" t="inlineStr">
        <is>
          <t>115</t>
        </is>
      </c>
      <c r="AX588" t="inlineStr">
        <is>
          <t>82.2</t>
        </is>
      </c>
      <c r="AY588" t="inlineStr">
        <is>
          <t>48</t>
        </is>
      </c>
      <c r="AZ588" t="inlineStr">
        <is>
          <t>13.4</t>
        </is>
      </c>
      <c r="BA588" t="inlineStr">
        <is>
          <t>631=</t>
        </is>
      </c>
    </row>
    <row r="589">
      <c r="A589" t="inlineStr">
        <is>
          <t>London Metropolitan University</t>
        </is>
      </c>
      <c r="B589" t="inlineStr">
        <is>
          <t>United Kingdom</t>
        </is>
      </c>
      <c r="C589" t="inlineStr">
        <is>
          <t>UK</t>
        </is>
      </c>
      <c r="D589" t="inlineStr">
        <is>
          <t>Europe</t>
        </is>
      </c>
      <c r="E589" t="inlineStr">
        <is>
          <t>L</t>
        </is>
      </c>
      <c r="F589" t="inlineStr">
        <is>
          <t>CO</t>
        </is>
      </c>
      <c r="G589" t="inlineStr">
        <is>
          <t>MD</t>
        </is>
      </c>
      <c r="H589" t="inlineStr">
        <is>
          <t>2</t>
        </is>
      </c>
      <c r="I589" t="inlineStr">
        <is>
          <t>Public</t>
        </is>
      </c>
      <c r="J589" t="inlineStr">
        <is>
          <t>1001-1200</t>
        </is>
      </c>
      <c r="K589" t="inlineStr">
        <is>
          <t>1001-1200</t>
        </is>
      </c>
      <c r="L589" t="inlineStr">
        <is>
          <t>901-950</t>
        </is>
      </c>
      <c r="M589" t="inlineStr">
        <is>
          <t>801-1000</t>
        </is>
      </c>
      <c r="N589" t="inlineStr">
        <is>
          <t>-</t>
        </is>
      </c>
      <c r="O589" t="inlineStr">
        <is>
          <t>-</t>
        </is>
      </c>
      <c r="P589" t="n">
        <v>5.9</v>
      </c>
      <c r="Q589" t="inlineStr">
        <is>
          <t>701+</t>
        </is>
      </c>
      <c r="R589" t="n">
        <v>7.3</v>
      </c>
      <c r="S589" t="inlineStr">
        <is>
          <t>701+</t>
        </is>
      </c>
      <c r="T589" t="n">
        <v>4.7</v>
      </c>
      <c r="U589" t="inlineStr">
        <is>
          <t>801+</t>
        </is>
      </c>
      <c r="V589" t="n">
        <v>7</v>
      </c>
      <c r="W589" t="inlineStr">
        <is>
          <t>801+</t>
        </is>
      </c>
      <c r="X589" t="n">
        <v>68.5</v>
      </c>
      <c r="Y589" t="inlineStr">
        <is>
          <t>340</t>
        </is>
      </c>
      <c r="Z589" t="n">
        <v>97.59999999999999</v>
      </c>
      <c r="AA589" t="inlineStr">
        <is>
          <t>95</t>
        </is>
      </c>
      <c r="AB589" t="n">
        <v>97.7</v>
      </c>
      <c r="AC589" t="inlineStr">
        <is>
          <t>84</t>
        </is>
      </c>
      <c r="AD589" t="n">
        <v>22.4</v>
      </c>
      <c r="AE589" t="inlineStr">
        <is>
          <t>801+</t>
        </is>
      </c>
      <c r="AF589" t="n">
        <v>20.8</v>
      </c>
      <c r="AG589" t="inlineStr">
        <is>
          <t>713</t>
        </is>
      </c>
      <c r="AH589" t="n">
        <v>20.9</v>
      </c>
      <c r="AI589" t="inlineStr">
        <is>
          <t>801+</t>
        </is>
      </c>
      <c r="AJ589" t="inlineStr">
        <is>
          <t>5.5</t>
        </is>
      </c>
      <c r="AK589" t="inlineStr">
        <is>
          <t>601+</t>
        </is>
      </c>
      <c r="AL589" t="inlineStr">
        <is>
          <t>2.9</t>
        </is>
      </c>
      <c r="AM589" t="inlineStr">
        <is>
          <t>601+</t>
        </is>
      </c>
      <c r="AN589" t="inlineStr">
        <is>
          <t>4.5</t>
        </is>
      </c>
      <c r="AO589" t="inlineStr">
        <is>
          <t>701+</t>
        </is>
      </c>
      <c r="AP589" t="inlineStr">
        <is>
          <t>3.2</t>
        </is>
      </c>
      <c r="AQ589" t="inlineStr">
        <is>
          <t>701+</t>
        </is>
      </c>
      <c r="AR589" t="inlineStr">
        <is>
          <t>60.8</t>
        </is>
      </c>
      <c r="AS589" t="inlineStr">
        <is>
          <t>315</t>
        </is>
      </c>
      <c r="AT589" t="inlineStr">
        <is>
          <t>100.0</t>
        </is>
      </c>
      <c r="AU589" t="inlineStr">
        <is>
          <t>18</t>
        </is>
      </c>
      <c r="AV589" t="inlineStr">
        <is>
          <t>1.0</t>
        </is>
      </c>
      <c r="AW589" t="inlineStr">
        <is>
          <t>701+</t>
        </is>
      </c>
      <c r="AX589" t="inlineStr">
        <is>
          <t>14</t>
        </is>
      </c>
      <c r="AY589" t="inlineStr">
        <is>
          <t>609</t>
        </is>
      </c>
      <c r="AZ589" t="inlineStr">
        <is>
          <t>1</t>
        </is>
      </c>
      <c r="BA589" t="inlineStr">
        <is>
          <t>701+</t>
        </is>
      </c>
    </row>
    <row r="590">
      <c r="A590" t="inlineStr">
        <is>
          <t>London School of Economics and Political Science (LSE)</t>
        </is>
      </c>
      <c r="B590" t="inlineStr">
        <is>
          <t>United Kingdom</t>
        </is>
      </c>
      <c r="C590" t="inlineStr"/>
      <c r="D590" t="inlineStr">
        <is>
          <t>Europe</t>
        </is>
      </c>
      <c r="E590" t="inlineStr">
        <is>
          <t>L</t>
        </is>
      </c>
      <c r="F590" t="inlineStr">
        <is>
          <t>FO</t>
        </is>
      </c>
      <c r="G590" t="inlineStr">
        <is>
          <t>VH</t>
        </is>
      </c>
      <c r="H590" t="inlineStr"/>
      <c r="I590" t="inlineStr">
        <is>
          <t>Public</t>
        </is>
      </c>
      <c r="J590" t="inlineStr">
        <is>
          <t>56</t>
        </is>
      </c>
      <c r="K590" t="inlineStr">
        <is>
          <t>50</t>
        </is>
      </c>
      <c r="L590" t="inlineStr"/>
      <c r="M590" t="inlineStr"/>
      <c r="N590" t="inlineStr">
        <is>
          <t>80.5</t>
        </is>
      </c>
      <c r="O590" t="inlineStr"/>
      <c r="P590" t="n">
        <v>80.59999999999999</v>
      </c>
      <c r="Q590" t="inlineStr">
        <is>
          <t>96</t>
        </is>
      </c>
      <c r="R590" t="n">
        <v>99.40000000000001</v>
      </c>
      <c r="S590" t="inlineStr">
        <is>
          <t>20</t>
        </is>
      </c>
      <c r="T590" t="n">
        <v>47.2</v>
      </c>
      <c r="U590" t="inlineStr">
        <is>
          <t>417</t>
        </is>
      </c>
      <c r="V590" t="n">
        <v>64</v>
      </c>
      <c r="W590" t="inlineStr">
        <is>
          <t>256</t>
        </is>
      </c>
      <c r="X590" t="n">
        <v>100</v>
      </c>
      <c r="Y590" t="inlineStr">
        <is>
          <t>41</t>
        </is>
      </c>
      <c r="Z590" t="n">
        <v>100</v>
      </c>
      <c r="AA590" t="inlineStr">
        <is>
          <t>14</t>
        </is>
      </c>
      <c r="AB590" t="n">
        <v>100</v>
      </c>
      <c r="AC590" t="inlineStr">
        <is>
          <t>9</t>
        </is>
      </c>
      <c r="AD590" t="n">
        <v>76.40000000000001</v>
      </c>
      <c r="AE590" t="inlineStr">
        <is>
          <t>417</t>
        </is>
      </c>
      <c r="AF590" t="n">
        <v>99.90000000000001</v>
      </c>
      <c r="AG590" t="inlineStr">
        <is>
          <t>14</t>
        </is>
      </c>
      <c r="AH590" t="n">
        <v>92.7</v>
      </c>
      <c r="AI590" t="inlineStr">
        <is>
          <t>39=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</row>
    <row r="591">
      <c r="A591" t="inlineStr">
        <is>
          <t>London South Bank University</t>
        </is>
      </c>
      <c r="B591" t="inlineStr">
        <is>
          <t>United Kingdom</t>
        </is>
      </c>
      <c r="C591" t="inlineStr">
        <is>
          <t>UK</t>
        </is>
      </c>
      <c r="D591" t="inlineStr">
        <is>
          <t>Europe</t>
        </is>
      </c>
      <c r="E591" t="inlineStr">
        <is>
          <t>L</t>
        </is>
      </c>
      <c r="F591" t="inlineStr">
        <is>
          <t>FO</t>
        </is>
      </c>
      <c r="G591" t="inlineStr">
        <is>
          <t>VH</t>
        </is>
      </c>
      <c r="H591" t="inlineStr">
        <is>
          <t>3</t>
        </is>
      </c>
      <c r="I591" t="inlineStr">
        <is>
          <t>Public</t>
        </is>
      </c>
      <c r="J591" t="inlineStr">
        <is>
          <t>901-950</t>
        </is>
      </c>
      <c r="K591" t="inlineStr">
        <is>
          <t>801-850</t>
        </is>
      </c>
      <c r="L591" t="inlineStr">
        <is>
          <t>851-900</t>
        </is>
      </c>
      <c r="M591" t="inlineStr">
        <is>
          <t>801-1000</t>
        </is>
      </c>
      <c r="N591" t="inlineStr">
        <is>
          <t>-</t>
        </is>
      </c>
      <c r="O591" t="inlineStr">
        <is>
          <t>-</t>
        </is>
      </c>
      <c r="P591" t="n">
        <v>4.9</v>
      </c>
      <c r="Q591" t="inlineStr">
        <is>
          <t>701+</t>
        </is>
      </c>
      <c r="R591" t="n">
        <v>6.3</v>
      </c>
      <c r="S591" t="inlineStr">
        <is>
          <t>701+</t>
        </is>
      </c>
      <c r="T591" t="n">
        <v>13.6</v>
      </c>
      <c r="U591" t="inlineStr">
        <is>
          <t>801+</t>
        </is>
      </c>
      <c r="V591" t="n">
        <v>8.5</v>
      </c>
      <c r="W591" t="inlineStr">
        <is>
          <t>801+</t>
        </is>
      </c>
      <c r="X591" t="n">
        <v>94.09999999999999</v>
      </c>
      <c r="Y591" t="inlineStr">
        <is>
          <t>192</t>
        </is>
      </c>
      <c r="Z591" t="n">
        <v>98.09999999999999</v>
      </c>
      <c r="AA591" t="inlineStr">
        <is>
          <t>87</t>
        </is>
      </c>
      <c r="AB591" t="n">
        <v>98.2</v>
      </c>
      <c r="AC591" t="inlineStr">
        <is>
          <t>75</t>
        </is>
      </c>
      <c r="AD591" t="n">
        <v>47.7</v>
      </c>
      <c r="AE591" t="inlineStr">
        <is>
          <t>801+</t>
        </is>
      </c>
      <c r="AF591" t="n">
        <v>15.2</v>
      </c>
      <c r="AG591" t="inlineStr">
        <is>
          <t>801+</t>
        </is>
      </c>
      <c r="AH591" t="n">
        <v>50.8</v>
      </c>
      <c r="AI591" t="inlineStr">
        <is>
          <t>688=</t>
        </is>
      </c>
      <c r="AJ591" t="inlineStr">
        <is>
          <t>3.5</t>
        </is>
      </c>
      <c r="AK591" t="inlineStr">
        <is>
          <t>601+</t>
        </is>
      </c>
      <c r="AL591" t="inlineStr">
        <is>
          <t>2.9</t>
        </is>
      </c>
      <c r="AM591" t="inlineStr">
        <is>
          <t>601+</t>
        </is>
      </c>
      <c r="AN591" t="inlineStr">
        <is>
          <t>8.3</t>
        </is>
      </c>
      <c r="AO591" t="inlineStr">
        <is>
          <t>701+</t>
        </is>
      </c>
      <c r="AP591" t="inlineStr">
        <is>
          <t>5.6</t>
        </is>
      </c>
      <c r="AQ591" t="inlineStr">
        <is>
          <t>701+</t>
        </is>
      </c>
      <c r="AR591" t="inlineStr">
        <is>
          <t>78.2</t>
        </is>
      </c>
      <c r="AS591" t="inlineStr">
        <is>
          <t>237</t>
        </is>
      </c>
      <c r="AT591" t="inlineStr">
        <is>
          <t>95.9</t>
        </is>
      </c>
      <c r="AU591" t="inlineStr">
        <is>
          <t>83</t>
        </is>
      </c>
      <c r="AV591" t="inlineStr">
        <is>
          <t>2.3</t>
        </is>
      </c>
      <c r="AW591" t="inlineStr">
        <is>
          <t>701+</t>
        </is>
      </c>
      <c r="AX591" t="inlineStr">
        <is>
          <t>11.1</t>
        </is>
      </c>
      <c r="AY591" t="inlineStr">
        <is>
          <t>701+</t>
        </is>
      </c>
      <c r="AZ591" t="inlineStr">
        <is>
          <t>1.1</t>
        </is>
      </c>
      <c r="BA591" t="inlineStr">
        <is>
          <t>701+</t>
        </is>
      </c>
    </row>
    <row r="592">
      <c r="A592" t="inlineStr">
        <is>
          <t>Loughborough University</t>
        </is>
      </c>
      <c r="B592" t="inlineStr">
        <is>
          <t>United Kingdom</t>
        </is>
      </c>
      <c r="C592" t="inlineStr">
        <is>
          <t>UK</t>
        </is>
      </c>
      <c r="D592" t="inlineStr">
        <is>
          <t>Europe</t>
        </is>
      </c>
      <c r="E592" t="inlineStr">
        <is>
          <t>L</t>
        </is>
      </c>
      <c r="F592" t="inlineStr">
        <is>
          <t>CO</t>
        </is>
      </c>
      <c r="G592" t="inlineStr">
        <is>
          <t>VH</t>
        </is>
      </c>
      <c r="H592" t="inlineStr">
        <is>
          <t>4</t>
        </is>
      </c>
      <c r="I592" t="inlineStr">
        <is>
          <t>Public</t>
        </is>
      </c>
      <c r="J592" t="inlineStr">
        <is>
          <t>225</t>
        </is>
      </c>
      <c r="K592" t="inlineStr">
        <is>
          <t>224</t>
        </is>
      </c>
      <c r="L592" t="inlineStr">
        <is>
          <t>212</t>
        </is>
      </c>
      <c r="M592" t="inlineStr">
        <is>
          <t>256=</t>
        </is>
      </c>
      <c r="N592" t="inlineStr">
        <is>
          <t>53.3</t>
        </is>
      </c>
      <c r="O592" t="inlineStr">
        <is>
          <t>44.2</t>
        </is>
      </c>
      <c r="P592" t="n">
        <v>42.8</v>
      </c>
      <c r="Q592" t="inlineStr">
        <is>
          <t>277</t>
        </is>
      </c>
      <c r="R592" t="n">
        <v>64.5</v>
      </c>
      <c r="S592" t="inlineStr">
        <is>
          <t>165</t>
        </is>
      </c>
      <c r="T592" t="n">
        <v>26.9</v>
      </c>
      <c r="U592" t="inlineStr">
        <is>
          <t>699</t>
        </is>
      </c>
      <c r="V592" t="n">
        <v>50.6</v>
      </c>
      <c r="W592" t="inlineStr">
        <is>
          <t>371</t>
        </is>
      </c>
      <c r="X592" t="n">
        <v>94.59999999999999</v>
      </c>
      <c r="Y592" t="inlineStr">
        <is>
          <t>183</t>
        </is>
      </c>
      <c r="Z592" t="n">
        <v>71.09999999999999</v>
      </c>
      <c r="AA592" t="inlineStr">
        <is>
          <t>269</t>
        </is>
      </c>
      <c r="AB592" t="n">
        <v>73.90000000000001</v>
      </c>
      <c r="AC592" t="inlineStr">
        <is>
          <t>242</t>
        </is>
      </c>
      <c r="AD592" t="n">
        <v>81.40000000000001</v>
      </c>
      <c r="AE592" t="inlineStr">
        <is>
          <t>324</t>
        </is>
      </c>
      <c r="AF592" t="n">
        <v>33.2</v>
      </c>
      <c r="AG592" t="inlineStr">
        <is>
          <t>509</t>
        </is>
      </c>
      <c r="AH592" t="n">
        <v>87.90000000000001</v>
      </c>
      <c r="AI592" t="inlineStr">
        <is>
          <t>80=</t>
        </is>
      </c>
      <c r="AJ592" t="inlineStr">
        <is>
          <t>30.5</t>
        </is>
      </c>
      <c r="AK592" t="inlineStr">
        <is>
          <t>283</t>
        </is>
      </c>
      <c r="AL592" t="inlineStr">
        <is>
          <t>66.8</t>
        </is>
      </c>
      <c r="AM592" t="inlineStr">
        <is>
          <t>116</t>
        </is>
      </c>
      <c r="AN592" t="inlineStr">
        <is>
          <t>23.6</t>
        </is>
      </c>
      <c r="AO592" t="inlineStr">
        <is>
          <t>604</t>
        </is>
      </c>
      <c r="AP592" t="inlineStr">
        <is>
          <t>34.6</t>
        </is>
      </c>
      <c r="AQ592" t="inlineStr">
        <is>
          <t>392</t>
        </is>
      </c>
      <c r="AR592" t="inlineStr">
        <is>
          <t>87.3</t>
        </is>
      </c>
      <c r="AS592" t="inlineStr">
        <is>
          <t>198</t>
        </is>
      </c>
      <c r="AT592" t="inlineStr">
        <is>
          <t>63.5</t>
        </is>
      </c>
      <c r="AU592" t="inlineStr">
        <is>
          <t>237</t>
        </is>
      </c>
      <c r="AV592" t="inlineStr">
        <is>
          <t>77.1</t>
        </is>
      </c>
      <c r="AW592" t="inlineStr">
        <is>
          <t>162</t>
        </is>
      </c>
      <c r="AX592" t="inlineStr">
        <is>
          <t>18.8</t>
        </is>
      </c>
      <c r="AY592" t="inlineStr">
        <is>
          <t>446</t>
        </is>
      </c>
      <c r="AZ592" t="inlineStr">
        <is>
          <t>63.4</t>
        </is>
      </c>
      <c r="BA592" t="inlineStr">
        <is>
          <t>231</t>
        </is>
      </c>
    </row>
    <row r="593">
      <c r="A593" t="inlineStr">
        <is>
          <t>Louisiana State University</t>
        </is>
      </c>
      <c r="B593" t="inlineStr">
        <is>
          <t>United States</t>
        </is>
      </c>
      <c r="C593" t="inlineStr">
        <is>
          <t>US</t>
        </is>
      </c>
      <c r="D593" t="inlineStr">
        <is>
          <t>Americas</t>
        </is>
      </c>
      <c r="E593" t="inlineStr">
        <is>
          <t>XL</t>
        </is>
      </c>
      <c r="F593" t="inlineStr">
        <is>
          <t>CO</t>
        </is>
      </c>
      <c r="G593" t="inlineStr">
        <is>
          <t>VH</t>
        </is>
      </c>
      <c r="H593" t="inlineStr">
        <is>
          <t>5</t>
        </is>
      </c>
      <c r="I593" t="inlineStr">
        <is>
          <t>Public</t>
        </is>
      </c>
      <c r="J593" t="inlineStr">
        <is>
          <t>851-900</t>
        </is>
      </c>
      <c r="K593" t="inlineStr">
        <is>
          <t>901-950</t>
        </is>
      </c>
      <c r="L593" t="inlineStr">
        <is>
          <t>801-850</t>
        </is>
      </c>
      <c r="M593" t="inlineStr">
        <is>
          <t>801-1000</t>
        </is>
      </c>
      <c r="N593" t="inlineStr">
        <is>
          <t>-</t>
        </is>
      </c>
      <c r="O593" t="inlineStr">
        <is>
          <t>-</t>
        </is>
      </c>
      <c r="P593" t="n">
        <v>14.1</v>
      </c>
      <c r="Q593" t="inlineStr">
        <is>
          <t>701+</t>
        </is>
      </c>
      <c r="R593" t="n">
        <v>12.9</v>
      </c>
      <c r="S593" t="inlineStr">
        <is>
          <t>701+</t>
        </is>
      </c>
      <c r="T593" t="n">
        <v>9.6</v>
      </c>
      <c r="U593" t="inlineStr">
        <is>
          <t>801+</t>
        </is>
      </c>
      <c r="V593" t="n">
        <v>23.8</v>
      </c>
      <c r="W593" t="inlineStr">
        <is>
          <t>659</t>
        </is>
      </c>
      <c r="X593" t="n">
        <v>22.4</v>
      </c>
      <c r="Y593" t="inlineStr">
        <is>
          <t>682</t>
        </is>
      </c>
      <c r="Z593" t="n">
        <v>6.9</v>
      </c>
      <c r="AA593" t="inlineStr">
        <is>
          <t>801+</t>
        </is>
      </c>
      <c r="AB593" t="n">
        <v>12.5</v>
      </c>
      <c r="AC593" t="inlineStr">
        <is>
          <t>801+</t>
        </is>
      </c>
      <c r="AD593" t="n">
        <v>63.4</v>
      </c>
      <c r="AE593" t="inlineStr">
        <is>
          <t>644</t>
        </is>
      </c>
      <c r="AF593" t="n">
        <v>36.8</v>
      </c>
      <c r="AG593" t="inlineStr">
        <is>
          <t>471</t>
        </is>
      </c>
      <c r="AH593" t="n">
        <v>75.40000000000001</v>
      </c>
      <c r="AI593" t="inlineStr">
        <is>
          <t>228=</t>
        </is>
      </c>
      <c r="AJ593" t="inlineStr">
        <is>
          <t>9.7</t>
        </is>
      </c>
      <c r="AK593" t="inlineStr">
        <is>
          <t>601+</t>
        </is>
      </c>
      <c r="AL593" t="inlineStr">
        <is>
          <t>8.3</t>
        </is>
      </c>
      <c r="AM593" t="inlineStr">
        <is>
          <t>601+</t>
        </is>
      </c>
      <c r="AN593" t="inlineStr">
        <is>
          <t>7.1</t>
        </is>
      </c>
      <c r="AO593" t="inlineStr">
        <is>
          <t>701+</t>
        </is>
      </c>
      <c r="AP593" t="inlineStr">
        <is>
          <t>16.2</t>
        </is>
      </c>
      <c r="AQ593" t="inlineStr">
        <is>
          <t>612</t>
        </is>
      </c>
      <c r="AR593" t="inlineStr">
        <is>
          <t>10.1</t>
        </is>
      </c>
      <c r="AS593" t="inlineStr">
        <is>
          <t>701+</t>
        </is>
      </c>
      <c r="AT593" t="inlineStr">
        <is>
          <t>4.1</t>
        </is>
      </c>
      <c r="AU593" t="inlineStr">
        <is>
          <t>701+</t>
        </is>
      </c>
      <c r="AV593" t="inlineStr">
        <is>
          <t>15.5</t>
        </is>
      </c>
      <c r="AW593" t="inlineStr">
        <is>
          <t>589</t>
        </is>
      </c>
      <c r="AX593" t="inlineStr">
        <is>
          <t>17.2</t>
        </is>
      </c>
      <c r="AY593" t="inlineStr">
        <is>
          <t>487</t>
        </is>
      </c>
      <c r="AZ593" t="inlineStr">
        <is>
          <t>70.7</t>
        </is>
      </c>
      <c r="BA593" t="inlineStr">
        <is>
          <t>200</t>
        </is>
      </c>
    </row>
    <row r="594">
      <c r="A594" t="inlineStr">
        <is>
          <t>Lovely Professional University (LPU)</t>
        </is>
      </c>
      <c r="B594" t="inlineStr">
        <is>
          <t>India</t>
        </is>
      </c>
      <c r="C594" t="inlineStr"/>
      <c r="D594" t="inlineStr">
        <is>
          <t>Asia</t>
        </is>
      </c>
      <c r="E594" t="inlineStr">
        <is>
          <t>XL</t>
        </is>
      </c>
      <c r="F594" t="inlineStr">
        <is>
          <t>CO</t>
        </is>
      </c>
      <c r="G594" t="inlineStr">
        <is>
          <t>VH</t>
        </is>
      </c>
      <c r="H594" t="inlineStr"/>
      <c r="I594" t="inlineStr">
        <is>
          <t>Private not for Profit</t>
        </is>
      </c>
      <c r="J594" t="inlineStr">
        <is>
          <t>901-950</t>
        </is>
      </c>
      <c r="K594" t="inlineStr"/>
      <c r="L594" t="inlineStr"/>
      <c r="M594" t="inlineStr"/>
      <c r="N594" t="inlineStr">
        <is>
          <t>-</t>
        </is>
      </c>
      <c r="O594" t="inlineStr"/>
      <c r="P594" t="n">
        <v>20</v>
      </c>
      <c r="Q594" t="inlineStr">
        <is>
          <t>615</t>
        </is>
      </c>
      <c r="R594" t="n">
        <v>27.3</v>
      </c>
      <c r="S594" t="inlineStr">
        <is>
          <t>504</t>
        </is>
      </c>
      <c r="T594" t="n">
        <v>17.1</v>
      </c>
      <c r="U594" t="inlineStr">
        <is>
          <t>801+</t>
        </is>
      </c>
      <c r="V594" t="n">
        <v>10.9</v>
      </c>
      <c r="W594" t="inlineStr">
        <is>
          <t>801+</t>
        </is>
      </c>
      <c r="X594" t="n">
        <v>14</v>
      </c>
      <c r="Y594" t="inlineStr">
        <is>
          <t>801+</t>
        </is>
      </c>
      <c r="Z594" t="n">
        <v>7</v>
      </c>
      <c r="AA594" t="inlineStr">
        <is>
          <t>801+</t>
        </is>
      </c>
      <c r="AB594" t="n">
        <v>11.5</v>
      </c>
      <c r="AC594" t="inlineStr">
        <is>
          <t>801+</t>
        </is>
      </c>
      <c r="AD594" t="n">
        <v>73.7</v>
      </c>
      <c r="AE594" t="inlineStr">
        <is>
          <t>477</t>
        </is>
      </c>
      <c r="AF594" t="n">
        <v>1.7</v>
      </c>
      <c r="AG594" t="inlineStr">
        <is>
          <t>801+</t>
        </is>
      </c>
      <c r="AH594" t="n">
        <v>49.4</v>
      </c>
      <c r="AI594" t="inlineStr">
        <is>
          <t>719=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</row>
    <row r="595">
      <c r="A595" t="inlineStr">
        <is>
          <t>Loyola University Chicago</t>
        </is>
      </c>
      <c r="B595" t="inlineStr">
        <is>
          <t>United States</t>
        </is>
      </c>
      <c r="C595" t="inlineStr">
        <is>
          <t>US</t>
        </is>
      </c>
      <c r="D595" t="inlineStr">
        <is>
          <t>Americas</t>
        </is>
      </c>
      <c r="E595" t="inlineStr">
        <is>
          <t>L</t>
        </is>
      </c>
      <c r="F595" t="inlineStr">
        <is>
          <t>FC</t>
        </is>
      </c>
      <c r="G595" t="inlineStr">
        <is>
          <t>HI</t>
        </is>
      </c>
      <c r="H595" t="inlineStr">
        <is>
          <t>5</t>
        </is>
      </c>
      <c r="I595" t="inlineStr">
        <is>
          <t>Private not for Profit</t>
        </is>
      </c>
      <c r="J595" t="inlineStr">
        <is>
          <t>1001-1200</t>
        </is>
      </c>
      <c r="K595" t="inlineStr">
        <is>
          <t>1001-1200</t>
        </is>
      </c>
      <c r="L595" t="inlineStr">
        <is>
          <t>901-950</t>
        </is>
      </c>
      <c r="M595" t="inlineStr">
        <is>
          <t>801-1000</t>
        </is>
      </c>
      <c r="N595" t="inlineStr">
        <is>
          <t>-</t>
        </is>
      </c>
      <c r="O595" t="inlineStr">
        <is>
          <t>-</t>
        </is>
      </c>
      <c r="P595" t="n">
        <v>12.2</v>
      </c>
      <c r="Q595" t="inlineStr">
        <is>
          <t>701+</t>
        </is>
      </c>
      <c r="R595" t="n">
        <v>21.2</v>
      </c>
      <c r="S595" t="inlineStr">
        <is>
          <t>621</t>
        </is>
      </c>
      <c r="T595" t="n">
        <v>30.5</v>
      </c>
      <c r="U595" t="inlineStr">
        <is>
          <t>624</t>
        </is>
      </c>
      <c r="V595" t="n">
        <v>12.6</v>
      </c>
      <c r="W595" t="inlineStr">
        <is>
          <t>801+</t>
        </is>
      </c>
      <c r="X595" t="n">
        <v>9.300000000000001</v>
      </c>
      <c r="Y595" t="inlineStr">
        <is>
          <t>801+</t>
        </is>
      </c>
      <c r="Z595" t="n">
        <v>5</v>
      </c>
      <c r="AA595" t="inlineStr">
        <is>
          <t>801+</t>
        </is>
      </c>
      <c r="AB595" t="n">
        <v>4</v>
      </c>
      <c r="AC595" t="inlineStr">
        <is>
          <t>801+</t>
        </is>
      </c>
      <c r="AD595" t="n">
        <v>36.2</v>
      </c>
      <c r="AE595" t="inlineStr">
        <is>
          <t>801+</t>
        </is>
      </c>
      <c r="AF595" t="n">
        <v>24.1</v>
      </c>
      <c r="AG595" t="inlineStr">
        <is>
          <t>656</t>
        </is>
      </c>
      <c r="AH595" t="n">
        <v>33.5</v>
      </c>
      <c r="AI595" t="inlineStr">
        <is>
          <t>801+</t>
        </is>
      </c>
      <c r="AJ595" t="inlineStr">
        <is>
          <t>8.7</t>
        </is>
      </c>
      <c r="AK595" t="inlineStr">
        <is>
          <t>601+</t>
        </is>
      </c>
      <c r="AL595" t="inlineStr">
        <is>
          <t>29.6</t>
        </is>
      </c>
      <c r="AM595" t="inlineStr">
        <is>
          <t>330</t>
        </is>
      </c>
      <c r="AN595" t="inlineStr">
        <is>
          <t>21.3</t>
        </is>
      </c>
      <c r="AO595" t="inlineStr">
        <is>
          <t>640</t>
        </is>
      </c>
      <c r="AP595" t="inlineStr">
        <is>
          <t>8.0</t>
        </is>
      </c>
      <c r="AQ595" t="inlineStr">
        <is>
          <t>701+</t>
        </is>
      </c>
      <c r="AR595" t="inlineStr">
        <is>
          <t>7.4</t>
        </is>
      </c>
      <c r="AS595" t="inlineStr">
        <is>
          <t>701+</t>
        </is>
      </c>
      <c r="AT595" t="inlineStr">
        <is>
          <t>3.0</t>
        </is>
      </c>
      <c r="AU595" t="inlineStr">
        <is>
          <t>701+</t>
        </is>
      </c>
      <c r="AV595" t="inlineStr">
        <is>
          <t>1.6</t>
        </is>
      </c>
      <c r="AW595" t="inlineStr">
        <is>
          <t>701+</t>
        </is>
      </c>
      <c r="AX595" t="inlineStr">
        <is>
          <t>13.1</t>
        </is>
      </c>
      <c r="AY595" t="inlineStr">
        <is>
          <t>659</t>
        </is>
      </c>
      <c r="AZ595" t="inlineStr">
        <is>
          <t>2.5</t>
        </is>
      </c>
      <c r="BA595" t="inlineStr">
        <is>
          <t>701+</t>
        </is>
      </c>
    </row>
    <row r="596">
      <c r="A596" t="inlineStr">
        <is>
          <t>Lublin University of Technology</t>
        </is>
      </c>
      <c r="B596" t="inlineStr">
        <is>
          <t>Poland</t>
        </is>
      </c>
      <c r="C596" t="inlineStr"/>
      <c r="D596" t="inlineStr">
        <is>
          <t>Europe</t>
        </is>
      </c>
      <c r="E596" t="inlineStr">
        <is>
          <t>M</t>
        </is>
      </c>
      <c r="F596" t="inlineStr">
        <is>
          <t>FO</t>
        </is>
      </c>
      <c r="G596" t="inlineStr">
        <is>
          <t>VH</t>
        </is>
      </c>
      <c r="H596" t="inlineStr"/>
      <c r="I596" t="inlineStr">
        <is>
          <t>Public</t>
        </is>
      </c>
      <c r="J596" t="inlineStr">
        <is>
          <t>1401+</t>
        </is>
      </c>
      <c r="K596" t="inlineStr">
        <is>
          <t>1201-1400</t>
        </is>
      </c>
      <c r="L596" t="inlineStr"/>
      <c r="M596" t="inlineStr"/>
      <c r="N596" t="inlineStr">
        <is>
          <t>-</t>
        </is>
      </c>
      <c r="O596" t="inlineStr"/>
      <c r="P596" t="n">
        <v>6.9</v>
      </c>
      <c r="Q596" t="inlineStr">
        <is>
          <t>701+</t>
        </is>
      </c>
      <c r="R596" t="n">
        <v>3</v>
      </c>
      <c r="S596" t="inlineStr">
        <is>
          <t>701+</t>
        </is>
      </c>
      <c r="T596" t="n">
        <v>28.1</v>
      </c>
      <c r="U596" t="inlineStr">
        <is>
          <t>680</t>
        </is>
      </c>
      <c r="V596" t="n">
        <v>8.9</v>
      </c>
      <c r="W596" t="inlineStr">
        <is>
          <t>801+</t>
        </is>
      </c>
      <c r="X596" t="n">
        <v>2.5</v>
      </c>
      <c r="Y596" t="inlineStr">
        <is>
          <t>801+</t>
        </is>
      </c>
      <c r="Z596" t="n">
        <v>29.5</v>
      </c>
      <c r="AA596" t="inlineStr">
        <is>
          <t>595</t>
        </is>
      </c>
      <c r="AB596" t="n">
        <v>27.5</v>
      </c>
      <c r="AC596" t="inlineStr">
        <is>
          <t>645</t>
        </is>
      </c>
      <c r="AD596" t="n">
        <v>14.4</v>
      </c>
      <c r="AE596" t="inlineStr">
        <is>
          <t>801+</t>
        </is>
      </c>
      <c r="AF596" t="n">
        <v>3.9</v>
      </c>
      <c r="AG596" t="inlineStr">
        <is>
          <t>801+</t>
        </is>
      </c>
      <c r="AH596" t="n">
        <v>17.7</v>
      </c>
      <c r="AI596" t="inlineStr">
        <is>
          <t>801+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</row>
    <row r="597">
      <c r="A597" t="inlineStr">
        <is>
          <t>Lucian Blaga University of Sibiu</t>
        </is>
      </c>
      <c r="B597" t="inlineStr">
        <is>
          <t>Romania</t>
        </is>
      </c>
      <c r="C597" t="inlineStr">
        <is>
          <t>RO</t>
        </is>
      </c>
      <c r="D597" t="inlineStr"/>
      <c r="E597" t="inlineStr">
        <is>
          <t>L</t>
        </is>
      </c>
      <c r="F597" t="inlineStr">
        <is>
          <t>FC</t>
        </is>
      </c>
      <c r="G597" t="inlineStr">
        <is>
          <t>MD</t>
        </is>
      </c>
      <c r="H597" t="inlineStr">
        <is>
          <t>3</t>
        </is>
      </c>
      <c r="I597" t="inlineStr">
        <is>
          <t>A</t>
        </is>
      </c>
      <c r="J597" t="inlineStr"/>
      <c r="K597" t="inlineStr"/>
      <c r="L597" t="inlineStr">
        <is>
          <t>1201-1400</t>
        </is>
      </c>
      <c r="M597" t="inlineStr">
        <is>
          <t>1201-1400</t>
        </is>
      </c>
      <c r="N597" t="inlineStr"/>
      <c r="O597" t="inlineStr">
        <is>
          <t>-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3.7</t>
        </is>
      </c>
      <c r="AK597" t="inlineStr">
        <is>
          <t>601+</t>
        </is>
      </c>
      <c r="AL597" t="inlineStr">
        <is>
          <t>2.5</t>
        </is>
      </c>
      <c r="AM597" t="inlineStr">
        <is>
          <t>601+</t>
        </is>
      </c>
      <c r="AN597" t="inlineStr">
        <is>
          <t>8.1</t>
        </is>
      </c>
      <c r="AO597" t="inlineStr">
        <is>
          <t>701+</t>
        </is>
      </c>
      <c r="AP597" t="inlineStr">
        <is>
          <t>1.8</t>
        </is>
      </c>
      <c r="AQ597" t="inlineStr">
        <is>
          <t>701+</t>
        </is>
      </c>
      <c r="AR597" t="inlineStr">
        <is>
          <t>12.5</t>
        </is>
      </c>
      <c r="AS597" t="inlineStr">
        <is>
          <t>701+</t>
        </is>
      </c>
      <c r="AT597" t="inlineStr">
        <is>
          <t>3.1</t>
        </is>
      </c>
      <c r="AU597" t="inlineStr">
        <is>
          <t>701+</t>
        </is>
      </c>
      <c r="AV597" t="inlineStr">
        <is>
          <t>49.8</t>
        </is>
      </c>
      <c r="AW597" t="inlineStr">
        <is>
          <t>313</t>
        </is>
      </c>
      <c r="AX597" t="inlineStr">
        <is>
          <t>9</t>
        </is>
      </c>
      <c r="AY597" t="inlineStr">
        <is>
          <t>701+</t>
        </is>
      </c>
      <c r="AZ597" t="inlineStr">
        <is>
          <t>1.8</t>
        </is>
      </c>
      <c r="BA597" t="inlineStr">
        <is>
          <t>701+</t>
        </is>
      </c>
    </row>
    <row r="598">
      <c r="A598" t="inlineStr">
        <is>
          <t>Ludwig-Maximilians-Universität München</t>
        </is>
      </c>
      <c r="B598" t="inlineStr">
        <is>
          <t>Germany</t>
        </is>
      </c>
      <c r="C598" t="inlineStr">
        <is>
          <t>DE</t>
        </is>
      </c>
      <c r="D598" t="inlineStr">
        <is>
          <t>Europe</t>
        </is>
      </c>
      <c r="E598" t="inlineStr">
        <is>
          <t>XL</t>
        </is>
      </c>
      <c r="F598" t="inlineStr">
        <is>
          <t>FC</t>
        </is>
      </c>
      <c r="G598" t="inlineStr">
        <is>
          <t>VH</t>
        </is>
      </c>
      <c r="H598" t="inlineStr">
        <is>
          <t>5</t>
        </is>
      </c>
      <c r="I598" t="inlineStr">
        <is>
          <t>Public</t>
        </is>
      </c>
      <c r="J598" t="inlineStr">
        <is>
          <t>58</t>
        </is>
      </c>
      <c r="K598" t="inlineStr">
        <is>
          <t>59</t>
        </is>
      </c>
      <c r="L598" t="inlineStr">
        <is>
          <t>54</t>
        </is>
      </c>
      <c r="M598" t="inlineStr">
        <is>
          <t>59</t>
        </is>
      </c>
      <c r="N598" t="inlineStr">
        <is>
          <t>80.1</t>
        </is>
      </c>
      <c r="O598" t="inlineStr">
        <is>
          <t>72.5</t>
        </is>
      </c>
      <c r="P598" t="n">
        <v>97.09999999999999</v>
      </c>
      <c r="Q598" t="inlineStr">
        <is>
          <t>41</t>
        </is>
      </c>
      <c r="R598" t="n">
        <v>95.5</v>
      </c>
      <c r="S598" t="inlineStr">
        <is>
          <t>47</t>
        </is>
      </c>
      <c r="T598" t="n">
        <v>41</v>
      </c>
      <c r="U598" t="inlineStr">
        <is>
          <t>493</t>
        </is>
      </c>
      <c r="V598" t="n">
        <v>62.3</v>
      </c>
      <c r="W598" t="inlineStr">
        <is>
          <t>271</t>
        </is>
      </c>
      <c r="X598" t="n">
        <v>80.3</v>
      </c>
      <c r="Y598" t="inlineStr">
        <is>
          <t>296</t>
        </is>
      </c>
      <c r="Z598" t="n">
        <v>53.2</v>
      </c>
      <c r="AA598" t="inlineStr">
        <is>
          <t>387</t>
        </is>
      </c>
      <c r="AB598" t="n">
        <v>57.6</v>
      </c>
      <c r="AC598" t="inlineStr">
        <is>
          <t>354</t>
        </is>
      </c>
      <c r="AD598" t="n">
        <v>95.5</v>
      </c>
      <c r="AE598" t="inlineStr">
        <is>
          <t>72</t>
        </is>
      </c>
      <c r="AF598" t="n">
        <v>76.8</v>
      </c>
      <c r="AG598" t="inlineStr">
        <is>
          <t>172</t>
        </is>
      </c>
      <c r="AH598" t="n">
        <v>87</v>
      </c>
      <c r="AI598" t="inlineStr">
        <is>
          <t>89</t>
        </is>
      </c>
      <c r="AJ598" t="inlineStr">
        <is>
          <t>92.7</t>
        </is>
      </c>
      <c r="AK598" t="inlineStr">
        <is>
          <t>40</t>
        </is>
      </c>
      <c r="AL598" t="inlineStr">
        <is>
          <t>83.5</t>
        </is>
      </c>
      <c r="AM598" t="inlineStr">
        <is>
          <t>63</t>
        </is>
      </c>
      <c r="AN598" t="inlineStr">
        <is>
          <t>46.7</t>
        </is>
      </c>
      <c r="AO598" t="inlineStr">
        <is>
          <t>335</t>
        </is>
      </c>
      <c r="AP598" t="inlineStr">
        <is>
          <t>51.4</t>
        </is>
      </c>
      <c r="AQ598" t="inlineStr">
        <is>
          <t>254</t>
        </is>
      </c>
      <c r="AR598" t="inlineStr">
        <is>
          <t>73.3</t>
        </is>
      </c>
      <c r="AS598" t="inlineStr">
        <is>
          <t>260</t>
        </is>
      </c>
      <c r="AT598" t="inlineStr">
        <is>
          <t>37.7</t>
        </is>
      </c>
      <c r="AU598" t="inlineStr">
        <is>
          <t>362</t>
        </is>
      </c>
      <c r="AV598" t="inlineStr">
        <is>
          <t>94.4</t>
        </is>
      </c>
      <c r="AW598" t="inlineStr">
        <is>
          <t>57</t>
        </is>
      </c>
      <c r="AX598" t="inlineStr">
        <is>
          <t>48.5</t>
        </is>
      </c>
      <c r="AY598" t="inlineStr">
        <is>
          <t>140</t>
        </is>
      </c>
      <c r="AZ598" t="inlineStr">
        <is>
          <t>77.3</t>
        </is>
      </c>
      <c r="BA598" t="inlineStr">
        <is>
          <t>167=</t>
        </is>
      </c>
    </row>
    <row r="599">
      <c r="A599" t="inlineStr">
        <is>
          <t>Lund University</t>
        </is>
      </c>
      <c r="B599" t="inlineStr">
        <is>
          <t>Sweden</t>
        </is>
      </c>
      <c r="C599" t="inlineStr">
        <is>
          <t>SE</t>
        </is>
      </c>
      <c r="D599" t="inlineStr">
        <is>
          <t>Europe</t>
        </is>
      </c>
      <c r="E599" t="inlineStr">
        <is>
          <t>L</t>
        </is>
      </c>
      <c r="F599" t="inlineStr">
        <is>
          <t>FC</t>
        </is>
      </c>
      <c r="G599" t="inlineStr">
        <is>
          <t>VH</t>
        </is>
      </c>
      <c r="H599" t="inlineStr">
        <is>
          <t>5</t>
        </is>
      </c>
      <c r="I599" t="inlineStr">
        <is>
          <t>Public</t>
        </is>
      </c>
      <c r="J599" t="inlineStr">
        <is>
          <t>72</t>
        </is>
      </c>
      <c r="K599" t="inlineStr">
        <is>
          <t>75</t>
        </is>
      </c>
      <c r="L599">
        <f>85</f>
        <v/>
      </c>
      <c r="M599" t="inlineStr">
        <is>
          <t>95</t>
        </is>
      </c>
      <c r="N599" t="inlineStr">
        <is>
          <t>75.7</t>
        </is>
      </c>
      <c r="O599" t="inlineStr">
        <is>
          <t>62.8</t>
        </is>
      </c>
      <c r="P599" t="n">
        <v>80.09999999999999</v>
      </c>
      <c r="Q599" t="inlineStr">
        <is>
          <t>99</t>
        </is>
      </c>
      <c r="R599" t="n">
        <v>64.09999999999999</v>
      </c>
      <c r="S599" t="inlineStr">
        <is>
          <t>167</t>
        </is>
      </c>
      <c r="T599" t="n">
        <v>68.09999999999999</v>
      </c>
      <c r="U599" t="inlineStr">
        <is>
          <t>246</t>
        </is>
      </c>
      <c r="V599" t="n">
        <v>56.6</v>
      </c>
      <c r="W599" t="inlineStr">
        <is>
          <t>312</t>
        </is>
      </c>
      <c r="X599" t="n">
        <v>98.8</v>
      </c>
      <c r="Y599" t="inlineStr">
        <is>
          <t>134</t>
        </is>
      </c>
      <c r="Z599" t="n">
        <v>82</v>
      </c>
      <c r="AA599" t="inlineStr">
        <is>
          <t>213</t>
        </is>
      </c>
      <c r="AB599" t="n">
        <v>83.7</v>
      </c>
      <c r="AC599" t="inlineStr">
        <is>
          <t>181</t>
        </is>
      </c>
      <c r="AD599" t="n">
        <v>97.09999999999999</v>
      </c>
      <c r="AE599" t="inlineStr">
        <is>
          <t>35</t>
        </is>
      </c>
      <c r="AF599" t="n">
        <v>96.09999999999999</v>
      </c>
      <c r="AG599" t="inlineStr">
        <is>
          <t>65</t>
        </is>
      </c>
      <c r="AH599" t="n">
        <v>98.8</v>
      </c>
      <c r="AI599" t="inlineStr">
        <is>
          <t>3=</t>
        </is>
      </c>
      <c r="AJ599" t="inlineStr">
        <is>
          <t>69.3</t>
        </is>
      </c>
      <c r="AK599" t="inlineStr">
        <is>
          <t>93</t>
        </is>
      </c>
      <c r="AL599" t="inlineStr">
        <is>
          <t>47.5</t>
        </is>
      </c>
      <c r="AM599" t="inlineStr">
        <is>
          <t>185</t>
        </is>
      </c>
      <c r="AN599" t="inlineStr">
        <is>
          <t>50.2</t>
        </is>
      </c>
      <c r="AO599" t="inlineStr">
        <is>
          <t>310</t>
        </is>
      </c>
      <c r="AP599" t="inlineStr">
        <is>
          <t>37.7</t>
        </is>
      </c>
      <c r="AQ599" t="inlineStr">
        <is>
          <t>373</t>
        </is>
      </c>
      <c r="AR599" t="inlineStr">
        <is>
          <t>98.8</t>
        </is>
      </c>
      <c r="AS599" t="inlineStr">
        <is>
          <t>102</t>
        </is>
      </c>
      <c r="AT599" t="inlineStr">
        <is>
          <t>77.4</t>
        </is>
      </c>
      <c r="AU599" t="inlineStr">
        <is>
          <t>173</t>
        </is>
      </c>
      <c r="AV599" t="inlineStr">
        <is>
          <t>95.2</t>
        </is>
      </c>
      <c r="AW599" t="inlineStr">
        <is>
          <t>52</t>
        </is>
      </c>
      <c r="AX599" t="inlineStr">
        <is>
          <t>66</t>
        </is>
      </c>
      <c r="AY599" t="inlineStr">
        <is>
          <t>83</t>
        </is>
      </c>
      <c r="AZ599" t="inlineStr">
        <is>
          <t>99.1</t>
        </is>
      </c>
      <c r="BA599" t="inlineStr">
        <is>
          <t>14</t>
        </is>
      </c>
    </row>
    <row r="600">
      <c r="A600" t="inlineStr">
        <is>
          <t>Lviv Polytechnic National University</t>
        </is>
      </c>
      <c r="B600" t="inlineStr">
        <is>
          <t>Ukraine</t>
        </is>
      </c>
      <c r="C600" t="inlineStr">
        <is>
          <t>UA</t>
        </is>
      </c>
      <c r="D600" t="inlineStr"/>
      <c r="E600" t="inlineStr">
        <is>
          <t>L</t>
        </is>
      </c>
      <c r="F600" t="inlineStr">
        <is>
          <t>CO</t>
        </is>
      </c>
      <c r="G600" t="inlineStr">
        <is>
          <t>VH</t>
        </is>
      </c>
      <c r="H600" t="inlineStr">
        <is>
          <t>5</t>
        </is>
      </c>
      <c r="I600" t="inlineStr">
        <is>
          <t>A</t>
        </is>
      </c>
      <c r="J600" t="inlineStr"/>
      <c r="K600" t="inlineStr"/>
      <c r="L600" t="inlineStr">
        <is>
          <t>951-1000</t>
        </is>
      </c>
      <c r="M600" t="inlineStr">
        <is>
          <t>801-1000</t>
        </is>
      </c>
      <c r="N600" t="inlineStr"/>
      <c r="O600" t="inlineStr">
        <is>
          <t>-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8.1</t>
        </is>
      </c>
      <c r="AK600" t="inlineStr">
        <is>
          <t>601+</t>
        </is>
      </c>
      <c r="AL600" t="inlineStr">
        <is>
          <t>14.8</t>
        </is>
      </c>
      <c r="AM600" t="inlineStr">
        <is>
          <t>553</t>
        </is>
      </c>
      <c r="AN600" t="inlineStr">
        <is>
          <t>37.2</t>
        </is>
      </c>
      <c r="AO600" t="inlineStr">
        <is>
          <t>423</t>
        </is>
      </c>
      <c r="AP600" t="inlineStr">
        <is>
          <t>1.8</t>
        </is>
      </c>
      <c r="AQ600" t="inlineStr">
        <is>
          <t>701+</t>
        </is>
      </c>
      <c r="AR600" t="inlineStr">
        <is>
          <t>1.9</t>
        </is>
      </c>
      <c r="AS600" t="inlineStr">
        <is>
          <t>701+</t>
        </is>
      </c>
      <c r="AT600" t="inlineStr">
        <is>
          <t>1.6</t>
        </is>
      </c>
      <c r="AU600" t="inlineStr">
        <is>
          <t>701+</t>
        </is>
      </c>
      <c r="AV600" t="inlineStr">
        <is>
          <t>1.1</t>
        </is>
      </c>
      <c r="AW600" t="inlineStr">
        <is>
          <t>701+</t>
        </is>
      </c>
      <c r="AX600" t="inlineStr">
        <is>
          <t>14</t>
        </is>
      </c>
      <c r="AY600" t="inlineStr">
        <is>
          <t>608</t>
        </is>
      </c>
      <c r="AZ600" t="inlineStr">
        <is>
          <t>22.7</t>
        </is>
      </c>
      <c r="BA600" t="inlineStr">
        <is>
          <t>520</t>
        </is>
      </c>
    </row>
    <row r="601">
      <c r="A601" t="inlineStr">
        <is>
          <t>M.Kh. Dulaty Taraz Regional University</t>
        </is>
      </c>
      <c r="B601" t="inlineStr">
        <is>
          <t>Kazakhstan</t>
        </is>
      </c>
      <c r="C601" t="inlineStr">
        <is>
          <t>KZ</t>
        </is>
      </c>
      <c r="D601" t="inlineStr"/>
      <c r="E601" t="inlineStr">
        <is>
          <t>L</t>
        </is>
      </c>
      <c r="F601" t="inlineStr">
        <is>
          <t>CO</t>
        </is>
      </c>
      <c r="G601" t="inlineStr">
        <is>
          <t>MD</t>
        </is>
      </c>
      <c r="H601" t="inlineStr">
        <is>
          <t>1</t>
        </is>
      </c>
      <c r="I601" t="inlineStr">
        <is>
          <t>A</t>
        </is>
      </c>
      <c r="J601" t="inlineStr"/>
      <c r="K601" t="inlineStr"/>
      <c r="L601" t="inlineStr">
        <is>
          <t>1201-1400</t>
        </is>
      </c>
      <c r="M601" t="inlineStr"/>
      <c r="N601" t="inlineStr"/>
      <c r="O601" t="inlineStr">
        <is>
          <t>-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6.6</t>
        </is>
      </c>
      <c r="AK601" t="inlineStr">
        <is>
          <t>601+</t>
        </is>
      </c>
      <c r="AL601" t="inlineStr">
        <is>
          <t>2.6</t>
        </is>
      </c>
      <c r="AM601" t="inlineStr">
        <is>
          <t>601+</t>
        </is>
      </c>
      <c r="AN601" t="inlineStr">
        <is>
          <t>10.8</t>
        </is>
      </c>
      <c r="AO601" t="inlineStr">
        <is>
          <t>701+</t>
        </is>
      </c>
      <c r="AP601" t="inlineStr">
        <is>
          <t>1.0</t>
        </is>
      </c>
      <c r="AQ601" t="inlineStr">
        <is>
          <t>701+</t>
        </is>
      </c>
      <c r="AR601" t="inlineStr"/>
      <c r="AS601" t="inlineStr"/>
      <c r="AT601" t="inlineStr">
        <is>
          <t>20.5</t>
        </is>
      </c>
      <c r="AU601" t="inlineStr">
        <is>
          <t>540</t>
        </is>
      </c>
      <c r="AV601" t="inlineStr">
        <is>
          <t>1.0</t>
        </is>
      </c>
      <c r="AW601" t="inlineStr">
        <is>
          <t>701+</t>
        </is>
      </c>
      <c r="AX601" t="inlineStr">
        <is>
          <t>9.9</t>
        </is>
      </c>
      <c r="AY601" t="inlineStr">
        <is>
          <t>701+</t>
        </is>
      </c>
      <c r="AZ601" t="inlineStr">
        <is>
          <t>1</t>
        </is>
      </c>
      <c r="BA601" t="inlineStr">
        <is>
          <t>701+</t>
        </is>
      </c>
    </row>
    <row r="602">
      <c r="A602" t="inlineStr">
        <is>
          <t>M. Kozybayev North Kazakhstan University</t>
        </is>
      </c>
      <c r="B602" t="inlineStr">
        <is>
          <t>Kazakhstan</t>
        </is>
      </c>
      <c r="C602" t="inlineStr"/>
      <c r="D602" t="inlineStr">
        <is>
          <t>Asia</t>
        </is>
      </c>
      <c r="E602" t="inlineStr">
        <is>
          <t>M</t>
        </is>
      </c>
      <c r="F602" t="inlineStr">
        <is>
          <t>CO</t>
        </is>
      </c>
      <c r="G602" t="inlineStr">
        <is>
          <t>MD</t>
        </is>
      </c>
      <c r="H602" t="inlineStr"/>
      <c r="I602" t="inlineStr">
        <is>
          <t>Public</t>
        </is>
      </c>
      <c r="J602" t="inlineStr">
        <is>
          <t>1401+</t>
        </is>
      </c>
      <c r="K602" t="inlineStr"/>
      <c r="L602" t="inlineStr"/>
      <c r="M602" t="inlineStr"/>
      <c r="N602" t="inlineStr">
        <is>
          <t>-</t>
        </is>
      </c>
      <c r="O602" t="inlineStr"/>
      <c r="P602" t="n">
        <v>6.8</v>
      </c>
      <c r="Q602" t="inlineStr">
        <is>
          <t>701+</t>
        </is>
      </c>
      <c r="R602" t="n">
        <v>12.5</v>
      </c>
      <c r="S602" t="inlineStr">
        <is>
          <t>701+</t>
        </is>
      </c>
      <c r="T602" t="n">
        <v>33.4</v>
      </c>
      <c r="U602" t="inlineStr">
        <is>
          <t>582</t>
        </is>
      </c>
      <c r="V602" t="n">
        <v>1.3</v>
      </c>
      <c r="W602" t="inlineStr">
        <is>
          <t>801+</t>
        </is>
      </c>
      <c r="X602" t="n">
        <v>5.4</v>
      </c>
      <c r="Y602" t="inlineStr">
        <is>
          <t>801+</t>
        </is>
      </c>
      <c r="Z602" t="n">
        <v>8</v>
      </c>
      <c r="AA602" t="inlineStr">
        <is>
          <t>801+</t>
        </is>
      </c>
      <c r="AB602" t="n">
        <v>11.2</v>
      </c>
      <c r="AC602" t="inlineStr">
        <is>
          <t>801+</t>
        </is>
      </c>
      <c r="AD602" t="n">
        <v>3.8</v>
      </c>
      <c r="AE602" t="inlineStr">
        <is>
          <t>801+</t>
        </is>
      </c>
      <c r="AF602" t="n">
        <v>4.1</v>
      </c>
      <c r="AG602" t="inlineStr">
        <is>
          <t>801+</t>
        </is>
      </c>
      <c r="AH602" t="n">
        <v>24.1</v>
      </c>
      <c r="AI602" t="inlineStr">
        <is>
          <t>801+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</row>
    <row r="603">
      <c r="A603" t="inlineStr">
        <is>
          <t>Maastricht University</t>
        </is>
      </c>
      <c r="B603" t="inlineStr">
        <is>
          <t>Netherlands</t>
        </is>
      </c>
      <c r="C603" t="inlineStr">
        <is>
          <t>NL</t>
        </is>
      </c>
      <c r="D603" t="inlineStr">
        <is>
          <t>Europe</t>
        </is>
      </c>
      <c r="E603" t="inlineStr">
        <is>
          <t>L</t>
        </is>
      </c>
      <c r="F603" t="inlineStr">
        <is>
          <t>FO</t>
        </is>
      </c>
      <c r="G603" t="inlineStr">
        <is>
          <t>VH</t>
        </is>
      </c>
      <c r="H603" t="inlineStr">
        <is>
          <t>3</t>
        </is>
      </c>
      <c r="I603" t="inlineStr">
        <is>
          <t>Public</t>
        </is>
      </c>
      <c r="J603" t="inlineStr">
        <is>
          <t>239</t>
        </is>
      </c>
      <c r="K603" t="inlineStr">
        <is>
          <t>230</t>
        </is>
      </c>
      <c r="L603">
        <f>256</f>
        <v/>
      </c>
      <c r="M603" t="inlineStr">
        <is>
          <t>278</t>
        </is>
      </c>
      <c r="N603" t="inlineStr">
        <is>
          <t>51.4</t>
        </is>
      </c>
      <c r="O603" t="inlineStr">
        <is>
          <t>38.7</t>
        </is>
      </c>
      <c r="P603" t="n">
        <v>32.8</v>
      </c>
      <c r="Q603" t="inlineStr">
        <is>
          <t>373</t>
        </is>
      </c>
      <c r="R603" t="n">
        <v>33.7</v>
      </c>
      <c r="S603" t="inlineStr">
        <is>
          <t>425</t>
        </is>
      </c>
      <c r="T603" t="n">
        <v>18.6</v>
      </c>
      <c r="U603" t="inlineStr">
        <is>
          <t>801+</t>
        </is>
      </c>
      <c r="V603" t="n">
        <v>71.7</v>
      </c>
      <c r="W603" t="inlineStr">
        <is>
          <t>203</t>
        </is>
      </c>
      <c r="X603" t="n">
        <v>99.90000000000001</v>
      </c>
      <c r="Y603" t="inlineStr">
        <is>
          <t>103</t>
        </is>
      </c>
      <c r="Z603" t="n">
        <v>100</v>
      </c>
      <c r="AA603" t="inlineStr">
        <is>
          <t>21</t>
        </is>
      </c>
      <c r="AB603" t="n">
        <v>100</v>
      </c>
      <c r="AC603" t="inlineStr">
        <is>
          <t>14</t>
        </is>
      </c>
      <c r="AD603" t="n">
        <v>85.59999999999999</v>
      </c>
      <c r="AE603" t="inlineStr">
        <is>
          <t>243</t>
        </is>
      </c>
      <c r="AF603" t="n">
        <v>49.6</v>
      </c>
      <c r="AG603" t="inlineStr">
        <is>
          <t>350</t>
        </is>
      </c>
      <c r="AH603" t="n">
        <v>80.2</v>
      </c>
      <c r="AI603" t="inlineStr">
        <is>
          <t>166=</t>
        </is>
      </c>
      <c r="AJ603" t="inlineStr">
        <is>
          <t>23.4</t>
        </is>
      </c>
      <c r="AK603" t="inlineStr">
        <is>
          <t>369</t>
        </is>
      </c>
      <c r="AL603" t="inlineStr">
        <is>
          <t>22.3</t>
        </is>
      </c>
      <c r="AM603" t="inlineStr">
        <is>
          <t>422</t>
        </is>
      </c>
      <c r="AN603" t="inlineStr">
        <is>
          <t>12.8</t>
        </is>
      </c>
      <c r="AO603" t="inlineStr">
        <is>
          <t>701+</t>
        </is>
      </c>
      <c r="AP603" t="inlineStr">
        <is>
          <t>62.7</t>
        </is>
      </c>
      <c r="AQ603" t="inlineStr">
        <is>
          <t>193</t>
        </is>
      </c>
      <c r="AR603" t="inlineStr">
        <is>
          <t>99.5</t>
        </is>
      </c>
      <c r="AS603" t="inlineStr">
        <is>
          <t>90</t>
        </is>
      </c>
      <c r="AT603" t="inlineStr">
        <is>
          <t>100.0</t>
        </is>
      </c>
      <c r="AU603" t="inlineStr">
        <is>
          <t>17</t>
        </is>
      </c>
      <c r="AV603" t="inlineStr">
        <is>
          <t>46.5</t>
        </is>
      </c>
      <c r="AW603" t="inlineStr">
        <is>
          <t>333</t>
        </is>
      </c>
      <c r="AX603" t="inlineStr">
        <is>
          <t>27</t>
        </is>
      </c>
      <c r="AY603" t="inlineStr">
        <is>
          <t>302</t>
        </is>
      </c>
      <c r="AZ603" t="inlineStr">
        <is>
          <t>13.7</t>
        </is>
      </c>
      <c r="BA603" t="inlineStr">
        <is>
          <t>627=</t>
        </is>
      </c>
    </row>
    <row r="604">
      <c r="A604" t="inlineStr">
        <is>
          <t>Macao Polytechnic University</t>
        </is>
      </c>
      <c r="B604" t="inlineStr">
        <is>
          <t>Macao SAR, China</t>
        </is>
      </c>
      <c r="C604" t="inlineStr"/>
      <c r="D604" t="inlineStr">
        <is>
          <t>Asia</t>
        </is>
      </c>
      <c r="E604" t="inlineStr">
        <is>
          <t>M</t>
        </is>
      </c>
      <c r="F604" t="inlineStr">
        <is>
          <t>FO</t>
        </is>
      </c>
      <c r="G604" t="inlineStr">
        <is>
          <t>HI</t>
        </is>
      </c>
      <c r="H604" t="inlineStr"/>
      <c r="I604" t="inlineStr"/>
      <c r="J604" t="inlineStr">
        <is>
          <t>901-950</t>
        </is>
      </c>
      <c r="K604" t="inlineStr"/>
      <c r="L604" t="inlineStr"/>
      <c r="M604" t="inlineStr"/>
      <c r="N604" t="inlineStr">
        <is>
          <t>-</t>
        </is>
      </c>
      <c r="O604" t="inlineStr"/>
      <c r="P604" t="n">
        <v>5.6</v>
      </c>
      <c r="Q604" t="inlineStr">
        <is>
          <t>701+</t>
        </is>
      </c>
      <c r="R604" t="n">
        <v>10</v>
      </c>
      <c r="S604" t="inlineStr">
        <is>
          <t>701+</t>
        </is>
      </c>
      <c r="T604" t="n">
        <v>34.3</v>
      </c>
      <c r="U604" t="inlineStr">
        <is>
          <t>571</t>
        </is>
      </c>
      <c r="V604" t="n">
        <v>3</v>
      </c>
      <c r="W604" t="inlineStr">
        <is>
          <t>801+</t>
        </is>
      </c>
      <c r="X604" t="n">
        <v>100</v>
      </c>
      <c r="Y604" t="inlineStr">
        <is>
          <t>40</t>
        </is>
      </c>
      <c r="Z604" t="n">
        <v>96.40000000000001</v>
      </c>
      <c r="AA604" t="inlineStr">
        <is>
          <t>106</t>
        </is>
      </c>
      <c r="AB604" t="n">
        <v>81.5</v>
      </c>
      <c r="AC604" t="inlineStr">
        <is>
          <t>194</t>
        </is>
      </c>
      <c r="AD604" t="n">
        <v>5.6</v>
      </c>
      <c r="AE604" t="inlineStr">
        <is>
          <t>801+</t>
        </is>
      </c>
      <c r="AF604" t="n">
        <v>38.1</v>
      </c>
      <c r="AG604" t="inlineStr">
        <is>
          <t>454</t>
        </is>
      </c>
      <c r="AH604" t="n">
        <v>22.6</v>
      </c>
      <c r="AI604" t="inlineStr">
        <is>
          <t>801+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</row>
    <row r="605">
      <c r="A605" t="inlineStr">
        <is>
          <t>Macau University of Science and Technology</t>
        </is>
      </c>
      <c r="B605" t="inlineStr">
        <is>
          <t>Macao SAR, China</t>
        </is>
      </c>
      <c r="C605" t="inlineStr"/>
      <c r="D605" t="inlineStr">
        <is>
          <t>Asia</t>
        </is>
      </c>
      <c r="E605" t="inlineStr">
        <is>
          <t>L</t>
        </is>
      </c>
      <c r="F605" t="inlineStr">
        <is>
          <t>CO</t>
        </is>
      </c>
      <c r="G605" t="inlineStr">
        <is>
          <t>VH</t>
        </is>
      </c>
      <c r="H605" t="inlineStr"/>
      <c r="I605" t="inlineStr">
        <is>
          <t>Private not for Profit</t>
        </is>
      </c>
      <c r="J605" t="inlineStr">
        <is>
          <t>440</t>
        </is>
      </c>
      <c r="K605" t="inlineStr">
        <is>
          <t>464</t>
        </is>
      </c>
      <c r="L605" t="inlineStr"/>
      <c r="M605" t="inlineStr"/>
      <c r="N605" t="inlineStr">
        <is>
          <t>34.9</t>
        </is>
      </c>
      <c r="O605" t="inlineStr"/>
      <c r="P605" t="n">
        <v>7.4</v>
      </c>
      <c r="Q605" t="inlineStr">
        <is>
          <t>701+</t>
        </is>
      </c>
      <c r="R605" t="n">
        <v>10.9</v>
      </c>
      <c r="S605" t="inlineStr">
        <is>
          <t>701+</t>
        </is>
      </c>
      <c r="T605" t="n">
        <v>4.8</v>
      </c>
      <c r="U605" t="inlineStr">
        <is>
          <t>801+</t>
        </is>
      </c>
      <c r="V605" t="n">
        <v>79.5</v>
      </c>
      <c r="W605" t="inlineStr">
        <is>
          <t>161</t>
        </is>
      </c>
      <c r="X605" t="n">
        <v>100</v>
      </c>
      <c r="Y605" t="inlineStr">
        <is>
          <t>18</t>
        </is>
      </c>
      <c r="Z605" t="n">
        <v>100</v>
      </c>
      <c r="AA605" t="inlineStr">
        <is>
          <t>1</t>
        </is>
      </c>
      <c r="AB605" t="n">
        <v>87.90000000000001</v>
      </c>
      <c r="AC605" t="inlineStr">
        <is>
          <t>157</t>
        </is>
      </c>
      <c r="AD605" t="n">
        <v>23.9</v>
      </c>
      <c r="AE605" t="inlineStr">
        <is>
          <t>801+</t>
        </is>
      </c>
      <c r="AF605" t="n">
        <v>36.8</v>
      </c>
      <c r="AG605" t="inlineStr">
        <is>
          <t>472</t>
        </is>
      </c>
      <c r="AH605" t="n">
        <v>52</v>
      </c>
      <c r="AI605" t="inlineStr">
        <is>
          <t>663=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</row>
    <row r="606">
      <c r="A606" t="inlineStr">
        <is>
          <t>Macau University of Science and Technology</t>
        </is>
      </c>
      <c r="B606" t="inlineStr">
        <is>
          <t>Macau SAR</t>
        </is>
      </c>
      <c r="C606" t="inlineStr">
        <is>
          <t>MO</t>
        </is>
      </c>
      <c r="D606" t="inlineStr"/>
      <c r="E606" t="inlineStr">
        <is>
          <t>L</t>
        </is>
      </c>
      <c r="F606" t="inlineStr">
        <is>
          <t>CO</t>
        </is>
      </c>
      <c r="G606" t="inlineStr">
        <is>
          <t>VH</t>
        </is>
      </c>
      <c r="H606" t="inlineStr">
        <is>
          <t>2</t>
        </is>
      </c>
      <c r="I606" t="inlineStr">
        <is>
          <t>B</t>
        </is>
      </c>
      <c r="J606" t="inlineStr"/>
      <c r="K606" t="inlineStr"/>
      <c r="L606">
        <f>505</f>
        <v/>
      </c>
      <c r="M606" t="inlineStr">
        <is>
          <t>581-590</t>
        </is>
      </c>
      <c r="N606" t="inlineStr"/>
      <c r="O606" t="inlineStr">
        <is>
          <t>23.0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4.2</t>
        </is>
      </c>
      <c r="AK606" t="inlineStr">
        <is>
          <t>601+</t>
        </is>
      </c>
      <c r="AL606" t="inlineStr">
        <is>
          <t>4.2</t>
        </is>
      </c>
      <c r="AM606" t="inlineStr">
        <is>
          <t>601+</t>
        </is>
      </c>
      <c r="AN606" t="inlineStr">
        <is>
          <t>4.5</t>
        </is>
      </c>
      <c r="AO606" t="inlineStr">
        <is>
          <t>701+</t>
        </is>
      </c>
      <c r="AP606" t="inlineStr">
        <is>
          <t>47.8</t>
        </is>
      </c>
      <c r="AQ606" t="inlineStr">
        <is>
          <t>283</t>
        </is>
      </c>
      <c r="AR606" t="inlineStr">
        <is>
          <t>100.0</t>
        </is>
      </c>
      <c r="AS606" t="inlineStr">
        <is>
          <t>12</t>
        </is>
      </c>
      <c r="AT606" t="inlineStr">
        <is>
          <t>100.0</t>
        </is>
      </c>
      <c r="AU606" t="inlineStr">
        <is>
          <t>1</t>
        </is>
      </c>
      <c r="AV606" t="inlineStr">
        <is>
          <t>2.4</t>
        </is>
      </c>
      <c r="AW606" t="inlineStr">
        <is>
          <t>701+</t>
        </is>
      </c>
      <c r="AX606" t="inlineStr">
        <is>
          <t>20.9</t>
        </is>
      </c>
      <c r="AY606" t="inlineStr">
        <is>
          <t>394</t>
        </is>
      </c>
      <c r="AZ606" t="inlineStr">
        <is>
          <t>1.1</t>
        </is>
      </c>
      <c r="BA606" t="inlineStr">
        <is>
          <t>701+</t>
        </is>
      </c>
    </row>
    <row r="607">
      <c r="A607" t="inlineStr">
        <is>
          <t>Macquarie University</t>
        </is>
      </c>
      <c r="B607" t="inlineStr">
        <is>
          <t>Australia</t>
        </is>
      </c>
      <c r="C607" t="inlineStr">
        <is>
          <t>AU</t>
        </is>
      </c>
      <c r="D607" t="inlineStr">
        <is>
          <t>Oceania</t>
        </is>
      </c>
      <c r="E607" t="inlineStr">
        <is>
          <t>L</t>
        </is>
      </c>
      <c r="F607" t="inlineStr">
        <is>
          <t>FC</t>
        </is>
      </c>
      <c r="G607" t="inlineStr">
        <is>
          <t>VH</t>
        </is>
      </c>
      <c r="H607" t="inlineStr">
        <is>
          <t>4</t>
        </is>
      </c>
      <c r="I607" t="inlineStr">
        <is>
          <t>Public</t>
        </is>
      </c>
      <c r="J607" t="inlineStr">
        <is>
          <t>138</t>
        </is>
      </c>
      <c r="K607" t="inlineStr">
        <is>
          <t>133</t>
        </is>
      </c>
      <c r="L607">
        <f>130</f>
        <v/>
      </c>
      <c r="M607" t="inlineStr">
        <is>
          <t>195=</t>
        </is>
      </c>
      <c r="N607" t="inlineStr">
        <is>
          <t>63.3</t>
        </is>
      </c>
      <c r="O607" t="inlineStr">
        <is>
          <t>53.7</t>
        </is>
      </c>
      <c r="P607" t="n">
        <v>47.7</v>
      </c>
      <c r="Q607" t="inlineStr">
        <is>
          <t>242</t>
        </is>
      </c>
      <c r="R607" t="n">
        <v>56.7</v>
      </c>
      <c r="S607" t="inlineStr">
        <is>
          <t>206</t>
        </is>
      </c>
      <c r="T607" t="n">
        <v>13.6</v>
      </c>
      <c r="U607" t="inlineStr">
        <is>
          <t>801+</t>
        </is>
      </c>
      <c r="V607" t="n">
        <v>85.8</v>
      </c>
      <c r="W607" t="inlineStr">
        <is>
          <t>119</t>
        </is>
      </c>
      <c r="X607" t="n">
        <v>100</v>
      </c>
      <c r="Y607" t="inlineStr">
        <is>
          <t>86</t>
        </is>
      </c>
      <c r="Z607" t="n">
        <v>97.3</v>
      </c>
      <c r="AA607" t="inlineStr">
        <is>
          <t>98</t>
        </is>
      </c>
      <c r="AB607" t="n">
        <v>97.5</v>
      </c>
      <c r="AC607" t="inlineStr">
        <is>
          <t>86</t>
        </is>
      </c>
      <c r="AD607" t="n">
        <v>91</v>
      </c>
      <c r="AE607" t="inlineStr">
        <is>
          <t>156</t>
        </is>
      </c>
      <c r="AF607" t="n">
        <v>62.2</v>
      </c>
      <c r="AG607" t="inlineStr">
        <is>
          <t>252</t>
        </is>
      </c>
      <c r="AH607" t="n">
        <v>90.59999999999999</v>
      </c>
      <c r="AI607" t="inlineStr">
        <is>
          <t>59</t>
        </is>
      </c>
      <c r="AJ607" t="inlineStr">
        <is>
          <t>31.6</t>
        </is>
      </c>
      <c r="AK607" t="inlineStr">
        <is>
          <t>276</t>
        </is>
      </c>
      <c r="AL607" t="inlineStr">
        <is>
          <t>41.0</t>
        </is>
      </c>
      <c r="AM607" t="inlineStr">
        <is>
          <t>228</t>
        </is>
      </c>
      <c r="AN607" t="inlineStr">
        <is>
          <t>10.3</t>
        </is>
      </c>
      <c r="AO607" t="inlineStr">
        <is>
          <t>701+</t>
        </is>
      </c>
      <c r="AP607" t="inlineStr">
        <is>
          <t>81.3</t>
        </is>
      </c>
      <c r="AQ607" t="inlineStr">
        <is>
          <t>105</t>
        </is>
      </c>
      <c r="AR607" t="inlineStr">
        <is>
          <t>98.6</t>
        </is>
      </c>
      <c r="AS607" t="inlineStr">
        <is>
          <t>104</t>
        </is>
      </c>
      <c r="AT607" t="inlineStr">
        <is>
          <t>93.6</t>
        </is>
      </c>
      <c r="AU607" t="inlineStr">
        <is>
          <t>94</t>
        </is>
      </c>
      <c r="AV607" t="inlineStr">
        <is>
          <t>81.4</t>
        </is>
      </c>
      <c r="AW607" t="inlineStr">
        <is>
          <t>139</t>
        </is>
      </c>
      <c r="AX607" t="inlineStr">
        <is>
          <t>43.2</t>
        </is>
      </c>
      <c r="AY607" t="inlineStr">
        <is>
          <t>167</t>
        </is>
      </c>
      <c r="AZ607" t="inlineStr">
        <is>
          <t>91.8</t>
        </is>
      </c>
      <c r="BA607" t="inlineStr">
        <is>
          <t>80=</t>
        </is>
      </c>
    </row>
    <row r="608">
      <c r="A608" t="inlineStr">
        <is>
          <t>Mahasarakham University</t>
        </is>
      </c>
      <c r="B608" t="inlineStr">
        <is>
          <t>Thailand</t>
        </is>
      </c>
      <c r="C608" t="inlineStr"/>
      <c r="D608" t="inlineStr">
        <is>
          <t>Asia</t>
        </is>
      </c>
      <c r="E608" t="inlineStr">
        <is>
          <t>XL</t>
        </is>
      </c>
      <c r="F608" t="inlineStr">
        <is>
          <t>FC</t>
        </is>
      </c>
      <c r="G608" t="inlineStr">
        <is>
          <t>MD</t>
        </is>
      </c>
      <c r="H608" t="inlineStr"/>
      <c r="I608" t="inlineStr">
        <is>
          <t>Public</t>
        </is>
      </c>
      <c r="J608" t="inlineStr">
        <is>
          <t>1401+</t>
        </is>
      </c>
      <c r="K608" t="inlineStr"/>
      <c r="L608" t="inlineStr"/>
      <c r="M608" t="inlineStr"/>
      <c r="N608" t="inlineStr">
        <is>
          <t>-</t>
        </is>
      </c>
      <c r="O608" t="inlineStr"/>
      <c r="P608" t="n">
        <v>18.5</v>
      </c>
      <c r="Q608" t="inlineStr">
        <is>
          <t>662</t>
        </is>
      </c>
      <c r="R608" t="n">
        <v>2.7</v>
      </c>
      <c r="S608" t="inlineStr">
        <is>
          <t>701+</t>
        </is>
      </c>
      <c r="T608" t="n">
        <v>2.8</v>
      </c>
      <c r="U608" t="inlineStr">
        <is>
          <t>801+</t>
        </is>
      </c>
      <c r="V608" t="n">
        <v>2.6</v>
      </c>
      <c r="W608" t="inlineStr">
        <is>
          <t>801+</t>
        </is>
      </c>
      <c r="X608" t="n">
        <v>8.699999999999999</v>
      </c>
      <c r="Y608" t="inlineStr">
        <is>
          <t>801+</t>
        </is>
      </c>
      <c r="Z608" t="n">
        <v>3.6</v>
      </c>
      <c r="AA608" t="inlineStr">
        <is>
          <t>801+</t>
        </is>
      </c>
      <c r="AB608" t="n">
        <v>7.7</v>
      </c>
      <c r="AC608" t="inlineStr">
        <is>
          <t>801+</t>
        </is>
      </c>
      <c r="AD608" t="n">
        <v>11</v>
      </c>
      <c r="AE608" t="inlineStr">
        <is>
          <t>801+</t>
        </is>
      </c>
      <c r="AF608" t="n">
        <v>10.3</v>
      </c>
      <c r="AG608" t="inlineStr">
        <is>
          <t>801+</t>
        </is>
      </c>
      <c r="AH608" t="n">
        <v>23.9</v>
      </c>
      <c r="AI608" t="inlineStr">
        <is>
          <t>801+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</row>
    <row r="609">
      <c r="A609" t="inlineStr">
        <is>
          <t>Mahidol University</t>
        </is>
      </c>
      <c r="B609" t="inlineStr">
        <is>
          <t>Thailand</t>
        </is>
      </c>
      <c r="C609" t="inlineStr">
        <is>
          <t>TH</t>
        </is>
      </c>
      <c r="D609" t="inlineStr">
        <is>
          <t>Asia</t>
        </is>
      </c>
      <c r="E609" t="inlineStr">
        <is>
          <t>L</t>
        </is>
      </c>
      <c r="F609" t="inlineStr">
        <is>
          <t>FC</t>
        </is>
      </c>
      <c r="G609" t="inlineStr">
        <is>
          <t>VH</t>
        </is>
      </c>
      <c r="H609" t="inlineStr">
        <is>
          <t>4</t>
        </is>
      </c>
      <c r="I609" t="inlineStr">
        <is>
          <t>Public</t>
        </is>
      </c>
      <c r="J609" t="inlineStr">
        <is>
          <t>358</t>
        </is>
      </c>
      <c r="K609" t="inlineStr">
        <is>
          <t>368</t>
        </is>
      </c>
      <c r="L609">
        <f>382</f>
        <v/>
      </c>
      <c r="M609" t="inlineStr">
        <is>
          <t>256=</t>
        </is>
      </c>
      <c r="N609" t="inlineStr">
        <is>
          <t>41.1</t>
        </is>
      </c>
      <c r="O609" t="inlineStr">
        <is>
          <t>29.0</t>
        </is>
      </c>
      <c r="P609" t="n">
        <v>59.4</v>
      </c>
      <c r="Q609" t="inlineStr">
        <is>
          <t>177</t>
        </is>
      </c>
      <c r="R609" t="n">
        <v>38.8</v>
      </c>
      <c r="S609" t="inlineStr">
        <is>
          <t>358</t>
        </is>
      </c>
      <c r="T609" t="n">
        <v>82.40000000000001</v>
      </c>
      <c r="U609" t="inlineStr">
        <is>
          <t>155</t>
        </is>
      </c>
      <c r="V609" t="n">
        <v>9</v>
      </c>
      <c r="W609" t="inlineStr">
        <is>
          <t>801+</t>
        </is>
      </c>
      <c r="X609" t="n">
        <v>8.5</v>
      </c>
      <c r="Y609" t="inlineStr">
        <is>
          <t>801+</t>
        </is>
      </c>
      <c r="Z609" t="n">
        <v>9.1</v>
      </c>
      <c r="AA609" t="inlineStr">
        <is>
          <t>801+</t>
        </is>
      </c>
      <c r="AB609" t="n">
        <v>14</v>
      </c>
      <c r="AC609" t="inlineStr">
        <is>
          <t>801+</t>
        </is>
      </c>
      <c r="AD609" t="n">
        <v>67.90000000000001</v>
      </c>
      <c r="AE609" t="inlineStr">
        <is>
          <t>569</t>
        </is>
      </c>
      <c r="AF609" t="n">
        <v>17.4</v>
      </c>
      <c r="AG609" t="inlineStr">
        <is>
          <t>774</t>
        </is>
      </c>
      <c r="AH609" t="n">
        <v>61.2</v>
      </c>
      <c r="AI609" t="inlineStr">
        <is>
          <t>474=</t>
        </is>
      </c>
      <c r="AJ609" t="inlineStr">
        <is>
          <t>42.4</t>
        </is>
      </c>
      <c r="AK609" t="inlineStr">
        <is>
          <t>200</t>
        </is>
      </c>
      <c r="AL609" t="inlineStr">
        <is>
          <t>30.3</t>
        </is>
      </c>
      <c r="AM609" t="inlineStr">
        <is>
          <t>322</t>
        </is>
      </c>
      <c r="AN609" t="inlineStr">
        <is>
          <t>77.7</t>
        </is>
      </c>
      <c r="AO609" t="inlineStr">
        <is>
          <t>147</t>
        </is>
      </c>
      <c r="AP609" t="inlineStr">
        <is>
          <t>4.7</t>
        </is>
      </c>
      <c r="AQ609" t="inlineStr">
        <is>
          <t>701+</t>
        </is>
      </c>
      <c r="AR609" t="inlineStr">
        <is>
          <t>6.0</t>
        </is>
      </c>
      <c r="AS609" t="inlineStr">
        <is>
          <t>701+</t>
        </is>
      </c>
      <c r="AT609" t="inlineStr">
        <is>
          <t>5.1</t>
        </is>
      </c>
      <c r="AU609" t="inlineStr">
        <is>
          <t>701+</t>
        </is>
      </c>
      <c r="AV609" t="inlineStr">
        <is>
          <t>10.3</t>
        </is>
      </c>
      <c r="AW609" t="inlineStr">
        <is>
          <t>666</t>
        </is>
      </c>
      <c r="AX609" t="inlineStr">
        <is>
          <t>11</t>
        </is>
      </c>
      <c r="AY609" t="inlineStr">
        <is>
          <t>701+</t>
        </is>
      </c>
      <c r="AZ609" t="inlineStr">
        <is>
          <t>27.6</t>
        </is>
      </c>
      <c r="BA609" t="inlineStr">
        <is>
          <t>471=</t>
        </is>
      </c>
    </row>
    <row r="610">
      <c r="A610" t="inlineStr">
        <is>
          <t>Makerere University</t>
        </is>
      </c>
      <c r="B610" t="inlineStr">
        <is>
          <t>Uganda</t>
        </is>
      </c>
      <c r="C610" t="inlineStr">
        <is>
          <t>UG</t>
        </is>
      </c>
      <c r="D610" t="inlineStr">
        <is>
          <t>Africa</t>
        </is>
      </c>
      <c r="E610" t="inlineStr">
        <is>
          <t>XL</t>
        </is>
      </c>
      <c r="F610" t="inlineStr">
        <is>
          <t>FC</t>
        </is>
      </c>
      <c r="G610" t="inlineStr">
        <is>
          <t>HI</t>
        </is>
      </c>
      <c r="H610" t="inlineStr">
        <is>
          <t>5</t>
        </is>
      </c>
      <c r="I610" t="inlineStr">
        <is>
          <t>Public</t>
        </is>
      </c>
      <c r="J610" t="inlineStr">
        <is>
          <t>1001-1200</t>
        </is>
      </c>
      <c r="K610" t="inlineStr">
        <is>
          <t>901-950</t>
        </is>
      </c>
      <c r="L610" t="inlineStr">
        <is>
          <t>951-1000</t>
        </is>
      </c>
      <c r="M610" t="inlineStr">
        <is>
          <t>1201-1400</t>
        </is>
      </c>
      <c r="N610" t="inlineStr">
        <is>
          <t>-</t>
        </is>
      </c>
      <c r="O610" t="inlineStr">
        <is>
          <t>-</t>
        </is>
      </c>
      <c r="P610" t="n">
        <v>13.4</v>
      </c>
      <c r="Q610" t="inlineStr">
        <is>
          <t>701+</t>
        </is>
      </c>
      <c r="R610" t="n">
        <v>5.3</v>
      </c>
      <c r="S610" t="inlineStr">
        <is>
          <t>701+</t>
        </is>
      </c>
      <c r="T610" t="n">
        <v>5.8</v>
      </c>
      <c r="U610" t="inlineStr">
        <is>
          <t>801+</t>
        </is>
      </c>
      <c r="V610" t="n">
        <v>6.5</v>
      </c>
      <c r="W610" t="inlineStr">
        <is>
          <t>801+</t>
        </is>
      </c>
      <c r="X610" t="n">
        <v>8.300000000000001</v>
      </c>
      <c r="Y610" t="inlineStr">
        <is>
          <t>801+</t>
        </is>
      </c>
      <c r="Z610" t="n">
        <v>13.6</v>
      </c>
      <c r="AA610" t="inlineStr">
        <is>
          <t>801+</t>
        </is>
      </c>
      <c r="AB610" t="n">
        <v>10.3</v>
      </c>
      <c r="AC610" t="inlineStr">
        <is>
          <t>801+</t>
        </is>
      </c>
      <c r="AD610" t="n">
        <v>65.3</v>
      </c>
      <c r="AE610" t="inlineStr">
        <is>
          <t>617</t>
        </is>
      </c>
      <c r="AF610" t="n">
        <v>98.3</v>
      </c>
      <c r="AG610" t="inlineStr">
        <is>
          <t>38</t>
        </is>
      </c>
      <c r="AH610" t="n">
        <v>42</v>
      </c>
      <c r="AI610" t="inlineStr">
        <is>
          <t>801+</t>
        </is>
      </c>
      <c r="AJ610" t="inlineStr">
        <is>
          <t>10.2</t>
        </is>
      </c>
      <c r="AK610" t="inlineStr">
        <is>
          <t>601+</t>
        </is>
      </c>
      <c r="AL610" t="inlineStr">
        <is>
          <t>4.7</t>
        </is>
      </c>
      <c r="AM610" t="inlineStr">
        <is>
          <t>601+</t>
        </is>
      </c>
      <c r="AN610" t="inlineStr">
        <is>
          <t>3.4</t>
        </is>
      </c>
      <c r="AO610" t="inlineStr">
        <is>
          <t>701+</t>
        </is>
      </c>
      <c r="AP610" t="inlineStr">
        <is>
          <t>4.6</t>
        </is>
      </c>
      <c r="AQ610" t="inlineStr">
        <is>
          <t>701+</t>
        </is>
      </c>
      <c r="AR610" t="inlineStr">
        <is>
          <t>10.3</t>
        </is>
      </c>
      <c r="AS610" t="inlineStr">
        <is>
          <t>701+</t>
        </is>
      </c>
      <c r="AT610" t="inlineStr">
        <is>
          <t>8.2</t>
        </is>
      </c>
      <c r="AU610" t="inlineStr">
        <is>
          <t>701+</t>
        </is>
      </c>
      <c r="AV610" t="inlineStr">
        <is>
          <t>17.8</t>
        </is>
      </c>
      <c r="AW610" t="inlineStr">
        <is>
          <t>564</t>
        </is>
      </c>
      <c r="AX610" t="inlineStr">
        <is>
          <t>79.5</t>
        </is>
      </c>
      <c r="AY610" t="inlineStr">
        <is>
          <t>51</t>
        </is>
      </c>
      <c r="AZ610" t="inlineStr">
        <is>
          <t>9.2</t>
        </is>
      </c>
      <c r="BA610" t="inlineStr">
        <is>
          <t>685=</t>
        </is>
      </c>
    </row>
    <row r="611">
      <c r="A611" t="inlineStr">
        <is>
          <t>Management and Science University</t>
        </is>
      </c>
      <c r="B611" t="inlineStr">
        <is>
          <t>Malaysia</t>
        </is>
      </c>
      <c r="C611" t="inlineStr">
        <is>
          <t>MY</t>
        </is>
      </c>
      <c r="D611" t="inlineStr"/>
      <c r="E611" t="inlineStr">
        <is>
          <t>S</t>
        </is>
      </c>
      <c r="F611" t="inlineStr">
        <is>
          <t>FO</t>
        </is>
      </c>
      <c r="G611" t="inlineStr">
        <is>
          <t>VH</t>
        </is>
      </c>
      <c r="H611" t="inlineStr">
        <is>
          <t>2</t>
        </is>
      </c>
      <c r="I611" t="inlineStr">
        <is>
          <t>C</t>
        </is>
      </c>
      <c r="J611" t="inlineStr"/>
      <c r="K611" t="inlineStr"/>
      <c r="L611" t="inlineStr">
        <is>
          <t>621-630</t>
        </is>
      </c>
      <c r="M611" t="inlineStr">
        <is>
          <t>601-650</t>
        </is>
      </c>
      <c r="N611" t="inlineStr"/>
      <c r="O611" t="inlineStr">
        <is>
          <t>-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12.4</t>
        </is>
      </c>
      <c r="AK611" t="inlineStr">
        <is>
          <t>601+</t>
        </is>
      </c>
      <c r="AL611" t="inlineStr">
        <is>
          <t>12.2</t>
        </is>
      </c>
      <c r="AM611" t="inlineStr">
        <is>
          <t>601+</t>
        </is>
      </c>
      <c r="AN611" t="inlineStr">
        <is>
          <t>33.5</t>
        </is>
      </c>
      <c r="AO611" t="inlineStr">
        <is>
          <t>476</t>
        </is>
      </c>
      <c r="AP611" t="inlineStr">
        <is>
          <t>1.6</t>
        </is>
      </c>
      <c r="AQ611" t="inlineStr">
        <is>
          <t>701+</t>
        </is>
      </c>
      <c r="AR611" t="inlineStr">
        <is>
          <t>90.5</t>
        </is>
      </c>
      <c r="AS611" t="inlineStr">
        <is>
          <t>180</t>
        </is>
      </c>
      <c r="AT611" t="inlineStr">
        <is>
          <t>94.1</t>
        </is>
      </c>
      <c r="AU611" t="inlineStr">
        <is>
          <t>92</t>
        </is>
      </c>
      <c r="AV611" t="inlineStr">
        <is>
          <t>1.0</t>
        </is>
      </c>
      <c r="AW611" t="inlineStr">
        <is>
          <t>701+</t>
        </is>
      </c>
      <c r="AX611" t="inlineStr">
        <is>
          <t>10.1</t>
        </is>
      </c>
      <c r="AY611" t="inlineStr">
        <is>
          <t>701+</t>
        </is>
      </c>
      <c r="AZ611" t="inlineStr">
        <is>
          <t>1</t>
        </is>
      </c>
      <c r="BA611" t="inlineStr">
        <is>
          <t>701+</t>
        </is>
      </c>
    </row>
    <row r="612">
      <c r="A612" t="inlineStr">
        <is>
          <t>Management and Science University - MSU Malaysia</t>
        </is>
      </c>
      <c r="B612" t="inlineStr">
        <is>
          <t>Malaysia</t>
        </is>
      </c>
      <c r="C612" t="inlineStr"/>
      <c r="D612" t="inlineStr">
        <is>
          <t>Asia</t>
        </is>
      </c>
      <c r="E612" t="inlineStr">
        <is>
          <t>S</t>
        </is>
      </c>
      <c r="F612" t="inlineStr">
        <is>
          <t>FO</t>
        </is>
      </c>
      <c r="G612" t="inlineStr">
        <is>
          <t>VH</t>
        </is>
      </c>
      <c r="H612" t="inlineStr"/>
      <c r="I612" t="inlineStr">
        <is>
          <t>Private for Profit</t>
        </is>
      </c>
      <c r="J612" t="inlineStr">
        <is>
          <t>597</t>
        </is>
      </c>
      <c r="K612" t="inlineStr">
        <is>
          <t>580</t>
        </is>
      </c>
      <c r="L612" t="inlineStr"/>
      <c r="M612" t="inlineStr"/>
      <c r="N612" t="inlineStr">
        <is>
          <t>28.3</t>
        </is>
      </c>
      <c r="O612" t="inlineStr"/>
      <c r="P612" t="n">
        <v>25.1</v>
      </c>
      <c r="Q612" t="inlineStr">
        <is>
          <t>509</t>
        </is>
      </c>
      <c r="R612" t="n">
        <v>20.9</v>
      </c>
      <c r="S612" t="inlineStr">
        <is>
          <t>629</t>
        </is>
      </c>
      <c r="T612" t="n">
        <v>55.3</v>
      </c>
      <c r="U612" t="inlineStr">
        <is>
          <t>340</t>
        </is>
      </c>
      <c r="V612" t="n">
        <v>3.2</v>
      </c>
      <c r="W612" t="inlineStr">
        <is>
          <t>801+</t>
        </is>
      </c>
      <c r="X612" t="n">
        <v>99.59999999999999</v>
      </c>
      <c r="Y612" t="inlineStr">
        <is>
          <t>107</t>
        </is>
      </c>
      <c r="Z612" t="n">
        <v>100</v>
      </c>
      <c r="AA612" t="inlineStr">
        <is>
          <t>23</t>
        </is>
      </c>
      <c r="AB612" t="n">
        <v>99.7</v>
      </c>
      <c r="AC612" t="inlineStr">
        <is>
          <t>40</t>
        </is>
      </c>
      <c r="AD612" t="n">
        <v>10.8</v>
      </c>
      <c r="AE612" t="inlineStr">
        <is>
          <t>801+</t>
        </is>
      </c>
      <c r="AF612" t="n">
        <v>5.3</v>
      </c>
      <c r="AG612" t="inlineStr">
        <is>
          <t>801+</t>
        </is>
      </c>
      <c r="AH612" t="n">
        <v>36.8</v>
      </c>
      <c r="AI612" t="inlineStr">
        <is>
          <t>801+</t>
        </is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</row>
    <row r="613">
      <c r="A613" t="inlineStr">
        <is>
          <t>Manav Rachna International Institute of Research and Studies (MRIIRS)</t>
        </is>
      </c>
      <c r="B613" t="inlineStr">
        <is>
          <t>India</t>
        </is>
      </c>
      <c r="C613" t="inlineStr"/>
      <c r="D613" t="inlineStr">
        <is>
          <t>Asia</t>
        </is>
      </c>
      <c r="E613" t="inlineStr">
        <is>
          <t>M</t>
        </is>
      </c>
      <c r="F613" t="inlineStr">
        <is>
          <t>CO</t>
        </is>
      </c>
      <c r="G613" t="inlineStr">
        <is>
          <t>HI</t>
        </is>
      </c>
      <c r="H613" t="inlineStr"/>
      <c r="I613" t="inlineStr">
        <is>
          <t>Private for Profit</t>
        </is>
      </c>
      <c r="J613" t="inlineStr">
        <is>
          <t>1401+</t>
        </is>
      </c>
      <c r="K613" t="inlineStr"/>
      <c r="L613" t="inlineStr"/>
      <c r="M613" t="inlineStr"/>
      <c r="N613" t="inlineStr">
        <is>
          <t>-</t>
        </is>
      </c>
      <c r="O613" t="inlineStr"/>
      <c r="P613" t="n">
        <v>5.9</v>
      </c>
      <c r="Q613" t="inlineStr">
        <is>
          <t>701+</t>
        </is>
      </c>
      <c r="R613" t="n">
        <v>2.5</v>
      </c>
      <c r="S613" t="inlineStr">
        <is>
          <t>701+</t>
        </is>
      </c>
      <c r="T613" t="n">
        <v>43.9</v>
      </c>
      <c r="U613" t="inlineStr">
        <is>
          <t>453</t>
        </is>
      </c>
      <c r="V613" t="n">
        <v>3.7</v>
      </c>
      <c r="W613" t="inlineStr">
        <is>
          <t>801+</t>
        </is>
      </c>
      <c r="X613" t="n">
        <v>7.4</v>
      </c>
      <c r="Y613" t="inlineStr">
        <is>
          <t>801+</t>
        </is>
      </c>
      <c r="Z613" t="n">
        <v>3.4</v>
      </c>
      <c r="AA613" t="inlineStr">
        <is>
          <t>801+</t>
        </is>
      </c>
      <c r="AB613" t="n">
        <v>7.6</v>
      </c>
      <c r="AC613" t="inlineStr">
        <is>
          <t>801+</t>
        </is>
      </c>
      <c r="AD613" t="n">
        <v>3.3</v>
      </c>
      <c r="AE613" t="inlineStr">
        <is>
          <t>801+</t>
        </is>
      </c>
      <c r="AF613" t="n">
        <v>1.8</v>
      </c>
      <c r="AG613" t="inlineStr">
        <is>
          <t>801+</t>
        </is>
      </c>
      <c r="AH613" t="n">
        <v>23.6</v>
      </c>
      <c r="AI613" t="inlineStr">
        <is>
          <t>801+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</row>
    <row r="614">
      <c r="A614" t="inlineStr">
        <is>
          <t>Manchester Metropolitan University</t>
        </is>
      </c>
      <c r="B614" t="inlineStr">
        <is>
          <t>United Kingdom</t>
        </is>
      </c>
      <c r="C614" t="inlineStr"/>
      <c r="D614" t="inlineStr">
        <is>
          <t>Europe</t>
        </is>
      </c>
      <c r="E614" t="inlineStr">
        <is>
          <t>XL</t>
        </is>
      </c>
      <c r="F614" t="inlineStr">
        <is>
          <t>CO</t>
        </is>
      </c>
      <c r="G614" t="inlineStr">
        <is>
          <t>VH</t>
        </is>
      </c>
      <c r="H614" t="inlineStr"/>
      <c r="I614" t="inlineStr">
        <is>
          <t>Public</t>
        </is>
      </c>
      <c r="J614" t="inlineStr">
        <is>
          <t>643</t>
        </is>
      </c>
      <c r="K614" t="inlineStr">
        <is>
          <t>601-610</t>
        </is>
      </c>
      <c r="L614" t="inlineStr"/>
      <c r="M614" t="inlineStr"/>
      <c r="N614" t="inlineStr">
        <is>
          <t>26.9</t>
        </is>
      </c>
      <c r="O614" t="inlineStr"/>
      <c r="P614" t="n">
        <v>18.8</v>
      </c>
      <c r="Q614" t="inlineStr">
        <is>
          <t>654</t>
        </is>
      </c>
      <c r="R614" t="n">
        <v>16.4</v>
      </c>
      <c r="S614" t="inlineStr">
        <is>
          <t>701+</t>
        </is>
      </c>
      <c r="T614" t="n">
        <v>11.4</v>
      </c>
      <c r="U614" t="inlineStr">
        <is>
          <t>801+</t>
        </is>
      </c>
      <c r="V614" t="n">
        <v>16.8</v>
      </c>
      <c r="W614" t="inlineStr">
        <is>
          <t>766</t>
        </is>
      </c>
      <c r="X614" t="n">
        <v>63.1</v>
      </c>
      <c r="Y614" t="inlineStr">
        <is>
          <t>369</t>
        </is>
      </c>
      <c r="Z614" t="n">
        <v>61.4</v>
      </c>
      <c r="AA614" t="inlineStr">
        <is>
          <t>331</t>
        </is>
      </c>
      <c r="AB614" t="n">
        <v>65.2</v>
      </c>
      <c r="AC614" t="inlineStr">
        <is>
          <t>302</t>
        </is>
      </c>
      <c r="AD614" t="n">
        <v>89</v>
      </c>
      <c r="AE614" t="inlineStr">
        <is>
          <t>189</t>
        </is>
      </c>
      <c r="AF614" t="n">
        <v>19.2</v>
      </c>
      <c r="AG614" t="inlineStr">
        <is>
          <t>741</t>
        </is>
      </c>
      <c r="AH614" t="n">
        <v>78</v>
      </c>
      <c r="AI614" t="inlineStr">
        <is>
          <t>195=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</row>
    <row r="615">
      <c r="A615" t="inlineStr">
        <is>
          <t>Manchester Metropolitan University (MMU)</t>
        </is>
      </c>
      <c r="B615" t="inlineStr">
        <is>
          <t>United Kingdom</t>
        </is>
      </c>
      <c r="C615" t="inlineStr">
        <is>
          <t>UK</t>
        </is>
      </c>
      <c r="D615" t="inlineStr"/>
      <c r="E615" t="inlineStr">
        <is>
          <t>XL</t>
        </is>
      </c>
      <c r="F615" t="inlineStr">
        <is>
          <t>CO</t>
        </is>
      </c>
      <c r="G615" t="inlineStr">
        <is>
          <t>VH</t>
        </is>
      </c>
      <c r="H615" t="inlineStr">
        <is>
          <t>4</t>
        </is>
      </c>
      <c r="I615" t="inlineStr">
        <is>
          <t>A</t>
        </is>
      </c>
      <c r="J615" t="inlineStr"/>
      <c r="K615" t="inlineStr"/>
      <c r="L615">
        <f>590</f>
        <v/>
      </c>
      <c r="M615" t="inlineStr">
        <is>
          <t>801-1000</t>
        </is>
      </c>
      <c r="N615" t="inlineStr"/>
      <c r="O615" t="inlineStr">
        <is>
          <t>20.1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12.0</t>
        </is>
      </c>
      <c r="AK615" t="inlineStr">
        <is>
          <t>601+</t>
        </is>
      </c>
      <c r="AL615" t="inlineStr">
        <is>
          <t>13.4</t>
        </is>
      </c>
      <c r="AM615" t="inlineStr">
        <is>
          <t>601+</t>
        </is>
      </c>
      <c r="AN615" t="inlineStr">
        <is>
          <t>8.5</t>
        </is>
      </c>
      <c r="AO615" t="inlineStr">
        <is>
          <t>701+</t>
        </is>
      </c>
      <c r="AP615" t="inlineStr">
        <is>
          <t>9.8</t>
        </is>
      </c>
      <c r="AQ615" t="inlineStr">
        <is>
          <t>701+</t>
        </is>
      </c>
      <c r="AR615" t="inlineStr">
        <is>
          <t>44.4</t>
        </is>
      </c>
      <c r="AS615" t="inlineStr">
        <is>
          <t>380</t>
        </is>
      </c>
      <c r="AT615" t="inlineStr">
        <is>
          <t>40.5</t>
        </is>
      </c>
      <c r="AU615" t="inlineStr">
        <is>
          <t>339</t>
        </is>
      </c>
      <c r="AV615" t="inlineStr">
        <is>
          <t>66.6</t>
        </is>
      </c>
      <c r="AW615" t="inlineStr">
        <is>
          <t>210</t>
        </is>
      </c>
      <c r="AX615" t="inlineStr">
        <is>
          <t>14.6</t>
        </is>
      </c>
      <c r="AY615" t="inlineStr">
        <is>
          <t>576</t>
        </is>
      </c>
      <c r="AZ615" t="inlineStr">
        <is>
          <t>69.3</t>
        </is>
      </c>
      <c r="BA615" t="inlineStr">
        <is>
          <t>210=</t>
        </is>
      </c>
    </row>
    <row r="616">
      <c r="A616" t="inlineStr">
        <is>
          <t>Manipal Academy of Higher Education, Manipal, Karnataka, India</t>
        </is>
      </c>
      <c r="B616" t="inlineStr">
        <is>
          <t>India</t>
        </is>
      </c>
      <c r="C616" t="inlineStr">
        <is>
          <t>IN</t>
        </is>
      </c>
      <c r="D616" t="inlineStr"/>
      <c r="E616" t="inlineStr">
        <is>
          <t>L</t>
        </is>
      </c>
      <c r="F616" t="inlineStr">
        <is>
          <t>FC</t>
        </is>
      </c>
      <c r="G616" t="inlineStr">
        <is>
          <t>VH</t>
        </is>
      </c>
      <c r="H616" t="inlineStr">
        <is>
          <t>3</t>
        </is>
      </c>
      <c r="I616" t="inlineStr">
        <is>
          <t>B</t>
        </is>
      </c>
      <c r="J616" t="inlineStr"/>
      <c r="K616" t="inlineStr"/>
      <c r="L616" t="inlineStr">
        <is>
          <t>951-1000</t>
        </is>
      </c>
      <c r="M616" t="inlineStr">
        <is>
          <t>751-800</t>
        </is>
      </c>
      <c r="N616" t="inlineStr"/>
      <c r="O616" t="inlineStr">
        <is>
          <t>-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9.6</t>
        </is>
      </c>
      <c r="AK616" t="inlineStr">
        <is>
          <t>601+</t>
        </is>
      </c>
      <c r="AL616" t="inlineStr">
        <is>
          <t>7.0</t>
        </is>
      </c>
      <c r="AM616" t="inlineStr">
        <is>
          <t>601+</t>
        </is>
      </c>
      <c r="AN616" t="inlineStr">
        <is>
          <t>46.4</t>
        </is>
      </c>
      <c r="AO616" t="inlineStr">
        <is>
          <t>339</t>
        </is>
      </c>
      <c r="AP616" t="inlineStr">
        <is>
          <t>4.0</t>
        </is>
      </c>
      <c r="AQ616" t="inlineStr">
        <is>
          <t>701+</t>
        </is>
      </c>
      <c r="AR616" t="inlineStr">
        <is>
          <t>1.7</t>
        </is>
      </c>
      <c r="AS616" t="inlineStr">
        <is>
          <t>701+</t>
        </is>
      </c>
      <c r="AT616" t="inlineStr">
        <is>
          <t>7.1</t>
        </is>
      </c>
      <c r="AU616" t="inlineStr">
        <is>
          <t>701+</t>
        </is>
      </c>
      <c r="AV616" t="inlineStr">
        <is>
          <t>13.0</t>
        </is>
      </c>
      <c r="AW616" t="inlineStr">
        <is>
          <t>626</t>
        </is>
      </c>
      <c r="AX616" t="inlineStr">
        <is>
          <t>11.3</t>
        </is>
      </c>
      <c r="AY616" t="inlineStr">
        <is>
          <t>701+</t>
        </is>
      </c>
      <c r="AZ616" t="inlineStr">
        <is>
          <t>1.7</t>
        </is>
      </c>
      <c r="BA616" t="inlineStr">
        <is>
          <t>701+</t>
        </is>
      </c>
    </row>
    <row r="617">
      <c r="A617" t="inlineStr">
        <is>
          <t>Manipal Academy of Higher Education - Manipal University (MAHE)</t>
        </is>
      </c>
      <c r="B617" t="inlineStr">
        <is>
          <t>India</t>
        </is>
      </c>
      <c r="C617" t="inlineStr"/>
      <c r="D617" t="inlineStr">
        <is>
          <t>Asia</t>
        </is>
      </c>
      <c r="E617" t="inlineStr">
        <is>
          <t>L</t>
        </is>
      </c>
      <c r="F617" t="inlineStr">
        <is>
          <t>FC</t>
        </is>
      </c>
      <c r="G617" t="inlineStr">
        <is>
          <t>VH</t>
        </is>
      </c>
      <c r="H617" t="inlineStr"/>
      <c r="I617" t="inlineStr">
        <is>
          <t>Private not for Profit</t>
        </is>
      </c>
      <c r="J617" t="inlineStr">
        <is>
          <t>851-900</t>
        </is>
      </c>
      <c r="K617" t="inlineStr">
        <is>
          <t>901-950</t>
        </is>
      </c>
      <c r="L617" t="inlineStr"/>
      <c r="M617" t="inlineStr"/>
      <c r="N617" t="inlineStr">
        <is>
          <t>-</t>
        </is>
      </c>
      <c r="O617" t="inlineStr"/>
      <c r="P617" t="n">
        <v>14.7</v>
      </c>
      <c r="Q617" t="inlineStr">
        <is>
          <t>701+</t>
        </is>
      </c>
      <c r="R617" t="n">
        <v>11.8</v>
      </c>
      <c r="S617" t="inlineStr">
        <is>
          <t>701+</t>
        </is>
      </c>
      <c r="T617" t="n">
        <v>50.3</v>
      </c>
      <c r="U617" t="inlineStr">
        <is>
          <t>379</t>
        </is>
      </c>
      <c r="V617" t="n">
        <v>9.699999999999999</v>
      </c>
      <c r="W617" t="inlineStr">
        <is>
          <t>801+</t>
        </is>
      </c>
      <c r="X617" t="n">
        <v>2.9</v>
      </c>
      <c r="Y617" t="inlineStr">
        <is>
          <t>801+</t>
        </is>
      </c>
      <c r="Z617" t="n">
        <v>17.4</v>
      </c>
      <c r="AA617" t="inlineStr">
        <is>
          <t>775</t>
        </is>
      </c>
      <c r="AB617" t="n">
        <v>20.7</v>
      </c>
      <c r="AC617" t="inlineStr">
        <is>
          <t>752</t>
        </is>
      </c>
      <c r="AD617" t="n">
        <v>73.7</v>
      </c>
      <c r="AE617" t="inlineStr">
        <is>
          <t>476</t>
        </is>
      </c>
      <c r="AF617" t="n">
        <v>13.7</v>
      </c>
      <c r="AG617" t="inlineStr">
        <is>
          <t>801+</t>
        </is>
      </c>
      <c r="AH617" t="n">
        <v>65</v>
      </c>
      <c r="AI617" t="inlineStr">
        <is>
          <t>398=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</row>
    <row r="618">
      <c r="A618" t="inlineStr">
        <is>
          <t>Mansoura University</t>
        </is>
      </c>
      <c r="B618" t="inlineStr">
        <is>
          <t>Egypt</t>
        </is>
      </c>
      <c r="C618" t="inlineStr">
        <is>
          <t>EG</t>
        </is>
      </c>
      <c r="D618" t="inlineStr">
        <is>
          <t>Africa</t>
        </is>
      </c>
      <c r="E618" t="inlineStr">
        <is>
          <t>XL</t>
        </is>
      </c>
      <c r="F618" t="inlineStr">
        <is>
          <t>FC</t>
        </is>
      </c>
      <c r="G618" t="inlineStr">
        <is>
          <t>VH</t>
        </is>
      </c>
      <c r="H618" t="inlineStr">
        <is>
          <t>4</t>
        </is>
      </c>
      <c r="I618" t="inlineStr">
        <is>
          <t>Public</t>
        </is>
      </c>
      <c r="J618" t="inlineStr">
        <is>
          <t>1001-1200</t>
        </is>
      </c>
      <c r="K618" t="inlineStr">
        <is>
          <t>951-1000</t>
        </is>
      </c>
      <c r="L618" t="inlineStr">
        <is>
          <t>1001-1200</t>
        </is>
      </c>
      <c r="M618" t="inlineStr">
        <is>
          <t>1201-1400</t>
        </is>
      </c>
      <c r="N618" t="inlineStr">
        <is>
          <t>-</t>
        </is>
      </c>
      <c r="O618" t="inlineStr">
        <is>
          <t>-</t>
        </is>
      </c>
      <c r="P618" t="n">
        <v>18.8</v>
      </c>
      <c r="Q618" t="inlineStr">
        <is>
          <t>653</t>
        </is>
      </c>
      <c r="R618" t="n">
        <v>15.8</v>
      </c>
      <c r="S618" t="inlineStr">
        <is>
          <t>701+</t>
        </is>
      </c>
      <c r="T618" t="n">
        <v>5.2</v>
      </c>
      <c r="U618" t="inlineStr">
        <is>
          <t>801+</t>
        </is>
      </c>
      <c r="V618" t="n">
        <v>5</v>
      </c>
      <c r="W618" t="inlineStr">
        <is>
          <t>801+</t>
        </is>
      </c>
      <c r="X618" t="n">
        <v>9.9</v>
      </c>
      <c r="Y618" t="inlineStr">
        <is>
          <t>801+</t>
        </is>
      </c>
      <c r="Z618" t="n">
        <v>21.2</v>
      </c>
      <c r="AA618" t="inlineStr">
        <is>
          <t>706</t>
        </is>
      </c>
      <c r="AB618" t="n">
        <v>24.5</v>
      </c>
      <c r="AC618" t="inlineStr">
        <is>
          <t>695</t>
        </is>
      </c>
      <c r="AD618" t="n">
        <v>81.90000000000001</v>
      </c>
      <c r="AE618" t="inlineStr">
        <is>
          <t>315</t>
        </is>
      </c>
      <c r="AF618" t="n">
        <v>12.6</v>
      </c>
      <c r="AG618" t="inlineStr">
        <is>
          <t>801+</t>
        </is>
      </c>
      <c r="AH618" t="n">
        <v>55.5</v>
      </c>
      <c r="AI618" t="inlineStr">
        <is>
          <t>591=</t>
        </is>
      </c>
      <c r="AJ618" t="inlineStr">
        <is>
          <t>12.9</t>
        </is>
      </c>
      <c r="AK618" t="inlineStr">
        <is>
          <t>601+</t>
        </is>
      </c>
      <c r="AL618" t="inlineStr">
        <is>
          <t>8.1</t>
        </is>
      </c>
      <c r="AM618" t="inlineStr">
        <is>
          <t>601+</t>
        </is>
      </c>
      <c r="AN618" t="inlineStr">
        <is>
          <t>3.2</t>
        </is>
      </c>
      <c r="AO618" t="inlineStr">
        <is>
          <t>701+</t>
        </is>
      </c>
      <c r="AP618" t="inlineStr">
        <is>
          <t>2.4</t>
        </is>
      </c>
      <c r="AQ618" t="inlineStr">
        <is>
          <t>701+</t>
        </is>
      </c>
      <c r="AR618" t="inlineStr">
        <is>
          <t>5.8</t>
        </is>
      </c>
      <c r="AS618" t="inlineStr">
        <is>
          <t>701+</t>
        </is>
      </c>
      <c r="AT618" t="inlineStr">
        <is>
          <t>4.1</t>
        </is>
      </c>
      <c r="AU618" t="inlineStr">
        <is>
          <t>701+</t>
        </is>
      </c>
      <c r="AV618" t="inlineStr">
        <is>
          <t>33.5</t>
        </is>
      </c>
      <c r="AW618" t="inlineStr">
        <is>
          <t>428</t>
        </is>
      </c>
      <c r="AX618" t="inlineStr">
        <is>
          <t>9.6</t>
        </is>
      </c>
      <c r="AY618" t="inlineStr">
        <is>
          <t>701+</t>
        </is>
      </c>
      <c r="AZ618" t="inlineStr">
        <is>
          <t>19.9</t>
        </is>
      </c>
      <c r="BA618" t="inlineStr">
        <is>
          <t>545=</t>
        </is>
      </c>
    </row>
    <row r="619">
      <c r="A619" t="inlineStr">
        <is>
          <t>Mapua University</t>
        </is>
      </c>
      <c r="B619" t="inlineStr">
        <is>
          <t>Philippines</t>
        </is>
      </c>
      <c r="C619" t="inlineStr"/>
      <c r="D619" t="inlineStr">
        <is>
          <t>Asia</t>
        </is>
      </c>
      <c r="E619" t="inlineStr">
        <is>
          <t>M</t>
        </is>
      </c>
      <c r="F619" t="inlineStr">
        <is>
          <t>FO</t>
        </is>
      </c>
      <c r="G619" t="inlineStr">
        <is>
          <t>VH</t>
        </is>
      </c>
      <c r="H619" t="inlineStr"/>
      <c r="I619" t="inlineStr">
        <is>
          <t>Private for Profit</t>
        </is>
      </c>
      <c r="J619" t="inlineStr">
        <is>
          <t>1401+</t>
        </is>
      </c>
      <c r="K619" t="inlineStr"/>
      <c r="L619" t="inlineStr"/>
      <c r="M619" t="inlineStr"/>
      <c r="N619" t="inlineStr">
        <is>
          <t>-</t>
        </is>
      </c>
      <c r="O619" t="inlineStr"/>
      <c r="P619" t="n">
        <v>9.699999999999999</v>
      </c>
      <c r="Q619" t="inlineStr">
        <is>
          <t>701+</t>
        </is>
      </c>
      <c r="R619" t="n">
        <v>16.2</v>
      </c>
      <c r="S619" t="inlineStr">
        <is>
          <t>701+</t>
        </is>
      </c>
      <c r="T619" t="n">
        <v>4.3</v>
      </c>
      <c r="U619" t="inlineStr">
        <is>
          <t>801+</t>
        </is>
      </c>
      <c r="V619" t="n">
        <v>9.300000000000001</v>
      </c>
      <c r="W619" t="inlineStr">
        <is>
          <t>801+</t>
        </is>
      </c>
      <c r="X619" t="n">
        <v>3</v>
      </c>
      <c r="Y619" t="inlineStr">
        <is>
          <t>801+</t>
        </is>
      </c>
      <c r="Z619" t="n">
        <v>1.9</v>
      </c>
      <c r="AA619" t="inlineStr">
        <is>
          <t>801+</t>
        </is>
      </c>
      <c r="AB619" t="n">
        <v>1.7</v>
      </c>
      <c r="AC619" t="inlineStr">
        <is>
          <t>801+</t>
        </is>
      </c>
      <c r="AD619" t="n">
        <v>6.3</v>
      </c>
      <c r="AE619" t="inlineStr">
        <is>
          <t>801+</t>
        </is>
      </c>
      <c r="AF619" t="n">
        <v>3.9</v>
      </c>
      <c r="AG619" t="inlineStr">
        <is>
          <t>801+</t>
        </is>
      </c>
      <c r="AH619" t="n">
        <v>37</v>
      </c>
      <c r="AI619" t="inlineStr">
        <is>
          <t>801+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</row>
    <row r="620">
      <c r="A620" t="inlineStr">
        <is>
          <t>Marmara University</t>
        </is>
      </c>
      <c r="B620" t="inlineStr">
        <is>
          <t>Turkey</t>
        </is>
      </c>
      <c r="C620" t="inlineStr">
        <is>
          <t>TR</t>
        </is>
      </c>
      <c r="D620" t="inlineStr">
        <is>
          <t>Asia</t>
        </is>
      </c>
      <c r="E620" t="inlineStr">
        <is>
          <t>XL</t>
        </is>
      </c>
      <c r="F620" t="inlineStr">
        <is>
          <t>FO</t>
        </is>
      </c>
      <c r="G620" t="inlineStr">
        <is>
          <t>VH</t>
        </is>
      </c>
      <c r="H620" t="inlineStr">
        <is>
          <t>5</t>
        </is>
      </c>
      <c r="I620" t="inlineStr">
        <is>
          <t>Public</t>
        </is>
      </c>
      <c r="J620" t="inlineStr">
        <is>
          <t>1001-1200</t>
        </is>
      </c>
      <c r="K620" t="inlineStr">
        <is>
          <t>1001-1200</t>
        </is>
      </c>
      <c r="L620" t="inlineStr">
        <is>
          <t>1201-1400</t>
        </is>
      </c>
      <c r="M620" t="inlineStr">
        <is>
          <t>1201-1400</t>
        </is>
      </c>
      <c r="N620" t="inlineStr">
        <is>
          <t>-</t>
        </is>
      </c>
      <c r="O620" t="inlineStr">
        <is>
          <t>-</t>
        </is>
      </c>
      <c r="P620" t="n">
        <v>11.8</v>
      </c>
      <c r="Q620" t="inlineStr">
        <is>
          <t>701+</t>
        </is>
      </c>
      <c r="R620" t="n">
        <v>23.1</v>
      </c>
      <c r="S620" t="inlineStr">
        <is>
          <t>577</t>
        </is>
      </c>
      <c r="T620" t="n">
        <v>5.4</v>
      </c>
      <c r="U620" t="inlineStr">
        <is>
          <t>801+</t>
        </is>
      </c>
      <c r="V620" t="n">
        <v>4.9</v>
      </c>
      <c r="W620" t="inlineStr">
        <is>
          <t>801+</t>
        </is>
      </c>
      <c r="X620" t="n">
        <v>5.5</v>
      </c>
      <c r="Y620" t="inlineStr">
        <is>
          <t>801+</t>
        </is>
      </c>
      <c r="Z620" t="n">
        <v>6.8</v>
      </c>
      <c r="AA620" t="inlineStr">
        <is>
          <t>801+</t>
        </is>
      </c>
      <c r="AB620" t="n">
        <v>12.3</v>
      </c>
      <c r="AC620" t="inlineStr">
        <is>
          <t>801+</t>
        </is>
      </c>
      <c r="AD620" t="n">
        <v>52.5</v>
      </c>
      <c r="AE620" t="inlineStr">
        <is>
          <t>801+</t>
        </is>
      </c>
      <c r="AF620" t="n">
        <v>38.1</v>
      </c>
      <c r="AG620" t="inlineStr">
        <is>
          <t>453</t>
        </is>
      </c>
      <c r="AH620" t="n">
        <v>42.6</v>
      </c>
      <c r="AI620" t="inlineStr">
        <is>
          <t>801+</t>
        </is>
      </c>
      <c r="AJ620" t="inlineStr">
        <is>
          <t>6.8</t>
        </is>
      </c>
      <c r="AK620" t="inlineStr">
        <is>
          <t>601+</t>
        </is>
      </c>
      <c r="AL620" t="inlineStr">
        <is>
          <t>8.3</t>
        </is>
      </c>
      <c r="AM620" t="inlineStr">
        <is>
          <t>601+</t>
        </is>
      </c>
      <c r="AN620" t="inlineStr">
        <is>
          <t>5.0</t>
        </is>
      </c>
      <c r="AO620" t="inlineStr">
        <is>
          <t>701+</t>
        </is>
      </c>
      <c r="AP620" t="inlineStr">
        <is>
          <t>2.3</t>
        </is>
      </c>
      <c r="AQ620" t="inlineStr">
        <is>
          <t>701+</t>
        </is>
      </c>
      <c r="AR620" t="inlineStr">
        <is>
          <t>3.0</t>
        </is>
      </c>
      <c r="AS620" t="inlineStr">
        <is>
          <t>701+</t>
        </is>
      </c>
      <c r="AT620" t="inlineStr">
        <is>
          <t>3.6</t>
        </is>
      </c>
      <c r="AU620" t="inlineStr">
        <is>
          <t>701+</t>
        </is>
      </c>
      <c r="AV620" t="inlineStr">
        <is>
          <t>2.1</t>
        </is>
      </c>
      <c r="AW620" t="inlineStr">
        <is>
          <t>701+</t>
        </is>
      </c>
      <c r="AX620" t="inlineStr">
        <is>
          <t>15.4</t>
        </is>
      </c>
      <c r="AY620" t="inlineStr">
        <is>
          <t>548</t>
        </is>
      </c>
      <c r="AZ620" t="inlineStr">
        <is>
          <t>6.1</t>
        </is>
      </c>
      <c r="BA620" t="inlineStr">
        <is>
          <t>701+</t>
        </is>
      </c>
    </row>
    <row r="621">
      <c r="A621" t="inlineStr">
        <is>
          <t>Marquette University</t>
        </is>
      </c>
      <c r="B621" t="inlineStr">
        <is>
          <t>United States</t>
        </is>
      </c>
      <c r="C621" t="inlineStr">
        <is>
          <t>US</t>
        </is>
      </c>
      <c r="D621" t="inlineStr">
        <is>
          <t>Americas</t>
        </is>
      </c>
      <c r="E621" t="inlineStr">
        <is>
          <t>M</t>
        </is>
      </c>
      <c r="F621" t="inlineStr">
        <is>
          <t>CO</t>
        </is>
      </c>
      <c r="G621" t="inlineStr">
        <is>
          <t>VH</t>
        </is>
      </c>
      <c r="H621" t="inlineStr">
        <is>
          <t>5</t>
        </is>
      </c>
      <c r="I621" t="inlineStr">
        <is>
          <t>Private not for Profit</t>
        </is>
      </c>
      <c r="J621" t="inlineStr">
        <is>
          <t>1201-1400</t>
        </is>
      </c>
      <c r="K621" t="inlineStr">
        <is>
          <t>1201-1400</t>
        </is>
      </c>
      <c r="L621" t="inlineStr">
        <is>
          <t>1201-1400</t>
        </is>
      </c>
      <c r="M621" t="inlineStr">
        <is>
          <t>1001-1200</t>
        </is>
      </c>
      <c r="N621" t="inlineStr">
        <is>
          <t>-</t>
        </is>
      </c>
      <c r="O621" t="inlineStr">
        <is>
          <t>-</t>
        </is>
      </c>
      <c r="P621" t="n">
        <v>3.6</v>
      </c>
      <c r="Q621" t="inlineStr">
        <is>
          <t>701+</t>
        </is>
      </c>
      <c r="R621" t="n">
        <v>3.2</v>
      </c>
      <c r="S621" t="inlineStr">
        <is>
          <t>701+</t>
        </is>
      </c>
      <c r="T621" t="n">
        <v>28.5</v>
      </c>
      <c r="U621" t="inlineStr">
        <is>
          <t>669</t>
        </is>
      </c>
      <c r="V621" t="n">
        <v>15.2</v>
      </c>
      <c r="W621" t="inlineStr">
        <is>
          <t>801+</t>
        </is>
      </c>
      <c r="X621" t="n">
        <v>8.6</v>
      </c>
      <c r="Y621" t="inlineStr">
        <is>
          <t>801+</t>
        </is>
      </c>
      <c r="Z621" t="n">
        <v>5</v>
      </c>
      <c r="AA621" t="inlineStr">
        <is>
          <t>801+</t>
        </is>
      </c>
      <c r="AB621" t="n">
        <v>10</v>
      </c>
      <c r="AC621" t="inlineStr">
        <is>
          <t>801+</t>
        </is>
      </c>
      <c r="AD621" t="n">
        <v>31.7</v>
      </c>
      <c r="AE621" t="inlineStr">
        <is>
          <t>801+</t>
        </is>
      </c>
      <c r="AF621" t="n">
        <v>27.3</v>
      </c>
      <c r="AG621" t="inlineStr">
        <is>
          <t>605</t>
        </is>
      </c>
      <c r="AH621" t="n">
        <v>30</v>
      </c>
      <c r="AI621" t="inlineStr">
        <is>
          <t>801+</t>
        </is>
      </c>
      <c r="AJ621" t="inlineStr">
        <is>
          <t>3.4</t>
        </is>
      </c>
      <c r="AK621" t="inlineStr">
        <is>
          <t>601+</t>
        </is>
      </c>
      <c r="AL621" t="inlineStr">
        <is>
          <t>3.8</t>
        </is>
      </c>
      <c r="AM621" t="inlineStr">
        <is>
          <t>601+</t>
        </is>
      </c>
      <c r="AN621" t="inlineStr">
        <is>
          <t>23.7</t>
        </is>
      </c>
      <c r="AO621" t="inlineStr">
        <is>
          <t>600</t>
        </is>
      </c>
      <c r="AP621" t="inlineStr">
        <is>
          <t>9.3</t>
        </is>
      </c>
      <c r="AQ621" t="inlineStr">
        <is>
          <t>701+</t>
        </is>
      </c>
      <c r="AR621" t="inlineStr">
        <is>
          <t>6.8</t>
        </is>
      </c>
      <c r="AS621" t="inlineStr">
        <is>
          <t>701+</t>
        </is>
      </c>
      <c r="AT621" t="inlineStr">
        <is>
          <t>2.7</t>
        </is>
      </c>
      <c r="AU621" t="inlineStr">
        <is>
          <t>701+</t>
        </is>
      </c>
      <c r="AV621" t="inlineStr">
        <is>
          <t>1.5</t>
        </is>
      </c>
      <c r="AW621" t="inlineStr">
        <is>
          <t>701+</t>
        </is>
      </c>
      <c r="AX621" t="inlineStr">
        <is>
          <t>13.2</t>
        </is>
      </c>
      <c r="AY621" t="inlineStr">
        <is>
          <t>651</t>
        </is>
      </c>
      <c r="AZ621" t="inlineStr">
        <is>
          <t>1.1</t>
        </is>
      </c>
      <c r="BA621" t="inlineStr">
        <is>
          <t>701+</t>
        </is>
      </c>
    </row>
    <row r="622">
      <c r="A622" t="inlineStr">
        <is>
          <t>Martin-Luther-Universität Halle-Wittenberg</t>
        </is>
      </c>
      <c r="B622" t="inlineStr">
        <is>
          <t>Germany</t>
        </is>
      </c>
      <c r="C622" t="inlineStr">
        <is>
          <t>DE</t>
        </is>
      </c>
      <c r="D622" t="inlineStr">
        <is>
          <t>Europe</t>
        </is>
      </c>
      <c r="E622" t="inlineStr">
        <is>
          <t>L</t>
        </is>
      </c>
      <c r="F622" t="inlineStr">
        <is>
          <t>FC</t>
        </is>
      </c>
      <c r="G622" t="inlineStr">
        <is>
          <t>VH</t>
        </is>
      </c>
      <c r="H622" t="inlineStr">
        <is>
          <t>5</t>
        </is>
      </c>
      <c r="I622" t="inlineStr">
        <is>
          <t>Public</t>
        </is>
      </c>
      <c r="J622" t="inlineStr">
        <is>
          <t>751-760</t>
        </is>
      </c>
      <c r="K622" t="inlineStr">
        <is>
          <t>671-680</t>
        </is>
      </c>
      <c r="L622" t="inlineStr">
        <is>
          <t>611-620</t>
        </is>
      </c>
      <c r="M622" t="inlineStr">
        <is>
          <t>477=</t>
        </is>
      </c>
      <c r="N622" t="inlineStr">
        <is>
          <t>-</t>
        </is>
      </c>
      <c r="O622" t="inlineStr">
        <is>
          <t>-</t>
        </is>
      </c>
      <c r="P622" t="n">
        <v>15.1</v>
      </c>
      <c r="Q622" t="inlineStr">
        <is>
          <t>701+</t>
        </is>
      </c>
      <c r="R622" t="n">
        <v>9.9</v>
      </c>
      <c r="S622" t="inlineStr">
        <is>
          <t>701+</t>
        </is>
      </c>
      <c r="T622" t="n">
        <v>89.40000000000001</v>
      </c>
      <c r="U622" t="inlineStr">
        <is>
          <t>106</t>
        </is>
      </c>
      <c r="V622" t="n">
        <v>11.2</v>
      </c>
      <c r="W622" t="inlineStr">
        <is>
          <t>801+</t>
        </is>
      </c>
      <c r="X622" t="inlineStr"/>
      <c r="Y622" t="inlineStr"/>
      <c r="Z622" t="n">
        <v>17</v>
      </c>
      <c r="AA622" t="inlineStr">
        <is>
          <t>781</t>
        </is>
      </c>
      <c r="AB622" t="n">
        <v>12.9</v>
      </c>
      <c r="AC622" t="inlineStr">
        <is>
          <t>801+</t>
        </is>
      </c>
      <c r="AD622" t="n">
        <v>86.5</v>
      </c>
      <c r="AE622" t="inlineStr">
        <is>
          <t>230</t>
        </is>
      </c>
      <c r="AF622" t="n">
        <v>6.3</v>
      </c>
      <c r="AG622" t="inlineStr">
        <is>
          <t>801+</t>
        </is>
      </c>
      <c r="AH622" t="n">
        <v>47.1</v>
      </c>
      <c r="AI622" t="inlineStr">
        <is>
          <t>785=</t>
        </is>
      </c>
      <c r="AJ622" t="inlineStr">
        <is>
          <t>14.4</t>
        </is>
      </c>
      <c r="AK622" t="inlineStr">
        <is>
          <t>599</t>
        </is>
      </c>
      <c r="AL622" t="inlineStr">
        <is>
          <t>4.3</t>
        </is>
      </c>
      <c r="AM622" t="inlineStr">
        <is>
          <t>601+</t>
        </is>
      </c>
      <c r="AN622" t="inlineStr">
        <is>
          <t>82.8</t>
        </is>
      </c>
      <c r="AO622" t="inlineStr">
        <is>
          <t>123</t>
        </is>
      </c>
      <c r="AP622" t="inlineStr">
        <is>
          <t>6.9</t>
        </is>
      </c>
      <c r="AQ622" t="inlineStr">
        <is>
          <t>701+</t>
        </is>
      </c>
      <c r="AR622" t="inlineStr"/>
      <c r="AS622" t="inlineStr"/>
      <c r="AT622" t="inlineStr">
        <is>
          <t>9.8</t>
        </is>
      </c>
      <c r="AU622" t="inlineStr">
        <is>
          <t>701+</t>
        </is>
      </c>
      <c r="AV622" t="inlineStr">
        <is>
          <t>73.4</t>
        </is>
      </c>
      <c r="AW622" t="inlineStr">
        <is>
          <t>179</t>
        </is>
      </c>
      <c r="AX622" t="inlineStr">
        <is>
          <t>7.6</t>
        </is>
      </c>
      <c r="AY622" t="inlineStr">
        <is>
          <t>701+</t>
        </is>
      </c>
      <c r="AZ622" t="inlineStr">
        <is>
          <t>5.8</t>
        </is>
      </c>
      <c r="BA622" t="inlineStr">
        <is>
          <t>701+</t>
        </is>
      </c>
    </row>
    <row r="623">
      <c r="A623" t="inlineStr">
        <is>
          <t>Masaryk University</t>
        </is>
      </c>
      <c r="B623" t="inlineStr">
        <is>
          <t>Czech Republic</t>
        </is>
      </c>
      <c r="C623" t="inlineStr">
        <is>
          <t>CZ</t>
        </is>
      </c>
      <c r="D623" t="inlineStr">
        <is>
          <t>Europe</t>
        </is>
      </c>
      <c r="E623" t="inlineStr">
        <is>
          <t>XL</t>
        </is>
      </c>
      <c r="F623" t="inlineStr">
        <is>
          <t>CO</t>
        </is>
      </c>
      <c r="G623" t="inlineStr">
        <is>
          <t>VH</t>
        </is>
      </c>
      <c r="H623" t="inlineStr">
        <is>
          <t>5</t>
        </is>
      </c>
      <c r="I623" t="inlineStr">
        <is>
          <t>Public</t>
        </is>
      </c>
      <c r="J623" t="inlineStr">
        <is>
          <t>430</t>
        </is>
      </c>
      <c r="K623" t="inlineStr">
        <is>
          <t>408</t>
        </is>
      </c>
      <c r="L623">
        <f>400</f>
        <v/>
      </c>
      <c r="M623" t="inlineStr">
        <is>
          <t>551-560</t>
        </is>
      </c>
      <c r="N623" t="inlineStr">
        <is>
          <t>35.7</t>
        </is>
      </c>
      <c r="O623" t="inlineStr">
        <is>
          <t>27.9</t>
        </is>
      </c>
      <c r="P623" t="n">
        <v>32.3</v>
      </c>
      <c r="Q623" t="inlineStr">
        <is>
          <t>383</t>
        </is>
      </c>
      <c r="R623" t="n">
        <v>37.3</v>
      </c>
      <c r="S623" t="inlineStr">
        <is>
          <t>377</t>
        </is>
      </c>
      <c r="T623" t="n">
        <v>13.1</v>
      </c>
      <c r="U623" t="inlineStr">
        <is>
          <t>801+</t>
        </is>
      </c>
      <c r="V623" t="n">
        <v>18.8</v>
      </c>
      <c r="W623" t="inlineStr">
        <is>
          <t>738</t>
        </is>
      </c>
      <c r="X623" t="n">
        <v>34.5</v>
      </c>
      <c r="Y623" t="inlineStr">
        <is>
          <t>541</t>
        </is>
      </c>
      <c r="Z623" t="n">
        <v>76.8</v>
      </c>
      <c r="AA623" t="inlineStr">
        <is>
          <t>245</t>
        </is>
      </c>
      <c r="AB623" t="n">
        <v>79</v>
      </c>
      <c r="AC623" t="inlineStr">
        <is>
          <t>217</t>
        </is>
      </c>
      <c r="AD623" t="n">
        <v>79.8</v>
      </c>
      <c r="AE623" t="inlineStr">
        <is>
          <t>355</t>
        </is>
      </c>
      <c r="AF623" t="n">
        <v>58.8</v>
      </c>
      <c r="AG623" t="inlineStr">
        <is>
          <t>278</t>
        </is>
      </c>
      <c r="AH623" t="n">
        <v>77</v>
      </c>
      <c r="AI623" t="inlineStr">
        <is>
          <t>214=</t>
        </is>
      </c>
      <c r="AJ623" t="inlineStr">
        <is>
          <t>23.2</t>
        </is>
      </c>
      <c r="AK623" t="inlineStr">
        <is>
          <t>371</t>
        </is>
      </c>
      <c r="AL623" t="inlineStr">
        <is>
          <t>32.2</t>
        </is>
      </c>
      <c r="AM623" t="inlineStr">
        <is>
          <t>305</t>
        </is>
      </c>
      <c r="AN623" t="inlineStr">
        <is>
          <t>10.4</t>
        </is>
      </c>
      <c r="AO623" t="inlineStr">
        <is>
          <t>701+</t>
        </is>
      </c>
      <c r="AP623" t="inlineStr">
        <is>
          <t>15.2</t>
        </is>
      </c>
      <c r="AQ623" t="inlineStr">
        <is>
          <t>628</t>
        </is>
      </c>
      <c r="AR623" t="inlineStr">
        <is>
          <t>31.0</t>
        </is>
      </c>
      <c r="AS623" t="inlineStr">
        <is>
          <t>481</t>
        </is>
      </c>
      <c r="AT623" t="inlineStr">
        <is>
          <t>68.7</t>
        </is>
      </c>
      <c r="AU623" t="inlineStr">
        <is>
          <t>215</t>
        </is>
      </c>
      <c r="AV623" t="inlineStr">
        <is>
          <t>56.2</t>
        </is>
      </c>
      <c r="AW623" t="inlineStr">
        <is>
          <t>276</t>
        </is>
      </c>
      <c r="AX623" t="inlineStr">
        <is>
          <t>14.6</t>
        </is>
      </c>
      <c r="AY623" t="inlineStr">
        <is>
          <t>575</t>
        </is>
      </c>
      <c r="AZ623" t="inlineStr">
        <is>
          <t>69.9</t>
        </is>
      </c>
      <c r="BA623" t="inlineStr">
        <is>
          <t>207=</t>
        </is>
      </c>
    </row>
    <row r="624">
      <c r="A624" t="inlineStr">
        <is>
          <t>Massachusetts Institute of Technology (MIT)</t>
        </is>
      </c>
      <c r="B624" t="inlineStr">
        <is>
          <t>United States</t>
        </is>
      </c>
      <c r="C624" t="inlineStr">
        <is>
          <t>US</t>
        </is>
      </c>
      <c r="D624" t="inlineStr">
        <is>
          <t>Americas</t>
        </is>
      </c>
      <c r="E624" t="inlineStr">
        <is>
          <t>M</t>
        </is>
      </c>
      <c r="F624" t="inlineStr">
        <is>
          <t>CO</t>
        </is>
      </c>
      <c r="G624" t="inlineStr">
        <is>
          <t>VH</t>
        </is>
      </c>
      <c r="H624" t="inlineStr">
        <is>
          <t>5</t>
        </is>
      </c>
      <c r="I624" t="inlineStr">
        <is>
          <t>Private not for Profit</t>
        </is>
      </c>
      <c r="J624" t="inlineStr">
        <is>
          <t>1</t>
        </is>
      </c>
      <c r="K624" t="inlineStr">
        <is>
          <t>1</t>
        </is>
      </c>
      <c r="L624" t="inlineStr">
        <is>
          <t>1</t>
        </is>
      </c>
      <c r="M624" t="inlineStr">
        <is>
          <t>1</t>
        </is>
      </c>
      <c r="N624" t="inlineStr">
        <is>
          <t>100</t>
        </is>
      </c>
      <c r="O624" t="inlineStr">
        <is>
          <t>100.0</t>
        </is>
      </c>
      <c r="P624" t="n">
        <v>100</v>
      </c>
      <c r="Q624" t="inlineStr">
        <is>
          <t>4</t>
        </is>
      </c>
      <c r="R624" t="n">
        <v>100</v>
      </c>
      <c r="S624" t="inlineStr">
        <is>
          <t>2</t>
        </is>
      </c>
      <c r="T624" t="n">
        <v>100</v>
      </c>
      <c r="U624" t="inlineStr">
        <is>
          <t>16</t>
        </is>
      </c>
      <c r="V624" t="n">
        <v>100</v>
      </c>
      <c r="W624" t="inlineStr">
        <is>
          <t>7</t>
        </is>
      </c>
      <c r="X624" t="n">
        <v>100</v>
      </c>
      <c r="Y624" t="inlineStr">
        <is>
          <t>63</t>
        </is>
      </c>
      <c r="Z624" t="n">
        <v>91.59999999999999</v>
      </c>
      <c r="AA624" t="inlineStr">
        <is>
          <t>153</t>
        </is>
      </c>
      <c r="AB624" t="n">
        <v>92.3</v>
      </c>
      <c r="AC624" t="inlineStr">
        <is>
          <t>130</t>
        </is>
      </c>
      <c r="AD624" t="n">
        <v>94.09999999999999</v>
      </c>
      <c r="AE624" t="inlineStr">
        <is>
          <t>98</t>
        </is>
      </c>
      <c r="AF624" t="n">
        <v>100</v>
      </c>
      <c r="AG624" t="inlineStr">
        <is>
          <t>7</t>
        </is>
      </c>
      <c r="AH624" t="n">
        <v>93.8</v>
      </c>
      <c r="AI624" t="inlineStr">
        <is>
          <t>33</t>
        </is>
      </c>
      <c r="AJ624" t="inlineStr">
        <is>
          <t>100.0</t>
        </is>
      </c>
      <c r="AK624" t="inlineStr">
        <is>
          <t>4</t>
        </is>
      </c>
      <c r="AL624" t="inlineStr">
        <is>
          <t>100.0</t>
        </is>
      </c>
      <c r="AM624" t="inlineStr">
        <is>
          <t>2</t>
        </is>
      </c>
      <c r="AN624" t="inlineStr">
        <is>
          <t>100.0</t>
        </is>
      </c>
      <c r="AO624" t="inlineStr">
        <is>
          <t>16</t>
        </is>
      </c>
      <c r="AP624" t="inlineStr">
        <is>
          <t>100.0</t>
        </is>
      </c>
      <c r="AQ624" t="inlineStr">
        <is>
          <t>4</t>
        </is>
      </c>
      <c r="AR624" t="inlineStr">
        <is>
          <t>100.0</t>
        </is>
      </c>
      <c r="AS624" t="inlineStr">
        <is>
          <t>56</t>
        </is>
      </c>
      <c r="AT624" t="inlineStr">
        <is>
          <t>88.2</t>
        </is>
      </c>
      <c r="AU624" t="inlineStr">
        <is>
          <t>128</t>
        </is>
      </c>
      <c r="AV624" t="inlineStr">
        <is>
          <t>94.3</t>
        </is>
      </c>
      <c r="AW624" t="inlineStr">
        <is>
          <t>58</t>
        </is>
      </c>
      <c r="AX624" t="inlineStr">
        <is>
          <t>100</t>
        </is>
      </c>
      <c r="AY624" t="inlineStr">
        <is>
          <t>4</t>
        </is>
      </c>
      <c r="AZ624" t="inlineStr">
        <is>
          <t>95.2</t>
        </is>
      </c>
      <c r="BA624" t="inlineStr">
        <is>
          <t>51</t>
        </is>
      </c>
    </row>
    <row r="625">
      <c r="A625" t="inlineStr">
        <is>
          <t>Massey University</t>
        </is>
      </c>
      <c r="B625" t="inlineStr">
        <is>
          <t>New Zealand</t>
        </is>
      </c>
      <c r="C625" t="inlineStr">
        <is>
          <t>NZ</t>
        </is>
      </c>
      <c r="D625" t="inlineStr">
        <is>
          <t>Oceania</t>
        </is>
      </c>
      <c r="E625" t="inlineStr">
        <is>
          <t>M</t>
        </is>
      </c>
      <c r="F625" t="inlineStr">
        <is>
          <t>CO</t>
        </is>
      </c>
      <c r="G625" t="inlineStr">
        <is>
          <t>VH</t>
        </is>
      </c>
      <c r="H625" t="inlineStr">
        <is>
          <t>4</t>
        </is>
      </c>
      <c r="I625" t="inlineStr">
        <is>
          <t>Public</t>
        </is>
      </c>
      <c r="J625" t="inlineStr">
        <is>
          <t>230</t>
        </is>
      </c>
      <c r="K625" t="inlineStr">
        <is>
          <t>239</t>
        </is>
      </c>
      <c r="L625">
        <f>239</f>
        <v/>
      </c>
      <c r="M625" t="inlineStr">
        <is>
          <t>292</t>
        </is>
      </c>
      <c r="N625" t="inlineStr">
        <is>
          <t>52.9</t>
        </is>
      </c>
      <c r="O625" t="inlineStr">
        <is>
          <t>40.6</t>
        </is>
      </c>
      <c r="P625" t="n">
        <v>42.1</v>
      </c>
      <c r="Q625" t="inlineStr">
        <is>
          <t>284</t>
        </is>
      </c>
      <c r="R625" t="n">
        <v>24.1</v>
      </c>
      <c r="S625" t="inlineStr">
        <is>
          <t>558</t>
        </is>
      </c>
      <c r="T625" t="n">
        <v>57.3</v>
      </c>
      <c r="U625" t="inlineStr">
        <is>
          <t>319</t>
        </is>
      </c>
      <c r="V625" t="n">
        <v>50.5</v>
      </c>
      <c r="W625" t="inlineStr">
        <is>
          <t>373</t>
        </is>
      </c>
      <c r="X625" t="n">
        <v>99.40000000000001</v>
      </c>
      <c r="Y625" t="inlineStr">
        <is>
          <t>120</t>
        </is>
      </c>
      <c r="Z625" t="n">
        <v>98.90000000000001</v>
      </c>
      <c r="AA625" t="inlineStr">
        <is>
          <t>71</t>
        </is>
      </c>
      <c r="AB625" t="n">
        <v>98.90000000000001</v>
      </c>
      <c r="AC625" t="inlineStr">
        <is>
          <t>62</t>
        </is>
      </c>
      <c r="AD625" t="n">
        <v>82.2</v>
      </c>
      <c r="AE625" t="inlineStr">
        <is>
          <t>308</t>
        </is>
      </c>
      <c r="AF625" t="n">
        <v>60.7</v>
      </c>
      <c r="AG625" t="inlineStr">
        <is>
          <t>265</t>
        </is>
      </c>
      <c r="AH625" t="n">
        <v>83.7</v>
      </c>
      <c r="AI625" t="inlineStr">
        <is>
          <t>129=</t>
        </is>
      </c>
      <c r="AJ625" t="inlineStr">
        <is>
          <t>30.4</t>
        </is>
      </c>
      <c r="AK625" t="inlineStr">
        <is>
          <t>286</t>
        </is>
      </c>
      <c r="AL625" t="inlineStr">
        <is>
          <t>16.0</t>
        </is>
      </c>
      <c r="AM625" t="inlineStr">
        <is>
          <t>528</t>
        </is>
      </c>
      <c r="AN625" t="inlineStr">
        <is>
          <t>43.2</t>
        </is>
      </c>
      <c r="AO625" t="inlineStr">
        <is>
          <t>364</t>
        </is>
      </c>
      <c r="AP625" t="inlineStr">
        <is>
          <t>22.7</t>
        </is>
      </c>
      <c r="AQ625" t="inlineStr">
        <is>
          <t>520</t>
        </is>
      </c>
      <c r="AR625" t="inlineStr">
        <is>
          <t>98.2</t>
        </is>
      </c>
      <c r="AS625" t="inlineStr">
        <is>
          <t>111</t>
        </is>
      </c>
      <c r="AT625" t="inlineStr">
        <is>
          <t>97.9</t>
        </is>
      </c>
      <c r="AU625" t="inlineStr">
        <is>
          <t>64</t>
        </is>
      </c>
      <c r="AV625" t="inlineStr">
        <is>
          <t>65.2</t>
        </is>
      </c>
      <c r="AW625" t="inlineStr">
        <is>
          <t>215</t>
        </is>
      </c>
      <c r="AX625" t="inlineStr">
        <is>
          <t>44.9</t>
        </is>
      </c>
      <c r="AY625" t="inlineStr">
        <is>
          <t>157</t>
        </is>
      </c>
      <c r="AZ625" t="inlineStr">
        <is>
          <t>94.7</t>
        </is>
      </c>
      <c r="BA625" t="inlineStr">
        <is>
          <t>58=</t>
        </is>
      </c>
    </row>
    <row r="626">
      <c r="A626" t="inlineStr">
        <is>
          <t>MATE Hungarian University of Agriculture and Life Sciences</t>
        </is>
      </c>
      <c r="B626" t="inlineStr">
        <is>
          <t>Hungary</t>
        </is>
      </c>
      <c r="C626" t="inlineStr"/>
      <c r="D626" t="inlineStr">
        <is>
          <t>Europe</t>
        </is>
      </c>
      <c r="E626" t="inlineStr">
        <is>
          <t>M</t>
        </is>
      </c>
      <c r="F626" t="inlineStr">
        <is>
          <t>FO</t>
        </is>
      </c>
      <c r="G626" t="inlineStr">
        <is>
          <t>VH</t>
        </is>
      </c>
      <c r="H626" t="inlineStr"/>
      <c r="I626" t="inlineStr">
        <is>
          <t>Private not for Profit</t>
        </is>
      </c>
      <c r="J626" t="inlineStr">
        <is>
          <t>1001-1200</t>
        </is>
      </c>
      <c r="K626" t="inlineStr">
        <is>
          <t>1001-1200</t>
        </is>
      </c>
      <c r="L626" t="inlineStr"/>
      <c r="M626" t="inlineStr"/>
      <c r="N626" t="inlineStr">
        <is>
          <t>-</t>
        </is>
      </c>
      <c r="O626" t="inlineStr"/>
      <c r="P626" t="n">
        <v>7.1</v>
      </c>
      <c r="Q626" t="inlineStr">
        <is>
          <t>701+</t>
        </is>
      </c>
      <c r="R626" t="n">
        <v>8</v>
      </c>
      <c r="S626" t="inlineStr">
        <is>
          <t>701+</t>
        </is>
      </c>
      <c r="T626" t="n">
        <v>34.1</v>
      </c>
      <c r="U626" t="inlineStr">
        <is>
          <t>577</t>
        </is>
      </c>
      <c r="V626" t="n">
        <v>7.2</v>
      </c>
      <c r="W626" t="inlineStr">
        <is>
          <t>801+</t>
        </is>
      </c>
      <c r="X626" t="n">
        <v>4.1</v>
      </c>
      <c r="Y626" t="inlineStr">
        <is>
          <t>801+</t>
        </is>
      </c>
      <c r="Z626" t="n">
        <v>43.1</v>
      </c>
      <c r="AA626" t="inlineStr">
        <is>
          <t>467</t>
        </is>
      </c>
      <c r="AB626" t="n">
        <v>48.3</v>
      </c>
      <c r="AC626" t="inlineStr">
        <is>
          <t>431</t>
        </is>
      </c>
      <c r="AD626" t="n">
        <v>59</v>
      </c>
      <c r="AE626" t="inlineStr">
        <is>
          <t>707</t>
        </is>
      </c>
      <c r="AF626" t="n">
        <v>4.8</v>
      </c>
      <c r="AG626" t="inlineStr">
        <is>
          <t>801+</t>
        </is>
      </c>
      <c r="AH626" t="n">
        <v>55.4</v>
      </c>
      <c r="AI626" t="inlineStr">
        <is>
          <t>593=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</row>
    <row r="627">
      <c r="A627" t="inlineStr">
        <is>
          <t>Maynooth University</t>
        </is>
      </c>
      <c r="B627" t="inlineStr">
        <is>
          <t>Ireland</t>
        </is>
      </c>
      <c r="C627" t="inlineStr">
        <is>
          <t>IE</t>
        </is>
      </c>
      <c r="D627" t="inlineStr"/>
      <c r="E627" t="inlineStr">
        <is>
          <t>M</t>
        </is>
      </c>
      <c r="F627" t="inlineStr">
        <is>
          <t>FO</t>
        </is>
      </c>
      <c r="G627" t="inlineStr">
        <is>
          <t>VH</t>
        </is>
      </c>
      <c r="H627" t="inlineStr">
        <is>
          <t>3</t>
        </is>
      </c>
      <c r="I627" t="inlineStr">
        <is>
          <t>A</t>
        </is>
      </c>
      <c r="J627" t="inlineStr"/>
      <c r="K627" t="inlineStr"/>
      <c r="L627" t="inlineStr">
        <is>
          <t>801-850</t>
        </is>
      </c>
      <c r="M627" t="inlineStr">
        <is>
          <t>801-1000</t>
        </is>
      </c>
      <c r="N627" t="inlineStr"/>
      <c r="O627" t="inlineStr">
        <is>
          <t>-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10.0</t>
        </is>
      </c>
      <c r="AK627" t="inlineStr">
        <is>
          <t>601+</t>
        </is>
      </c>
      <c r="AL627" t="inlineStr">
        <is>
          <t>9.2</t>
        </is>
      </c>
      <c r="AM627" t="inlineStr">
        <is>
          <t>601+</t>
        </is>
      </c>
      <c r="AN627" t="inlineStr">
        <is>
          <t>8.7</t>
        </is>
      </c>
      <c r="AO627" t="inlineStr">
        <is>
          <t>701+</t>
        </is>
      </c>
      <c r="AP627" t="inlineStr">
        <is>
          <t>12.6</t>
        </is>
      </c>
      <c r="AQ627" t="inlineStr">
        <is>
          <t>684</t>
        </is>
      </c>
      <c r="AR627" t="inlineStr">
        <is>
          <t>89.4</t>
        </is>
      </c>
      <c r="AS627" t="inlineStr">
        <is>
          <t>187</t>
        </is>
      </c>
      <c r="AT627" t="inlineStr">
        <is>
          <t>15.6</t>
        </is>
      </c>
      <c r="AU627" t="inlineStr">
        <is>
          <t>608</t>
        </is>
      </c>
      <c r="AV627" t="inlineStr">
        <is>
          <t>4.7</t>
        </is>
      </c>
      <c r="AW627" t="inlineStr">
        <is>
          <t>701+</t>
        </is>
      </c>
      <c r="AX627" t="inlineStr">
        <is>
          <t>9</t>
        </is>
      </c>
      <c r="AY627" t="inlineStr">
        <is>
          <t>701+</t>
        </is>
      </c>
      <c r="AZ627" t="inlineStr">
        <is>
          <t>4.7</t>
        </is>
      </c>
      <c r="BA627" t="inlineStr">
        <is>
          <t>701+</t>
        </is>
      </c>
    </row>
    <row r="628">
      <c r="A628" t="inlineStr">
        <is>
          <t>McGill University</t>
        </is>
      </c>
      <c r="B628" t="inlineStr">
        <is>
          <t>Canada</t>
        </is>
      </c>
      <c r="C628" t="inlineStr">
        <is>
          <t>CA</t>
        </is>
      </c>
      <c r="D628" t="inlineStr">
        <is>
          <t>Americas</t>
        </is>
      </c>
      <c r="E628" t="inlineStr">
        <is>
          <t>L</t>
        </is>
      </c>
      <c r="F628" t="inlineStr">
        <is>
          <t>FC</t>
        </is>
      </c>
      <c r="G628" t="inlineStr">
        <is>
          <t>VH</t>
        </is>
      </c>
      <c r="H628" t="inlineStr">
        <is>
          <t>5</t>
        </is>
      </c>
      <c r="I628" t="inlineStr">
        <is>
          <t>Public</t>
        </is>
      </c>
      <c r="J628" t="inlineStr">
        <is>
          <t>27</t>
        </is>
      </c>
      <c r="K628" t="inlineStr">
        <is>
          <t>29</t>
        </is>
      </c>
      <c r="L628" t="inlineStr">
        <is>
          <t>30</t>
        </is>
      </c>
      <c r="M628" t="inlineStr">
        <is>
          <t>31</t>
        </is>
      </c>
      <c r="N628" t="inlineStr">
        <is>
          <t>88.9</t>
        </is>
      </c>
      <c r="O628" t="inlineStr">
        <is>
          <t>83.7</t>
        </is>
      </c>
      <c r="P628" t="n">
        <v>98.09999999999999</v>
      </c>
      <c r="Q628" t="inlineStr">
        <is>
          <t>35</t>
        </is>
      </c>
      <c r="R628" t="n">
        <v>93.5</v>
      </c>
      <c r="S628" t="inlineStr">
        <is>
          <t>58</t>
        </is>
      </c>
      <c r="T628" t="n">
        <v>67.3</v>
      </c>
      <c r="U628" t="inlineStr">
        <is>
          <t>250</t>
        </is>
      </c>
      <c r="V628" t="n">
        <v>72.40000000000001</v>
      </c>
      <c r="W628" t="inlineStr">
        <is>
          <t>194</t>
        </is>
      </c>
      <c r="X628" t="n">
        <v>88.59999999999999</v>
      </c>
      <c r="Y628" t="inlineStr">
        <is>
          <t>232</t>
        </is>
      </c>
      <c r="Z628" t="n">
        <v>93.5</v>
      </c>
      <c r="AA628" t="inlineStr">
        <is>
          <t>138</t>
        </is>
      </c>
      <c r="AB628" t="n">
        <v>69.59999999999999</v>
      </c>
      <c r="AC628" t="inlineStr">
        <is>
          <t>272</t>
        </is>
      </c>
      <c r="AD628" t="n">
        <v>92.90000000000001</v>
      </c>
      <c r="AE628" t="inlineStr">
        <is>
          <t>130</t>
        </is>
      </c>
      <c r="AF628" t="n">
        <v>98.90000000000001</v>
      </c>
      <c r="AG628" t="inlineStr">
        <is>
          <t>27</t>
        </is>
      </c>
      <c r="AH628" t="n">
        <v>96.3</v>
      </c>
      <c r="AI628" t="inlineStr">
        <is>
          <t>15=</t>
        </is>
      </c>
      <c r="AJ628" t="inlineStr">
        <is>
          <t>93.7</t>
        </is>
      </c>
      <c r="AK628" t="inlineStr">
        <is>
          <t>34</t>
        </is>
      </c>
      <c r="AL628" t="inlineStr">
        <is>
          <t>87.6</t>
        </is>
      </c>
      <c r="AM628" t="inlineStr">
        <is>
          <t>58</t>
        </is>
      </c>
      <c r="AN628" t="inlineStr">
        <is>
          <t>64.0</t>
        </is>
      </c>
      <c r="AO628" t="inlineStr">
        <is>
          <t>219</t>
        </is>
      </c>
      <c r="AP628" t="inlineStr">
        <is>
          <t>62.1</t>
        </is>
      </c>
      <c r="AQ628" t="inlineStr">
        <is>
          <t>195</t>
        </is>
      </c>
      <c r="AR628" t="inlineStr">
        <is>
          <t>88.9</t>
        </is>
      </c>
      <c r="AS628" t="inlineStr">
        <is>
          <t>188</t>
        </is>
      </c>
      <c r="AT628" t="inlineStr">
        <is>
          <t>93.3</t>
        </is>
      </c>
      <c r="AU628" t="inlineStr">
        <is>
          <t>98</t>
        </is>
      </c>
      <c r="AV628" t="inlineStr">
        <is>
          <t>86.2</t>
        </is>
      </c>
      <c r="AW628" t="inlineStr">
        <is>
          <t>107</t>
        </is>
      </c>
      <c r="AX628" t="inlineStr">
        <is>
          <t>92.5</t>
        </is>
      </c>
      <c r="AY628" t="inlineStr">
        <is>
          <t>33</t>
        </is>
      </c>
      <c r="AZ628" t="inlineStr">
        <is>
          <t>94.2</t>
        </is>
      </c>
      <c r="BA628" t="inlineStr">
        <is>
          <t>64=</t>
        </is>
      </c>
    </row>
    <row r="629">
      <c r="A629" t="inlineStr">
        <is>
          <t>McMaster University</t>
        </is>
      </c>
      <c r="B629" t="inlineStr">
        <is>
          <t>Canada</t>
        </is>
      </c>
      <c r="C629" t="inlineStr">
        <is>
          <t>CA</t>
        </is>
      </c>
      <c r="D629" t="inlineStr">
        <is>
          <t>Americas</t>
        </is>
      </c>
      <c r="E629" t="inlineStr">
        <is>
          <t>L</t>
        </is>
      </c>
      <c r="F629" t="inlineStr">
        <is>
          <t>FC</t>
        </is>
      </c>
      <c r="G629" t="inlineStr">
        <is>
          <t>VH</t>
        </is>
      </c>
      <c r="H629" t="inlineStr">
        <is>
          <t>5</t>
        </is>
      </c>
      <c r="I629" t="inlineStr">
        <is>
          <t>Public</t>
        </is>
      </c>
      <c r="J629" t="inlineStr">
        <is>
          <t>173</t>
        </is>
      </c>
      <c r="K629" t="inlineStr">
        <is>
          <t>176</t>
        </is>
      </c>
      <c r="L629">
        <f>189</f>
        <v/>
      </c>
      <c r="M629" t="inlineStr">
        <is>
          <t>152</t>
        </is>
      </c>
      <c r="N629" t="inlineStr">
        <is>
          <t>59.1</t>
        </is>
      </c>
      <c r="O629" t="inlineStr">
        <is>
          <t>46.8</t>
        </is>
      </c>
      <c r="P629" t="n">
        <v>52.5</v>
      </c>
      <c r="Q629" t="inlineStr">
        <is>
          <t>211</t>
        </is>
      </c>
      <c r="R629" t="n">
        <v>43.6</v>
      </c>
      <c r="S629" t="inlineStr">
        <is>
          <t>307</t>
        </is>
      </c>
      <c r="T629" t="n">
        <v>61.8</v>
      </c>
      <c r="U629" t="inlineStr">
        <is>
          <t>289</t>
        </is>
      </c>
      <c r="V629" t="n">
        <v>56.6</v>
      </c>
      <c r="W629" t="inlineStr">
        <is>
          <t>311</t>
        </is>
      </c>
      <c r="X629" t="n">
        <v>94.59999999999999</v>
      </c>
      <c r="Y629" t="inlineStr">
        <is>
          <t>184</t>
        </is>
      </c>
      <c r="Z629" t="n">
        <v>66.3</v>
      </c>
      <c r="AA629" t="inlineStr">
        <is>
          <t>302</t>
        </is>
      </c>
      <c r="AB629" t="n">
        <v>69.59999999999999</v>
      </c>
      <c r="AC629" t="inlineStr">
        <is>
          <t>273</t>
        </is>
      </c>
      <c r="AD629" t="n">
        <v>84.3</v>
      </c>
      <c r="AE629" t="inlineStr">
        <is>
          <t>270</t>
        </is>
      </c>
      <c r="AF629" t="n">
        <v>60</v>
      </c>
      <c r="AG629" t="inlineStr">
        <is>
          <t>271</t>
        </is>
      </c>
      <c r="AH629" t="n">
        <v>86.59999999999999</v>
      </c>
      <c r="AI629" t="inlineStr">
        <is>
          <t>93=</t>
        </is>
      </c>
      <c r="AJ629" t="inlineStr">
        <is>
          <t>40.5</t>
        </is>
      </c>
      <c r="AK629" t="inlineStr">
        <is>
          <t>210</t>
        </is>
      </c>
      <c r="AL629" t="inlineStr">
        <is>
          <t>38.2</t>
        </is>
      </c>
      <c r="AM629" t="inlineStr">
        <is>
          <t>255</t>
        </is>
      </c>
      <c r="AN629" t="inlineStr">
        <is>
          <t>75.1</t>
        </is>
      </c>
      <c r="AO629" t="inlineStr">
        <is>
          <t>166</t>
        </is>
      </c>
      <c r="AP629" t="inlineStr">
        <is>
          <t>29.0</t>
        </is>
      </c>
      <c r="AQ629" t="inlineStr">
        <is>
          <t>444</t>
        </is>
      </c>
      <c r="AR629" t="inlineStr">
        <is>
          <t>99.3</t>
        </is>
      </c>
      <c r="AS629" t="inlineStr">
        <is>
          <t>93</t>
        </is>
      </c>
      <c r="AT629" t="inlineStr">
        <is>
          <t>59.5</t>
        </is>
      </c>
      <c r="AU629" t="inlineStr">
        <is>
          <t>250</t>
        </is>
      </c>
      <c r="AV629" t="inlineStr">
        <is>
          <t>40.2</t>
        </is>
      </c>
      <c r="AW629" t="inlineStr">
        <is>
          <t>376</t>
        </is>
      </c>
      <c r="AX629" t="inlineStr">
        <is>
          <t>37.2</t>
        </is>
      </c>
      <c r="AY629" t="inlineStr">
        <is>
          <t>197</t>
        </is>
      </c>
      <c r="AZ629" t="inlineStr">
        <is>
          <t>70.1</t>
        </is>
      </c>
      <c r="BA629" t="inlineStr">
        <is>
          <t>204=</t>
        </is>
      </c>
    </row>
    <row r="630">
      <c r="A630" t="inlineStr">
        <is>
          <t>Meiji University</t>
        </is>
      </c>
      <c r="B630" t="inlineStr">
        <is>
          <t>Japan</t>
        </is>
      </c>
      <c r="C630" t="inlineStr">
        <is>
          <t>JP</t>
        </is>
      </c>
      <c r="D630" t="inlineStr">
        <is>
          <t>Asia</t>
        </is>
      </c>
      <c r="E630" t="inlineStr">
        <is>
          <t>XL</t>
        </is>
      </c>
      <c r="F630" t="inlineStr">
        <is>
          <t>FO</t>
        </is>
      </c>
      <c r="G630" t="inlineStr">
        <is>
          <t>HI</t>
        </is>
      </c>
      <c r="H630" t="inlineStr">
        <is>
          <t>5</t>
        </is>
      </c>
      <c r="I630" t="inlineStr">
        <is>
          <t>Private for Profit</t>
        </is>
      </c>
      <c r="J630" t="inlineStr">
        <is>
          <t>1201-1400</t>
        </is>
      </c>
      <c r="K630" t="inlineStr">
        <is>
          <t>1201-1400</t>
        </is>
      </c>
      <c r="L630" t="inlineStr">
        <is>
          <t>1001-1200</t>
        </is>
      </c>
      <c r="M630" t="inlineStr">
        <is>
          <t>1201-1400</t>
        </is>
      </c>
      <c r="N630" t="inlineStr">
        <is>
          <t>-</t>
        </is>
      </c>
      <c r="O630" t="inlineStr">
        <is>
          <t>-</t>
        </is>
      </c>
      <c r="P630" t="n">
        <v>9.4</v>
      </c>
      <c r="Q630" t="inlineStr">
        <is>
          <t>701+</t>
        </is>
      </c>
      <c r="R630" t="n">
        <v>24.6</v>
      </c>
      <c r="S630" t="inlineStr">
        <is>
          <t>545</t>
        </is>
      </c>
      <c r="T630" t="n">
        <v>5.9</v>
      </c>
      <c r="U630" t="inlineStr">
        <is>
          <t>801+</t>
        </is>
      </c>
      <c r="V630" t="n">
        <v>2.5</v>
      </c>
      <c r="W630" t="inlineStr">
        <is>
          <t>801+</t>
        </is>
      </c>
      <c r="X630" t="n">
        <v>14.5</v>
      </c>
      <c r="Y630" t="inlineStr">
        <is>
          <t>801+</t>
        </is>
      </c>
      <c r="Z630" t="n">
        <v>8.9</v>
      </c>
      <c r="AA630" t="inlineStr">
        <is>
          <t>801+</t>
        </is>
      </c>
      <c r="AB630" t="n">
        <v>13.3</v>
      </c>
      <c r="AC630" t="inlineStr">
        <is>
          <t>801+</t>
        </is>
      </c>
      <c r="AD630" t="n">
        <v>12.6</v>
      </c>
      <c r="AE630" t="inlineStr">
        <is>
          <t>801+</t>
        </is>
      </c>
      <c r="AF630" t="n">
        <v>29.4</v>
      </c>
      <c r="AG630" t="inlineStr">
        <is>
          <t>559</t>
        </is>
      </c>
      <c r="AH630" t="n">
        <v>29.4</v>
      </c>
      <c r="AI630" t="inlineStr">
        <is>
          <t>801+</t>
        </is>
      </c>
      <c r="AJ630" t="inlineStr">
        <is>
          <t>7.4</t>
        </is>
      </c>
      <c r="AK630" t="inlineStr">
        <is>
          <t>601+</t>
        </is>
      </c>
      <c r="AL630" t="inlineStr">
        <is>
          <t>24.5</t>
        </is>
      </c>
      <c r="AM630" t="inlineStr">
        <is>
          <t>390</t>
        </is>
      </c>
      <c r="AN630" t="inlineStr">
        <is>
          <t>4.9</t>
        </is>
      </c>
      <c r="AO630" t="inlineStr">
        <is>
          <t>701+</t>
        </is>
      </c>
      <c r="AP630" t="inlineStr">
        <is>
          <t>1.7</t>
        </is>
      </c>
      <c r="AQ630" t="inlineStr">
        <is>
          <t>701+</t>
        </is>
      </c>
      <c r="AR630" t="inlineStr">
        <is>
          <t>10.1</t>
        </is>
      </c>
      <c r="AS630" t="inlineStr">
        <is>
          <t>701+</t>
        </is>
      </c>
      <c r="AT630" t="inlineStr">
        <is>
          <t>5.3</t>
        </is>
      </c>
      <c r="AU630" t="inlineStr">
        <is>
          <t>701+</t>
        </is>
      </c>
      <c r="AV630" t="inlineStr">
        <is>
          <t>1.5</t>
        </is>
      </c>
      <c r="AW630" t="inlineStr">
        <is>
          <t>701+</t>
        </is>
      </c>
      <c r="AX630" t="inlineStr">
        <is>
          <t>16</t>
        </is>
      </c>
      <c r="AY630" t="inlineStr">
        <is>
          <t>524</t>
        </is>
      </c>
      <c r="AZ630" t="inlineStr">
        <is>
          <t>1.1</t>
        </is>
      </c>
      <c r="BA630" t="inlineStr">
        <is>
          <t>701+</t>
        </is>
      </c>
    </row>
    <row r="631">
      <c r="A631" t="inlineStr">
        <is>
          <t>Memorial University of Newfoundland</t>
        </is>
      </c>
      <c r="B631" t="inlineStr">
        <is>
          <t>Canada</t>
        </is>
      </c>
      <c r="C631" t="inlineStr">
        <is>
          <t>CA</t>
        </is>
      </c>
      <c r="D631" t="inlineStr">
        <is>
          <t>Americas</t>
        </is>
      </c>
      <c r="E631" t="inlineStr">
        <is>
          <t>L</t>
        </is>
      </c>
      <c r="F631" t="inlineStr">
        <is>
          <t>FC</t>
        </is>
      </c>
      <c r="G631" t="inlineStr">
        <is>
          <t>VH</t>
        </is>
      </c>
      <c r="H631" t="inlineStr">
        <is>
          <t>4</t>
        </is>
      </c>
      <c r="I631" t="inlineStr">
        <is>
          <t>Public</t>
        </is>
      </c>
      <c r="J631" t="inlineStr">
        <is>
          <t>660</t>
        </is>
      </c>
      <c r="K631" t="inlineStr">
        <is>
          <t>661-670</t>
        </is>
      </c>
      <c r="L631" t="inlineStr">
        <is>
          <t>641-650</t>
        </is>
      </c>
      <c r="M631" t="inlineStr">
        <is>
          <t>751-800</t>
        </is>
      </c>
      <c r="N631" t="inlineStr">
        <is>
          <t>26.5</t>
        </is>
      </c>
      <c r="O631" t="inlineStr">
        <is>
          <t>-</t>
        </is>
      </c>
      <c r="P631" t="n">
        <v>10.7</v>
      </c>
      <c r="Q631" t="inlineStr">
        <is>
          <t>701+</t>
        </is>
      </c>
      <c r="R631" t="n">
        <v>10.5</v>
      </c>
      <c r="S631" t="inlineStr">
        <is>
          <t>701+</t>
        </is>
      </c>
      <c r="T631" t="n">
        <v>15.7</v>
      </c>
      <c r="U631" t="inlineStr">
        <is>
          <t>801+</t>
        </is>
      </c>
      <c r="V631" t="n">
        <v>43.7</v>
      </c>
      <c r="W631" t="inlineStr">
        <is>
          <t>431</t>
        </is>
      </c>
      <c r="X631" t="n">
        <v>30.7</v>
      </c>
      <c r="Y631" t="inlineStr">
        <is>
          <t>581</t>
        </is>
      </c>
      <c r="Z631" t="n">
        <v>78.5</v>
      </c>
      <c r="AA631" t="inlineStr">
        <is>
          <t>230</t>
        </is>
      </c>
      <c r="AB631" t="n">
        <v>80.59999999999999</v>
      </c>
      <c r="AC631" t="inlineStr">
        <is>
          <t>200</t>
        </is>
      </c>
      <c r="AD631" t="n">
        <v>73.59999999999999</v>
      </c>
      <c r="AE631" t="inlineStr">
        <is>
          <t>479</t>
        </is>
      </c>
      <c r="AF631" t="n">
        <v>17.4</v>
      </c>
      <c r="AG631" t="inlineStr">
        <is>
          <t>773</t>
        </is>
      </c>
      <c r="AH631" t="n">
        <v>53.3</v>
      </c>
      <c r="AI631" t="inlineStr">
        <is>
          <t>636=</t>
        </is>
      </c>
      <c r="AJ631" t="inlineStr">
        <is>
          <t>7.0</t>
        </is>
      </c>
      <c r="AK631" t="inlineStr">
        <is>
          <t>601+</t>
        </is>
      </c>
      <c r="AL631" t="inlineStr">
        <is>
          <t>4.6</t>
        </is>
      </c>
      <c r="AM631" t="inlineStr">
        <is>
          <t>601+</t>
        </is>
      </c>
      <c r="AN631" t="inlineStr">
        <is>
          <t>11.0</t>
        </is>
      </c>
      <c r="AO631" t="inlineStr">
        <is>
          <t>701+</t>
        </is>
      </c>
      <c r="AP631" t="inlineStr">
        <is>
          <t>28.5</t>
        </is>
      </c>
      <c r="AQ631" t="inlineStr">
        <is>
          <t>449</t>
        </is>
      </c>
      <c r="AR631" t="inlineStr">
        <is>
          <t>25.3</t>
        </is>
      </c>
      <c r="AS631" t="inlineStr">
        <is>
          <t>529</t>
        </is>
      </c>
      <c r="AT631" t="inlineStr">
        <is>
          <t>71.9</t>
        </is>
      </c>
      <c r="AU631" t="inlineStr">
        <is>
          <t>202</t>
        </is>
      </c>
      <c r="AV631" t="inlineStr">
        <is>
          <t>36.5</t>
        </is>
      </c>
      <c r="AW631" t="inlineStr">
        <is>
          <t>406</t>
        </is>
      </c>
      <c r="AX631" t="inlineStr">
        <is>
          <t>11.8</t>
        </is>
      </c>
      <c r="AY631" t="inlineStr">
        <is>
          <t>701+</t>
        </is>
      </c>
      <c r="AZ631" t="inlineStr">
        <is>
          <t>31</t>
        </is>
      </c>
      <c r="BA631" t="inlineStr">
        <is>
          <t>432=</t>
        </is>
      </c>
    </row>
    <row r="632">
      <c r="A632" t="inlineStr">
        <is>
          <t>Mendel University in Brno</t>
        </is>
      </c>
      <c r="B632" t="inlineStr">
        <is>
          <t>Czech Republic</t>
        </is>
      </c>
      <c r="C632" t="inlineStr">
        <is>
          <t>CZ</t>
        </is>
      </c>
      <c r="D632" t="inlineStr">
        <is>
          <t>Europe</t>
        </is>
      </c>
      <c r="E632" t="inlineStr">
        <is>
          <t>M</t>
        </is>
      </c>
      <c r="F632" t="inlineStr">
        <is>
          <t>FO</t>
        </is>
      </c>
      <c r="G632" t="inlineStr">
        <is>
          <t>VH</t>
        </is>
      </c>
      <c r="H632" t="inlineStr">
        <is>
          <t>5</t>
        </is>
      </c>
      <c r="I632" t="inlineStr">
        <is>
          <t>Public</t>
        </is>
      </c>
      <c r="J632" t="inlineStr">
        <is>
          <t>851-900</t>
        </is>
      </c>
      <c r="K632" t="inlineStr">
        <is>
          <t>851-900</t>
        </is>
      </c>
      <c r="L632" t="inlineStr">
        <is>
          <t>901-950</t>
        </is>
      </c>
      <c r="M632" t="inlineStr">
        <is>
          <t>801-1000</t>
        </is>
      </c>
      <c r="N632" t="inlineStr">
        <is>
          <t>-</t>
        </is>
      </c>
      <c r="O632" t="inlineStr">
        <is>
          <t>-</t>
        </is>
      </c>
      <c r="P632" t="n">
        <v>9.800000000000001</v>
      </c>
      <c r="Q632" t="inlineStr">
        <is>
          <t>701+</t>
        </is>
      </c>
      <c r="R632" t="n">
        <v>8.300000000000001</v>
      </c>
      <c r="S632" t="inlineStr">
        <is>
          <t>701+</t>
        </is>
      </c>
      <c r="T632" t="n">
        <v>68.8</v>
      </c>
      <c r="U632" t="inlineStr">
        <is>
          <t>239</t>
        </is>
      </c>
      <c r="V632" t="n">
        <v>8.300000000000001</v>
      </c>
      <c r="W632" t="inlineStr">
        <is>
          <t>801+</t>
        </is>
      </c>
      <c r="X632" t="n">
        <v>14.3</v>
      </c>
      <c r="Y632" t="inlineStr">
        <is>
          <t>801+</t>
        </is>
      </c>
      <c r="Z632" t="n">
        <v>38.8</v>
      </c>
      <c r="AA632" t="inlineStr">
        <is>
          <t>507</t>
        </is>
      </c>
      <c r="AB632" t="n">
        <v>41.5</v>
      </c>
      <c r="AC632" t="inlineStr">
        <is>
          <t>495</t>
        </is>
      </c>
      <c r="AD632" t="n">
        <v>74.09999999999999</v>
      </c>
      <c r="AE632" t="inlineStr">
        <is>
          <t>461</t>
        </is>
      </c>
      <c r="AF632" t="n">
        <v>4.8</v>
      </c>
      <c r="AG632" t="inlineStr">
        <is>
          <t>801+</t>
        </is>
      </c>
      <c r="AH632" t="n">
        <v>49.4</v>
      </c>
      <c r="AI632" t="inlineStr">
        <is>
          <t>719=</t>
        </is>
      </c>
      <c r="AJ632" t="inlineStr">
        <is>
          <t>6.4</t>
        </is>
      </c>
      <c r="AK632" t="inlineStr">
        <is>
          <t>601+</t>
        </is>
      </c>
      <c r="AL632" t="inlineStr">
        <is>
          <t>8.6</t>
        </is>
      </c>
      <c r="AM632" t="inlineStr">
        <is>
          <t>601+</t>
        </is>
      </c>
      <c r="AN632" t="inlineStr">
        <is>
          <t>48.8</t>
        </is>
      </c>
      <c r="AO632" t="inlineStr">
        <is>
          <t>322</t>
        </is>
      </c>
      <c r="AP632" t="inlineStr">
        <is>
          <t>3.9</t>
        </is>
      </c>
      <c r="AQ632" t="inlineStr">
        <is>
          <t>701+</t>
        </is>
      </c>
      <c r="AR632" t="inlineStr">
        <is>
          <t>10.4</t>
        </is>
      </c>
      <c r="AS632" t="inlineStr">
        <is>
          <t>701+</t>
        </is>
      </c>
      <c r="AT632" t="inlineStr">
        <is>
          <t>37.1</t>
        </is>
      </c>
      <c r="AU632" t="inlineStr">
        <is>
          <t>368</t>
        </is>
      </c>
      <c r="AV632" t="inlineStr">
        <is>
          <t>13.1</t>
        </is>
      </c>
      <c r="AW632" t="inlineStr">
        <is>
          <t>624</t>
        </is>
      </c>
      <c r="AX632" t="inlineStr">
        <is>
          <t>8.7</t>
        </is>
      </c>
      <c r="AY632" t="inlineStr">
        <is>
          <t>701+</t>
        </is>
      </c>
      <c r="AZ632" t="inlineStr">
        <is>
          <t>1.3</t>
        </is>
      </c>
      <c r="BA632" t="inlineStr">
        <is>
          <t>701+</t>
        </is>
      </c>
    </row>
    <row r="633">
      <c r="A633" t="inlineStr">
        <is>
          <t>Mendeleev University of Chemical Technology</t>
        </is>
      </c>
      <c r="B633" t="inlineStr">
        <is>
          <t>Russia</t>
        </is>
      </c>
      <c r="C633" t="inlineStr">
        <is>
          <t>RU</t>
        </is>
      </c>
      <c r="D633" t="inlineStr"/>
      <c r="E633" t="inlineStr">
        <is>
          <t>M</t>
        </is>
      </c>
      <c r="F633" t="inlineStr">
        <is>
          <t>FO</t>
        </is>
      </c>
      <c r="G633" t="inlineStr">
        <is>
          <t>VH</t>
        </is>
      </c>
      <c r="H633" t="inlineStr">
        <is>
          <t>5</t>
        </is>
      </c>
      <c r="I633" t="inlineStr">
        <is>
          <t>A</t>
        </is>
      </c>
      <c r="J633" t="inlineStr"/>
      <c r="K633" t="inlineStr"/>
      <c r="L633" t="inlineStr">
        <is>
          <t>1201-1400</t>
        </is>
      </c>
      <c r="M633" t="inlineStr">
        <is>
          <t>1001-1200</t>
        </is>
      </c>
      <c r="N633" t="inlineStr"/>
      <c r="O633" t="inlineStr">
        <is>
          <t>-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4.9</t>
        </is>
      </c>
      <c r="AK633" t="inlineStr">
        <is>
          <t>601+</t>
        </is>
      </c>
      <c r="AL633" t="inlineStr">
        <is>
          <t>3.9</t>
        </is>
      </c>
      <c r="AM633" t="inlineStr">
        <is>
          <t>601+</t>
        </is>
      </c>
      <c r="AN633" t="inlineStr">
        <is>
          <t>30.5</t>
        </is>
      </c>
      <c r="AO633" t="inlineStr">
        <is>
          <t>515</t>
        </is>
      </c>
      <c r="AP633" t="inlineStr">
        <is>
          <t>2.7</t>
        </is>
      </c>
      <c r="AQ633" t="inlineStr">
        <is>
          <t>701+</t>
        </is>
      </c>
      <c r="AR633" t="inlineStr">
        <is>
          <t>1.1</t>
        </is>
      </c>
      <c r="AS633" t="inlineStr">
        <is>
          <t>701+</t>
        </is>
      </c>
      <c r="AT633" t="inlineStr">
        <is>
          <t>5.7</t>
        </is>
      </c>
      <c r="AU633" t="inlineStr">
        <is>
          <t>701+</t>
        </is>
      </c>
      <c r="AV633" t="inlineStr">
        <is>
          <t>1.0</t>
        </is>
      </c>
      <c r="AW633" t="inlineStr">
        <is>
          <t>701+</t>
        </is>
      </c>
      <c r="AX633" t="inlineStr">
        <is>
          <t>7.2</t>
        </is>
      </c>
      <c r="AY633" t="inlineStr">
        <is>
          <t>701+</t>
        </is>
      </c>
      <c r="AZ633" t="inlineStr">
        <is>
          <t>1</t>
        </is>
      </c>
      <c r="BA633" t="inlineStr">
        <is>
          <t>701+</t>
        </is>
      </c>
    </row>
    <row r="634">
      <c r="A634" t="inlineStr">
        <is>
          <t>Mendeleev University of Chemical Technology of Russia</t>
        </is>
      </c>
      <c r="B634" t="inlineStr">
        <is>
          <t>Russia</t>
        </is>
      </c>
      <c r="C634" t="inlineStr"/>
      <c r="D634" t="inlineStr">
        <is>
          <t>Europe</t>
        </is>
      </c>
      <c r="E634" t="inlineStr">
        <is>
          <t>M</t>
        </is>
      </c>
      <c r="F634" t="inlineStr">
        <is>
          <t>FO</t>
        </is>
      </c>
      <c r="G634" t="inlineStr">
        <is>
          <t>VH</t>
        </is>
      </c>
      <c r="H634" t="inlineStr"/>
      <c r="I634" t="inlineStr">
        <is>
          <t>Public</t>
        </is>
      </c>
      <c r="J634" t="inlineStr">
        <is>
          <t>1401+</t>
        </is>
      </c>
      <c r="K634" t="inlineStr">
        <is>
          <t>1201-1400</t>
        </is>
      </c>
      <c r="L634" t="inlineStr"/>
      <c r="M634" t="inlineStr"/>
      <c r="N634" t="inlineStr">
        <is>
          <t>-</t>
        </is>
      </c>
      <c r="O634" t="inlineStr"/>
      <c r="P634" t="n">
        <v>4.7</v>
      </c>
      <c r="Q634" t="inlineStr">
        <is>
          <t>701+</t>
        </is>
      </c>
      <c r="R634" t="n">
        <v>7.3</v>
      </c>
      <c r="S634" t="inlineStr">
        <is>
          <t>701+</t>
        </is>
      </c>
      <c r="T634" t="n">
        <v>26.1</v>
      </c>
      <c r="U634" t="inlineStr">
        <is>
          <t>715</t>
        </is>
      </c>
      <c r="V634" t="n">
        <v>5.6</v>
      </c>
      <c r="W634" t="inlineStr">
        <is>
          <t>801+</t>
        </is>
      </c>
      <c r="X634" t="n">
        <v>1.1</v>
      </c>
      <c r="Y634" t="inlineStr">
        <is>
          <t>801+</t>
        </is>
      </c>
      <c r="Z634" t="n">
        <v>15.7</v>
      </c>
      <c r="AA634" t="inlineStr">
        <is>
          <t>801+</t>
        </is>
      </c>
      <c r="AB634" t="n">
        <v>19.2</v>
      </c>
      <c r="AC634" t="inlineStr">
        <is>
          <t>775</t>
        </is>
      </c>
      <c r="AD634" t="n">
        <v>15.5</v>
      </c>
      <c r="AE634" t="inlineStr">
        <is>
          <t>801+</t>
        </is>
      </c>
      <c r="AF634" t="n">
        <v>14.2</v>
      </c>
      <c r="AG634" t="inlineStr">
        <is>
          <t>801+</t>
        </is>
      </c>
      <c r="AH634" t="n">
        <v>10.4</v>
      </c>
      <c r="AI634" t="inlineStr">
        <is>
          <t>801+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</row>
    <row r="635">
      <c r="A635" t="inlineStr">
        <is>
          <t>MGIMO University</t>
        </is>
      </c>
      <c r="B635" t="inlineStr">
        <is>
          <t>Russia</t>
        </is>
      </c>
      <c r="C635" t="inlineStr">
        <is>
          <t>RU</t>
        </is>
      </c>
      <c r="D635" t="inlineStr">
        <is>
          <t>Europe</t>
        </is>
      </c>
      <c r="E635" t="inlineStr">
        <is>
          <t>M</t>
        </is>
      </c>
      <c r="F635" t="inlineStr">
        <is>
          <t>CO</t>
        </is>
      </c>
      <c r="G635" t="inlineStr">
        <is>
          <t>HI</t>
        </is>
      </c>
      <c r="H635" t="inlineStr">
        <is>
          <t>4</t>
        </is>
      </c>
      <c r="I635" t="inlineStr">
        <is>
          <t>Public</t>
        </is>
      </c>
      <c r="J635" t="inlineStr">
        <is>
          <t>650</t>
        </is>
      </c>
      <c r="K635" t="inlineStr">
        <is>
          <t>567</t>
        </is>
      </c>
      <c r="L635">
        <f>526</f>
        <v/>
      </c>
      <c r="M635" t="inlineStr">
        <is>
          <t>345</t>
        </is>
      </c>
      <c r="N635" t="inlineStr">
        <is>
          <t>26.7</t>
        </is>
      </c>
      <c r="O635" t="inlineStr">
        <is>
          <t>22.3</t>
        </is>
      </c>
      <c r="P635" t="n">
        <v>10.7</v>
      </c>
      <c r="Q635" t="inlineStr">
        <is>
          <t>701+</t>
        </is>
      </c>
      <c r="R635" t="n">
        <v>38.7</v>
      </c>
      <c r="S635" t="inlineStr">
        <is>
          <t>359</t>
        </is>
      </c>
      <c r="T635" t="n">
        <v>100</v>
      </c>
      <c r="U635" t="inlineStr">
        <is>
          <t>18</t>
        </is>
      </c>
      <c r="V635" t="n">
        <v>1.7</v>
      </c>
      <c r="W635" t="inlineStr">
        <is>
          <t>801+</t>
        </is>
      </c>
      <c r="X635" t="n">
        <v>15.4</v>
      </c>
      <c r="Y635" t="inlineStr">
        <is>
          <t>799</t>
        </is>
      </c>
      <c r="Z635" t="n">
        <v>57.2</v>
      </c>
      <c r="AA635" t="inlineStr">
        <is>
          <t>361</t>
        </is>
      </c>
      <c r="AB635" t="n">
        <v>61.3</v>
      </c>
      <c r="AC635" t="inlineStr">
        <is>
          <t>329</t>
        </is>
      </c>
      <c r="AD635" t="n">
        <v>6.7</v>
      </c>
      <c r="AE635" t="inlineStr">
        <is>
          <t>801+</t>
        </is>
      </c>
      <c r="AF635" t="n">
        <v>69.8</v>
      </c>
      <c r="AG635" t="inlineStr">
        <is>
          <t>212</t>
        </is>
      </c>
      <c r="AH635" t="n">
        <v>21.7</v>
      </c>
      <c r="AI635" t="inlineStr">
        <is>
          <t>801+</t>
        </is>
      </c>
      <c r="AJ635" t="inlineStr">
        <is>
          <t>11.8</t>
        </is>
      </c>
      <c r="AK635" t="inlineStr">
        <is>
          <t>601+</t>
        </is>
      </c>
      <c r="AL635" t="inlineStr">
        <is>
          <t>21.3</t>
        </is>
      </c>
      <c r="AM635" t="inlineStr">
        <is>
          <t>436</t>
        </is>
      </c>
      <c r="AN635" t="inlineStr">
        <is>
          <t>100.0</t>
        </is>
      </c>
      <c r="AO635" t="inlineStr">
        <is>
          <t>17</t>
        </is>
      </c>
      <c r="AP635" t="inlineStr">
        <is>
          <t>1.4</t>
        </is>
      </c>
      <c r="AQ635" t="inlineStr">
        <is>
          <t>701+</t>
        </is>
      </c>
      <c r="AR635" t="inlineStr">
        <is>
          <t>12.7</t>
        </is>
      </c>
      <c r="AS635" t="inlineStr">
        <is>
          <t>701+</t>
        </is>
      </c>
      <c r="AT635" t="inlineStr">
        <is>
          <t>46.2</t>
        </is>
      </c>
      <c r="AU635" t="inlineStr">
        <is>
          <t>315</t>
        </is>
      </c>
      <c r="AV635" t="inlineStr">
        <is>
          <t>1.0</t>
        </is>
      </c>
      <c r="AW635" t="inlineStr">
        <is>
          <t>701+</t>
        </is>
      </c>
      <c r="AX635" t="inlineStr">
        <is>
          <t>47.6</t>
        </is>
      </c>
      <c r="AY635" t="inlineStr">
        <is>
          <t>144</t>
        </is>
      </c>
      <c r="AZ635" t="inlineStr">
        <is>
          <t>1</t>
        </is>
      </c>
      <c r="BA635" t="inlineStr">
        <is>
          <t>701+</t>
        </is>
      </c>
    </row>
    <row r="636">
      <c r="A636" t="inlineStr">
        <is>
          <t>Miami University</t>
        </is>
      </c>
      <c r="B636" t="inlineStr">
        <is>
          <t>United States</t>
        </is>
      </c>
      <c r="C636" t="inlineStr">
        <is>
          <t>US</t>
        </is>
      </c>
      <c r="D636" t="inlineStr">
        <is>
          <t>Americas</t>
        </is>
      </c>
      <c r="E636" t="inlineStr">
        <is>
          <t>L</t>
        </is>
      </c>
      <c r="F636" t="inlineStr">
        <is>
          <t>CO</t>
        </is>
      </c>
      <c r="G636" t="inlineStr">
        <is>
          <t>HI</t>
        </is>
      </c>
      <c r="H636" t="inlineStr">
        <is>
          <t>5</t>
        </is>
      </c>
      <c r="I636" t="inlineStr">
        <is>
          <t>Public</t>
        </is>
      </c>
      <c r="J636" t="inlineStr">
        <is>
          <t>1201-1400</t>
        </is>
      </c>
      <c r="K636" t="inlineStr">
        <is>
          <t>1201-1400</t>
        </is>
      </c>
      <c r="L636" t="inlineStr">
        <is>
          <t>1201-1400</t>
        </is>
      </c>
      <c r="M636" t="inlineStr">
        <is>
          <t>1201-1400</t>
        </is>
      </c>
      <c r="N636" t="inlineStr">
        <is>
          <t>-</t>
        </is>
      </c>
      <c r="O636" t="inlineStr">
        <is>
          <t>-</t>
        </is>
      </c>
      <c r="P636" t="n">
        <v>3.4</v>
      </c>
      <c r="Q636" t="inlineStr">
        <is>
          <t>701+</t>
        </is>
      </c>
      <c r="R636" t="n">
        <v>11.8</v>
      </c>
      <c r="S636" t="inlineStr">
        <is>
          <t>701+</t>
        </is>
      </c>
      <c r="T636" t="n">
        <v>8.9</v>
      </c>
      <c r="U636" t="inlineStr">
        <is>
          <t>801+</t>
        </is>
      </c>
      <c r="V636" t="n">
        <v>14</v>
      </c>
      <c r="W636" t="inlineStr">
        <is>
          <t>801+</t>
        </is>
      </c>
      <c r="X636" t="n">
        <v>7</v>
      </c>
      <c r="Y636" t="inlineStr">
        <is>
          <t>801+</t>
        </is>
      </c>
      <c r="Z636" t="n">
        <v>11.1</v>
      </c>
      <c r="AA636" t="inlineStr">
        <is>
          <t>801+</t>
        </is>
      </c>
      <c r="AB636" t="n">
        <v>8.5</v>
      </c>
      <c r="AC636" t="inlineStr">
        <is>
          <t>801+</t>
        </is>
      </c>
      <c r="AD636" t="n">
        <v>44.4</v>
      </c>
      <c r="AE636" t="inlineStr">
        <is>
          <t>801+</t>
        </is>
      </c>
      <c r="AF636" t="n">
        <v>42.5</v>
      </c>
      <c r="AG636" t="inlineStr">
        <is>
          <t>412</t>
        </is>
      </c>
      <c r="AH636" t="n">
        <v>37.9</v>
      </c>
      <c r="AI636" t="inlineStr">
        <is>
          <t>801+</t>
        </is>
      </c>
      <c r="AJ636" t="inlineStr">
        <is>
          <t>4.2</t>
        </is>
      </c>
      <c r="AK636" t="inlineStr">
        <is>
          <t>601+</t>
        </is>
      </c>
      <c r="AL636" t="inlineStr">
        <is>
          <t>4.7</t>
        </is>
      </c>
      <c r="AM636" t="inlineStr">
        <is>
          <t>601+</t>
        </is>
      </c>
      <c r="AN636" t="inlineStr">
        <is>
          <t>6.5</t>
        </is>
      </c>
      <c r="AO636" t="inlineStr">
        <is>
          <t>701+</t>
        </is>
      </c>
      <c r="AP636" t="inlineStr">
        <is>
          <t>8.7</t>
        </is>
      </c>
      <c r="AQ636" t="inlineStr">
        <is>
          <t>701+</t>
        </is>
      </c>
      <c r="AR636" t="inlineStr">
        <is>
          <t>6.5</t>
        </is>
      </c>
      <c r="AS636" t="inlineStr">
        <is>
          <t>701+</t>
        </is>
      </c>
      <c r="AT636" t="inlineStr">
        <is>
          <t>6.6</t>
        </is>
      </c>
      <c r="AU636" t="inlineStr">
        <is>
          <t>701+</t>
        </is>
      </c>
      <c r="AV636" t="inlineStr">
        <is>
          <t>1.2</t>
        </is>
      </c>
      <c r="AW636" t="inlineStr">
        <is>
          <t>701+</t>
        </is>
      </c>
      <c r="AX636" t="inlineStr">
        <is>
          <t>23</t>
        </is>
      </c>
      <c r="AY636" t="inlineStr">
        <is>
          <t>364</t>
        </is>
      </c>
      <c r="AZ636" t="inlineStr">
        <is>
          <t>4.1</t>
        </is>
      </c>
      <c r="BA636" t="inlineStr">
        <is>
          <t>701+</t>
        </is>
      </c>
    </row>
    <row r="637">
      <c r="A637" t="inlineStr">
        <is>
          <t>Michigan State University</t>
        </is>
      </c>
      <c r="B637" t="inlineStr">
        <is>
          <t>United States</t>
        </is>
      </c>
      <c r="C637" t="inlineStr">
        <is>
          <t>US</t>
        </is>
      </c>
      <c r="D637" t="inlineStr">
        <is>
          <t>Americas</t>
        </is>
      </c>
      <c r="E637" t="inlineStr">
        <is>
          <t>XL</t>
        </is>
      </c>
      <c r="F637" t="inlineStr">
        <is>
          <t>FC</t>
        </is>
      </c>
      <c r="G637" t="inlineStr">
        <is>
          <t>VH</t>
        </is>
      </c>
      <c r="H637" t="inlineStr">
        <is>
          <t>5</t>
        </is>
      </c>
      <c r="I637" t="inlineStr">
        <is>
          <t>Public</t>
        </is>
      </c>
      <c r="J637" t="inlineStr">
        <is>
          <t>161</t>
        </is>
      </c>
      <c r="K637" t="inlineStr">
        <is>
          <t>152</t>
        </is>
      </c>
      <c r="L637" t="inlineStr">
        <is>
          <t>136</t>
        </is>
      </c>
      <c r="M637" t="inlineStr">
        <is>
          <t>159</t>
        </is>
      </c>
      <c r="N637" t="inlineStr">
        <is>
          <t>60.9</t>
        </is>
      </c>
      <c r="O637" t="inlineStr">
        <is>
          <t>52.7</t>
        </is>
      </c>
      <c r="P637" t="n">
        <v>67.3</v>
      </c>
      <c r="Q637" t="inlineStr">
        <is>
          <t>146</t>
        </is>
      </c>
      <c r="R637" t="n">
        <v>62.9</v>
      </c>
      <c r="S637" t="inlineStr">
        <is>
          <t>174</t>
        </is>
      </c>
      <c r="T637" t="n">
        <v>13.9</v>
      </c>
      <c r="U637" t="inlineStr">
        <is>
          <t>801+</t>
        </is>
      </c>
      <c r="V637" t="n">
        <v>61.2</v>
      </c>
      <c r="W637" t="inlineStr">
        <is>
          <t>280</t>
        </is>
      </c>
      <c r="X637" t="n">
        <v>67.2</v>
      </c>
      <c r="Y637" t="inlineStr">
        <is>
          <t>348</t>
        </is>
      </c>
      <c r="Z637" t="n">
        <v>21.1</v>
      </c>
      <c r="AA637" t="inlineStr">
        <is>
          <t>708</t>
        </is>
      </c>
      <c r="AB637" t="n">
        <v>27.3</v>
      </c>
      <c r="AC637" t="inlineStr">
        <is>
          <t>649</t>
        </is>
      </c>
      <c r="AD637" t="n">
        <v>97.59999999999999</v>
      </c>
      <c r="AE637" t="inlineStr">
        <is>
          <t>27</t>
        </is>
      </c>
      <c r="AF637" t="n">
        <v>75.59999999999999</v>
      </c>
      <c r="AG637" t="inlineStr">
        <is>
          <t>180</t>
        </is>
      </c>
      <c r="AH637" t="n">
        <v>94.2</v>
      </c>
      <c r="AI637" t="inlineStr">
        <is>
          <t>28</t>
        </is>
      </c>
      <c r="AJ637" t="inlineStr">
        <is>
          <t>59.9</t>
        </is>
      </c>
      <c r="AK637" t="inlineStr">
        <is>
          <t>120</t>
        </is>
      </c>
      <c r="AL637" t="inlineStr">
        <is>
          <t>49.4</t>
        </is>
      </c>
      <c r="AM637" t="inlineStr">
        <is>
          <t>174</t>
        </is>
      </c>
      <c r="AN637" t="inlineStr">
        <is>
          <t>11.3</t>
        </is>
      </c>
      <c r="AO637" t="inlineStr">
        <is>
          <t>701+</t>
        </is>
      </c>
      <c r="AP637" t="inlineStr">
        <is>
          <t>58.0</t>
        </is>
      </c>
      <c r="AQ637" t="inlineStr">
        <is>
          <t>221</t>
        </is>
      </c>
      <c r="AR637" t="inlineStr">
        <is>
          <t>58.6</t>
        </is>
      </c>
      <c r="AS637" t="inlineStr">
        <is>
          <t>320</t>
        </is>
      </c>
      <c r="AT637" t="inlineStr">
        <is>
          <t>12.8</t>
        </is>
      </c>
      <c r="AU637" t="inlineStr">
        <is>
          <t>665</t>
        </is>
      </c>
      <c r="AV637" t="inlineStr">
        <is>
          <t>95.6</t>
        </is>
      </c>
      <c r="AW637" t="inlineStr">
        <is>
          <t>45</t>
        </is>
      </c>
      <c r="AX637" t="inlineStr">
        <is>
          <t>45.5</t>
        </is>
      </c>
      <c r="AY637" t="inlineStr">
        <is>
          <t>153</t>
        </is>
      </c>
      <c r="AZ637" t="inlineStr">
        <is>
          <t>71.2</t>
        </is>
      </c>
      <c r="BA637" t="inlineStr">
        <is>
          <t>199</t>
        </is>
      </c>
    </row>
    <row r="638">
      <c r="A638" t="inlineStr">
        <is>
          <t>Michigan Technological University</t>
        </is>
      </c>
      <c r="B638" t="inlineStr">
        <is>
          <t>United States</t>
        </is>
      </c>
      <c r="C638" t="inlineStr">
        <is>
          <t>US</t>
        </is>
      </c>
      <c r="D638" t="inlineStr">
        <is>
          <t>Americas</t>
        </is>
      </c>
      <c r="E638" t="inlineStr">
        <is>
          <t>M</t>
        </is>
      </c>
      <c r="F638" t="inlineStr">
        <is>
          <t>CO</t>
        </is>
      </c>
      <c r="G638" t="inlineStr">
        <is>
          <t>VH</t>
        </is>
      </c>
      <c r="H638" t="inlineStr">
        <is>
          <t>5</t>
        </is>
      </c>
      <c r="I638" t="inlineStr">
        <is>
          <t>Public</t>
        </is>
      </c>
      <c r="J638" t="inlineStr">
        <is>
          <t>901-950</t>
        </is>
      </c>
      <c r="K638" t="inlineStr">
        <is>
          <t>901-950</t>
        </is>
      </c>
      <c r="L638" t="inlineStr">
        <is>
          <t>851-900</t>
        </is>
      </c>
      <c r="M638" t="inlineStr">
        <is>
          <t>751-800</t>
        </is>
      </c>
      <c r="N638" t="inlineStr">
        <is>
          <t>-</t>
        </is>
      </c>
      <c r="O638" t="inlineStr">
        <is>
          <t>-</t>
        </is>
      </c>
      <c r="P638" t="n">
        <v>6.2</v>
      </c>
      <c r="Q638" t="inlineStr">
        <is>
          <t>701+</t>
        </is>
      </c>
      <c r="R638" t="n">
        <v>10.2</v>
      </c>
      <c r="S638" t="inlineStr">
        <is>
          <t>701+</t>
        </is>
      </c>
      <c r="T638" t="n">
        <v>32.2</v>
      </c>
      <c r="U638" t="inlineStr">
        <is>
          <t>599</t>
        </is>
      </c>
      <c r="V638" t="n">
        <v>38.2</v>
      </c>
      <c r="W638" t="inlineStr">
        <is>
          <t>490</t>
        </is>
      </c>
      <c r="X638" t="n">
        <v>18.2</v>
      </c>
      <c r="Y638" t="inlineStr">
        <is>
          <t>740</t>
        </is>
      </c>
      <c r="Z638" t="n">
        <v>20.1</v>
      </c>
      <c r="AA638" t="inlineStr">
        <is>
          <t>728</t>
        </is>
      </c>
      <c r="AB638" t="n">
        <v>15.2</v>
      </c>
      <c r="AC638" t="inlineStr">
        <is>
          <t>801+</t>
        </is>
      </c>
      <c r="AD638" t="n">
        <v>55.2</v>
      </c>
      <c r="AE638" t="inlineStr">
        <is>
          <t>766</t>
        </is>
      </c>
      <c r="AF638" t="n">
        <v>4.6</v>
      </c>
      <c r="AG638" t="inlineStr">
        <is>
          <t>801+</t>
        </is>
      </c>
      <c r="AH638" t="n">
        <v>37.9</v>
      </c>
      <c r="AI638" t="inlineStr">
        <is>
          <t>801+</t>
        </is>
      </c>
      <c r="AJ638" t="inlineStr">
        <is>
          <t>4.4</t>
        </is>
      </c>
      <c r="AK638" t="inlineStr">
        <is>
          <t>601+</t>
        </is>
      </c>
      <c r="AL638" t="inlineStr">
        <is>
          <t>4.2</t>
        </is>
      </c>
      <c r="AM638" t="inlineStr">
        <is>
          <t>601+</t>
        </is>
      </c>
      <c r="AN638" t="inlineStr">
        <is>
          <t>26.0</t>
        </is>
      </c>
      <c r="AO638" t="inlineStr">
        <is>
          <t>568</t>
        </is>
      </c>
      <c r="AP638" t="inlineStr">
        <is>
          <t>32.1</t>
        </is>
      </c>
      <c r="AQ638" t="inlineStr">
        <is>
          <t>420</t>
        </is>
      </c>
      <c r="AR638" t="inlineStr">
        <is>
          <t>19.6</t>
        </is>
      </c>
      <c r="AS638" t="inlineStr">
        <is>
          <t>593</t>
        </is>
      </c>
      <c r="AT638" t="inlineStr">
        <is>
          <t>9.4</t>
        </is>
      </c>
      <c r="AU638" t="inlineStr">
        <is>
          <t>701+</t>
        </is>
      </c>
      <c r="AV638" t="inlineStr">
        <is>
          <t>8.3</t>
        </is>
      </c>
      <c r="AW638" t="inlineStr">
        <is>
          <t>701+</t>
        </is>
      </c>
      <c r="AX638" t="inlineStr">
        <is>
          <t>8.6</t>
        </is>
      </c>
      <c r="AY638" t="inlineStr">
        <is>
          <t>701+</t>
        </is>
      </c>
      <c r="AZ638" t="inlineStr">
        <is>
          <t>3.2</t>
        </is>
      </c>
      <c r="BA638" t="inlineStr">
        <is>
          <t>701+</t>
        </is>
      </c>
    </row>
    <row r="639">
      <c r="A639" t="inlineStr">
        <is>
          <t>Middle East Technical University</t>
        </is>
      </c>
      <c r="B639" t="inlineStr">
        <is>
          <t>Turkey</t>
        </is>
      </c>
      <c r="C639" t="inlineStr">
        <is>
          <t>TR</t>
        </is>
      </c>
      <c r="D639" t="inlineStr">
        <is>
          <t>Asia</t>
        </is>
      </c>
      <c r="E639" t="inlineStr">
        <is>
          <t>L</t>
        </is>
      </c>
      <c r="F639" t="inlineStr">
        <is>
          <t>CO</t>
        </is>
      </c>
      <c r="G639" t="inlineStr">
        <is>
          <t>VH</t>
        </is>
      </c>
      <c r="H639" t="inlineStr">
        <is>
          <t>4</t>
        </is>
      </c>
      <c r="I639" t="inlineStr">
        <is>
          <t>Public</t>
        </is>
      </c>
      <c r="J639" t="inlineStr">
        <is>
          <t>269</t>
        </is>
      </c>
      <c r="K639" t="inlineStr">
        <is>
          <t>285</t>
        </is>
      </c>
      <c r="L639">
        <f>336</f>
        <v/>
      </c>
      <c r="M639" t="inlineStr">
        <is>
          <t>501-510</t>
        </is>
      </c>
      <c r="N639" t="inlineStr">
        <is>
          <t>48.5</t>
        </is>
      </c>
      <c r="O639" t="inlineStr">
        <is>
          <t>32.2</t>
        </is>
      </c>
      <c r="P639" t="n">
        <v>44.8</v>
      </c>
      <c r="Q639" t="inlineStr">
        <is>
          <t>265</t>
        </is>
      </c>
      <c r="R639" t="n">
        <v>88.7</v>
      </c>
      <c r="S639" t="inlineStr">
        <is>
          <t>77</t>
        </is>
      </c>
      <c r="T639" t="n">
        <v>12.8</v>
      </c>
      <c r="U639" t="inlineStr">
        <is>
          <t>801+</t>
        </is>
      </c>
      <c r="V639" t="n">
        <v>34.4</v>
      </c>
      <c r="W639" t="inlineStr">
        <is>
          <t>528</t>
        </is>
      </c>
      <c r="X639" t="n">
        <v>18</v>
      </c>
      <c r="Y639" t="inlineStr">
        <is>
          <t>743</t>
        </is>
      </c>
      <c r="Z639" t="n">
        <v>31</v>
      </c>
      <c r="AA639" t="inlineStr">
        <is>
          <t>579</t>
        </is>
      </c>
      <c r="AB639" t="n">
        <v>36.9</v>
      </c>
      <c r="AC639" t="inlineStr">
        <is>
          <t>528</t>
        </is>
      </c>
      <c r="AD639" t="n">
        <v>79.2</v>
      </c>
      <c r="AE639" t="inlineStr">
        <is>
          <t>365</t>
        </is>
      </c>
      <c r="AF639" t="n">
        <v>82.2</v>
      </c>
      <c r="AG639" t="inlineStr">
        <is>
          <t>148</t>
        </is>
      </c>
      <c r="AH639" t="n">
        <v>71.8</v>
      </c>
      <c r="AI639" t="inlineStr">
        <is>
          <t>294=</t>
        </is>
      </c>
      <c r="AJ639" t="inlineStr">
        <is>
          <t>29.0</t>
        </is>
      </c>
      <c r="AK639" t="inlineStr">
        <is>
          <t>299</t>
        </is>
      </c>
      <c r="AL639" t="inlineStr">
        <is>
          <t>63.7</t>
        </is>
      </c>
      <c r="AM639" t="inlineStr">
        <is>
          <t>125</t>
        </is>
      </c>
      <c r="AN639" t="inlineStr">
        <is>
          <t>9.0</t>
        </is>
      </c>
      <c r="AO639" t="inlineStr">
        <is>
          <t>701+</t>
        </is>
      </c>
      <c r="AP639" t="inlineStr">
        <is>
          <t>22.2</t>
        </is>
      </c>
      <c r="AQ639" t="inlineStr">
        <is>
          <t>525</t>
        </is>
      </c>
      <c r="AR639" t="inlineStr">
        <is>
          <t>11.3</t>
        </is>
      </c>
      <c r="AS639" t="inlineStr">
        <is>
          <t>701+</t>
        </is>
      </c>
      <c r="AT639" t="inlineStr">
        <is>
          <t>17.4</t>
        </is>
      </c>
      <c r="AU639" t="inlineStr">
        <is>
          <t>583</t>
        </is>
      </c>
      <c r="AV639" t="inlineStr">
        <is>
          <t>32.2</t>
        </is>
      </c>
      <c r="AW639" t="inlineStr">
        <is>
          <t>443</t>
        </is>
      </c>
      <c r="AX639" t="inlineStr">
        <is>
          <t>24.6</t>
        </is>
      </c>
      <c r="AY639" t="inlineStr">
        <is>
          <t>339</t>
        </is>
      </c>
      <c r="AZ639" t="inlineStr">
        <is>
          <t>84.8</t>
        </is>
      </c>
      <c r="BA639" t="inlineStr">
        <is>
          <t>120=</t>
        </is>
      </c>
    </row>
    <row r="640">
      <c r="A640" t="inlineStr">
        <is>
          <t>Middle East University Jordan</t>
        </is>
      </c>
      <c r="B640" t="inlineStr">
        <is>
          <t>Jordan</t>
        </is>
      </c>
      <c r="C640" t="inlineStr"/>
      <c r="D640" t="inlineStr">
        <is>
          <t>Asia</t>
        </is>
      </c>
      <c r="E640" t="inlineStr">
        <is>
          <t>S</t>
        </is>
      </c>
      <c r="F640" t="inlineStr">
        <is>
          <t>FO</t>
        </is>
      </c>
      <c r="G640" t="inlineStr">
        <is>
          <t>VH</t>
        </is>
      </c>
      <c r="H640" t="inlineStr"/>
      <c r="I640" t="inlineStr">
        <is>
          <t>Private not for Profit</t>
        </is>
      </c>
      <c r="J640" t="inlineStr">
        <is>
          <t>1001-1200</t>
        </is>
      </c>
      <c r="K640" t="inlineStr"/>
      <c r="L640" t="inlineStr"/>
      <c r="M640" t="inlineStr"/>
      <c r="N640" t="inlineStr">
        <is>
          <t>-</t>
        </is>
      </c>
      <c r="O640" t="inlineStr"/>
      <c r="P640" t="n">
        <v>9.1</v>
      </c>
      <c r="Q640" t="inlineStr">
        <is>
          <t>701+</t>
        </is>
      </c>
      <c r="R640" t="n">
        <v>7.2</v>
      </c>
      <c r="S640" t="inlineStr">
        <is>
          <t>701+</t>
        </is>
      </c>
      <c r="T640" t="n">
        <v>12.4</v>
      </c>
      <c r="U640" t="inlineStr">
        <is>
          <t>801+</t>
        </is>
      </c>
      <c r="V640" t="n">
        <v>13.2</v>
      </c>
      <c r="W640" t="inlineStr">
        <is>
          <t>801+</t>
        </is>
      </c>
      <c r="X640" t="n">
        <v>10.6</v>
      </c>
      <c r="Y640" t="inlineStr">
        <is>
          <t>801+</t>
        </is>
      </c>
      <c r="Z640" t="n">
        <v>90.90000000000001</v>
      </c>
      <c r="AA640" t="inlineStr">
        <is>
          <t>158</t>
        </is>
      </c>
      <c r="AB640" t="n">
        <v>80.90000000000001</v>
      </c>
      <c r="AC640" t="inlineStr">
        <is>
          <t>196</t>
        </is>
      </c>
      <c r="AD640" t="n">
        <v>47.7</v>
      </c>
      <c r="AE640" t="inlineStr">
        <is>
          <t>801+</t>
        </is>
      </c>
      <c r="AF640" t="n">
        <v>5.9</v>
      </c>
      <c r="AG640" t="inlineStr">
        <is>
          <t>801+</t>
        </is>
      </c>
      <c r="AH640" t="n">
        <v>8</v>
      </c>
      <c r="AI640" t="inlineStr">
        <is>
          <t>801+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</row>
    <row r="641">
      <c r="A641" t="inlineStr">
        <is>
          <t>Middlesex University</t>
        </is>
      </c>
      <c r="B641" t="inlineStr">
        <is>
          <t>United Kingdom</t>
        </is>
      </c>
      <c r="C641" t="inlineStr">
        <is>
          <t>UK</t>
        </is>
      </c>
      <c r="D641" t="inlineStr">
        <is>
          <t>Europe</t>
        </is>
      </c>
      <c r="E641" t="inlineStr">
        <is>
          <t>L</t>
        </is>
      </c>
      <c r="F641" t="inlineStr">
        <is>
          <t>CO</t>
        </is>
      </c>
      <c r="G641" t="inlineStr">
        <is>
          <t>HI</t>
        </is>
      </c>
      <c r="H641" t="inlineStr">
        <is>
          <t>4</t>
        </is>
      </c>
      <c r="I641" t="inlineStr">
        <is>
          <t>Public</t>
        </is>
      </c>
      <c r="J641" t="inlineStr">
        <is>
          <t>801-850</t>
        </is>
      </c>
      <c r="K641" t="inlineStr">
        <is>
          <t>721-730</t>
        </is>
      </c>
      <c r="L641" t="inlineStr">
        <is>
          <t>661-670</t>
        </is>
      </c>
      <c r="M641" t="inlineStr">
        <is>
          <t>751-800</t>
        </is>
      </c>
      <c r="N641" t="inlineStr">
        <is>
          <t>-</t>
        </is>
      </c>
      <c r="O641" t="inlineStr">
        <is>
          <t>-</t>
        </is>
      </c>
      <c r="P641" t="n">
        <v>7.5</v>
      </c>
      <c r="Q641" t="inlineStr">
        <is>
          <t>701+</t>
        </is>
      </c>
      <c r="R641" t="n">
        <v>9.300000000000001</v>
      </c>
      <c r="S641" t="inlineStr">
        <is>
          <t>701+</t>
        </is>
      </c>
      <c r="T641" t="n">
        <v>11.3</v>
      </c>
      <c r="U641" t="inlineStr">
        <is>
          <t>801+</t>
        </is>
      </c>
      <c r="V641" t="n">
        <v>14.3</v>
      </c>
      <c r="W641" t="inlineStr">
        <is>
          <t>801+</t>
        </is>
      </c>
      <c r="X641" t="n">
        <v>88.59999999999999</v>
      </c>
      <c r="Y641" t="inlineStr">
        <is>
          <t>233</t>
        </is>
      </c>
      <c r="Z641" t="n">
        <v>99.7</v>
      </c>
      <c r="AA641" t="inlineStr">
        <is>
          <t>49</t>
        </is>
      </c>
      <c r="AB641" t="n">
        <v>99.7</v>
      </c>
      <c r="AC641" t="inlineStr">
        <is>
          <t>39</t>
        </is>
      </c>
      <c r="AD641" t="n">
        <v>56.5</v>
      </c>
      <c r="AE641" t="inlineStr">
        <is>
          <t>744</t>
        </is>
      </c>
      <c r="AF641" t="n">
        <v>24.6</v>
      </c>
      <c r="AG641" t="inlineStr">
        <is>
          <t>647</t>
        </is>
      </c>
      <c r="AH641" t="n">
        <v>40</v>
      </c>
      <c r="AI641" t="inlineStr">
        <is>
          <t>801+</t>
        </is>
      </c>
      <c r="AJ641" t="inlineStr">
        <is>
          <t>5.6</t>
        </is>
      </c>
      <c r="AK641" t="inlineStr">
        <is>
          <t>601+</t>
        </is>
      </c>
      <c r="AL641" t="inlineStr">
        <is>
          <t>4.8</t>
        </is>
      </c>
      <c r="AM641" t="inlineStr">
        <is>
          <t>601+</t>
        </is>
      </c>
      <c r="AN641" t="inlineStr">
        <is>
          <t>8.3</t>
        </is>
      </c>
      <c r="AO641" t="inlineStr">
        <is>
          <t>701+</t>
        </is>
      </c>
      <c r="AP641" t="inlineStr">
        <is>
          <t>14.3</t>
        </is>
      </c>
      <c r="AQ641" t="inlineStr">
        <is>
          <t>650</t>
        </is>
      </c>
      <c r="AR641" t="inlineStr">
        <is>
          <t>85.1</t>
        </is>
      </c>
      <c r="AS641" t="inlineStr">
        <is>
          <t>209</t>
        </is>
      </c>
      <c r="AT641" t="inlineStr">
        <is>
          <t>99.6</t>
        </is>
      </c>
      <c r="AU641" t="inlineStr">
        <is>
          <t>38</t>
        </is>
      </c>
      <c r="AV641" t="inlineStr">
        <is>
          <t>20.6</t>
        </is>
      </c>
      <c r="AW641" t="inlineStr">
        <is>
          <t>540</t>
        </is>
      </c>
      <c r="AX641" t="inlineStr">
        <is>
          <t>15.8</t>
        </is>
      </c>
      <c r="AY641" t="inlineStr">
        <is>
          <t>529</t>
        </is>
      </c>
      <c r="AZ641" t="inlineStr">
        <is>
          <t>8.6</t>
        </is>
      </c>
      <c r="BA641" t="inlineStr">
        <is>
          <t>693</t>
        </is>
      </c>
    </row>
    <row r="642">
      <c r="A642" t="inlineStr">
        <is>
          <t>MIREA - Russian Technological University</t>
        </is>
      </c>
      <c r="B642" t="inlineStr">
        <is>
          <t>Russia</t>
        </is>
      </c>
      <c r="C642" t="inlineStr">
        <is>
          <t>RU</t>
        </is>
      </c>
      <c r="D642" t="inlineStr"/>
      <c r="E642" t="inlineStr">
        <is>
          <t>L</t>
        </is>
      </c>
      <c r="F642" t="inlineStr">
        <is>
          <t>FO</t>
        </is>
      </c>
      <c r="G642" t="inlineStr">
        <is>
          <t>VH</t>
        </is>
      </c>
      <c r="H642" t="inlineStr">
        <is>
          <t>4</t>
        </is>
      </c>
      <c r="I642" t="inlineStr">
        <is>
          <t>A</t>
        </is>
      </c>
      <c r="J642" t="inlineStr"/>
      <c r="K642" t="inlineStr"/>
      <c r="L642" t="inlineStr">
        <is>
          <t>1401+</t>
        </is>
      </c>
      <c r="M642" t="inlineStr">
        <is>
          <t>1201-1400</t>
        </is>
      </c>
      <c r="N642" t="inlineStr"/>
      <c r="O642" t="inlineStr">
        <is>
          <t>-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5.2</t>
        </is>
      </c>
      <c r="AK642" t="inlineStr">
        <is>
          <t>601+</t>
        </is>
      </c>
      <c r="AL642" t="inlineStr">
        <is>
          <t>4.9</t>
        </is>
      </c>
      <c r="AM642" t="inlineStr">
        <is>
          <t>601+</t>
        </is>
      </c>
      <c r="AN642" t="inlineStr">
        <is>
          <t>7.5</t>
        </is>
      </c>
      <c r="AO642" t="inlineStr">
        <is>
          <t>701+</t>
        </is>
      </c>
      <c r="AP642" t="inlineStr">
        <is>
          <t>1.4</t>
        </is>
      </c>
      <c r="AQ642" t="inlineStr">
        <is>
          <t>701+</t>
        </is>
      </c>
      <c r="AR642" t="inlineStr">
        <is>
          <t>1.3</t>
        </is>
      </c>
      <c r="AS642" t="inlineStr">
        <is>
          <t>701+</t>
        </is>
      </c>
      <c r="AT642" t="inlineStr">
        <is>
          <t>3.4</t>
        </is>
      </c>
      <c r="AU642" t="inlineStr">
        <is>
          <t>701+</t>
        </is>
      </c>
      <c r="AV642" t="inlineStr">
        <is>
          <t>1.0</t>
        </is>
      </c>
      <c r="AW642" t="inlineStr">
        <is>
          <t>701+</t>
        </is>
      </c>
      <c r="AX642" t="inlineStr">
        <is>
          <t>7.3</t>
        </is>
      </c>
      <c r="AY642" t="inlineStr">
        <is>
          <t>701+</t>
        </is>
      </c>
      <c r="AZ642" t="inlineStr">
        <is>
          <t>1</t>
        </is>
      </c>
      <c r="BA642" t="inlineStr">
        <is>
          <t>701+</t>
        </is>
      </c>
    </row>
    <row r="643">
      <c r="A643" t="inlineStr">
        <is>
          <t>Mississippi State University</t>
        </is>
      </c>
      <c r="B643" t="inlineStr">
        <is>
          <t>United States</t>
        </is>
      </c>
      <c r="C643" t="inlineStr">
        <is>
          <t>US</t>
        </is>
      </c>
      <c r="D643" t="inlineStr">
        <is>
          <t>Americas</t>
        </is>
      </c>
      <c r="E643" t="inlineStr">
        <is>
          <t>L</t>
        </is>
      </c>
      <c r="F643" t="inlineStr">
        <is>
          <t>CO</t>
        </is>
      </c>
      <c r="G643" t="inlineStr">
        <is>
          <t>VH</t>
        </is>
      </c>
      <c r="H643" t="inlineStr">
        <is>
          <t>5</t>
        </is>
      </c>
      <c r="I643" t="inlineStr">
        <is>
          <t>Public</t>
        </is>
      </c>
      <c r="J643" t="inlineStr">
        <is>
          <t>1001-1200</t>
        </is>
      </c>
      <c r="K643" t="inlineStr">
        <is>
          <t>1001-1200</t>
        </is>
      </c>
      <c r="L643" t="inlineStr">
        <is>
          <t>1001-1200</t>
        </is>
      </c>
      <c r="M643" t="inlineStr">
        <is>
          <t>1001-1200</t>
        </is>
      </c>
      <c r="N643" t="inlineStr">
        <is>
          <t>-</t>
        </is>
      </c>
      <c r="O643" t="inlineStr">
        <is>
          <t>-</t>
        </is>
      </c>
      <c r="P643" t="n">
        <v>7.2</v>
      </c>
      <c r="Q643" t="inlineStr">
        <is>
          <t>701+</t>
        </is>
      </c>
      <c r="R643" t="n">
        <v>8.699999999999999</v>
      </c>
      <c r="S643" t="inlineStr">
        <is>
          <t>701+</t>
        </is>
      </c>
      <c r="T643" t="n">
        <v>9.1</v>
      </c>
      <c r="U643" t="inlineStr">
        <is>
          <t>801+</t>
        </is>
      </c>
      <c r="V643" t="n">
        <v>33.5</v>
      </c>
      <c r="W643" t="inlineStr">
        <is>
          <t>542</t>
        </is>
      </c>
      <c r="X643" t="n">
        <v>19.7</v>
      </c>
      <c r="Y643" t="inlineStr">
        <is>
          <t>720</t>
        </is>
      </c>
      <c r="Z643" t="n">
        <v>5.5</v>
      </c>
      <c r="AA643" t="inlineStr">
        <is>
          <t>801+</t>
        </is>
      </c>
      <c r="AB643" t="n">
        <v>4.3</v>
      </c>
      <c r="AC643" t="inlineStr">
        <is>
          <t>801+</t>
        </is>
      </c>
      <c r="AD643" t="n">
        <v>70.2</v>
      </c>
      <c r="AE643" t="inlineStr">
        <is>
          <t>527</t>
        </is>
      </c>
      <c r="AF643" t="n">
        <v>12.8</v>
      </c>
      <c r="AG643" t="inlineStr">
        <is>
          <t>801+</t>
        </is>
      </c>
      <c r="AH643" t="n">
        <v>38.5</v>
      </c>
      <c r="AI643" t="inlineStr">
        <is>
          <t>801+</t>
        </is>
      </c>
      <c r="AJ643" t="inlineStr">
        <is>
          <t>6.0</t>
        </is>
      </c>
      <c r="AK643" t="inlineStr">
        <is>
          <t>601+</t>
        </is>
      </c>
      <c r="AL643" t="inlineStr">
        <is>
          <t>5.8</t>
        </is>
      </c>
      <c r="AM643" t="inlineStr">
        <is>
          <t>601+</t>
        </is>
      </c>
      <c r="AN643" t="inlineStr">
        <is>
          <t>6.7</t>
        </is>
      </c>
      <c r="AO643" t="inlineStr">
        <is>
          <t>701+</t>
        </is>
      </c>
      <c r="AP643" t="inlineStr">
        <is>
          <t>18.4</t>
        </is>
      </c>
      <c r="AQ643" t="inlineStr">
        <is>
          <t>576</t>
        </is>
      </c>
      <c r="AR643" t="inlineStr">
        <is>
          <t>15.7</t>
        </is>
      </c>
      <c r="AS643" t="inlineStr">
        <is>
          <t>657</t>
        </is>
      </c>
      <c r="AT643" t="inlineStr">
        <is>
          <t>3.2</t>
        </is>
      </c>
      <c r="AU643" t="inlineStr">
        <is>
          <t>701+</t>
        </is>
      </c>
      <c r="AV643" t="inlineStr">
        <is>
          <t>9.2</t>
        </is>
      </c>
      <c r="AW643" t="inlineStr">
        <is>
          <t>688</t>
        </is>
      </c>
      <c r="AX643" t="inlineStr">
        <is>
          <t>10.8</t>
        </is>
      </c>
      <c r="AY643" t="inlineStr">
        <is>
          <t>701+</t>
        </is>
      </c>
      <c r="AZ643" t="inlineStr">
        <is>
          <t>11.7</t>
        </is>
      </c>
      <c r="BA643" t="inlineStr">
        <is>
          <t>647=</t>
        </is>
      </c>
    </row>
    <row r="644">
      <c r="A644" t="inlineStr">
        <is>
          <t>Missouri University of Science and Technology</t>
        </is>
      </c>
      <c r="B644" t="inlineStr">
        <is>
          <t>United States</t>
        </is>
      </c>
      <c r="C644" t="inlineStr">
        <is>
          <t>US</t>
        </is>
      </c>
      <c r="D644" t="inlineStr">
        <is>
          <t>Americas</t>
        </is>
      </c>
      <c r="E644" t="inlineStr">
        <is>
          <t>M</t>
        </is>
      </c>
      <c r="F644" t="inlineStr">
        <is>
          <t>CO</t>
        </is>
      </c>
      <c r="G644" t="inlineStr">
        <is>
          <t>VH</t>
        </is>
      </c>
      <c r="H644" t="inlineStr">
        <is>
          <t>5</t>
        </is>
      </c>
      <c r="I644" t="inlineStr">
        <is>
          <t>Public</t>
        </is>
      </c>
      <c r="J644" t="inlineStr">
        <is>
          <t>628</t>
        </is>
      </c>
      <c r="K644" t="inlineStr">
        <is>
          <t>527</t>
        </is>
      </c>
      <c r="L644" t="inlineStr">
        <is>
          <t>480</t>
        </is>
      </c>
      <c r="M644" t="inlineStr">
        <is>
          <t>501-510</t>
        </is>
      </c>
      <c r="N644" t="inlineStr">
        <is>
          <t>27.4</t>
        </is>
      </c>
      <c r="O644" t="inlineStr">
        <is>
          <t>24.0</t>
        </is>
      </c>
      <c r="P644" t="n">
        <v>4.9</v>
      </c>
      <c r="Q644" t="inlineStr">
        <is>
          <t>701+</t>
        </is>
      </c>
      <c r="R644" t="n">
        <v>10.5</v>
      </c>
      <c r="S644" t="inlineStr">
        <is>
          <t>701+</t>
        </is>
      </c>
      <c r="T644" t="n">
        <v>8.6</v>
      </c>
      <c r="U644" t="inlineStr">
        <is>
          <t>801+</t>
        </is>
      </c>
      <c r="V644" t="n">
        <v>87.7</v>
      </c>
      <c r="W644" t="inlineStr">
        <is>
          <t>112</t>
        </is>
      </c>
      <c r="X644" t="n">
        <v>26.9</v>
      </c>
      <c r="Y644" t="inlineStr">
        <is>
          <t>627</t>
        </is>
      </c>
      <c r="Z644" t="n">
        <v>32.5</v>
      </c>
      <c r="AA644" t="inlineStr">
        <is>
          <t>563</t>
        </is>
      </c>
      <c r="AB644" t="n">
        <v>35.3</v>
      </c>
      <c r="AC644" t="inlineStr">
        <is>
          <t>547</t>
        </is>
      </c>
      <c r="AD644" t="n">
        <v>41.7</v>
      </c>
      <c r="AE644" t="inlineStr">
        <is>
          <t>801+</t>
        </is>
      </c>
      <c r="AF644" t="n">
        <v>8.800000000000001</v>
      </c>
      <c r="AG644" t="inlineStr">
        <is>
          <t>801+</t>
        </is>
      </c>
      <c r="AH644" t="n">
        <v>34</v>
      </c>
      <c r="AI644" t="inlineStr">
        <is>
          <t>801+</t>
        </is>
      </c>
      <c r="AJ644" t="inlineStr">
        <is>
          <t>4.6</t>
        </is>
      </c>
      <c r="AK644" t="inlineStr">
        <is>
          <t>601+</t>
        </is>
      </c>
      <c r="AL644" t="inlineStr">
        <is>
          <t>4.8</t>
        </is>
      </c>
      <c r="AM644" t="inlineStr">
        <is>
          <t>601+</t>
        </is>
      </c>
      <c r="AN644" t="inlineStr">
        <is>
          <t>6.5</t>
        </is>
      </c>
      <c r="AO644" t="inlineStr">
        <is>
          <t>701+</t>
        </is>
      </c>
      <c r="AP644" t="inlineStr">
        <is>
          <t>85.1</t>
        </is>
      </c>
      <c r="AQ644" t="inlineStr">
        <is>
          <t>94</t>
        </is>
      </c>
      <c r="AR644" t="inlineStr">
        <is>
          <t>61.1</t>
        </is>
      </c>
      <c r="AS644" t="inlineStr">
        <is>
          <t>313</t>
        </is>
      </c>
      <c r="AT644" t="inlineStr">
        <is>
          <t>12.3</t>
        </is>
      </c>
      <c r="AU644" t="inlineStr">
        <is>
          <t>674</t>
        </is>
      </c>
      <c r="AV644" t="inlineStr">
        <is>
          <t>2.1</t>
        </is>
      </c>
      <c r="AW644" t="inlineStr">
        <is>
          <t>701+</t>
        </is>
      </c>
      <c r="AX644" t="inlineStr">
        <is>
          <t>9.6</t>
        </is>
      </c>
      <c r="AY644" t="inlineStr">
        <is>
          <t>701+</t>
        </is>
      </c>
      <c r="AZ644" t="inlineStr">
        <is>
          <t>1.6</t>
        </is>
      </c>
      <c r="BA644" t="inlineStr">
        <is>
          <t>701+</t>
        </is>
      </c>
    </row>
    <row r="645">
      <c r="A645" t="inlineStr">
        <is>
          <t>Monash University</t>
        </is>
      </c>
      <c r="B645" t="inlineStr">
        <is>
          <t>Australia</t>
        </is>
      </c>
      <c r="C645" t="inlineStr">
        <is>
          <t>AU</t>
        </is>
      </c>
      <c r="D645" t="inlineStr">
        <is>
          <t>Oceania</t>
        </is>
      </c>
      <c r="E645" t="inlineStr">
        <is>
          <t>XL</t>
        </is>
      </c>
      <c r="F645" t="inlineStr">
        <is>
          <t>FC</t>
        </is>
      </c>
      <c r="G645" t="inlineStr">
        <is>
          <t>VH</t>
        </is>
      </c>
      <c r="H645" t="inlineStr">
        <is>
          <t>4</t>
        </is>
      </c>
      <c r="I645" t="inlineStr">
        <is>
          <t>Public</t>
        </is>
      </c>
      <c r="J645" t="inlineStr">
        <is>
          <t>36</t>
        </is>
      </c>
      <c r="K645" t="inlineStr">
        <is>
          <t>37</t>
        </is>
      </c>
      <c r="L645" t="inlineStr">
        <is>
          <t>42</t>
        </is>
      </c>
      <c r="M645" t="inlineStr">
        <is>
          <t>57</t>
        </is>
      </c>
      <c r="N645" t="inlineStr">
        <is>
          <t>85.8</t>
        </is>
      </c>
      <c r="O645" t="inlineStr">
        <is>
          <t>78.2</t>
        </is>
      </c>
      <c r="P645" t="n">
        <v>95.7</v>
      </c>
      <c r="Q645" t="inlineStr">
        <is>
          <t>45</t>
        </is>
      </c>
      <c r="R645" t="n">
        <v>87.5</v>
      </c>
      <c r="S645" t="inlineStr">
        <is>
          <t>81</t>
        </is>
      </c>
      <c r="T645" t="n">
        <v>11.3</v>
      </c>
      <c r="U645" t="inlineStr">
        <is>
          <t>801+</t>
        </is>
      </c>
      <c r="V645" t="n">
        <v>93</v>
      </c>
      <c r="W645" t="inlineStr">
        <is>
          <t>88</t>
        </is>
      </c>
      <c r="X645" t="n">
        <v>100</v>
      </c>
      <c r="Y645" t="inlineStr">
        <is>
          <t>61</t>
        </is>
      </c>
      <c r="Z645" t="n">
        <v>100</v>
      </c>
      <c r="AA645" t="inlineStr">
        <is>
          <t>24</t>
        </is>
      </c>
      <c r="AB645" t="n">
        <v>100</v>
      </c>
      <c r="AC645" t="inlineStr">
        <is>
          <t>15</t>
        </is>
      </c>
      <c r="AD645" t="n">
        <v>94.7</v>
      </c>
      <c r="AE645" t="inlineStr">
        <is>
          <t>87</t>
        </is>
      </c>
      <c r="AF645" t="n">
        <v>86.7</v>
      </c>
      <c r="AG645" t="inlineStr">
        <is>
          <t>128</t>
        </is>
      </c>
      <c r="AH645" t="n">
        <v>91.7</v>
      </c>
      <c r="AI645" t="inlineStr">
        <is>
          <t>49=</t>
        </is>
      </c>
      <c r="AJ645" t="inlineStr">
        <is>
          <t>88.4</t>
        </is>
      </c>
      <c r="AK645" t="inlineStr">
        <is>
          <t>49</t>
        </is>
      </c>
      <c r="AL645" t="inlineStr">
        <is>
          <t>75.2</t>
        </is>
      </c>
      <c r="AM645" t="inlineStr">
        <is>
          <t>84</t>
        </is>
      </c>
      <c r="AN645" t="inlineStr">
        <is>
          <t>9.6</t>
        </is>
      </c>
      <c r="AO645" t="inlineStr">
        <is>
          <t>701+</t>
        </is>
      </c>
      <c r="AP645" t="inlineStr">
        <is>
          <t>88.4</t>
        </is>
      </c>
      <c r="AQ645" t="inlineStr">
        <is>
          <t>81</t>
        </is>
      </c>
      <c r="AR645" t="inlineStr">
        <is>
          <t>100.0</t>
        </is>
      </c>
      <c r="AS645" t="inlineStr">
        <is>
          <t>50</t>
        </is>
      </c>
      <c r="AT645" t="inlineStr">
        <is>
          <t>100.0</t>
        </is>
      </c>
      <c r="AU645" t="inlineStr">
        <is>
          <t>19</t>
        </is>
      </c>
      <c r="AV645" t="inlineStr">
        <is>
          <t>86.8</t>
        </is>
      </c>
      <c r="AW645" t="inlineStr">
        <is>
          <t>102</t>
        </is>
      </c>
      <c r="AX645" t="inlineStr">
        <is>
          <t>61</t>
        </is>
      </c>
      <c r="AY645" t="inlineStr">
        <is>
          <t>95</t>
        </is>
      </c>
      <c r="AZ645" t="inlineStr">
        <is>
          <t>71.8</t>
        </is>
      </c>
      <c r="BA645" t="inlineStr">
        <is>
          <t>194=</t>
        </is>
      </c>
    </row>
    <row r="646">
      <c r="A646" t="inlineStr">
        <is>
          <t>Moscow City University</t>
        </is>
      </c>
      <c r="B646" t="inlineStr">
        <is>
          <t>Russia</t>
        </is>
      </c>
      <c r="C646" t="inlineStr">
        <is>
          <t>RU</t>
        </is>
      </c>
      <c r="D646" t="inlineStr"/>
      <c r="E646" t="inlineStr">
        <is>
          <t>L</t>
        </is>
      </c>
      <c r="F646" t="inlineStr">
        <is>
          <t>FO</t>
        </is>
      </c>
      <c r="G646" t="inlineStr">
        <is>
          <t>MD</t>
        </is>
      </c>
      <c r="H646" t="inlineStr">
        <is>
          <t>3</t>
        </is>
      </c>
      <c r="I646" t="inlineStr">
        <is>
          <t>A</t>
        </is>
      </c>
      <c r="J646" t="inlineStr"/>
      <c r="K646" t="inlineStr"/>
      <c r="L646" t="inlineStr">
        <is>
          <t>1401+</t>
        </is>
      </c>
      <c r="M646" t="inlineStr">
        <is>
          <t>1201-1400</t>
        </is>
      </c>
      <c r="N646" t="inlineStr"/>
      <c r="O646" t="inlineStr">
        <is>
          <t>-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6.1</t>
        </is>
      </c>
      <c r="AK646" t="inlineStr">
        <is>
          <t>601+</t>
        </is>
      </c>
      <c r="AL646" t="inlineStr">
        <is>
          <t>1.6</t>
        </is>
      </c>
      <c r="AM646" t="inlineStr">
        <is>
          <t>601+</t>
        </is>
      </c>
      <c r="AN646" t="inlineStr">
        <is>
          <t>9.3</t>
        </is>
      </c>
      <c r="AO646" t="inlineStr">
        <is>
          <t>701+</t>
        </is>
      </c>
      <c r="AP646" t="inlineStr">
        <is>
          <t>1.1</t>
        </is>
      </c>
      <c r="AQ646" t="inlineStr">
        <is>
          <t>701+</t>
        </is>
      </c>
      <c r="AR646" t="inlineStr">
        <is>
          <t>2.9</t>
        </is>
      </c>
      <c r="AS646" t="inlineStr">
        <is>
          <t>701+</t>
        </is>
      </c>
      <c r="AT646" t="inlineStr">
        <is>
          <t>3.6</t>
        </is>
      </c>
      <c r="AU646" t="inlineStr">
        <is>
          <t>701+</t>
        </is>
      </c>
      <c r="AV646" t="inlineStr">
        <is>
          <t>1.0</t>
        </is>
      </c>
      <c r="AW646" t="inlineStr">
        <is>
          <t>701+</t>
        </is>
      </c>
      <c r="AX646" t="inlineStr">
        <is>
          <t>7.6</t>
        </is>
      </c>
      <c r="AY646" t="inlineStr">
        <is>
          <t>701+</t>
        </is>
      </c>
      <c r="AZ646" t="inlineStr">
        <is>
          <t>1.2</t>
        </is>
      </c>
      <c r="BA646" t="inlineStr">
        <is>
          <t>701+</t>
        </is>
      </c>
    </row>
    <row r="647">
      <c r="A647" t="inlineStr">
        <is>
          <t>Moscow Institute of Physics and Technology (MIPT / Moscow Phystech)</t>
        </is>
      </c>
      <c r="B647" t="inlineStr">
        <is>
          <t>Russia</t>
        </is>
      </c>
      <c r="C647" t="inlineStr">
        <is>
          <t>RU</t>
        </is>
      </c>
      <c r="D647" t="inlineStr"/>
      <c r="E647" t="inlineStr">
        <is>
          <t>M</t>
        </is>
      </c>
      <c r="F647" t="inlineStr">
        <is>
          <t>FO</t>
        </is>
      </c>
      <c r="G647" t="inlineStr">
        <is>
          <t>VH</t>
        </is>
      </c>
      <c r="H647" t="inlineStr">
        <is>
          <t>4</t>
        </is>
      </c>
      <c r="I647" t="inlineStr">
        <is>
          <t>A</t>
        </is>
      </c>
      <c r="J647" t="inlineStr"/>
      <c r="K647" t="inlineStr"/>
      <c r="L647">
        <f>415</f>
        <v/>
      </c>
      <c r="M647" t="inlineStr">
        <is>
          <t>267=</t>
        </is>
      </c>
      <c r="N647" t="inlineStr"/>
      <c r="O647" t="inlineStr">
        <is>
          <t>27.0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19.8</t>
        </is>
      </c>
      <c r="AK647" t="inlineStr">
        <is>
          <t>446</t>
        </is>
      </c>
      <c r="AL647" t="inlineStr">
        <is>
          <t>19.9</t>
        </is>
      </c>
      <c r="AM647" t="inlineStr">
        <is>
          <t>455</t>
        </is>
      </c>
      <c r="AN647" t="inlineStr">
        <is>
          <t>96.0</t>
        </is>
      </c>
      <c r="AO647" t="inlineStr">
        <is>
          <t>57</t>
        </is>
      </c>
      <c r="AP647" t="inlineStr">
        <is>
          <t>16.0</t>
        </is>
      </c>
      <c r="AQ647" t="inlineStr">
        <is>
          <t>620</t>
        </is>
      </c>
      <c r="AR647" t="inlineStr">
        <is>
          <t>31.4</t>
        </is>
      </c>
      <c r="AS647" t="inlineStr">
        <is>
          <t>480</t>
        </is>
      </c>
      <c r="AT647" t="inlineStr">
        <is>
          <t>53.1</t>
        </is>
      </c>
      <c r="AU647" t="inlineStr">
        <is>
          <t>273</t>
        </is>
      </c>
      <c r="AV647" t="inlineStr">
        <is>
          <t>5.4</t>
        </is>
      </c>
      <c r="AW647" t="inlineStr">
        <is>
          <t>701+</t>
        </is>
      </c>
      <c r="AX647" t="inlineStr">
        <is>
          <t>15.7</t>
        </is>
      </c>
      <c r="AY647" t="inlineStr">
        <is>
          <t>534</t>
        </is>
      </c>
      <c r="AZ647" t="inlineStr">
        <is>
          <t>1.2</t>
        </is>
      </c>
      <c r="BA647" t="inlineStr">
        <is>
          <t>701+</t>
        </is>
      </c>
    </row>
    <row r="648">
      <c r="A648" t="inlineStr">
        <is>
          <t>Moscow Institute of Physics and Technology State University</t>
        </is>
      </c>
      <c r="B648" t="inlineStr">
        <is>
          <t>Russia</t>
        </is>
      </c>
      <c r="C648" t="inlineStr"/>
      <c r="D648" t="inlineStr">
        <is>
          <t>Europe</t>
        </is>
      </c>
      <c r="E648" t="inlineStr">
        <is>
          <t>M</t>
        </is>
      </c>
      <c r="F648" t="inlineStr">
        <is>
          <t>FO</t>
        </is>
      </c>
      <c r="G648" t="inlineStr">
        <is>
          <t>VH</t>
        </is>
      </c>
      <c r="H648" t="inlineStr"/>
      <c r="I648" t="inlineStr">
        <is>
          <t>Public</t>
        </is>
      </c>
      <c r="J648" t="inlineStr">
        <is>
          <t>477</t>
        </is>
      </c>
      <c r="K648" t="inlineStr">
        <is>
          <t>456</t>
        </is>
      </c>
      <c r="L648" t="inlineStr"/>
      <c r="M648" t="inlineStr"/>
      <c r="N648" t="inlineStr">
        <is>
          <t>33.4</t>
        </is>
      </c>
      <c r="O648" t="inlineStr"/>
      <c r="P648" t="n">
        <v>20.3</v>
      </c>
      <c r="Q648" t="inlineStr">
        <is>
          <t>606</t>
        </is>
      </c>
      <c r="R648" t="n">
        <v>34.1</v>
      </c>
      <c r="S648" t="inlineStr">
        <is>
          <t>421</t>
        </is>
      </c>
      <c r="T648" t="n">
        <v>95.3</v>
      </c>
      <c r="U648" t="inlineStr">
        <is>
          <t>71</t>
        </is>
      </c>
      <c r="V648" t="n">
        <v>18.1</v>
      </c>
      <c r="W648" t="inlineStr">
        <is>
          <t>748</t>
        </is>
      </c>
      <c r="X648" t="n">
        <v>38.6</v>
      </c>
      <c r="Y648" t="inlineStr">
        <is>
          <t>512</t>
        </is>
      </c>
      <c r="Z648" t="n">
        <v>54.8</v>
      </c>
      <c r="AA648" t="inlineStr">
        <is>
          <t>380</t>
        </is>
      </c>
      <c r="AB648" t="n">
        <v>55.6</v>
      </c>
      <c r="AC648" t="inlineStr">
        <is>
          <t>368</t>
        </is>
      </c>
      <c r="AD648" t="n">
        <v>47.1</v>
      </c>
      <c r="AE648" t="inlineStr">
        <is>
          <t>801+</t>
        </is>
      </c>
      <c r="AF648" t="n">
        <v>38</v>
      </c>
      <c r="AG648" t="inlineStr">
        <is>
          <t>458</t>
        </is>
      </c>
      <c r="AH648" t="n">
        <v>21.9</v>
      </c>
      <c r="AI648" t="inlineStr">
        <is>
          <t>801+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</row>
    <row r="649">
      <c r="A649" t="inlineStr">
        <is>
          <t>Moscow Pedagogical State University</t>
        </is>
      </c>
      <c r="B649" t="inlineStr">
        <is>
          <t>Russia</t>
        </is>
      </c>
      <c r="C649" t="inlineStr">
        <is>
          <t>RU</t>
        </is>
      </c>
      <c r="D649" t="inlineStr"/>
      <c r="E649" t="inlineStr">
        <is>
          <t>L</t>
        </is>
      </c>
      <c r="F649" t="inlineStr">
        <is>
          <t>FO</t>
        </is>
      </c>
      <c r="G649" t="inlineStr">
        <is>
          <t>HI</t>
        </is>
      </c>
      <c r="H649" t="inlineStr">
        <is>
          <t>5</t>
        </is>
      </c>
      <c r="I649" t="inlineStr">
        <is>
          <t>A</t>
        </is>
      </c>
      <c r="J649" t="inlineStr"/>
      <c r="K649" t="inlineStr"/>
      <c r="L649" t="inlineStr">
        <is>
          <t>1201-1400</t>
        </is>
      </c>
      <c r="M649" t="inlineStr">
        <is>
          <t>1201-1400</t>
        </is>
      </c>
      <c r="N649" t="inlineStr"/>
      <c r="O649" t="inlineStr">
        <is>
          <t>-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8.3</t>
        </is>
      </c>
      <c r="AK649" t="inlineStr">
        <is>
          <t>601+</t>
        </is>
      </c>
      <c r="AL649" t="inlineStr">
        <is>
          <t>2.7</t>
        </is>
      </c>
      <c r="AM649" t="inlineStr">
        <is>
          <t>601+</t>
        </is>
      </c>
      <c r="AN649" t="inlineStr">
        <is>
          <t>7.6</t>
        </is>
      </c>
      <c r="AO649" t="inlineStr">
        <is>
          <t>701+</t>
        </is>
      </c>
      <c r="AP649" t="inlineStr">
        <is>
          <t>1.4</t>
        </is>
      </c>
      <c r="AQ649" t="inlineStr">
        <is>
          <t>701+</t>
        </is>
      </c>
      <c r="AR649" t="inlineStr">
        <is>
          <t>1.2</t>
        </is>
      </c>
      <c r="AS649" t="inlineStr">
        <is>
          <t>701+</t>
        </is>
      </c>
      <c r="AT649" t="inlineStr">
        <is>
          <t>25.9</t>
        </is>
      </c>
      <c r="AU649" t="inlineStr">
        <is>
          <t>464</t>
        </is>
      </c>
      <c r="AV649" t="inlineStr">
        <is>
          <t>1.0</t>
        </is>
      </c>
      <c r="AW649" t="inlineStr">
        <is>
          <t>701+</t>
        </is>
      </c>
      <c r="AX649" t="inlineStr">
        <is>
          <t>7.1</t>
        </is>
      </c>
      <c r="AY649" t="inlineStr">
        <is>
          <t>701+</t>
        </is>
      </c>
      <c r="AZ649" t="inlineStr">
        <is>
          <t>1</t>
        </is>
      </c>
      <c r="BA649" t="inlineStr">
        <is>
          <t>701+</t>
        </is>
      </c>
    </row>
    <row r="650">
      <c r="A650" t="inlineStr">
        <is>
          <t>Multimedia University (MMU)</t>
        </is>
      </c>
      <c r="B650" t="inlineStr">
        <is>
          <t>Malaysia</t>
        </is>
      </c>
      <c r="C650" t="inlineStr">
        <is>
          <t>MY</t>
        </is>
      </c>
      <c r="D650" t="inlineStr">
        <is>
          <t>Asia</t>
        </is>
      </c>
      <c r="E650" t="inlineStr">
        <is>
          <t>M</t>
        </is>
      </c>
      <c r="F650" t="inlineStr">
        <is>
          <t>FO</t>
        </is>
      </c>
      <c r="G650" t="inlineStr">
        <is>
          <t>VH</t>
        </is>
      </c>
      <c r="H650" t="inlineStr">
        <is>
          <t>3</t>
        </is>
      </c>
      <c r="I650" t="inlineStr">
        <is>
          <t>Private for Profit</t>
        </is>
      </c>
      <c r="J650" t="inlineStr">
        <is>
          <t>851-900</t>
        </is>
      </c>
      <c r="K650" t="inlineStr">
        <is>
          <t>1001-1200</t>
        </is>
      </c>
      <c r="L650" t="inlineStr">
        <is>
          <t>1001-1200</t>
        </is>
      </c>
      <c r="M650" t="inlineStr">
        <is>
          <t>1001-1200</t>
        </is>
      </c>
      <c r="N650" t="inlineStr">
        <is>
          <t>-</t>
        </is>
      </c>
      <c r="O650" t="inlineStr">
        <is>
          <t>-</t>
        </is>
      </c>
      <c r="P650" t="n">
        <v>18.9</v>
      </c>
      <c r="Q650" t="inlineStr">
        <is>
          <t>651</t>
        </is>
      </c>
      <c r="R650" t="n">
        <v>27</v>
      </c>
      <c r="S650" t="inlineStr">
        <is>
          <t>508</t>
        </is>
      </c>
      <c r="T650" t="n">
        <v>17.3</v>
      </c>
      <c r="U650" t="inlineStr">
        <is>
          <t>801+</t>
        </is>
      </c>
      <c r="V650" t="n">
        <v>9.199999999999999</v>
      </c>
      <c r="W650" t="inlineStr">
        <is>
          <t>801+</t>
        </is>
      </c>
      <c r="X650" t="n">
        <v>53.6</v>
      </c>
      <c r="Y650" t="inlineStr">
        <is>
          <t>422</t>
        </is>
      </c>
      <c r="Z650" t="n">
        <v>56.8</v>
      </c>
      <c r="AA650" t="inlineStr">
        <is>
          <t>365</t>
        </is>
      </c>
      <c r="AB650" t="n">
        <v>60.8</v>
      </c>
      <c r="AC650" t="inlineStr">
        <is>
          <t>334</t>
        </is>
      </c>
      <c r="AD650" t="n">
        <v>26.9</v>
      </c>
      <c r="AE650" t="inlineStr">
        <is>
          <t>801+</t>
        </is>
      </c>
      <c r="AF650" t="n">
        <v>5.1</v>
      </c>
      <c r="AG650" t="inlineStr">
        <is>
          <t>801+</t>
        </is>
      </c>
      <c r="AH650" t="n">
        <v>39.1</v>
      </c>
      <c r="AI650" t="inlineStr">
        <is>
          <t>801+</t>
        </is>
      </c>
      <c r="AJ650" t="inlineStr">
        <is>
          <t>8.8</t>
        </is>
      </c>
      <c r="AK650" t="inlineStr">
        <is>
          <t>601+</t>
        </is>
      </c>
      <c r="AL650" t="inlineStr">
        <is>
          <t>17.6</t>
        </is>
      </c>
      <c r="AM650" t="inlineStr">
        <is>
          <t>497</t>
        </is>
      </c>
      <c r="AN650" t="inlineStr">
        <is>
          <t>11.6</t>
        </is>
      </c>
      <c r="AO650" t="inlineStr">
        <is>
          <t>701+</t>
        </is>
      </c>
      <c r="AP650" t="inlineStr">
        <is>
          <t>5.8</t>
        </is>
      </c>
      <c r="AQ650" t="inlineStr">
        <is>
          <t>701+</t>
        </is>
      </c>
      <c r="AR650" t="inlineStr">
        <is>
          <t>16.3</t>
        </is>
      </c>
      <c r="AS650" t="inlineStr">
        <is>
          <t>649</t>
        </is>
      </c>
      <c r="AT650" t="inlineStr">
        <is>
          <t>23.5</t>
        </is>
      </c>
      <c r="AU650" t="inlineStr">
        <is>
          <t>494</t>
        </is>
      </c>
      <c r="AV650" t="inlineStr">
        <is>
          <t>1.3</t>
        </is>
      </c>
      <c r="AW650" t="inlineStr">
        <is>
          <t>701+</t>
        </is>
      </c>
      <c r="AX650" t="inlineStr">
        <is>
          <t>9.1</t>
        </is>
      </c>
      <c r="AY650" t="inlineStr">
        <is>
          <t>701+</t>
        </is>
      </c>
      <c r="AZ650" t="inlineStr">
        <is>
          <t>1.3</t>
        </is>
      </c>
      <c r="BA650" t="inlineStr">
        <is>
          <t>701+</t>
        </is>
      </c>
    </row>
    <row r="651">
      <c r="A651" t="inlineStr">
        <is>
          <t>Murdoch University</t>
        </is>
      </c>
      <c r="B651" t="inlineStr">
        <is>
          <t>Australia</t>
        </is>
      </c>
      <c r="C651" t="inlineStr">
        <is>
          <t>AU</t>
        </is>
      </c>
      <c r="D651" t="inlineStr">
        <is>
          <t>Oceania</t>
        </is>
      </c>
      <c r="E651" t="inlineStr">
        <is>
          <t>M</t>
        </is>
      </c>
      <c r="F651" t="inlineStr">
        <is>
          <t>CO</t>
        </is>
      </c>
      <c r="G651" t="inlineStr">
        <is>
          <t>VH</t>
        </is>
      </c>
      <c r="H651" t="inlineStr">
        <is>
          <t>3</t>
        </is>
      </c>
      <c r="I651" t="inlineStr">
        <is>
          <t>Public</t>
        </is>
      </c>
      <c r="J651" t="inlineStr">
        <is>
          <t>423</t>
        </is>
      </c>
      <c r="K651" t="inlineStr">
        <is>
          <t>436</t>
        </is>
      </c>
      <c r="L651">
        <f>431</f>
        <v/>
      </c>
      <c r="M651" t="inlineStr">
        <is>
          <t>561-570</t>
        </is>
      </c>
      <c r="N651" t="inlineStr">
        <is>
          <t>36.1</t>
        </is>
      </c>
      <c r="O651" t="inlineStr">
        <is>
          <t>26.2</t>
        </is>
      </c>
      <c r="P651" t="n">
        <v>13</v>
      </c>
      <c r="Q651" t="inlineStr">
        <is>
          <t>701+</t>
        </is>
      </c>
      <c r="R651" t="n">
        <v>8.699999999999999</v>
      </c>
      <c r="S651" t="inlineStr">
        <is>
          <t>701+</t>
        </is>
      </c>
      <c r="T651" t="n">
        <v>7.4</v>
      </c>
      <c r="U651" t="inlineStr">
        <is>
          <t>801+</t>
        </is>
      </c>
      <c r="V651" t="n">
        <v>73.90000000000001</v>
      </c>
      <c r="W651" t="inlineStr">
        <is>
          <t>184</t>
        </is>
      </c>
      <c r="X651" t="n">
        <v>89.59999999999999</v>
      </c>
      <c r="Y651" t="inlineStr">
        <is>
          <t>226</t>
        </is>
      </c>
      <c r="Z651" t="n">
        <v>82.5</v>
      </c>
      <c r="AA651" t="inlineStr">
        <is>
          <t>209</t>
        </is>
      </c>
      <c r="AB651" t="n">
        <v>61.4</v>
      </c>
      <c r="AC651" t="inlineStr">
        <is>
          <t>328</t>
        </is>
      </c>
      <c r="AD651" t="n">
        <v>75.09999999999999</v>
      </c>
      <c r="AE651" t="inlineStr">
        <is>
          <t>442</t>
        </is>
      </c>
      <c r="AF651" t="n">
        <v>24.9</v>
      </c>
      <c r="AG651" t="inlineStr">
        <is>
          <t>642</t>
        </is>
      </c>
      <c r="AH651" t="n">
        <v>53.4</v>
      </c>
      <c r="AI651" t="inlineStr">
        <is>
          <t>632=</t>
        </is>
      </c>
      <c r="AJ651" t="inlineStr">
        <is>
          <t>7.3</t>
        </is>
      </c>
      <c r="AK651" t="inlineStr">
        <is>
          <t>601+</t>
        </is>
      </c>
      <c r="AL651" t="inlineStr">
        <is>
          <t>5.3</t>
        </is>
      </c>
      <c r="AM651" t="inlineStr">
        <is>
          <t>601+</t>
        </is>
      </c>
      <c r="AN651" t="inlineStr">
        <is>
          <t>5.4</t>
        </is>
      </c>
      <c r="AO651" t="inlineStr">
        <is>
          <t>701+</t>
        </is>
      </c>
      <c r="AP651" t="inlineStr">
        <is>
          <t>53.1</t>
        </is>
      </c>
      <c r="AQ651" t="inlineStr">
        <is>
          <t>242</t>
        </is>
      </c>
      <c r="AR651" t="inlineStr">
        <is>
          <t>86.3</t>
        </is>
      </c>
      <c r="AS651" t="inlineStr">
        <is>
          <t>200</t>
        </is>
      </c>
      <c r="AT651" t="inlineStr">
        <is>
          <t>76.6</t>
        </is>
      </c>
      <c r="AU651" t="inlineStr">
        <is>
          <t>178</t>
        </is>
      </c>
      <c r="AV651" t="inlineStr">
        <is>
          <t>40.1</t>
        </is>
      </c>
      <c r="AW651" t="inlineStr">
        <is>
          <t>378</t>
        </is>
      </c>
      <c r="AX651" t="inlineStr">
        <is>
          <t>14.2</t>
        </is>
      </c>
      <c r="AY651" t="inlineStr">
        <is>
          <t>593</t>
        </is>
      </c>
      <c r="AZ651" t="inlineStr">
        <is>
          <t>23.7</t>
        </is>
      </c>
      <c r="BA651" t="inlineStr">
        <is>
          <t>506=</t>
        </is>
      </c>
    </row>
    <row r="652">
      <c r="A652" t="inlineStr">
        <is>
          <t>Mustansiriyah University</t>
        </is>
      </c>
      <c r="B652" t="inlineStr">
        <is>
          <t>Iraq</t>
        </is>
      </c>
      <c r="C652" t="inlineStr">
        <is>
          <t>IQ</t>
        </is>
      </c>
      <c r="D652" t="inlineStr">
        <is>
          <t>Asia</t>
        </is>
      </c>
      <c r="E652" t="inlineStr">
        <is>
          <t>XL</t>
        </is>
      </c>
      <c r="F652" t="inlineStr">
        <is>
          <t>FC</t>
        </is>
      </c>
      <c r="G652" t="inlineStr">
        <is>
          <t>HI</t>
        </is>
      </c>
      <c r="H652" t="inlineStr">
        <is>
          <t>4</t>
        </is>
      </c>
      <c r="I652" t="inlineStr">
        <is>
          <t>Public</t>
        </is>
      </c>
      <c r="J652" t="inlineStr">
        <is>
          <t>1001-1200</t>
        </is>
      </c>
      <c r="K652" t="inlineStr">
        <is>
          <t>1001-1200</t>
        </is>
      </c>
      <c r="L652" t="inlineStr">
        <is>
          <t>1001-1200</t>
        </is>
      </c>
      <c r="M652" t="inlineStr">
        <is>
          <t>1001-1200</t>
        </is>
      </c>
      <c r="N652" t="inlineStr">
        <is>
          <t>-</t>
        </is>
      </c>
      <c r="O652" t="inlineStr">
        <is>
          <t>-</t>
        </is>
      </c>
      <c r="P652" t="n">
        <v>8.300000000000001</v>
      </c>
      <c r="Q652" t="inlineStr">
        <is>
          <t>701+</t>
        </is>
      </c>
      <c r="R652" t="n">
        <v>23.5</v>
      </c>
      <c r="S652" t="inlineStr">
        <is>
          <t>572</t>
        </is>
      </c>
      <c r="T652" t="n">
        <v>64.90000000000001</v>
      </c>
      <c r="U652" t="inlineStr">
        <is>
          <t>269</t>
        </is>
      </c>
      <c r="V652" t="n">
        <v>1.8</v>
      </c>
      <c r="W652" t="inlineStr">
        <is>
          <t>801+</t>
        </is>
      </c>
      <c r="X652" t="n">
        <v>43.6</v>
      </c>
      <c r="Y652" t="inlineStr">
        <is>
          <t>474</t>
        </is>
      </c>
      <c r="Z652" t="n">
        <v>6.3</v>
      </c>
      <c r="AA652" t="inlineStr">
        <is>
          <t>801+</t>
        </is>
      </c>
      <c r="AB652" t="n">
        <v>5</v>
      </c>
      <c r="AC652" t="inlineStr">
        <is>
          <t>801+</t>
        </is>
      </c>
      <c r="AD652" t="n">
        <v>19.2</v>
      </c>
      <c r="AE652" t="inlineStr">
        <is>
          <t>801+</t>
        </is>
      </c>
      <c r="AF652" t="n">
        <v>10.4</v>
      </c>
      <c r="AG652" t="inlineStr">
        <is>
          <t>801+</t>
        </is>
      </c>
      <c r="AH652" t="n">
        <v>26.5</v>
      </c>
      <c r="AI652" t="inlineStr">
        <is>
          <t>801+</t>
        </is>
      </c>
      <c r="AJ652" t="inlineStr">
        <is>
          <t>3.7</t>
        </is>
      </c>
      <c r="AK652" t="inlineStr">
        <is>
          <t>601+</t>
        </is>
      </c>
      <c r="AL652" t="inlineStr">
        <is>
          <t>5.3</t>
        </is>
      </c>
      <c r="AM652" t="inlineStr">
        <is>
          <t>601+</t>
        </is>
      </c>
      <c r="AN652" t="inlineStr">
        <is>
          <t>43.7</t>
        </is>
      </c>
      <c r="AO652" t="inlineStr">
        <is>
          <t>359</t>
        </is>
      </c>
      <c r="AP652" t="inlineStr">
        <is>
          <t>1.3</t>
        </is>
      </c>
      <c r="AQ652" t="inlineStr">
        <is>
          <t>701+</t>
        </is>
      </c>
      <c r="AR652" t="inlineStr">
        <is>
          <t>33.0</t>
        </is>
      </c>
      <c r="AS652" t="inlineStr">
        <is>
          <t>466</t>
        </is>
      </c>
      <c r="AT652" t="inlineStr">
        <is>
          <t>4.0</t>
        </is>
      </c>
      <c r="AU652" t="inlineStr">
        <is>
          <t>701+</t>
        </is>
      </c>
      <c r="AV652" t="inlineStr">
        <is>
          <t>1.0</t>
        </is>
      </c>
      <c r="AW652" t="inlineStr">
        <is>
          <t>701+</t>
        </is>
      </c>
      <c r="AX652" t="inlineStr">
        <is>
          <t>9.3</t>
        </is>
      </c>
      <c r="AY652" t="inlineStr">
        <is>
          <t>701+</t>
        </is>
      </c>
      <c r="AZ652" t="inlineStr">
        <is>
          <t>1</t>
        </is>
      </c>
      <c r="BA652" t="inlineStr">
        <is>
          <t>701+</t>
        </is>
      </c>
    </row>
    <row r="653">
      <c r="A653" t="inlineStr">
        <is>
          <t>Mutah University</t>
        </is>
      </c>
      <c r="B653" t="inlineStr">
        <is>
          <t>Jordan</t>
        </is>
      </c>
      <c r="C653" t="inlineStr">
        <is>
          <t>JO</t>
        </is>
      </c>
      <c r="D653" t="inlineStr">
        <is>
          <t>Asia</t>
        </is>
      </c>
      <c r="E653" t="inlineStr">
        <is>
          <t>L</t>
        </is>
      </c>
      <c r="F653" t="inlineStr">
        <is>
          <t>FC</t>
        </is>
      </c>
      <c r="G653" t="inlineStr">
        <is>
          <t>MD</t>
        </is>
      </c>
      <c r="H653" t="inlineStr">
        <is>
          <t>3</t>
        </is>
      </c>
      <c r="I653" t="inlineStr">
        <is>
          <t>Public</t>
        </is>
      </c>
      <c r="J653" t="inlineStr">
        <is>
          <t>1001-1200</t>
        </is>
      </c>
      <c r="K653" t="inlineStr">
        <is>
          <t>1001-1200</t>
        </is>
      </c>
      <c r="L653" t="inlineStr">
        <is>
          <t>1001-1200</t>
        </is>
      </c>
      <c r="M653" t="inlineStr">
        <is>
          <t>1001-1200</t>
        </is>
      </c>
      <c r="N653" t="inlineStr">
        <is>
          <t>-</t>
        </is>
      </c>
      <c r="O653" t="inlineStr">
        <is>
          <t>-</t>
        </is>
      </c>
      <c r="P653" t="n">
        <v>15.6</v>
      </c>
      <c r="Q653" t="inlineStr">
        <is>
          <t>701+</t>
        </is>
      </c>
      <c r="R653" t="n">
        <v>21.8</v>
      </c>
      <c r="S653" t="inlineStr">
        <is>
          <t>608</t>
        </is>
      </c>
      <c r="T653" t="n">
        <v>12.1</v>
      </c>
      <c r="U653" t="inlineStr">
        <is>
          <t>801+</t>
        </is>
      </c>
      <c r="V653" t="n">
        <v>3.4</v>
      </c>
      <c r="W653" t="inlineStr">
        <is>
          <t>801+</t>
        </is>
      </c>
      <c r="X653" t="n">
        <v>15.7</v>
      </c>
      <c r="Y653" t="inlineStr">
        <is>
          <t>788</t>
        </is>
      </c>
      <c r="Z653" t="n">
        <v>32.9</v>
      </c>
      <c r="AA653" t="inlineStr">
        <is>
          <t>560</t>
        </is>
      </c>
      <c r="AB653" t="n">
        <v>32.2</v>
      </c>
      <c r="AC653" t="inlineStr">
        <is>
          <t>587</t>
        </is>
      </c>
      <c r="AD653" t="n">
        <v>28</v>
      </c>
      <c r="AE653" t="inlineStr">
        <is>
          <t>801+</t>
        </is>
      </c>
      <c r="AF653" t="n">
        <v>10.1</v>
      </c>
      <c r="AG653" t="inlineStr">
        <is>
          <t>801+</t>
        </is>
      </c>
      <c r="AH653" t="n">
        <v>33.2</v>
      </c>
      <c r="AI653" t="inlineStr">
        <is>
          <t>801+</t>
        </is>
      </c>
      <c r="AJ653" t="inlineStr">
        <is>
          <t>7.6</t>
        </is>
      </c>
      <c r="AK653" t="inlineStr">
        <is>
          <t>601+</t>
        </is>
      </c>
      <c r="AL653" t="inlineStr">
        <is>
          <t>8.9</t>
        </is>
      </c>
      <c r="AM653" t="inlineStr">
        <is>
          <t>601+</t>
        </is>
      </c>
      <c r="AN653" t="inlineStr">
        <is>
          <t>10.1</t>
        </is>
      </c>
      <c r="AO653" t="inlineStr">
        <is>
          <t>701+</t>
        </is>
      </c>
      <c r="AP653" t="inlineStr">
        <is>
          <t>1.7</t>
        </is>
      </c>
      <c r="AQ653" t="inlineStr">
        <is>
          <t>701+</t>
        </is>
      </c>
      <c r="AR653" t="inlineStr">
        <is>
          <t>10.1</t>
        </is>
      </c>
      <c r="AS653" t="inlineStr">
        <is>
          <t>701+</t>
        </is>
      </c>
      <c r="AT653" t="inlineStr">
        <is>
          <t>43.6</t>
        </is>
      </c>
      <c r="AU653" t="inlineStr">
        <is>
          <t>330</t>
        </is>
      </c>
      <c r="AV653" t="inlineStr">
        <is>
          <t>1.0</t>
        </is>
      </c>
      <c r="AW653" t="inlineStr">
        <is>
          <t>701+</t>
        </is>
      </c>
      <c r="AX653" t="inlineStr">
        <is>
          <t>8.7</t>
        </is>
      </c>
      <c r="AY653" t="inlineStr">
        <is>
          <t>701+</t>
        </is>
      </c>
      <c r="AZ653" t="inlineStr">
        <is>
          <t>1.7</t>
        </is>
      </c>
      <c r="BA653" t="inlineStr">
        <is>
          <t>701+</t>
        </is>
      </c>
    </row>
    <row r="654">
      <c r="A654" t="inlineStr">
        <is>
          <t>Mykolas Romeris University</t>
        </is>
      </c>
      <c r="B654" t="inlineStr">
        <is>
          <t>Lithuania</t>
        </is>
      </c>
      <c r="C654" t="inlineStr">
        <is>
          <t>LT</t>
        </is>
      </c>
      <c r="D654" t="inlineStr">
        <is>
          <t>Europe</t>
        </is>
      </c>
      <c r="E654" t="inlineStr">
        <is>
          <t>S</t>
        </is>
      </c>
      <c r="F654" t="inlineStr">
        <is>
          <t>FO</t>
        </is>
      </c>
      <c r="G654" t="inlineStr">
        <is>
          <t>VH</t>
        </is>
      </c>
      <c r="H654" t="inlineStr">
        <is>
          <t>2</t>
        </is>
      </c>
      <c r="I654" t="inlineStr">
        <is>
          <t>Public</t>
        </is>
      </c>
      <c r="J654" t="inlineStr">
        <is>
          <t>1001-1200</t>
        </is>
      </c>
      <c r="K654" t="inlineStr">
        <is>
          <t>1001-1200</t>
        </is>
      </c>
      <c r="L654" t="inlineStr">
        <is>
          <t>1001-1200</t>
        </is>
      </c>
      <c r="M654" t="inlineStr">
        <is>
          <t>1001-1200</t>
        </is>
      </c>
      <c r="N654" t="inlineStr">
        <is>
          <t>-</t>
        </is>
      </c>
      <c r="O654" t="inlineStr">
        <is>
          <t>-</t>
        </is>
      </c>
      <c r="P654" t="n">
        <v>6</v>
      </c>
      <c r="Q654" t="inlineStr">
        <is>
          <t>701+</t>
        </is>
      </c>
      <c r="R654" t="n">
        <v>12.9</v>
      </c>
      <c r="S654" t="inlineStr">
        <is>
          <t>701+</t>
        </is>
      </c>
      <c r="T654" t="n">
        <v>22.7</v>
      </c>
      <c r="U654" t="inlineStr">
        <is>
          <t>778</t>
        </is>
      </c>
      <c r="V654" t="n">
        <v>7.1</v>
      </c>
      <c r="W654" t="inlineStr">
        <is>
          <t>801+</t>
        </is>
      </c>
      <c r="X654" t="n">
        <v>12.1</v>
      </c>
      <c r="Y654" t="inlineStr">
        <is>
          <t>801+</t>
        </is>
      </c>
      <c r="Z654" t="n">
        <v>51.6</v>
      </c>
      <c r="AA654" t="inlineStr">
        <is>
          <t>398</t>
        </is>
      </c>
      <c r="AB654" t="n">
        <v>55</v>
      </c>
      <c r="AC654" t="inlineStr">
        <is>
          <t>374</t>
        </is>
      </c>
      <c r="AD654" t="n">
        <v>23.6</v>
      </c>
      <c r="AE654" t="inlineStr">
        <is>
          <t>801+</t>
        </is>
      </c>
      <c r="AF654" t="n">
        <v>53.2</v>
      </c>
      <c r="AG654" t="inlineStr">
        <is>
          <t>320</t>
        </is>
      </c>
      <c r="AH654" t="n">
        <v>50.4</v>
      </c>
      <c r="AI654" t="inlineStr">
        <is>
          <t>696=</t>
        </is>
      </c>
      <c r="AJ654" t="inlineStr">
        <is>
          <t>5.3</t>
        </is>
      </c>
      <c r="AK654" t="inlineStr">
        <is>
          <t>601+</t>
        </is>
      </c>
      <c r="AL654" t="inlineStr">
        <is>
          <t>9.5</t>
        </is>
      </c>
      <c r="AM654" t="inlineStr">
        <is>
          <t>601+</t>
        </is>
      </c>
      <c r="AN654" t="inlineStr">
        <is>
          <t>14.3</t>
        </is>
      </c>
      <c r="AO654" t="inlineStr">
        <is>
          <t>701+</t>
        </is>
      </c>
      <c r="AP654" t="inlineStr">
        <is>
          <t>4.2</t>
        </is>
      </c>
      <c r="AQ654" t="inlineStr">
        <is>
          <t>701+</t>
        </is>
      </c>
      <c r="AR654" t="inlineStr">
        <is>
          <t>12.5</t>
        </is>
      </c>
      <c r="AS654" t="inlineStr">
        <is>
          <t>701+</t>
        </is>
      </c>
      <c r="AT654" t="inlineStr">
        <is>
          <t>27.8</t>
        </is>
      </c>
      <c r="AU654" t="inlineStr">
        <is>
          <t>441</t>
        </is>
      </c>
      <c r="AV654" t="inlineStr">
        <is>
          <t>1.0</t>
        </is>
      </c>
      <c r="AW654" t="inlineStr">
        <is>
          <t>701+</t>
        </is>
      </c>
      <c r="AX654" t="inlineStr">
        <is>
          <t>21.7</t>
        </is>
      </c>
      <c r="AY654" t="inlineStr">
        <is>
          <t>382</t>
        </is>
      </c>
      <c r="AZ654" t="inlineStr">
        <is>
          <t>8.4</t>
        </is>
      </c>
      <c r="BA654" t="inlineStr">
        <is>
          <t>695=</t>
        </is>
      </c>
    </row>
    <row r="655">
      <c r="A655" t="inlineStr">
        <is>
          <t>Nagasaki University</t>
        </is>
      </c>
      <c r="B655" t="inlineStr">
        <is>
          <t>Japan</t>
        </is>
      </c>
      <c r="C655" t="inlineStr">
        <is>
          <t>JP</t>
        </is>
      </c>
      <c r="D655" t="inlineStr">
        <is>
          <t>Asia</t>
        </is>
      </c>
      <c r="E655" t="inlineStr">
        <is>
          <t>M</t>
        </is>
      </c>
      <c r="F655" t="inlineStr">
        <is>
          <t>FC</t>
        </is>
      </c>
      <c r="G655" t="inlineStr">
        <is>
          <t>VH</t>
        </is>
      </c>
      <c r="H655" t="inlineStr">
        <is>
          <t>4</t>
        </is>
      </c>
      <c r="I655" t="inlineStr">
        <is>
          <t>Public</t>
        </is>
      </c>
      <c r="J655" t="inlineStr">
        <is>
          <t>901-950</t>
        </is>
      </c>
      <c r="K655" t="inlineStr">
        <is>
          <t>851-900</t>
        </is>
      </c>
      <c r="L655" t="inlineStr">
        <is>
          <t>801-850</t>
        </is>
      </c>
      <c r="M655" t="inlineStr">
        <is>
          <t>571-580</t>
        </is>
      </c>
      <c r="N655" t="inlineStr">
        <is>
          <t>-</t>
        </is>
      </c>
      <c r="O655" t="inlineStr">
        <is>
          <t>-</t>
        </is>
      </c>
      <c r="P655" t="n">
        <v>9</v>
      </c>
      <c r="Q655" t="inlineStr">
        <is>
          <t>701+</t>
        </is>
      </c>
      <c r="R655" t="n">
        <v>3.7</v>
      </c>
      <c r="S655" t="inlineStr">
        <is>
          <t>701+</t>
        </is>
      </c>
      <c r="T655" t="n">
        <v>84.3</v>
      </c>
      <c r="U655" t="inlineStr">
        <is>
          <t>143</t>
        </is>
      </c>
      <c r="V655" t="n">
        <v>12.2</v>
      </c>
      <c r="W655" t="inlineStr">
        <is>
          <t>801+</t>
        </is>
      </c>
      <c r="X655" t="n">
        <v>8.5</v>
      </c>
      <c r="Y655" t="inlineStr">
        <is>
          <t>801+</t>
        </is>
      </c>
      <c r="Z655" t="n">
        <v>10.8</v>
      </c>
      <c r="AA655" t="inlineStr">
        <is>
          <t>801+</t>
        </is>
      </c>
      <c r="AB655" t="n">
        <v>15.3</v>
      </c>
      <c r="AC655" t="inlineStr">
        <is>
          <t>801+</t>
        </is>
      </c>
      <c r="AD655" t="n">
        <v>48.4</v>
      </c>
      <c r="AE655" t="inlineStr">
        <is>
          <t>801+</t>
        </is>
      </c>
      <c r="AF655" t="n">
        <v>3.4</v>
      </c>
      <c r="AG655" t="inlineStr">
        <is>
          <t>801+</t>
        </is>
      </c>
      <c r="AH655" t="n">
        <v>59.6</v>
      </c>
      <c r="AI655" t="inlineStr">
        <is>
          <t>509=</t>
        </is>
      </c>
      <c r="AJ655" t="inlineStr">
        <is>
          <t>6.9</t>
        </is>
      </c>
      <c r="AK655" t="inlineStr">
        <is>
          <t>601+</t>
        </is>
      </c>
      <c r="AL655" t="inlineStr">
        <is>
          <t>2.2</t>
        </is>
      </c>
      <c r="AM655" t="inlineStr">
        <is>
          <t>601+</t>
        </is>
      </c>
      <c r="AN655" t="inlineStr">
        <is>
          <t>84.2</t>
        </is>
      </c>
      <c r="AO655" t="inlineStr">
        <is>
          <t>113</t>
        </is>
      </c>
      <c r="AP655" t="inlineStr">
        <is>
          <t>6.2</t>
        </is>
      </c>
      <c r="AQ655" t="inlineStr">
        <is>
          <t>701+</t>
        </is>
      </c>
      <c r="AR655" t="inlineStr">
        <is>
          <t>6.5</t>
        </is>
      </c>
      <c r="AS655" t="inlineStr">
        <is>
          <t>701+</t>
        </is>
      </c>
      <c r="AT655" t="inlineStr">
        <is>
          <t>4.2</t>
        </is>
      </c>
      <c r="AU655" t="inlineStr">
        <is>
          <t>701+</t>
        </is>
      </c>
      <c r="AV655" t="inlineStr">
        <is>
          <t>11.8</t>
        </is>
      </c>
      <c r="AW655" t="inlineStr">
        <is>
          <t>639</t>
        </is>
      </c>
      <c r="AX655" t="inlineStr">
        <is>
          <t>8.3</t>
        </is>
      </c>
      <c r="AY655" t="inlineStr">
        <is>
          <t>701+</t>
        </is>
      </c>
      <c r="AZ655" t="inlineStr">
        <is>
          <t>2</t>
        </is>
      </c>
      <c r="BA655" t="inlineStr">
        <is>
          <t>701+</t>
        </is>
      </c>
    </row>
    <row r="656">
      <c r="A656" t="inlineStr">
        <is>
          <t>Nagoya Institute of Technology (NIT)</t>
        </is>
      </c>
      <c r="B656" t="inlineStr">
        <is>
          <t>Japan</t>
        </is>
      </c>
      <c r="C656" t="inlineStr">
        <is>
          <t>JP</t>
        </is>
      </c>
      <c r="D656" t="inlineStr">
        <is>
          <t>Asia</t>
        </is>
      </c>
      <c r="E656" t="inlineStr">
        <is>
          <t>M</t>
        </is>
      </c>
      <c r="F656" t="inlineStr">
        <is>
          <t>FO</t>
        </is>
      </c>
      <c r="G656" t="inlineStr">
        <is>
          <t>VH</t>
        </is>
      </c>
      <c r="H656" t="inlineStr">
        <is>
          <t>2</t>
        </is>
      </c>
      <c r="I656" t="inlineStr">
        <is>
          <t>Public</t>
        </is>
      </c>
      <c r="J656" t="inlineStr">
        <is>
          <t>1201-1400</t>
        </is>
      </c>
      <c r="K656" t="inlineStr">
        <is>
          <t>1201-1400</t>
        </is>
      </c>
      <c r="L656" t="inlineStr">
        <is>
          <t>1201-1400</t>
        </is>
      </c>
      <c r="M656" t="inlineStr">
        <is>
          <t>1001-1200</t>
        </is>
      </c>
      <c r="N656" t="inlineStr">
        <is>
          <t>-</t>
        </is>
      </c>
      <c r="O656" t="inlineStr">
        <is>
          <t>-</t>
        </is>
      </c>
      <c r="P656" t="n">
        <v>9.5</v>
      </c>
      <c r="Q656" t="inlineStr">
        <is>
          <t>701+</t>
        </is>
      </c>
      <c r="R656" t="n">
        <v>4.4</v>
      </c>
      <c r="S656" t="inlineStr">
        <is>
          <t>701+</t>
        </is>
      </c>
      <c r="T656" t="n">
        <v>11.5</v>
      </c>
      <c r="U656" t="inlineStr">
        <is>
          <t>801+</t>
        </is>
      </c>
      <c r="V656" t="n">
        <v>28.6</v>
      </c>
      <c r="W656" t="inlineStr">
        <is>
          <t>599</t>
        </is>
      </c>
      <c r="X656" t="n">
        <v>6.9</v>
      </c>
      <c r="Y656" t="inlineStr">
        <is>
          <t>801+</t>
        </is>
      </c>
      <c r="Z656" t="n">
        <v>7.8</v>
      </c>
      <c r="AA656" t="inlineStr">
        <is>
          <t>801+</t>
        </is>
      </c>
      <c r="AB656" t="n">
        <v>6</v>
      </c>
      <c r="AC656" t="inlineStr">
        <is>
          <t>801+</t>
        </is>
      </c>
      <c r="AD656" t="n">
        <v>19.6</v>
      </c>
      <c r="AE656" t="inlineStr">
        <is>
          <t>801+</t>
        </is>
      </c>
      <c r="AF656" t="n">
        <v>8.6</v>
      </c>
      <c r="AG656" t="inlineStr">
        <is>
          <t>801+</t>
        </is>
      </c>
      <c r="AH656" t="n">
        <v>18.1</v>
      </c>
      <c r="AI656" t="inlineStr">
        <is>
          <t>801+</t>
        </is>
      </c>
      <c r="AJ656" t="inlineStr">
        <is>
          <t>5.9</t>
        </is>
      </c>
      <c r="AK656" t="inlineStr">
        <is>
          <t>601+</t>
        </is>
      </c>
      <c r="AL656" t="inlineStr">
        <is>
          <t>2.3</t>
        </is>
      </c>
      <c r="AM656" t="inlineStr">
        <is>
          <t>601+</t>
        </is>
      </c>
      <c r="AN656" t="inlineStr">
        <is>
          <t>6.8</t>
        </is>
      </c>
      <c r="AO656" t="inlineStr">
        <is>
          <t>701+</t>
        </is>
      </c>
      <c r="AP656" t="inlineStr">
        <is>
          <t>15.3</t>
        </is>
      </c>
      <c r="AQ656" t="inlineStr">
        <is>
          <t>627</t>
        </is>
      </c>
      <c r="AR656" t="inlineStr">
        <is>
          <t>5.5</t>
        </is>
      </c>
      <c r="AS656" t="inlineStr">
        <is>
          <t>701+</t>
        </is>
      </c>
      <c r="AT656" t="inlineStr">
        <is>
          <t>4.5</t>
        </is>
      </c>
      <c r="AU656" t="inlineStr">
        <is>
          <t>701+</t>
        </is>
      </c>
      <c r="AV656" t="inlineStr">
        <is>
          <t>1.2</t>
        </is>
      </c>
      <c r="AW656" t="inlineStr">
        <is>
          <t>701+</t>
        </is>
      </c>
      <c r="AX656" t="inlineStr">
        <is>
          <t>9.5</t>
        </is>
      </c>
      <c r="AY656" t="inlineStr">
        <is>
          <t>701+</t>
        </is>
      </c>
      <c r="AZ656" t="inlineStr">
        <is>
          <t>1</t>
        </is>
      </c>
      <c r="BA656" t="inlineStr">
        <is>
          <t>701+</t>
        </is>
      </c>
    </row>
    <row r="657">
      <c r="A657" t="inlineStr">
        <is>
          <t>Nagoya University</t>
        </is>
      </c>
      <c r="B657" t="inlineStr">
        <is>
          <t>Japan</t>
        </is>
      </c>
      <c r="C657" t="inlineStr">
        <is>
          <t>JP</t>
        </is>
      </c>
      <c r="D657" t="inlineStr">
        <is>
          <t>Asia</t>
        </is>
      </c>
      <c r="E657" t="inlineStr">
        <is>
          <t>L</t>
        </is>
      </c>
      <c r="F657" t="inlineStr">
        <is>
          <t>FC</t>
        </is>
      </c>
      <c r="G657" t="inlineStr">
        <is>
          <t>VH</t>
        </is>
      </c>
      <c r="H657" t="inlineStr">
        <is>
          <t>4</t>
        </is>
      </c>
      <c r="I657" t="inlineStr">
        <is>
          <t>Public</t>
        </is>
      </c>
      <c r="J657" t="inlineStr">
        <is>
          <t>164</t>
        </is>
      </c>
      <c r="K657" t="inlineStr">
        <is>
          <t>152</t>
        </is>
      </c>
      <c r="L657">
        <f>176</f>
        <v/>
      </c>
      <c r="M657" t="inlineStr">
        <is>
          <t>112=</t>
        </is>
      </c>
      <c r="N657" t="inlineStr">
        <is>
          <t>60.3</t>
        </is>
      </c>
      <c r="O657" t="inlineStr">
        <is>
          <t>48.5</t>
        </is>
      </c>
      <c r="P657" t="n">
        <v>74.2</v>
      </c>
      <c r="Q657" t="inlineStr">
        <is>
          <t>116</t>
        </is>
      </c>
      <c r="R657" t="n">
        <v>71.5</v>
      </c>
      <c r="S657" t="inlineStr">
        <is>
          <t>141</t>
        </is>
      </c>
      <c r="T657" t="n">
        <v>84.2</v>
      </c>
      <c r="U657" t="inlineStr">
        <is>
          <t>144</t>
        </is>
      </c>
      <c r="V657" t="n">
        <v>38.2</v>
      </c>
      <c r="W657" t="inlineStr">
        <is>
          <t>491</t>
        </is>
      </c>
      <c r="X657" t="n">
        <v>22.6</v>
      </c>
      <c r="Y657" t="inlineStr">
        <is>
          <t>681</t>
        </is>
      </c>
      <c r="Z657" t="n">
        <v>27.6</v>
      </c>
      <c r="AA657" t="inlineStr">
        <is>
          <t>619</t>
        </is>
      </c>
      <c r="AB657" t="n">
        <v>33.6</v>
      </c>
      <c r="AC657" t="inlineStr">
        <is>
          <t>568</t>
        </is>
      </c>
      <c r="AD657" t="n">
        <v>66</v>
      </c>
      <c r="AE657" t="inlineStr">
        <is>
          <t>610</t>
        </is>
      </c>
      <c r="AF657" t="n">
        <v>39.2</v>
      </c>
      <c r="AG657" t="inlineStr">
        <is>
          <t>443</t>
        </is>
      </c>
      <c r="AH657" t="n">
        <v>74.09999999999999</v>
      </c>
      <c r="AI657" t="inlineStr">
        <is>
          <t>255=</t>
        </is>
      </c>
      <c r="AJ657" t="inlineStr">
        <is>
          <t>61.5</t>
        </is>
      </c>
      <c r="AK657" t="inlineStr">
        <is>
          <t>114</t>
        </is>
      </c>
      <c r="AL657" t="inlineStr">
        <is>
          <t>65.1</t>
        </is>
      </c>
      <c r="AM657" t="inlineStr">
        <is>
          <t>123</t>
        </is>
      </c>
      <c r="AN657" t="inlineStr">
        <is>
          <t>87.5</t>
        </is>
      </c>
      <c r="AO657" t="inlineStr">
        <is>
          <t>96</t>
        </is>
      </c>
      <c r="AP657" t="inlineStr">
        <is>
          <t>33.0</t>
        </is>
      </c>
      <c r="AQ657" t="inlineStr">
        <is>
          <t>412</t>
        </is>
      </c>
      <c r="AR657" t="inlineStr">
        <is>
          <t>15.4</t>
        </is>
      </c>
      <c r="AS657" t="inlineStr">
        <is>
          <t>661</t>
        </is>
      </c>
      <c r="AT657" t="inlineStr">
        <is>
          <t>19.1</t>
        </is>
      </c>
      <c r="AU657" t="inlineStr">
        <is>
          <t>558</t>
        </is>
      </c>
      <c r="AV657" t="inlineStr">
        <is>
          <t>17.6</t>
        </is>
      </c>
      <c r="AW657" t="inlineStr">
        <is>
          <t>565</t>
        </is>
      </c>
      <c r="AX657" t="inlineStr">
        <is>
          <t>16.6</t>
        </is>
      </c>
      <c r="AY657" t="inlineStr">
        <is>
          <t>509</t>
        </is>
      </c>
      <c r="AZ657" t="inlineStr">
        <is>
          <t>24.1</t>
        </is>
      </c>
      <c r="BA657" t="inlineStr">
        <is>
          <t>502=</t>
        </is>
      </c>
    </row>
    <row r="658">
      <c r="A658" t="inlineStr">
        <is>
          <t>Nanjing Agricultural University</t>
        </is>
      </c>
      <c r="B658" t="inlineStr">
        <is>
          <t>China (Mainland)</t>
        </is>
      </c>
      <c r="C658" t="inlineStr">
        <is>
          <t>CN</t>
        </is>
      </c>
      <c r="D658" t="inlineStr">
        <is>
          <t>Asia</t>
        </is>
      </c>
      <c r="E658" t="inlineStr">
        <is>
          <t>L</t>
        </is>
      </c>
      <c r="F658" t="inlineStr">
        <is>
          <t>CO</t>
        </is>
      </c>
      <c r="G658" t="inlineStr">
        <is>
          <t>VH</t>
        </is>
      </c>
      <c r="H658" t="inlineStr">
        <is>
          <t>3</t>
        </is>
      </c>
      <c r="I658" t="inlineStr">
        <is>
          <t>Public</t>
        </is>
      </c>
      <c r="J658" t="inlineStr">
        <is>
          <t>951-1000</t>
        </is>
      </c>
      <c r="K658" t="inlineStr">
        <is>
          <t>711-720</t>
        </is>
      </c>
      <c r="L658" t="inlineStr">
        <is>
          <t>781-790</t>
        </is>
      </c>
      <c r="M658" t="inlineStr">
        <is>
          <t>801-1000</t>
        </is>
      </c>
      <c r="N658" t="inlineStr">
        <is>
          <t>-</t>
        </is>
      </c>
      <c r="O658" t="inlineStr">
        <is>
          <t>-</t>
        </is>
      </c>
      <c r="P658" t="n">
        <v>6.1</v>
      </c>
      <c r="Q658" t="inlineStr">
        <is>
          <t>701+</t>
        </is>
      </c>
      <c r="R658" t="n">
        <v>2.3</v>
      </c>
      <c r="S658" t="inlineStr">
        <is>
          <t>701+</t>
        </is>
      </c>
      <c r="T658" t="n">
        <v>17.8</v>
      </c>
      <c r="U658" t="inlineStr">
        <is>
          <t>801+</t>
        </is>
      </c>
      <c r="V658" t="n">
        <v>53</v>
      </c>
      <c r="W658" t="inlineStr">
        <is>
          <t>352</t>
        </is>
      </c>
      <c r="X658" t="inlineStr"/>
      <c r="Y658" t="inlineStr"/>
      <c r="Z658" t="n">
        <v>2.2</v>
      </c>
      <c r="AA658" t="inlineStr">
        <is>
          <t>801+</t>
        </is>
      </c>
      <c r="AB658" t="n">
        <v>1.9</v>
      </c>
      <c r="AC658" t="inlineStr">
        <is>
          <t>801+</t>
        </is>
      </c>
      <c r="AD658" t="n">
        <v>54.8</v>
      </c>
      <c r="AE658" t="inlineStr">
        <is>
          <t>772</t>
        </is>
      </c>
      <c r="AF658" t="n">
        <v>1.2</v>
      </c>
      <c r="AG658" t="inlineStr">
        <is>
          <t>801+</t>
        </is>
      </c>
      <c r="AH658" t="n">
        <v>39.1</v>
      </c>
      <c r="AI658" t="inlineStr">
        <is>
          <t>801+</t>
        </is>
      </c>
      <c r="AJ658" t="inlineStr">
        <is>
          <t>5.5</t>
        </is>
      </c>
      <c r="AK658" t="inlineStr">
        <is>
          <t>601+</t>
        </is>
      </c>
      <c r="AL658" t="inlineStr">
        <is>
          <t>1.9</t>
        </is>
      </c>
      <c r="AM658" t="inlineStr">
        <is>
          <t>601+</t>
        </is>
      </c>
      <c r="AN658" t="inlineStr">
        <is>
          <t>7.2</t>
        </is>
      </c>
      <c r="AO658" t="inlineStr">
        <is>
          <t>701+</t>
        </is>
      </c>
      <c r="AP658" t="inlineStr">
        <is>
          <t>58.8</t>
        </is>
      </c>
      <c r="AQ658" t="inlineStr">
        <is>
          <t>215</t>
        </is>
      </c>
      <c r="AR658" t="inlineStr"/>
      <c r="AS658" t="inlineStr"/>
      <c r="AT658" t="inlineStr">
        <is>
          <t>1.5</t>
        </is>
      </c>
      <c r="AU658" t="inlineStr">
        <is>
          <t>701+</t>
        </is>
      </c>
      <c r="AV658" t="inlineStr">
        <is>
          <t>6.5</t>
        </is>
      </c>
      <c r="AW658" t="inlineStr">
        <is>
          <t>701+</t>
        </is>
      </c>
      <c r="AX658" t="inlineStr">
        <is>
          <t>5.3</t>
        </is>
      </c>
      <c r="AY658" t="inlineStr">
        <is>
          <t>701+</t>
        </is>
      </c>
      <c r="AZ658" t="inlineStr">
        <is>
          <t>2.5</t>
        </is>
      </c>
      <c r="BA658" t="inlineStr">
        <is>
          <t>701+</t>
        </is>
      </c>
    </row>
    <row r="659">
      <c r="A659" t="inlineStr">
        <is>
          <t>Nanjing Normal University</t>
        </is>
      </c>
      <c r="B659" t="inlineStr">
        <is>
          <t>China (Mainland)</t>
        </is>
      </c>
      <c r="C659" t="inlineStr">
        <is>
          <t>CN</t>
        </is>
      </c>
      <c r="D659" t="inlineStr">
        <is>
          <t>Asia</t>
        </is>
      </c>
      <c r="E659" t="inlineStr">
        <is>
          <t>XL</t>
        </is>
      </c>
      <c r="F659" t="inlineStr">
        <is>
          <t>SP</t>
        </is>
      </c>
      <c r="G659" t="inlineStr">
        <is>
          <t>VH</t>
        </is>
      </c>
      <c r="H659" t="inlineStr">
        <is>
          <t>3</t>
        </is>
      </c>
      <c r="I659" t="inlineStr">
        <is>
          <t>Public</t>
        </is>
      </c>
      <c r="J659" t="inlineStr">
        <is>
          <t>951-1000</t>
        </is>
      </c>
      <c r="K659" t="inlineStr">
        <is>
          <t>1001-1200</t>
        </is>
      </c>
      <c r="L659" t="inlineStr">
        <is>
          <t>1001-1200</t>
        </is>
      </c>
      <c r="M659" t="inlineStr">
        <is>
          <t>1001-1200</t>
        </is>
      </c>
      <c r="N659" t="inlineStr">
        <is>
          <t>-</t>
        </is>
      </c>
      <c r="O659" t="inlineStr">
        <is>
          <t>-</t>
        </is>
      </c>
      <c r="P659" t="n">
        <v>6.4</v>
      </c>
      <c r="Q659" t="inlineStr">
        <is>
          <t>701+</t>
        </is>
      </c>
      <c r="R659" t="n">
        <v>4.6</v>
      </c>
      <c r="S659" t="inlineStr">
        <is>
          <t>701+</t>
        </is>
      </c>
      <c r="T659" t="n">
        <v>20.7</v>
      </c>
      <c r="U659" t="inlineStr">
        <is>
          <t>801+</t>
        </is>
      </c>
      <c r="V659" t="n">
        <v>42.8</v>
      </c>
      <c r="W659" t="inlineStr">
        <is>
          <t>443</t>
        </is>
      </c>
      <c r="X659" t="inlineStr"/>
      <c r="Y659" t="inlineStr"/>
      <c r="Z659" t="n">
        <v>7.8</v>
      </c>
      <c r="AA659" t="inlineStr">
        <is>
          <t>801+</t>
        </is>
      </c>
      <c r="AB659" t="n">
        <v>6</v>
      </c>
      <c r="AC659" t="inlineStr">
        <is>
          <t>801+</t>
        </is>
      </c>
      <c r="AD659" t="n">
        <v>57.2</v>
      </c>
      <c r="AE659" t="inlineStr">
        <is>
          <t>730</t>
        </is>
      </c>
      <c r="AF659" t="n">
        <v>8.199999999999999</v>
      </c>
      <c r="AG659" t="inlineStr">
        <is>
          <t>801+</t>
        </is>
      </c>
      <c r="AH659" t="n">
        <v>40.2</v>
      </c>
      <c r="AI659" t="inlineStr">
        <is>
          <t>801+</t>
        </is>
      </c>
      <c r="AJ659" t="inlineStr">
        <is>
          <t>5.1</t>
        </is>
      </c>
      <c r="AK659" t="inlineStr">
        <is>
          <t>601+</t>
        </is>
      </c>
      <c r="AL659" t="inlineStr">
        <is>
          <t>1.7</t>
        </is>
      </c>
      <c r="AM659" t="inlineStr">
        <is>
          <t>601+</t>
        </is>
      </c>
      <c r="AN659" t="inlineStr">
        <is>
          <t>16.6</t>
        </is>
      </c>
      <c r="AO659" t="inlineStr">
        <is>
          <t>701+</t>
        </is>
      </c>
      <c r="AP659" t="inlineStr">
        <is>
          <t>21.6</t>
        </is>
      </c>
      <c r="AQ659" t="inlineStr">
        <is>
          <t>532</t>
        </is>
      </c>
      <c r="AR659" t="inlineStr"/>
      <c r="AS659" t="inlineStr"/>
      <c r="AT659" t="inlineStr">
        <is>
          <t>4.6</t>
        </is>
      </c>
      <c r="AU659" t="inlineStr">
        <is>
          <t>701+</t>
        </is>
      </c>
      <c r="AV659" t="inlineStr">
        <is>
          <t>7.5</t>
        </is>
      </c>
      <c r="AW659" t="inlineStr">
        <is>
          <t>701+</t>
        </is>
      </c>
      <c r="AX659" t="inlineStr">
        <is>
          <t>6.4</t>
        </is>
      </c>
      <c r="AY659" t="inlineStr">
        <is>
          <t>701+</t>
        </is>
      </c>
      <c r="AZ659" t="inlineStr">
        <is>
          <t>7.1</t>
        </is>
      </c>
      <c r="BA659" t="inlineStr">
        <is>
          <t>701+</t>
        </is>
      </c>
    </row>
    <row r="660">
      <c r="A660" t="inlineStr">
        <is>
          <t>Nanjing University</t>
        </is>
      </c>
      <c r="B660" t="inlineStr">
        <is>
          <t>China (Mainland)</t>
        </is>
      </c>
      <c r="C660" t="inlineStr">
        <is>
          <t>CN</t>
        </is>
      </c>
      <c r="D660" t="inlineStr">
        <is>
          <t>Asia</t>
        </is>
      </c>
      <c r="E660" t="inlineStr">
        <is>
          <t>XL</t>
        </is>
      </c>
      <c r="F660" t="inlineStr">
        <is>
          <t>FC</t>
        </is>
      </c>
      <c r="G660" t="inlineStr">
        <is>
          <t>VH</t>
        </is>
      </c>
      <c r="H660" t="inlineStr">
        <is>
          <t>5</t>
        </is>
      </c>
      <c r="I660" t="inlineStr">
        <is>
          <t>Public</t>
        </is>
      </c>
      <c r="J660" t="inlineStr">
        <is>
          <t>103</t>
        </is>
      </c>
      <c r="K660" t="inlineStr">
        <is>
          <t>145</t>
        </is>
      </c>
      <c r="L660">
        <f>141</f>
        <v/>
      </c>
      <c r="M660" t="inlineStr">
        <is>
          <t>133</t>
        </is>
      </c>
      <c r="N660" t="inlineStr">
        <is>
          <t>67.7</t>
        </is>
      </c>
      <c r="O660" t="inlineStr">
        <is>
          <t>52.1</t>
        </is>
      </c>
      <c r="P660" t="n">
        <v>72.09999999999999</v>
      </c>
      <c r="Q660" t="inlineStr">
        <is>
          <t>128</t>
        </is>
      </c>
      <c r="R660" t="n">
        <v>61.2</v>
      </c>
      <c r="S660" t="inlineStr">
        <is>
          <t>188</t>
        </is>
      </c>
      <c r="T660" t="n">
        <v>37.2</v>
      </c>
      <c r="U660" t="inlineStr">
        <is>
          <t>541</t>
        </is>
      </c>
      <c r="V660" t="n">
        <v>99</v>
      </c>
      <c r="W660" t="inlineStr">
        <is>
          <t>39</t>
        </is>
      </c>
      <c r="X660" t="n">
        <v>82.90000000000001</v>
      </c>
      <c r="Y660" t="inlineStr">
        <is>
          <t>273</t>
        </is>
      </c>
      <c r="Z660" t="n">
        <v>15.9</v>
      </c>
      <c r="AA660" t="inlineStr">
        <is>
          <t>799</t>
        </is>
      </c>
      <c r="AB660" t="n">
        <v>12</v>
      </c>
      <c r="AC660" t="inlineStr">
        <is>
          <t>801+</t>
        </is>
      </c>
      <c r="AD660" t="n">
        <v>69.5</v>
      </c>
      <c r="AE660" t="inlineStr">
        <is>
          <t>541</t>
        </is>
      </c>
      <c r="AF660" t="n">
        <v>39.7</v>
      </c>
      <c r="AG660" t="inlineStr">
        <is>
          <t>440</t>
        </is>
      </c>
      <c r="AH660" t="n">
        <v>59.5</v>
      </c>
      <c r="AI660" t="inlineStr">
        <is>
          <t>513</t>
        </is>
      </c>
      <c r="AJ660" t="inlineStr">
        <is>
          <t>59.6</t>
        </is>
      </c>
      <c r="AK660" t="inlineStr">
        <is>
          <t>123</t>
        </is>
      </c>
      <c r="AL660" t="inlineStr">
        <is>
          <t>25.4</t>
        </is>
      </c>
      <c r="AM660" t="inlineStr">
        <is>
          <t>378</t>
        </is>
      </c>
      <c r="AN660" t="inlineStr">
        <is>
          <t>31.3</t>
        </is>
      </c>
      <c r="AO660" t="inlineStr">
        <is>
          <t>504</t>
        </is>
      </c>
      <c r="AP660" t="inlineStr">
        <is>
          <t>96.9</t>
        </is>
      </c>
      <c r="AQ660" t="inlineStr">
        <is>
          <t>42</t>
        </is>
      </c>
      <c r="AR660" t="inlineStr">
        <is>
          <t>55.1</t>
        </is>
      </c>
      <c r="AS660" t="inlineStr">
        <is>
          <t>334</t>
        </is>
      </c>
      <c r="AT660" t="inlineStr">
        <is>
          <t>7.3</t>
        </is>
      </c>
      <c r="AU660" t="inlineStr">
        <is>
          <t>701+</t>
        </is>
      </c>
      <c r="AV660" t="inlineStr">
        <is>
          <t>26.4</t>
        </is>
      </c>
      <c r="AW660" t="inlineStr">
        <is>
          <t>488</t>
        </is>
      </c>
      <c r="AX660" t="inlineStr">
        <is>
          <t>23.7</t>
        </is>
      </c>
      <c r="AY660" t="inlineStr">
        <is>
          <t>356</t>
        </is>
      </c>
      <c r="AZ660" t="inlineStr">
        <is>
          <t>39</t>
        </is>
      </c>
      <c r="BA660" t="inlineStr">
        <is>
          <t>367=</t>
        </is>
      </c>
    </row>
    <row r="661">
      <c r="A661" t="inlineStr">
        <is>
          <t>Nanjing University of Aeronautics and Astronautics</t>
        </is>
      </c>
      <c r="B661" t="inlineStr">
        <is>
          <t>China (Mainland)</t>
        </is>
      </c>
      <c r="C661" t="inlineStr">
        <is>
          <t>CN</t>
        </is>
      </c>
      <c r="D661" t="inlineStr">
        <is>
          <t>Asia</t>
        </is>
      </c>
      <c r="E661" t="inlineStr">
        <is>
          <t>L</t>
        </is>
      </c>
      <c r="F661" t="inlineStr">
        <is>
          <t>FO</t>
        </is>
      </c>
      <c r="G661" t="inlineStr">
        <is>
          <t>VH</t>
        </is>
      </c>
      <c r="H661" t="inlineStr">
        <is>
          <t>3</t>
        </is>
      </c>
      <c r="I661" t="inlineStr">
        <is>
          <t>Public</t>
        </is>
      </c>
      <c r="J661" t="inlineStr">
        <is>
          <t>680</t>
        </is>
      </c>
      <c r="K661" t="inlineStr">
        <is>
          <t>761-770</t>
        </is>
      </c>
      <c r="L661" t="inlineStr">
        <is>
          <t>801-850</t>
        </is>
      </c>
      <c r="M661" t="inlineStr">
        <is>
          <t>801-1000</t>
        </is>
      </c>
      <c r="N661" t="inlineStr">
        <is>
          <t>25.9</t>
        </is>
      </c>
      <c r="O661" t="inlineStr">
        <is>
          <t>-</t>
        </is>
      </c>
      <c r="P661" t="n">
        <v>6.3</v>
      </c>
      <c r="Q661" t="inlineStr">
        <is>
          <t>701+</t>
        </is>
      </c>
      <c r="R661" t="n">
        <v>10.9</v>
      </c>
      <c r="S661" t="inlineStr">
        <is>
          <t>701+</t>
        </is>
      </c>
      <c r="T661" t="n">
        <v>26.4</v>
      </c>
      <c r="U661" t="inlineStr">
        <is>
          <t>707</t>
        </is>
      </c>
      <c r="V661" t="n">
        <v>79.7</v>
      </c>
      <c r="W661" t="inlineStr">
        <is>
          <t>158</t>
        </is>
      </c>
      <c r="X661" t="n">
        <v>7.2</v>
      </c>
      <c r="Y661" t="inlineStr">
        <is>
          <t>801+</t>
        </is>
      </c>
      <c r="Z661" t="n">
        <v>8.800000000000001</v>
      </c>
      <c r="AA661" t="inlineStr">
        <is>
          <t>801+</t>
        </is>
      </c>
      <c r="AB661" t="n">
        <v>6.8</v>
      </c>
      <c r="AC661" t="inlineStr">
        <is>
          <t>801+</t>
        </is>
      </c>
      <c r="AD661" t="n">
        <v>46.2</v>
      </c>
      <c r="AE661" t="inlineStr">
        <is>
          <t>801+</t>
        </is>
      </c>
      <c r="AF661" t="n">
        <v>1.3</v>
      </c>
      <c r="AG661" t="inlineStr">
        <is>
          <t>801+</t>
        </is>
      </c>
      <c r="AH661" t="n">
        <v>37</v>
      </c>
      <c r="AI661" t="inlineStr">
        <is>
          <t>801+</t>
        </is>
      </c>
      <c r="AJ661" t="inlineStr">
        <is>
          <t>4.7</t>
        </is>
      </c>
      <c r="AK661" t="inlineStr">
        <is>
          <t>601+</t>
        </is>
      </c>
      <c r="AL661" t="inlineStr">
        <is>
          <t>2.6</t>
        </is>
      </c>
      <c r="AM661" t="inlineStr">
        <is>
          <t>601+</t>
        </is>
      </c>
      <c r="AN661" t="inlineStr">
        <is>
          <t>13.1</t>
        </is>
      </c>
      <c r="AO661" t="inlineStr">
        <is>
          <t>701+</t>
        </is>
      </c>
      <c r="AP661" t="inlineStr">
        <is>
          <t>47.3</t>
        </is>
      </c>
      <c r="AQ661" t="inlineStr">
        <is>
          <t>287</t>
        </is>
      </c>
      <c r="AR661" t="inlineStr">
        <is>
          <t>5.7</t>
        </is>
      </c>
      <c r="AS661" t="inlineStr">
        <is>
          <t>701+</t>
        </is>
      </c>
      <c r="AT661" t="inlineStr">
        <is>
          <t>3.2</t>
        </is>
      </c>
      <c r="AU661" t="inlineStr">
        <is>
          <t>701+</t>
        </is>
      </c>
      <c r="AV661" t="inlineStr">
        <is>
          <t>4.5</t>
        </is>
      </c>
      <c r="AW661" t="inlineStr">
        <is>
          <t>701+</t>
        </is>
      </c>
      <c r="AX661" t="inlineStr">
        <is>
          <t>5.3</t>
        </is>
      </c>
      <c r="AY661" t="inlineStr">
        <is>
          <t>701+</t>
        </is>
      </c>
      <c r="AZ661" t="inlineStr">
        <is>
          <t>1.5</t>
        </is>
      </c>
      <c r="BA661" t="inlineStr">
        <is>
          <t>701+</t>
        </is>
      </c>
    </row>
    <row r="662">
      <c r="A662" t="inlineStr">
        <is>
          <t>Nanjing University of Science and Technology</t>
        </is>
      </c>
      <c r="B662" t="inlineStr">
        <is>
          <t>China (Mainland)</t>
        </is>
      </c>
      <c r="C662" t="inlineStr">
        <is>
          <t>CN</t>
        </is>
      </c>
      <c r="D662" t="inlineStr">
        <is>
          <t>Asia</t>
        </is>
      </c>
      <c r="E662" t="inlineStr">
        <is>
          <t>L</t>
        </is>
      </c>
      <c r="F662" t="inlineStr">
        <is>
          <t>FO</t>
        </is>
      </c>
      <c r="G662" t="inlineStr">
        <is>
          <t>VH</t>
        </is>
      </c>
      <c r="H662" t="inlineStr">
        <is>
          <t>2</t>
        </is>
      </c>
      <c r="I662" t="inlineStr">
        <is>
          <t>Public</t>
        </is>
      </c>
      <c r="J662" t="inlineStr">
        <is>
          <t>701-710</t>
        </is>
      </c>
      <c r="K662" t="inlineStr">
        <is>
          <t>565</t>
        </is>
      </c>
      <c r="L662">
        <f>600</f>
        <v/>
      </c>
      <c r="M662" t="inlineStr">
        <is>
          <t>601-650</t>
        </is>
      </c>
      <c r="N662" t="inlineStr">
        <is>
          <t>-</t>
        </is>
      </c>
      <c r="O662" t="inlineStr">
        <is>
          <t>19.8</t>
        </is>
      </c>
      <c r="P662" t="n">
        <v>7</v>
      </c>
      <c r="Q662" t="inlineStr">
        <is>
          <t>701+</t>
        </is>
      </c>
      <c r="R662" t="n">
        <v>8.5</v>
      </c>
      <c r="S662" t="inlineStr">
        <is>
          <t>701+</t>
        </is>
      </c>
      <c r="T662" t="n">
        <v>14.6</v>
      </c>
      <c r="U662" t="inlineStr">
        <is>
          <t>801+</t>
        </is>
      </c>
      <c r="V662" t="n">
        <v>86.09999999999999</v>
      </c>
      <c r="W662" t="inlineStr">
        <is>
          <t>117</t>
        </is>
      </c>
      <c r="X662" t="inlineStr"/>
      <c r="Y662" t="inlineStr"/>
      <c r="Z662" t="inlineStr"/>
      <c r="AA662" t="inlineStr"/>
      <c r="AB662" t="inlineStr"/>
      <c r="AC662" t="inlineStr"/>
      <c r="AD662" t="n">
        <v>38.2</v>
      </c>
      <c r="AE662" t="inlineStr">
        <is>
          <t>801+</t>
        </is>
      </c>
      <c r="AF662" t="n">
        <v>6.4</v>
      </c>
      <c r="AG662" t="inlineStr">
        <is>
          <t>801+</t>
        </is>
      </c>
      <c r="AH662" t="n">
        <v>39.4</v>
      </c>
      <c r="AI662" t="inlineStr">
        <is>
          <t>801+</t>
        </is>
      </c>
      <c r="AJ662" t="inlineStr">
        <is>
          <t>5.1</t>
        </is>
      </c>
      <c r="AK662" t="inlineStr">
        <is>
          <t>601+</t>
        </is>
      </c>
      <c r="AL662" t="inlineStr">
        <is>
          <t>2.2</t>
        </is>
      </c>
      <c r="AM662" t="inlineStr">
        <is>
          <t>601+</t>
        </is>
      </c>
      <c r="AN662" t="inlineStr">
        <is>
          <t>10.9</t>
        </is>
      </c>
      <c r="AO662" t="inlineStr">
        <is>
          <t>701+</t>
        </is>
      </c>
      <c r="AP662" t="inlineStr">
        <is>
          <t>82.2</t>
        </is>
      </c>
      <c r="AQ662" t="inlineStr">
        <is>
          <t>103</t>
        </is>
      </c>
      <c r="AR662" t="inlineStr"/>
      <c r="AS662" t="inlineStr"/>
      <c r="AT662" t="inlineStr"/>
      <c r="AU662" t="inlineStr"/>
      <c r="AV662" t="inlineStr">
        <is>
          <t>3.4</t>
        </is>
      </c>
      <c r="AW662" t="inlineStr">
        <is>
          <t>701+</t>
        </is>
      </c>
      <c r="AX662" t="inlineStr">
        <is>
          <t>6.2</t>
        </is>
      </c>
      <c r="AY662" t="inlineStr">
        <is>
          <t>701+</t>
        </is>
      </c>
      <c r="AZ662" t="inlineStr">
        <is>
          <t>1.8</t>
        </is>
      </c>
      <c r="BA662" t="inlineStr">
        <is>
          <t>701+</t>
        </is>
      </c>
    </row>
    <row r="663">
      <c r="A663" t="inlineStr">
        <is>
          <t>Nankai University</t>
        </is>
      </c>
      <c r="B663" t="inlineStr">
        <is>
          <t>China (Mainland)</t>
        </is>
      </c>
      <c r="C663" t="inlineStr">
        <is>
          <t>CN</t>
        </is>
      </c>
      <c r="D663" t="inlineStr">
        <is>
          <t>Asia</t>
        </is>
      </c>
      <c r="E663" t="inlineStr">
        <is>
          <t>XL</t>
        </is>
      </c>
      <c r="F663" t="inlineStr">
        <is>
          <t>FC</t>
        </is>
      </c>
      <c r="G663" t="inlineStr">
        <is>
          <t>VH</t>
        </is>
      </c>
      <c r="H663" t="inlineStr">
        <is>
          <t>4</t>
        </is>
      </c>
      <c r="I663" t="inlineStr">
        <is>
          <t>Public</t>
        </is>
      </c>
      <c r="J663" t="inlineStr">
        <is>
          <t>355</t>
        </is>
      </c>
      <c r="K663" t="inlineStr">
        <is>
          <t>377</t>
        </is>
      </c>
      <c r="L663">
        <f>384</f>
        <v/>
      </c>
      <c r="M663" t="inlineStr">
        <is>
          <t>378=</t>
        </is>
      </c>
      <c r="N663" t="inlineStr">
        <is>
          <t>41.2</t>
        </is>
      </c>
      <c r="O663" t="inlineStr">
        <is>
          <t>28.6</t>
        </is>
      </c>
      <c r="P663" t="n">
        <v>27.1</v>
      </c>
      <c r="Q663" t="inlineStr">
        <is>
          <t>464</t>
        </is>
      </c>
      <c r="R663" t="n">
        <v>24.4</v>
      </c>
      <c r="S663" t="inlineStr">
        <is>
          <t>552</t>
        </is>
      </c>
      <c r="T663" t="n">
        <v>28.8</v>
      </c>
      <c r="U663" t="inlineStr">
        <is>
          <t>659</t>
        </is>
      </c>
      <c r="V663" t="n">
        <v>93.90000000000001</v>
      </c>
      <c r="W663" t="inlineStr">
        <is>
          <t>81</t>
        </is>
      </c>
      <c r="X663" t="n">
        <v>17.8</v>
      </c>
      <c r="Y663" t="inlineStr">
        <is>
          <t>749</t>
        </is>
      </c>
      <c r="Z663" t="n">
        <v>5</v>
      </c>
      <c r="AA663" t="inlineStr">
        <is>
          <t>801+</t>
        </is>
      </c>
      <c r="AB663" t="n">
        <v>3.9</v>
      </c>
      <c r="AC663" t="inlineStr">
        <is>
          <t>801+</t>
        </is>
      </c>
      <c r="AD663" t="n">
        <v>56.1</v>
      </c>
      <c r="AE663" t="inlineStr">
        <is>
          <t>748</t>
        </is>
      </c>
      <c r="AF663" t="n">
        <v>47.3</v>
      </c>
      <c r="AG663" t="inlineStr">
        <is>
          <t>370</t>
        </is>
      </c>
      <c r="AH663" t="n">
        <v>44.9</v>
      </c>
      <c r="AI663" t="inlineStr">
        <is>
          <t>801+</t>
        </is>
      </c>
      <c r="AJ663" t="inlineStr">
        <is>
          <t>21.1</t>
        </is>
      </c>
      <c r="AK663" t="inlineStr">
        <is>
          <t>414</t>
        </is>
      </c>
      <c r="AL663" t="inlineStr">
        <is>
          <t>8.6</t>
        </is>
      </c>
      <c r="AM663" t="inlineStr">
        <is>
          <t>601+</t>
        </is>
      </c>
      <c r="AN663" t="inlineStr">
        <is>
          <t>29.5</t>
        </is>
      </c>
      <c r="AO663" t="inlineStr">
        <is>
          <t>526</t>
        </is>
      </c>
      <c r="AP663" t="inlineStr">
        <is>
          <t>73.9</t>
        </is>
      </c>
      <c r="AQ663" t="inlineStr">
        <is>
          <t>132</t>
        </is>
      </c>
      <c r="AR663" t="inlineStr">
        <is>
          <t>11.2</t>
        </is>
      </c>
      <c r="AS663" t="inlineStr">
        <is>
          <t>701+</t>
        </is>
      </c>
      <c r="AT663" t="inlineStr">
        <is>
          <t>3.5</t>
        </is>
      </c>
      <c r="AU663" t="inlineStr">
        <is>
          <t>701+</t>
        </is>
      </c>
      <c r="AV663" t="inlineStr">
        <is>
          <t>8.1</t>
        </is>
      </c>
      <c r="AW663" t="inlineStr">
        <is>
          <t>701+</t>
        </is>
      </c>
      <c r="AX663" t="inlineStr">
        <is>
          <t>18.9</t>
        </is>
      </c>
      <c r="AY663" t="inlineStr">
        <is>
          <t>440</t>
        </is>
      </c>
      <c r="AZ663" t="inlineStr">
        <is>
          <t>22.5</t>
        </is>
      </c>
      <c r="BA663" t="inlineStr">
        <is>
          <t>521=</t>
        </is>
      </c>
    </row>
    <row r="664">
      <c r="A664" t="inlineStr">
        <is>
          <t>Nantes University</t>
        </is>
      </c>
      <c r="B664" t="inlineStr">
        <is>
          <t>France</t>
        </is>
      </c>
      <c r="C664" t="inlineStr"/>
      <c r="D664" t="inlineStr">
        <is>
          <t>Europe</t>
        </is>
      </c>
      <c r="E664" t="inlineStr">
        <is>
          <t>XL</t>
        </is>
      </c>
      <c r="F664" t="inlineStr">
        <is>
          <t>CO</t>
        </is>
      </c>
      <c r="G664" t="inlineStr">
        <is>
          <t>VH</t>
        </is>
      </c>
      <c r="H664" t="inlineStr"/>
      <c r="I664" t="inlineStr">
        <is>
          <t>Public</t>
        </is>
      </c>
      <c r="J664" t="inlineStr">
        <is>
          <t>851-900</t>
        </is>
      </c>
      <c r="K664" t="inlineStr">
        <is>
          <t>851-900</t>
        </is>
      </c>
      <c r="L664" t="inlineStr"/>
      <c r="M664" t="inlineStr"/>
      <c r="N664" t="inlineStr">
        <is>
          <t>-</t>
        </is>
      </c>
      <c r="O664" t="inlineStr"/>
      <c r="P664" t="n">
        <v>14.8</v>
      </c>
      <c r="Q664" t="inlineStr">
        <is>
          <t>701+</t>
        </is>
      </c>
      <c r="R664" t="n">
        <v>5.9</v>
      </c>
      <c r="S664" t="inlineStr">
        <is>
          <t>701+</t>
        </is>
      </c>
      <c r="T664" t="n">
        <v>12.3</v>
      </c>
      <c r="U664" t="inlineStr">
        <is>
          <t>801+</t>
        </is>
      </c>
      <c r="V664" t="n">
        <v>30.6</v>
      </c>
      <c r="W664" t="inlineStr">
        <is>
          <t>582</t>
        </is>
      </c>
      <c r="X664" t="n">
        <v>20.2</v>
      </c>
      <c r="Y664" t="inlineStr">
        <is>
          <t>709</t>
        </is>
      </c>
      <c r="Z664" t="n">
        <v>25</v>
      </c>
      <c r="AA664" t="inlineStr">
        <is>
          <t>665</t>
        </is>
      </c>
      <c r="AB664" t="n">
        <v>31</v>
      </c>
      <c r="AC664" t="inlineStr">
        <is>
          <t>603</t>
        </is>
      </c>
      <c r="AD664" t="n">
        <v>88.09999999999999</v>
      </c>
      <c r="AE664" t="inlineStr">
        <is>
          <t>201</t>
        </is>
      </c>
      <c r="AF664" t="n">
        <v>4.6</v>
      </c>
      <c r="AG664" t="inlineStr">
        <is>
          <t>801+</t>
        </is>
      </c>
      <c r="AH664" t="n">
        <v>48.3</v>
      </c>
      <c r="AI664" t="inlineStr">
        <is>
          <t>749=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</row>
    <row r="665">
      <c r="A665" t="inlineStr">
        <is>
          <t>Nanyang Technological University, Singapore (NTU)</t>
        </is>
      </c>
      <c r="B665" t="inlineStr">
        <is>
          <t>Singapore</t>
        </is>
      </c>
      <c r="C665" t="inlineStr">
        <is>
          <t>SG</t>
        </is>
      </c>
      <c r="D665" t="inlineStr"/>
      <c r="E665" t="inlineStr">
        <is>
          <t>L</t>
        </is>
      </c>
      <c r="F665" t="inlineStr">
        <is>
          <t>FC</t>
        </is>
      </c>
      <c r="G665" t="inlineStr">
        <is>
          <t>VH</t>
        </is>
      </c>
      <c r="H665" t="inlineStr">
        <is>
          <t>3</t>
        </is>
      </c>
      <c r="I665" t="inlineStr">
        <is>
          <t>A</t>
        </is>
      </c>
      <c r="J665" t="inlineStr"/>
      <c r="K665" t="inlineStr"/>
      <c r="L665">
        <f>26</f>
        <v/>
      </c>
      <c r="M665" t="inlineStr">
        <is>
          <t>19</t>
        </is>
      </c>
      <c r="N665" t="inlineStr"/>
      <c r="O665" t="inlineStr">
        <is>
          <t>84.5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91.0</t>
        </is>
      </c>
      <c r="AK665" t="inlineStr">
        <is>
          <t>42</t>
        </is>
      </c>
      <c r="AL665" t="inlineStr">
        <is>
          <t>67.1</t>
        </is>
      </c>
      <c r="AM665" t="inlineStr">
        <is>
          <t>115</t>
        </is>
      </c>
      <c r="AN665" t="inlineStr">
        <is>
          <t>77.6</t>
        </is>
      </c>
      <c r="AO665" t="inlineStr">
        <is>
          <t>149</t>
        </is>
      </c>
      <c r="AP665" t="inlineStr">
        <is>
          <t>94.4</t>
        </is>
      </c>
      <c r="AQ665" t="inlineStr">
        <is>
          <t>56</t>
        </is>
      </c>
      <c r="AR665" t="inlineStr">
        <is>
          <t>100.0</t>
        </is>
      </c>
      <c r="AS665" t="inlineStr">
        <is>
          <t>35</t>
        </is>
      </c>
      <c r="AT665" t="inlineStr">
        <is>
          <t>80.2</t>
        </is>
      </c>
      <c r="AU665" t="inlineStr">
        <is>
          <t>161</t>
        </is>
      </c>
      <c r="AV665" t="inlineStr">
        <is>
          <t>66.1</t>
        </is>
      </c>
      <c r="AW665" t="inlineStr">
        <is>
          <t>212</t>
        </is>
      </c>
      <c r="AX665" t="inlineStr">
        <is>
          <t>68.4</t>
        </is>
      </c>
      <c r="AY665" t="inlineStr">
        <is>
          <t>79</t>
        </is>
      </c>
      <c r="AZ665" t="inlineStr">
        <is>
          <t>78.2</t>
        </is>
      </c>
      <c r="BA665" t="inlineStr">
        <is>
          <t>160=</t>
        </is>
      </c>
    </row>
    <row r="666">
      <c r="A666" t="inlineStr">
        <is>
          <t>Nanyang Technological University, Singapore (NTU Singapore)</t>
        </is>
      </c>
      <c r="B666" t="inlineStr">
        <is>
          <t>Singapore</t>
        </is>
      </c>
      <c r="C666" t="inlineStr"/>
      <c r="D666" t="inlineStr">
        <is>
          <t>Asia</t>
        </is>
      </c>
      <c r="E666" t="inlineStr">
        <is>
          <t>L</t>
        </is>
      </c>
      <c r="F666" t="inlineStr">
        <is>
          <t>FC</t>
        </is>
      </c>
      <c r="G666" t="inlineStr">
        <is>
          <t>VH</t>
        </is>
      </c>
      <c r="H666" t="inlineStr"/>
      <c r="I666" t="inlineStr">
        <is>
          <t>Public</t>
        </is>
      </c>
      <c r="J666" t="inlineStr">
        <is>
          <t>12</t>
        </is>
      </c>
      <c r="K666" t="inlineStr">
        <is>
          <t>15</t>
        </is>
      </c>
      <c r="L666" t="inlineStr"/>
      <c r="M666" t="inlineStr"/>
      <c r="N666" t="inlineStr">
        <is>
          <t>93.7</t>
        </is>
      </c>
      <c r="O666" t="inlineStr"/>
      <c r="P666" t="n">
        <v>97.09999999999999</v>
      </c>
      <c r="Q666" t="inlineStr">
        <is>
          <t>42</t>
        </is>
      </c>
      <c r="R666" t="n">
        <v>91.40000000000001</v>
      </c>
      <c r="S666" t="inlineStr">
        <is>
          <t>67</t>
        </is>
      </c>
      <c r="T666" t="n">
        <v>83.90000000000001</v>
      </c>
      <c r="U666" t="inlineStr">
        <is>
          <t>148</t>
        </is>
      </c>
      <c r="V666" t="n">
        <v>94.59999999999999</v>
      </c>
      <c r="W666" t="inlineStr">
        <is>
          <t>76</t>
        </is>
      </c>
      <c r="X666" t="n">
        <v>100</v>
      </c>
      <c r="Y666" t="inlineStr">
        <is>
          <t>43</t>
        </is>
      </c>
      <c r="Z666" t="n">
        <v>93.09999999999999</v>
      </c>
      <c r="AA666" t="inlineStr">
        <is>
          <t>145</t>
        </is>
      </c>
      <c r="AB666" t="n">
        <v>93.59999999999999</v>
      </c>
      <c r="AC666" t="inlineStr">
        <is>
          <t>121</t>
        </is>
      </c>
      <c r="AD666" t="n">
        <v>86.90000000000001</v>
      </c>
      <c r="AE666" t="inlineStr">
        <is>
          <t>217</t>
        </is>
      </c>
      <c r="AF666" t="n">
        <v>87.7</v>
      </c>
      <c r="AG666" t="inlineStr">
        <is>
          <t>121</t>
        </is>
      </c>
      <c r="AH666" t="n">
        <v>87.2</v>
      </c>
      <c r="AI666" t="inlineStr">
        <is>
          <t>88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</row>
    <row r="667">
      <c r="A667" t="inlineStr">
        <is>
          <t>Nara Institute of Science and Technology</t>
        </is>
      </c>
      <c r="B667" t="inlineStr">
        <is>
          <t>Japan</t>
        </is>
      </c>
      <c r="C667" t="inlineStr">
        <is>
          <t>JP</t>
        </is>
      </c>
      <c r="D667" t="inlineStr"/>
      <c r="E667" t="inlineStr"/>
      <c r="F667" t="inlineStr">
        <is>
          <t>FO</t>
        </is>
      </c>
      <c r="G667" t="inlineStr"/>
      <c r="H667" t="inlineStr">
        <is>
          <t>3</t>
        </is>
      </c>
      <c r="I667" t="inlineStr"/>
      <c r="J667" t="inlineStr"/>
      <c r="K667" t="inlineStr"/>
      <c r="L667" t="inlineStr">
        <is>
          <t>1401+</t>
        </is>
      </c>
      <c r="M667" t="inlineStr"/>
      <c r="N667" t="inlineStr"/>
      <c r="O667" t="inlineStr">
        <is>
          <t>-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5.6</t>
        </is>
      </c>
      <c r="AK667" t="inlineStr">
        <is>
          <t>601+</t>
        </is>
      </c>
      <c r="AL667" t="inlineStr">
        <is>
          <t>2.3</t>
        </is>
      </c>
      <c r="AM667" t="inlineStr">
        <is>
          <t>601+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>
        <is>
          <t>1.5</t>
        </is>
      </c>
      <c r="AW667" t="inlineStr">
        <is>
          <t>701+</t>
        </is>
      </c>
      <c r="AX667" t="inlineStr"/>
      <c r="AY667" t="inlineStr"/>
      <c r="AZ667" t="inlineStr"/>
      <c r="BA667" t="inlineStr"/>
    </row>
    <row r="668">
      <c r="A668" t="inlineStr">
        <is>
          <t>Naresuan University</t>
        </is>
      </c>
      <c r="B668" t="inlineStr">
        <is>
          <t>Thailand</t>
        </is>
      </c>
      <c r="C668" t="inlineStr">
        <is>
          <t>TH</t>
        </is>
      </c>
      <c r="D668" t="inlineStr">
        <is>
          <t>Asia</t>
        </is>
      </c>
      <c r="E668" t="inlineStr">
        <is>
          <t>L</t>
        </is>
      </c>
      <c r="F668" t="inlineStr">
        <is>
          <t>FC</t>
        </is>
      </c>
      <c r="G668" t="inlineStr">
        <is>
          <t>MD</t>
        </is>
      </c>
      <c r="H668" t="inlineStr">
        <is>
          <t>3</t>
        </is>
      </c>
      <c r="I668" t="inlineStr">
        <is>
          <t>Public</t>
        </is>
      </c>
      <c r="J668" t="inlineStr">
        <is>
          <t>1401+</t>
        </is>
      </c>
      <c r="K668" t="inlineStr">
        <is>
          <t>1401+</t>
        </is>
      </c>
      <c r="L668" t="inlineStr">
        <is>
          <t>1201-1400</t>
        </is>
      </c>
      <c r="M668" t="inlineStr"/>
      <c r="N668" t="inlineStr">
        <is>
          <t>-</t>
        </is>
      </c>
      <c r="O668" t="inlineStr">
        <is>
          <t>-</t>
        </is>
      </c>
      <c r="P668" t="n">
        <v>10.9</v>
      </c>
      <c r="Q668" t="inlineStr">
        <is>
          <t>701+</t>
        </is>
      </c>
      <c r="R668" t="n">
        <v>5.3</v>
      </c>
      <c r="S668" t="inlineStr">
        <is>
          <t>701+</t>
        </is>
      </c>
      <c r="T668" t="n">
        <v>9.300000000000001</v>
      </c>
      <c r="U668" t="inlineStr">
        <is>
          <t>801+</t>
        </is>
      </c>
      <c r="V668" t="n">
        <v>3</v>
      </c>
      <c r="W668" t="inlineStr">
        <is>
          <t>801+</t>
        </is>
      </c>
      <c r="X668" t="n">
        <v>6.9</v>
      </c>
      <c r="Y668" t="inlineStr">
        <is>
          <t>801+</t>
        </is>
      </c>
      <c r="Z668" t="n">
        <v>1.8</v>
      </c>
      <c r="AA668" t="inlineStr">
        <is>
          <t>801+</t>
        </is>
      </c>
      <c r="AB668" t="n">
        <v>6.2</v>
      </c>
      <c r="AC668" t="inlineStr">
        <is>
          <t>801+</t>
        </is>
      </c>
      <c r="AD668" t="n">
        <v>12.5</v>
      </c>
      <c r="AE668" t="inlineStr">
        <is>
          <t>801+</t>
        </is>
      </c>
      <c r="AF668" t="n">
        <v>3.1</v>
      </c>
      <c r="AG668" t="inlineStr">
        <is>
          <t>801+</t>
        </is>
      </c>
      <c r="AH668" t="n">
        <v>39.6</v>
      </c>
      <c r="AI668" t="inlineStr">
        <is>
          <t>801+</t>
        </is>
      </c>
      <c r="AJ668" t="inlineStr">
        <is>
          <t>6.5</t>
        </is>
      </c>
      <c r="AK668" t="inlineStr">
        <is>
          <t>601+</t>
        </is>
      </c>
      <c r="AL668" t="inlineStr">
        <is>
          <t>3.3</t>
        </is>
      </c>
      <c r="AM668" t="inlineStr">
        <is>
          <t>601+</t>
        </is>
      </c>
      <c r="AN668" t="inlineStr">
        <is>
          <t>6.5</t>
        </is>
      </c>
      <c r="AO668" t="inlineStr">
        <is>
          <t>701+</t>
        </is>
      </c>
      <c r="AP668" t="inlineStr">
        <is>
          <t>2.0</t>
        </is>
      </c>
      <c r="AQ668" t="inlineStr">
        <is>
          <t>701+</t>
        </is>
      </c>
      <c r="AR668" t="inlineStr">
        <is>
          <t>5.9</t>
        </is>
      </c>
      <c r="AS668" t="inlineStr">
        <is>
          <t>701+</t>
        </is>
      </c>
      <c r="AT668" t="inlineStr">
        <is>
          <t>1.3</t>
        </is>
      </c>
      <c r="AU668" t="inlineStr">
        <is>
          <t>701+</t>
        </is>
      </c>
      <c r="AV668" t="inlineStr">
        <is>
          <t>1.0</t>
        </is>
      </c>
      <c r="AW668" t="inlineStr">
        <is>
          <t>701+</t>
        </is>
      </c>
      <c r="AX668" t="inlineStr">
        <is>
          <t>7.9</t>
        </is>
      </c>
      <c r="AY668" t="inlineStr">
        <is>
          <t>701+</t>
        </is>
      </c>
      <c r="AZ668" t="inlineStr">
        <is>
          <t>4.4</t>
        </is>
      </c>
      <c r="BA668" t="inlineStr">
        <is>
          <t>701+</t>
        </is>
      </c>
    </row>
    <row r="669">
      <c r="A669" t="inlineStr">
        <is>
          <t>Narxoz University</t>
        </is>
      </c>
      <c r="B669" t="inlineStr">
        <is>
          <t>Kazakhstan</t>
        </is>
      </c>
      <c r="C669" t="inlineStr">
        <is>
          <t>KZ</t>
        </is>
      </c>
      <c r="D669" t="inlineStr">
        <is>
          <t>Asia</t>
        </is>
      </c>
      <c r="E669" t="inlineStr">
        <is>
          <t>M</t>
        </is>
      </c>
      <c r="F669" t="inlineStr">
        <is>
          <t>FO</t>
        </is>
      </c>
      <c r="G669" t="inlineStr">
        <is>
          <t>MD</t>
        </is>
      </c>
      <c r="H669" t="inlineStr">
        <is>
          <t>4</t>
        </is>
      </c>
      <c r="I669" t="inlineStr">
        <is>
          <t>Private not for Profit</t>
        </is>
      </c>
      <c r="J669" t="inlineStr">
        <is>
          <t>1001-1200</t>
        </is>
      </c>
      <c r="K669" t="inlineStr">
        <is>
          <t>1001-1200</t>
        </is>
      </c>
      <c r="L669" t="inlineStr">
        <is>
          <t>1201-1400</t>
        </is>
      </c>
      <c r="M669" t="inlineStr"/>
      <c r="N669" t="inlineStr">
        <is>
          <t>-</t>
        </is>
      </c>
      <c r="O669" t="inlineStr">
        <is>
          <t>-</t>
        </is>
      </c>
      <c r="P669" t="n">
        <v>15.7</v>
      </c>
      <c r="Q669" t="inlineStr">
        <is>
          <t>701+</t>
        </is>
      </c>
      <c r="R669" t="n">
        <v>14.9</v>
      </c>
      <c r="S669" t="inlineStr">
        <is>
          <t>701+</t>
        </is>
      </c>
      <c r="T669" t="n">
        <v>26.1</v>
      </c>
      <c r="U669" t="inlineStr">
        <is>
          <t>717</t>
        </is>
      </c>
      <c r="V669" t="n">
        <v>1.5</v>
      </c>
      <c r="W669" t="inlineStr">
        <is>
          <t>801+</t>
        </is>
      </c>
      <c r="X669" t="n">
        <v>31</v>
      </c>
      <c r="Y669" t="inlineStr">
        <is>
          <t>578</t>
        </is>
      </c>
      <c r="Z669" t="n">
        <v>20.7</v>
      </c>
      <c r="AA669" t="inlineStr">
        <is>
          <t>716</t>
        </is>
      </c>
      <c r="AB669" t="n">
        <v>22.1</v>
      </c>
      <c r="AC669" t="inlineStr">
        <is>
          <t>730</t>
        </is>
      </c>
      <c r="AD669" t="n">
        <v>1</v>
      </c>
      <c r="AE669" t="inlineStr">
        <is>
          <t>801+</t>
        </is>
      </c>
      <c r="AF669" t="n">
        <v>69.7</v>
      </c>
      <c r="AG669" t="inlineStr">
        <is>
          <t>214</t>
        </is>
      </c>
      <c r="AH669" t="n">
        <v>35.6</v>
      </c>
      <c r="AI669" t="inlineStr">
        <is>
          <t>801+</t>
        </is>
      </c>
      <c r="AJ669" t="inlineStr">
        <is>
          <t>8.0</t>
        </is>
      </c>
      <c r="AK669" t="inlineStr">
        <is>
          <t>601+</t>
        </is>
      </c>
      <c r="AL669" t="inlineStr">
        <is>
          <t>5.0</t>
        </is>
      </c>
      <c r="AM669" t="inlineStr">
        <is>
          <t>601+</t>
        </is>
      </c>
      <c r="AN669" t="inlineStr">
        <is>
          <t>8.4</t>
        </is>
      </c>
      <c r="AO669" t="inlineStr">
        <is>
          <t>701+</t>
        </is>
      </c>
      <c r="AP669" t="inlineStr">
        <is>
          <t>1.4</t>
        </is>
      </c>
      <c r="AQ669" t="inlineStr">
        <is>
          <t>701+</t>
        </is>
      </c>
      <c r="AR669" t="inlineStr">
        <is>
          <t>5.3</t>
        </is>
      </c>
      <c r="AS669" t="inlineStr">
        <is>
          <t>701+</t>
        </is>
      </c>
      <c r="AT669" t="inlineStr">
        <is>
          <t>2.1</t>
        </is>
      </c>
      <c r="AU669" t="inlineStr">
        <is>
          <t>701+</t>
        </is>
      </c>
      <c r="AV669" t="inlineStr">
        <is>
          <t>1.0</t>
        </is>
      </c>
      <c r="AW669" t="inlineStr">
        <is>
          <t>701+</t>
        </is>
      </c>
      <c r="AX669" t="inlineStr">
        <is>
          <t>12.4</t>
        </is>
      </c>
      <c r="AY669" t="inlineStr">
        <is>
          <t>701+</t>
        </is>
      </c>
      <c r="AZ669" t="inlineStr">
        <is>
          <t>1</t>
        </is>
      </c>
      <c r="BA669" t="inlineStr">
        <is>
          <t>701+</t>
        </is>
      </c>
    </row>
    <row r="670">
      <c r="A670" t="inlineStr">
        <is>
          <t>National and Kapodistrian University of Athens</t>
        </is>
      </c>
      <c r="B670" t="inlineStr">
        <is>
          <t>Greece</t>
        </is>
      </c>
      <c r="C670" t="inlineStr">
        <is>
          <t>GR</t>
        </is>
      </c>
      <c r="D670" t="inlineStr">
        <is>
          <t>Europe</t>
        </is>
      </c>
      <c r="E670" t="inlineStr">
        <is>
          <t>XL</t>
        </is>
      </c>
      <c r="F670" t="inlineStr">
        <is>
          <t>FC</t>
        </is>
      </c>
      <c r="G670" t="inlineStr">
        <is>
          <t>VH</t>
        </is>
      </c>
      <c r="H670" t="inlineStr">
        <is>
          <t>5</t>
        </is>
      </c>
      <c r="I670" t="inlineStr">
        <is>
          <t>Public</t>
        </is>
      </c>
      <c r="J670" t="inlineStr">
        <is>
          <t>390</t>
        </is>
      </c>
      <c r="K670" t="inlineStr">
        <is>
          <t>393</t>
        </is>
      </c>
      <c r="L670">
        <f>444</f>
        <v/>
      </c>
      <c r="M670" t="inlineStr">
        <is>
          <t>601-650</t>
        </is>
      </c>
      <c r="N670" t="inlineStr">
        <is>
          <t>38.4</t>
        </is>
      </c>
      <c r="O670" t="inlineStr">
        <is>
          <t>25.8</t>
        </is>
      </c>
      <c r="P670" t="n">
        <v>34.9</v>
      </c>
      <c r="Q670" t="inlineStr">
        <is>
          <t>344</t>
        </is>
      </c>
      <c r="R670" t="n">
        <v>38.9</v>
      </c>
      <c r="S670" t="inlineStr">
        <is>
          <t>354</t>
        </is>
      </c>
      <c r="T670" t="n">
        <v>3</v>
      </c>
      <c r="U670" t="inlineStr">
        <is>
          <t>801+</t>
        </is>
      </c>
      <c r="V670" t="n">
        <v>45.1</v>
      </c>
      <c r="W670" t="inlineStr">
        <is>
          <t>412</t>
        </is>
      </c>
      <c r="X670" t="n">
        <v>12.7</v>
      </c>
      <c r="Y670" t="inlineStr">
        <is>
          <t>801+</t>
        </is>
      </c>
      <c r="Z670" t="n">
        <v>27.2</v>
      </c>
      <c r="AA670" t="inlineStr">
        <is>
          <t>624</t>
        </is>
      </c>
      <c r="AB670" t="n">
        <v>32.7</v>
      </c>
      <c r="AC670" t="inlineStr">
        <is>
          <t>581</t>
        </is>
      </c>
      <c r="AD670" t="n">
        <v>79.7</v>
      </c>
      <c r="AE670" t="inlineStr">
        <is>
          <t>358</t>
        </is>
      </c>
      <c r="AF670" t="n">
        <v>88.90000000000001</v>
      </c>
      <c r="AG670" t="inlineStr">
        <is>
          <t>115</t>
        </is>
      </c>
      <c r="AH670" t="n">
        <v>64.3</v>
      </c>
      <c r="AI670" t="inlineStr">
        <is>
          <t>415=</t>
        </is>
      </c>
      <c r="AJ670" t="inlineStr">
        <is>
          <t>26.3</t>
        </is>
      </c>
      <c r="AK670" t="inlineStr">
        <is>
          <t>336</t>
        </is>
      </c>
      <c r="AL670" t="inlineStr">
        <is>
          <t>31.6</t>
        </is>
      </c>
      <c r="AM670" t="inlineStr">
        <is>
          <t>312</t>
        </is>
      </c>
      <c r="AN670" t="inlineStr">
        <is>
          <t>2.0</t>
        </is>
      </c>
      <c r="AO670" t="inlineStr">
        <is>
          <t>701+</t>
        </is>
      </c>
      <c r="AP670" t="inlineStr">
        <is>
          <t>29.1</t>
        </is>
      </c>
      <c r="AQ670" t="inlineStr">
        <is>
          <t>441</t>
        </is>
      </c>
      <c r="AR670" t="inlineStr">
        <is>
          <t>9.9</t>
        </is>
      </c>
      <c r="AS670" t="inlineStr">
        <is>
          <t>701+</t>
        </is>
      </c>
      <c r="AT670" t="inlineStr">
        <is>
          <t>16.2</t>
        </is>
      </c>
      <c r="AU670" t="inlineStr">
        <is>
          <t>595</t>
        </is>
      </c>
      <c r="AV670" t="inlineStr">
        <is>
          <t>72.8</t>
        </is>
      </c>
      <c r="AW670" t="inlineStr">
        <is>
          <t>182</t>
        </is>
      </c>
      <c r="AX670" t="inlineStr">
        <is>
          <t>28.9</t>
        </is>
      </c>
      <c r="AY670" t="inlineStr">
        <is>
          <t>276</t>
        </is>
      </c>
      <c r="AZ670" t="inlineStr">
        <is>
          <t>16.1</t>
        </is>
      </c>
      <c r="BA670" t="inlineStr">
        <is>
          <t>592=</t>
        </is>
      </c>
    </row>
    <row r="671">
      <c r="A671" t="inlineStr">
        <is>
          <t>National Central University</t>
        </is>
      </c>
      <c r="B671" t="inlineStr">
        <is>
          <t>Taiwan</t>
        </is>
      </c>
      <c r="C671" t="inlineStr">
        <is>
          <t>TW</t>
        </is>
      </c>
      <c r="D671" t="inlineStr">
        <is>
          <t>Asia</t>
        </is>
      </c>
      <c r="E671" t="inlineStr">
        <is>
          <t>M</t>
        </is>
      </c>
      <c r="F671" t="inlineStr">
        <is>
          <t>CO</t>
        </is>
      </c>
      <c r="G671" t="inlineStr">
        <is>
          <t>VH</t>
        </is>
      </c>
      <c r="H671" t="inlineStr">
        <is>
          <t>4</t>
        </is>
      </c>
      <c r="I671" t="inlineStr">
        <is>
          <t>Public</t>
        </is>
      </c>
      <c r="J671" t="inlineStr">
        <is>
          <t>587</t>
        </is>
      </c>
      <c r="K671" t="inlineStr">
        <is>
          <t>641-650</t>
        </is>
      </c>
      <c r="L671" t="inlineStr">
        <is>
          <t>611-620</t>
        </is>
      </c>
      <c r="M671" t="inlineStr">
        <is>
          <t>581-590</t>
        </is>
      </c>
      <c r="N671" t="inlineStr">
        <is>
          <t>28.6</t>
        </is>
      </c>
      <c r="O671" t="inlineStr">
        <is>
          <t>-</t>
        </is>
      </c>
      <c r="P671" t="n">
        <v>28.9</v>
      </c>
      <c r="Q671" t="inlineStr">
        <is>
          <t>428</t>
        </is>
      </c>
      <c r="R671" t="n">
        <v>38.7</v>
      </c>
      <c r="S671" t="inlineStr">
        <is>
          <t>360</t>
        </is>
      </c>
      <c r="T671" t="n">
        <v>26.4</v>
      </c>
      <c r="U671" t="inlineStr">
        <is>
          <t>706</t>
        </is>
      </c>
      <c r="V671" t="n">
        <v>25.6</v>
      </c>
      <c r="W671" t="inlineStr">
        <is>
          <t>628</t>
        </is>
      </c>
      <c r="X671" t="n">
        <v>18.5</v>
      </c>
      <c r="Y671" t="inlineStr">
        <is>
          <t>735</t>
        </is>
      </c>
      <c r="Z671" t="n">
        <v>18.4</v>
      </c>
      <c r="AA671" t="inlineStr">
        <is>
          <t>755</t>
        </is>
      </c>
      <c r="AB671" t="n">
        <v>20.4</v>
      </c>
      <c r="AC671" t="inlineStr">
        <is>
          <t>755</t>
        </is>
      </c>
      <c r="AD671" t="n">
        <v>33.9</v>
      </c>
      <c r="AE671" t="inlineStr">
        <is>
          <t>801+</t>
        </is>
      </c>
      <c r="AF671" t="n">
        <v>18.7</v>
      </c>
      <c r="AG671" t="inlineStr">
        <is>
          <t>747</t>
        </is>
      </c>
      <c r="AH671" t="n">
        <v>60.6</v>
      </c>
      <c r="AI671" t="inlineStr">
        <is>
          <t>496</t>
        </is>
      </c>
      <c r="AJ671" t="inlineStr">
        <is>
          <t>21.5</t>
        </is>
      </c>
      <c r="AK671" t="inlineStr">
        <is>
          <t>402</t>
        </is>
      </c>
      <c r="AL671" t="inlineStr">
        <is>
          <t>27.1</t>
        </is>
      </c>
      <c r="AM671" t="inlineStr">
        <is>
          <t>358</t>
        </is>
      </c>
      <c r="AN671" t="inlineStr">
        <is>
          <t>23.0</t>
        </is>
      </c>
      <c r="AO671" t="inlineStr">
        <is>
          <t>617</t>
        </is>
      </c>
      <c r="AP671" t="inlineStr">
        <is>
          <t>17.8</t>
        </is>
      </c>
      <c r="AQ671" t="inlineStr">
        <is>
          <t>586</t>
        </is>
      </c>
      <c r="AR671" t="inlineStr">
        <is>
          <t>12.9</t>
        </is>
      </c>
      <c r="AS671" t="inlineStr">
        <is>
          <t>701+</t>
        </is>
      </c>
      <c r="AT671" t="inlineStr">
        <is>
          <t>9.1</t>
        </is>
      </c>
      <c r="AU671" t="inlineStr">
        <is>
          <t>701+</t>
        </is>
      </c>
      <c r="AV671" t="inlineStr">
        <is>
          <t>2.1</t>
        </is>
      </c>
      <c r="AW671" t="inlineStr">
        <is>
          <t>701+</t>
        </is>
      </c>
      <c r="AX671" t="inlineStr">
        <is>
          <t>6.5</t>
        </is>
      </c>
      <c r="AY671" t="inlineStr">
        <is>
          <t>701+</t>
        </is>
      </c>
      <c r="AZ671" t="inlineStr">
        <is>
          <t>30.2</t>
        </is>
      </c>
      <c r="BA671" t="inlineStr">
        <is>
          <t>447=</t>
        </is>
      </c>
    </row>
    <row r="672">
      <c r="A672" t="inlineStr">
        <is>
          <t>National Cheng Kung University (NCKU)</t>
        </is>
      </c>
      <c r="B672" t="inlineStr">
        <is>
          <t>Taiwan</t>
        </is>
      </c>
      <c r="C672" t="inlineStr">
        <is>
          <t>TW</t>
        </is>
      </c>
      <c r="D672" t="inlineStr">
        <is>
          <t>Asia</t>
        </is>
      </c>
      <c r="E672" t="inlineStr">
        <is>
          <t>L</t>
        </is>
      </c>
      <c r="F672" t="inlineStr">
        <is>
          <t>FC</t>
        </is>
      </c>
      <c r="G672" t="inlineStr">
        <is>
          <t>VH</t>
        </is>
      </c>
      <c r="H672" t="inlineStr">
        <is>
          <t>4</t>
        </is>
      </c>
      <c r="I672" t="inlineStr">
        <is>
          <t>Public</t>
        </is>
      </c>
      <c r="J672" t="inlineStr">
        <is>
          <t>203</t>
        </is>
      </c>
      <c r="K672" t="inlineStr">
        <is>
          <t>215</t>
        </is>
      </c>
      <c r="L672" t="inlineStr">
        <is>
          <t>228</t>
        </is>
      </c>
      <c r="M672" t="inlineStr">
        <is>
          <t>224=</t>
        </is>
      </c>
      <c r="N672" t="inlineStr">
        <is>
          <t>55.2</t>
        </is>
      </c>
      <c r="O672" t="inlineStr">
        <is>
          <t>41.8</t>
        </is>
      </c>
      <c r="P672" t="n">
        <v>66.40000000000001</v>
      </c>
      <c r="Q672" t="inlineStr">
        <is>
          <t>150</t>
        </is>
      </c>
      <c r="R672" t="n">
        <v>79.40000000000001</v>
      </c>
      <c r="S672" t="inlineStr">
        <is>
          <t>106</t>
        </is>
      </c>
      <c r="T672" t="n">
        <v>33.8</v>
      </c>
      <c r="U672" t="inlineStr">
        <is>
          <t>578</t>
        </is>
      </c>
      <c r="V672" t="n">
        <v>39.8</v>
      </c>
      <c r="W672" t="inlineStr">
        <is>
          <t>471</t>
        </is>
      </c>
      <c r="X672" t="n">
        <v>28.6</v>
      </c>
      <c r="Y672" t="inlineStr">
        <is>
          <t>600</t>
        </is>
      </c>
      <c r="Z672" t="n">
        <v>24.4</v>
      </c>
      <c r="AA672" t="inlineStr">
        <is>
          <t>670</t>
        </is>
      </c>
      <c r="AB672" t="n">
        <v>30.5</v>
      </c>
      <c r="AC672" t="inlineStr">
        <is>
          <t>610</t>
        </is>
      </c>
      <c r="AD672" t="n">
        <v>58</v>
      </c>
      <c r="AE672" t="inlineStr">
        <is>
          <t>718</t>
        </is>
      </c>
      <c r="AF672" t="n">
        <v>56.3</v>
      </c>
      <c r="AG672" t="inlineStr">
        <is>
          <t>297</t>
        </is>
      </c>
      <c r="AH672" t="n">
        <v>79.7</v>
      </c>
      <c r="AI672" t="inlineStr">
        <is>
          <t>175=</t>
        </is>
      </c>
      <c r="AJ672" t="inlineStr">
        <is>
          <t>49.4</t>
        </is>
      </c>
      <c r="AK672" t="inlineStr">
        <is>
          <t>164</t>
        </is>
      </c>
      <c r="AL672" t="inlineStr">
        <is>
          <t>75.6</t>
        </is>
      </c>
      <c r="AM672" t="inlineStr">
        <is>
          <t>82</t>
        </is>
      </c>
      <c r="AN672" t="inlineStr">
        <is>
          <t>32.9</t>
        </is>
      </c>
      <c r="AO672" t="inlineStr">
        <is>
          <t>482</t>
        </is>
      </c>
      <c r="AP672" t="inlineStr">
        <is>
          <t>21.2</t>
        </is>
      </c>
      <c r="AQ672" t="inlineStr">
        <is>
          <t>544</t>
        </is>
      </c>
      <c r="AR672" t="inlineStr">
        <is>
          <t>23.7</t>
        </is>
      </c>
      <c r="AS672" t="inlineStr">
        <is>
          <t>557</t>
        </is>
      </c>
      <c r="AT672" t="inlineStr">
        <is>
          <t>15.7</t>
        </is>
      </c>
      <c r="AU672" t="inlineStr">
        <is>
          <t>605</t>
        </is>
      </c>
      <c r="AV672" t="inlineStr">
        <is>
          <t>10.9</t>
        </is>
      </c>
      <c r="AW672" t="inlineStr">
        <is>
          <t>653</t>
        </is>
      </c>
      <c r="AX672" t="inlineStr">
        <is>
          <t>30.2</t>
        </is>
      </c>
      <c r="AY672" t="inlineStr">
        <is>
          <t>257</t>
        </is>
      </c>
      <c r="AZ672" t="inlineStr">
        <is>
          <t>78.2</t>
        </is>
      </c>
      <c r="BA672" t="inlineStr">
        <is>
          <t>160=</t>
        </is>
      </c>
    </row>
    <row r="673">
      <c r="A673" t="inlineStr">
        <is>
          <t>National Chengchi University</t>
        </is>
      </c>
      <c r="B673" t="inlineStr">
        <is>
          <t>Taiwan</t>
        </is>
      </c>
      <c r="C673" t="inlineStr">
        <is>
          <t>TW</t>
        </is>
      </c>
      <c r="D673" t="inlineStr">
        <is>
          <t>Asia</t>
        </is>
      </c>
      <c r="E673" t="inlineStr">
        <is>
          <t>L</t>
        </is>
      </c>
      <c r="F673" t="inlineStr">
        <is>
          <t>CO</t>
        </is>
      </c>
      <c r="G673" t="inlineStr">
        <is>
          <t>HI</t>
        </is>
      </c>
      <c r="H673" t="inlineStr">
        <is>
          <t>4</t>
        </is>
      </c>
      <c r="I673" t="inlineStr">
        <is>
          <t>Public</t>
        </is>
      </c>
      <c r="J673" t="inlineStr">
        <is>
          <t>604</t>
        </is>
      </c>
      <c r="K673" t="inlineStr">
        <is>
          <t>601-610</t>
        </is>
      </c>
      <c r="L673">
        <f>567</f>
        <v/>
      </c>
      <c r="M673" t="inlineStr">
        <is>
          <t>601-650</t>
        </is>
      </c>
      <c r="N673" t="inlineStr">
        <is>
          <t>28.2</t>
        </is>
      </c>
      <c r="O673" t="inlineStr">
        <is>
          <t>20.8</t>
        </is>
      </c>
      <c r="P673" t="n">
        <v>28.3</v>
      </c>
      <c r="Q673" t="inlineStr">
        <is>
          <t>444</t>
        </is>
      </c>
      <c r="R673" t="n">
        <v>46.9</v>
      </c>
      <c r="S673" t="inlineStr">
        <is>
          <t>279</t>
        </is>
      </c>
      <c r="T673" t="n">
        <v>21.2</v>
      </c>
      <c r="U673" t="inlineStr">
        <is>
          <t>801+</t>
        </is>
      </c>
      <c r="V673" t="n">
        <v>3.4</v>
      </c>
      <c r="W673" t="inlineStr">
        <is>
          <t>801+</t>
        </is>
      </c>
      <c r="X673" t="n">
        <v>38</v>
      </c>
      <c r="Y673" t="inlineStr">
        <is>
          <t>516</t>
        </is>
      </c>
      <c r="Z673" t="n">
        <v>36.2</v>
      </c>
      <c r="AA673" t="inlineStr">
        <is>
          <t>532</t>
        </is>
      </c>
      <c r="AB673" t="n">
        <v>41.1</v>
      </c>
      <c r="AC673" t="inlineStr">
        <is>
          <t>497</t>
        </is>
      </c>
      <c r="AD673" t="n">
        <v>12.8</v>
      </c>
      <c r="AE673" t="inlineStr">
        <is>
          <t>801+</t>
        </is>
      </c>
      <c r="AF673" t="n">
        <v>93.3</v>
      </c>
      <c r="AG673" t="inlineStr">
        <is>
          <t>84</t>
        </is>
      </c>
      <c r="AH673" t="n">
        <v>41.4</v>
      </c>
      <c r="AI673" t="inlineStr">
        <is>
          <t>801+</t>
        </is>
      </c>
      <c r="AJ673" t="inlineStr">
        <is>
          <t>19.5</t>
        </is>
      </c>
      <c r="AK673" t="inlineStr">
        <is>
          <t>455</t>
        </is>
      </c>
      <c r="AL673" t="inlineStr">
        <is>
          <t>39.0</t>
        </is>
      </c>
      <c r="AM673" t="inlineStr">
        <is>
          <t>245</t>
        </is>
      </c>
      <c r="AN673" t="inlineStr">
        <is>
          <t>19.7</t>
        </is>
      </c>
      <c r="AO673" t="inlineStr">
        <is>
          <t>674</t>
        </is>
      </c>
      <c r="AP673" t="inlineStr">
        <is>
          <t>2.7</t>
        </is>
      </c>
      <c r="AQ673" t="inlineStr">
        <is>
          <t>701+</t>
        </is>
      </c>
      <c r="AR673" t="inlineStr">
        <is>
          <t>27.1</t>
        </is>
      </c>
      <c r="AS673" t="inlineStr">
        <is>
          <t>507</t>
        </is>
      </c>
      <c r="AT673" t="inlineStr">
        <is>
          <t>23.5</t>
        </is>
      </c>
      <c r="AU673" t="inlineStr">
        <is>
          <t>491</t>
        </is>
      </c>
      <c r="AV673" t="inlineStr">
        <is>
          <t>1.0</t>
        </is>
      </c>
      <c r="AW673" t="inlineStr">
        <is>
          <t>701+</t>
        </is>
      </c>
      <c r="AX673" t="inlineStr">
        <is>
          <t>81</t>
        </is>
      </c>
      <c r="AY673" t="inlineStr">
        <is>
          <t>49</t>
        </is>
      </c>
      <c r="AZ673" t="inlineStr">
        <is>
          <t>1.9</t>
        </is>
      </c>
      <c r="BA673" t="inlineStr">
        <is>
          <t>701+</t>
        </is>
      </c>
    </row>
    <row r="674">
      <c r="A674" t="inlineStr">
        <is>
          <t>National Chin-Yi University of Technology</t>
        </is>
      </c>
      <c r="B674" t="inlineStr">
        <is>
          <t>Taiwan</t>
        </is>
      </c>
      <c r="C674" t="inlineStr"/>
      <c r="D674" t="inlineStr">
        <is>
          <t>Asia</t>
        </is>
      </c>
      <c r="E674" t="inlineStr">
        <is>
          <t>M</t>
        </is>
      </c>
      <c r="F674" t="inlineStr">
        <is>
          <t>FO</t>
        </is>
      </c>
      <c r="G674" t="inlineStr">
        <is>
          <t>VH</t>
        </is>
      </c>
      <c r="H674" t="inlineStr"/>
      <c r="I674" t="inlineStr">
        <is>
          <t>Public</t>
        </is>
      </c>
      <c r="J674" t="inlineStr">
        <is>
          <t>1201-1400</t>
        </is>
      </c>
      <c r="K674" t="inlineStr"/>
      <c r="L674" t="inlineStr"/>
      <c r="M674" t="inlineStr"/>
      <c r="N674" t="inlineStr">
        <is>
          <t>-</t>
        </is>
      </c>
      <c r="O674" t="inlineStr"/>
      <c r="P674" t="n">
        <v>13</v>
      </c>
      <c r="Q674" t="inlineStr">
        <is>
          <t>701+</t>
        </is>
      </c>
      <c r="R674" t="n">
        <v>16.4</v>
      </c>
      <c r="S674" t="inlineStr">
        <is>
          <t>701+</t>
        </is>
      </c>
      <c r="T674" t="n">
        <v>8.800000000000001</v>
      </c>
      <c r="U674" t="inlineStr">
        <is>
          <t>801+</t>
        </is>
      </c>
      <c r="V674" t="n">
        <v>12.9</v>
      </c>
      <c r="W674" t="inlineStr">
        <is>
          <t>801+</t>
        </is>
      </c>
      <c r="X674" t="n">
        <v>3.1</v>
      </c>
      <c r="Y674" t="inlineStr">
        <is>
          <t>801+</t>
        </is>
      </c>
      <c r="Z674" t="n">
        <v>20.6</v>
      </c>
      <c r="AA674" t="inlineStr">
        <is>
          <t>718</t>
        </is>
      </c>
      <c r="AB674" t="n">
        <v>21.3</v>
      </c>
      <c r="AC674" t="inlineStr">
        <is>
          <t>745</t>
        </is>
      </c>
      <c r="AD674" t="n">
        <v>15.6</v>
      </c>
      <c r="AE674" t="inlineStr">
        <is>
          <t>801+</t>
        </is>
      </c>
      <c r="AF674" t="n">
        <v>2.1</v>
      </c>
      <c r="AG674" t="inlineStr">
        <is>
          <t>801+</t>
        </is>
      </c>
      <c r="AH674" t="n">
        <v>40</v>
      </c>
      <c r="AI674" t="inlineStr">
        <is>
          <t>801+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</row>
    <row r="675">
      <c r="A675" t="inlineStr">
        <is>
          <t>National Chung Cheng University</t>
        </is>
      </c>
      <c r="B675" t="inlineStr">
        <is>
          <t>Taiwan</t>
        </is>
      </c>
      <c r="C675" t="inlineStr">
        <is>
          <t>TW</t>
        </is>
      </c>
      <c r="D675" t="inlineStr">
        <is>
          <t>Asia</t>
        </is>
      </c>
      <c r="E675" t="inlineStr">
        <is>
          <t>M</t>
        </is>
      </c>
      <c r="F675" t="inlineStr">
        <is>
          <t>CO</t>
        </is>
      </c>
      <c r="G675" t="inlineStr">
        <is>
          <t>VH</t>
        </is>
      </c>
      <c r="H675" t="inlineStr">
        <is>
          <t>3</t>
        </is>
      </c>
      <c r="I675" t="inlineStr">
        <is>
          <t>Public</t>
        </is>
      </c>
      <c r="J675" t="inlineStr">
        <is>
          <t>951-1000</t>
        </is>
      </c>
      <c r="K675" t="inlineStr">
        <is>
          <t>1001-1200</t>
        </is>
      </c>
      <c r="L675" t="inlineStr">
        <is>
          <t>901-950</t>
        </is>
      </c>
      <c r="M675" t="inlineStr">
        <is>
          <t>801-1000</t>
        </is>
      </c>
      <c r="N675" t="inlineStr">
        <is>
          <t>-</t>
        </is>
      </c>
      <c r="O675" t="inlineStr">
        <is>
          <t>-</t>
        </is>
      </c>
      <c r="P675" t="n">
        <v>18.9</v>
      </c>
      <c r="Q675" t="inlineStr">
        <is>
          <t>650</t>
        </is>
      </c>
      <c r="R675" t="n">
        <v>34.8</v>
      </c>
      <c r="S675" t="inlineStr">
        <is>
          <t>412</t>
        </is>
      </c>
      <c r="T675" t="n">
        <v>16.6</v>
      </c>
      <c r="U675" t="inlineStr">
        <is>
          <t>801+</t>
        </is>
      </c>
      <c r="V675" t="n">
        <v>9.5</v>
      </c>
      <c r="W675" t="inlineStr">
        <is>
          <t>801+</t>
        </is>
      </c>
      <c r="X675" t="n">
        <v>7.9</v>
      </c>
      <c r="Y675" t="inlineStr">
        <is>
          <t>801+</t>
        </is>
      </c>
      <c r="Z675" t="n">
        <v>6.3</v>
      </c>
      <c r="AA675" t="inlineStr">
        <is>
          <t>801+</t>
        </is>
      </c>
      <c r="AB675" t="n">
        <v>10.5</v>
      </c>
      <c r="AC675" t="inlineStr">
        <is>
          <t>801+</t>
        </is>
      </c>
      <c r="AD675" t="n">
        <v>28.9</v>
      </c>
      <c r="AE675" t="inlineStr">
        <is>
          <t>801+</t>
        </is>
      </c>
      <c r="AF675" t="n">
        <v>5.1</v>
      </c>
      <c r="AG675" t="inlineStr">
        <is>
          <t>801+</t>
        </is>
      </c>
      <c r="AH675" t="n">
        <v>51.6</v>
      </c>
      <c r="AI675" t="inlineStr">
        <is>
          <t>669=</t>
        </is>
      </c>
      <c r="AJ675" t="inlineStr">
        <is>
          <t>13.0</t>
        </is>
      </c>
      <c r="AK675" t="inlineStr">
        <is>
          <t>601+</t>
        </is>
      </c>
      <c r="AL675" t="inlineStr">
        <is>
          <t>26.2</t>
        </is>
      </c>
      <c r="AM675" t="inlineStr">
        <is>
          <t>368</t>
        </is>
      </c>
      <c r="AN675" t="inlineStr">
        <is>
          <t>18.2</t>
        </is>
      </c>
      <c r="AO675" t="inlineStr">
        <is>
          <t>701+</t>
        </is>
      </c>
      <c r="AP675" t="inlineStr">
        <is>
          <t>5.2</t>
        </is>
      </c>
      <c r="AQ675" t="inlineStr">
        <is>
          <t>701+</t>
        </is>
      </c>
      <c r="AR675" t="inlineStr">
        <is>
          <t>4.5</t>
        </is>
      </c>
      <c r="AS675" t="inlineStr">
        <is>
          <t>701+</t>
        </is>
      </c>
      <c r="AT675" t="inlineStr">
        <is>
          <t>3.9</t>
        </is>
      </c>
      <c r="AU675" t="inlineStr">
        <is>
          <t>701+</t>
        </is>
      </c>
      <c r="AV675" t="inlineStr">
        <is>
          <t>1.1</t>
        </is>
      </c>
      <c r="AW675" t="inlineStr">
        <is>
          <t>701+</t>
        </is>
      </c>
      <c r="AX675" t="inlineStr">
        <is>
          <t>4.2</t>
        </is>
      </c>
      <c r="AY675" t="inlineStr">
        <is>
          <t>701+</t>
        </is>
      </c>
      <c r="AZ675" t="inlineStr">
        <is>
          <t>8.3</t>
        </is>
      </c>
      <c r="BA675" t="inlineStr">
        <is>
          <t>701+</t>
        </is>
      </c>
    </row>
    <row r="676">
      <c r="A676" t="inlineStr">
        <is>
          <t>National Chung Hsing University</t>
        </is>
      </c>
      <c r="B676" t="inlineStr">
        <is>
          <t>Taiwan</t>
        </is>
      </c>
      <c r="C676" t="inlineStr">
        <is>
          <t>TW</t>
        </is>
      </c>
      <c r="D676" t="inlineStr">
        <is>
          <t>Asia</t>
        </is>
      </c>
      <c r="E676" t="inlineStr">
        <is>
          <t>L</t>
        </is>
      </c>
      <c r="F676" t="inlineStr">
        <is>
          <t>CO</t>
        </is>
      </c>
      <c r="G676" t="inlineStr">
        <is>
          <t>VH</t>
        </is>
      </c>
      <c r="H676" t="inlineStr">
        <is>
          <t>4</t>
        </is>
      </c>
      <c r="I676" t="inlineStr">
        <is>
          <t>Public</t>
        </is>
      </c>
      <c r="J676" t="inlineStr">
        <is>
          <t>628</t>
        </is>
      </c>
      <c r="K676" t="inlineStr">
        <is>
          <t>661-670</t>
        </is>
      </c>
      <c r="L676" t="inlineStr">
        <is>
          <t>661-670</t>
        </is>
      </c>
      <c r="M676" t="inlineStr">
        <is>
          <t>651-700</t>
        </is>
      </c>
      <c r="N676" t="inlineStr">
        <is>
          <t>27.4</t>
        </is>
      </c>
      <c r="O676" t="inlineStr">
        <is>
          <t>-</t>
        </is>
      </c>
      <c r="P676" t="n">
        <v>28.6</v>
      </c>
      <c r="Q676" t="inlineStr">
        <is>
          <t>436</t>
        </is>
      </c>
      <c r="R676" t="n">
        <v>30.9</v>
      </c>
      <c r="S676" t="inlineStr">
        <is>
          <t>463</t>
        </is>
      </c>
      <c r="T676" t="n">
        <v>29.4</v>
      </c>
      <c r="U676" t="inlineStr">
        <is>
          <t>642</t>
        </is>
      </c>
      <c r="V676" t="n">
        <v>22.5</v>
      </c>
      <c r="W676" t="inlineStr">
        <is>
          <t>677</t>
        </is>
      </c>
      <c r="X676" t="n">
        <v>12.3</v>
      </c>
      <c r="Y676" t="inlineStr">
        <is>
          <t>801+</t>
        </is>
      </c>
      <c r="Z676" t="n">
        <v>14</v>
      </c>
      <c r="AA676" t="inlineStr">
        <is>
          <t>801+</t>
        </is>
      </c>
      <c r="AB676" t="n">
        <v>19</v>
      </c>
      <c r="AC676" t="inlineStr">
        <is>
          <t>781</t>
        </is>
      </c>
      <c r="AD676" t="n">
        <v>34.5</v>
      </c>
      <c r="AE676" t="inlineStr">
        <is>
          <t>801+</t>
        </is>
      </c>
      <c r="AF676" t="n">
        <v>42.2</v>
      </c>
      <c r="AG676" t="inlineStr">
        <is>
          <t>416</t>
        </is>
      </c>
      <c r="AH676" t="n">
        <v>56.3</v>
      </c>
      <c r="AI676" t="inlineStr">
        <is>
          <t>573=</t>
        </is>
      </c>
      <c r="AJ676" t="inlineStr">
        <is>
          <t>20.2</t>
        </is>
      </c>
      <c r="AK676" t="inlineStr">
        <is>
          <t>434</t>
        </is>
      </c>
      <c r="AL676" t="inlineStr">
        <is>
          <t>24.1</t>
        </is>
      </c>
      <c r="AM676" t="inlineStr">
        <is>
          <t>400</t>
        </is>
      </c>
      <c r="AN676" t="inlineStr">
        <is>
          <t>27.6</t>
        </is>
      </c>
      <c r="AO676" t="inlineStr">
        <is>
          <t>552</t>
        </is>
      </c>
      <c r="AP676" t="inlineStr">
        <is>
          <t>11.8</t>
        </is>
      </c>
      <c r="AQ676" t="inlineStr">
        <is>
          <t>701+</t>
        </is>
      </c>
      <c r="AR676" t="inlineStr">
        <is>
          <t>7.9</t>
        </is>
      </c>
      <c r="AS676" t="inlineStr">
        <is>
          <t>701+</t>
        </is>
      </c>
      <c r="AT676" t="inlineStr">
        <is>
          <t>5.6</t>
        </is>
      </c>
      <c r="AU676" t="inlineStr">
        <is>
          <t>701+</t>
        </is>
      </c>
      <c r="AV676" t="inlineStr">
        <is>
          <t>2.2</t>
        </is>
      </c>
      <c r="AW676" t="inlineStr">
        <is>
          <t>701+</t>
        </is>
      </c>
      <c r="AX676" t="inlineStr">
        <is>
          <t>20.4</t>
        </is>
      </c>
      <c r="AY676" t="inlineStr">
        <is>
          <t>410</t>
        </is>
      </c>
      <c r="AZ676" t="inlineStr">
        <is>
          <t>20.1</t>
        </is>
      </c>
      <c r="BA676" t="inlineStr">
        <is>
          <t>544</t>
        </is>
      </c>
    </row>
    <row r="677">
      <c r="A677" t="inlineStr">
        <is>
          <t>National Dong Hwa University</t>
        </is>
      </c>
      <c r="B677" t="inlineStr">
        <is>
          <t>Taiwan</t>
        </is>
      </c>
      <c r="C677" t="inlineStr">
        <is>
          <t>TW</t>
        </is>
      </c>
      <c r="D677" t="inlineStr">
        <is>
          <t>Asia</t>
        </is>
      </c>
      <c r="E677" t="inlineStr">
        <is>
          <t>M</t>
        </is>
      </c>
      <c r="F677" t="inlineStr">
        <is>
          <t>CO</t>
        </is>
      </c>
      <c r="G677" t="inlineStr">
        <is>
          <t>HI</t>
        </is>
      </c>
      <c r="H677" t="inlineStr">
        <is>
          <t>2</t>
        </is>
      </c>
      <c r="I677" t="inlineStr">
        <is>
          <t>Public</t>
        </is>
      </c>
      <c r="J677" t="inlineStr">
        <is>
          <t>1201-1400</t>
        </is>
      </c>
      <c r="K677" t="inlineStr">
        <is>
          <t>1201-1400</t>
        </is>
      </c>
      <c r="L677" t="inlineStr">
        <is>
          <t>1201-1400</t>
        </is>
      </c>
      <c r="M677" t="inlineStr">
        <is>
          <t>1201-1400</t>
        </is>
      </c>
      <c r="N677" t="inlineStr">
        <is>
          <t>-</t>
        </is>
      </c>
      <c r="O677" t="inlineStr">
        <is>
          <t>-</t>
        </is>
      </c>
      <c r="P677" t="n">
        <v>16.3</v>
      </c>
      <c r="Q677" t="inlineStr">
        <is>
          <t>701+</t>
        </is>
      </c>
      <c r="R677" t="n">
        <v>7</v>
      </c>
      <c r="S677" t="inlineStr">
        <is>
          <t>701+</t>
        </is>
      </c>
      <c r="T677" t="n">
        <v>8.6</v>
      </c>
      <c r="U677" t="inlineStr">
        <is>
          <t>801+</t>
        </is>
      </c>
      <c r="V677" t="n">
        <v>8.699999999999999</v>
      </c>
      <c r="W677" t="inlineStr">
        <is>
          <t>801+</t>
        </is>
      </c>
      <c r="X677" t="n">
        <v>13.9</v>
      </c>
      <c r="Y677" t="inlineStr">
        <is>
          <t>801+</t>
        </is>
      </c>
      <c r="Z677" t="n">
        <v>18.6</v>
      </c>
      <c r="AA677" t="inlineStr">
        <is>
          <t>750</t>
        </is>
      </c>
      <c r="AB677" t="n">
        <v>22.2</v>
      </c>
      <c r="AC677" t="inlineStr">
        <is>
          <t>729</t>
        </is>
      </c>
      <c r="AD677" t="n">
        <v>10.7</v>
      </c>
      <c r="AE677" t="inlineStr">
        <is>
          <t>801+</t>
        </is>
      </c>
      <c r="AF677" t="n">
        <v>2.1</v>
      </c>
      <c r="AG677" t="inlineStr">
        <is>
          <t>801+</t>
        </is>
      </c>
      <c r="AH677" t="n">
        <v>46.9</v>
      </c>
      <c r="AI677" t="inlineStr">
        <is>
          <t>793=</t>
        </is>
      </c>
      <c r="AJ677" t="inlineStr">
        <is>
          <t>6.3</t>
        </is>
      </c>
      <c r="AK677" t="inlineStr">
        <is>
          <t>601+</t>
        </is>
      </c>
      <c r="AL677" t="inlineStr">
        <is>
          <t>2.3</t>
        </is>
      </c>
      <c r="AM677" t="inlineStr">
        <is>
          <t>601+</t>
        </is>
      </c>
      <c r="AN677" t="inlineStr">
        <is>
          <t>6.5</t>
        </is>
      </c>
      <c r="AO677" t="inlineStr">
        <is>
          <t>701+</t>
        </is>
      </c>
      <c r="AP677" t="inlineStr">
        <is>
          <t>6.4</t>
        </is>
      </c>
      <c r="AQ677" t="inlineStr">
        <is>
          <t>701+</t>
        </is>
      </c>
      <c r="AR677" t="inlineStr">
        <is>
          <t>3.2</t>
        </is>
      </c>
      <c r="AS677" t="inlineStr">
        <is>
          <t>701+</t>
        </is>
      </c>
      <c r="AT677" t="inlineStr">
        <is>
          <t>10.2</t>
        </is>
      </c>
      <c r="AU677" t="inlineStr">
        <is>
          <t>701+</t>
        </is>
      </c>
      <c r="AV677" t="inlineStr">
        <is>
          <t>1.0</t>
        </is>
      </c>
      <c r="AW677" t="inlineStr">
        <is>
          <t>701+</t>
        </is>
      </c>
      <c r="AX677" t="inlineStr">
        <is>
          <t>7.6</t>
        </is>
      </c>
      <c r="AY677" t="inlineStr">
        <is>
          <t>701+</t>
        </is>
      </c>
      <c r="AZ677" t="inlineStr">
        <is>
          <t>2.3</t>
        </is>
      </c>
      <c r="BA677" t="inlineStr">
        <is>
          <t>701+</t>
        </is>
      </c>
    </row>
    <row r="678">
      <c r="A678" t="inlineStr">
        <is>
          <t>National Institute of Technology Tiruchirappalli</t>
        </is>
      </c>
      <c r="B678" t="inlineStr">
        <is>
          <t>India</t>
        </is>
      </c>
      <c r="C678" t="inlineStr">
        <is>
          <t>IN</t>
        </is>
      </c>
      <c r="D678" t="inlineStr">
        <is>
          <t>Asia</t>
        </is>
      </c>
      <c r="E678" t="inlineStr">
        <is>
          <t>M</t>
        </is>
      </c>
      <c r="F678" t="inlineStr">
        <is>
          <t>FO</t>
        </is>
      </c>
      <c r="G678" t="inlineStr">
        <is>
          <t>VH</t>
        </is>
      </c>
      <c r="H678" t="inlineStr">
        <is>
          <t>4</t>
        </is>
      </c>
      <c r="I678" t="inlineStr">
        <is>
          <t>Public</t>
        </is>
      </c>
      <c r="J678" t="inlineStr">
        <is>
          <t>731-740</t>
        </is>
      </c>
      <c r="K678" t="inlineStr">
        <is>
          <t>701-710</t>
        </is>
      </c>
      <c r="L678" t="inlineStr">
        <is>
          <t>781-790</t>
        </is>
      </c>
      <c r="M678" t="inlineStr">
        <is>
          <t>801-1000</t>
        </is>
      </c>
      <c r="N678" t="inlineStr">
        <is>
          <t>-</t>
        </is>
      </c>
      <c r="O678" t="inlineStr">
        <is>
          <t>-</t>
        </is>
      </c>
      <c r="P678" t="n">
        <v>4.1</v>
      </c>
      <c r="Q678" t="inlineStr">
        <is>
          <t>701+</t>
        </is>
      </c>
      <c r="R678" t="n">
        <v>5.3</v>
      </c>
      <c r="S678" t="inlineStr">
        <is>
          <t>701+</t>
        </is>
      </c>
      <c r="T678" t="n">
        <v>10.6</v>
      </c>
      <c r="U678" t="inlineStr">
        <is>
          <t>801+</t>
        </is>
      </c>
      <c r="V678" t="n">
        <v>89.5</v>
      </c>
      <c r="W678" t="inlineStr">
        <is>
          <t>105</t>
        </is>
      </c>
      <c r="X678" t="inlineStr"/>
      <c r="Y678" t="inlineStr"/>
      <c r="Z678" t="n">
        <v>3.5</v>
      </c>
      <c r="AA678" t="inlineStr">
        <is>
          <t>801+</t>
        </is>
      </c>
      <c r="AB678" t="n">
        <v>7.5</v>
      </c>
      <c r="AC678" t="inlineStr">
        <is>
          <t>801+</t>
        </is>
      </c>
      <c r="AD678" t="n">
        <v>38.2</v>
      </c>
      <c r="AE678" t="inlineStr">
        <is>
          <t>801+</t>
        </is>
      </c>
      <c r="AF678" t="n">
        <v>8.800000000000001</v>
      </c>
      <c r="AG678" t="inlineStr">
        <is>
          <t>801+</t>
        </is>
      </c>
      <c r="AH678" t="n">
        <v>37.4</v>
      </c>
      <c r="AI678" t="inlineStr">
        <is>
          <t>801+</t>
        </is>
      </c>
      <c r="AJ678" t="inlineStr">
        <is>
          <t>3.7</t>
        </is>
      </c>
      <c r="AK678" t="inlineStr">
        <is>
          <t>601+</t>
        </is>
      </c>
      <c r="AL678" t="inlineStr">
        <is>
          <t>2.7</t>
        </is>
      </c>
      <c r="AM678" t="inlineStr">
        <is>
          <t>601+</t>
        </is>
      </c>
      <c r="AN678" t="inlineStr">
        <is>
          <t>11.8</t>
        </is>
      </c>
      <c r="AO678" t="inlineStr">
        <is>
          <t>701+</t>
        </is>
      </c>
      <c r="AP678" t="inlineStr">
        <is>
          <t>58.9</t>
        </is>
      </c>
      <c r="AQ678" t="inlineStr">
        <is>
          <t>214</t>
        </is>
      </c>
      <c r="AR678" t="inlineStr"/>
      <c r="AS678" t="inlineStr"/>
      <c r="AT678" t="inlineStr">
        <is>
          <t>2.1</t>
        </is>
      </c>
      <c r="AU678" t="inlineStr">
        <is>
          <t>701+</t>
        </is>
      </c>
      <c r="AV678" t="inlineStr">
        <is>
          <t>1.5</t>
        </is>
      </c>
      <c r="AW678" t="inlineStr">
        <is>
          <t>701+</t>
        </is>
      </c>
      <c r="AX678" t="inlineStr">
        <is>
          <t>7.7</t>
        </is>
      </c>
      <c r="AY678" t="inlineStr">
        <is>
          <t>701+</t>
        </is>
      </c>
      <c r="AZ678" t="inlineStr">
        <is>
          <t>1.1</t>
        </is>
      </c>
      <c r="BA678" t="inlineStr">
        <is>
          <t>701+</t>
        </is>
      </c>
    </row>
    <row r="679">
      <c r="A679" t="inlineStr">
        <is>
          <t>National Research Nuclear University MEPhI (Moscow Engineering Physics Institute)</t>
        </is>
      </c>
      <c r="B679" t="inlineStr">
        <is>
          <t>Russia</t>
        </is>
      </c>
      <c r="C679" t="inlineStr">
        <is>
          <t>RU</t>
        </is>
      </c>
      <c r="D679" t="inlineStr">
        <is>
          <t>Europe</t>
        </is>
      </c>
      <c r="E679" t="inlineStr">
        <is>
          <t>M</t>
        </is>
      </c>
      <c r="F679" t="inlineStr">
        <is>
          <t>FO</t>
        </is>
      </c>
      <c r="G679" t="inlineStr">
        <is>
          <t>VH</t>
        </is>
      </c>
      <c r="H679" t="inlineStr">
        <is>
          <t>2</t>
        </is>
      </c>
      <c r="I679" t="inlineStr">
        <is>
          <t>Public</t>
        </is>
      </c>
      <c r="J679" t="inlineStr">
        <is>
          <t>591</t>
        </is>
      </c>
      <c r="K679" t="inlineStr">
        <is>
          <t>497</t>
        </is>
      </c>
      <c r="L679">
        <f>461</f>
        <v/>
      </c>
      <c r="M679" t="inlineStr">
        <is>
          <t>308=</t>
        </is>
      </c>
      <c r="N679" t="inlineStr">
        <is>
          <t>28.5</t>
        </is>
      </c>
      <c r="O679" t="inlineStr">
        <is>
          <t>24.9</t>
        </is>
      </c>
      <c r="P679" t="n">
        <v>10.3</v>
      </c>
      <c r="Q679" t="inlineStr">
        <is>
          <t>701+</t>
        </is>
      </c>
      <c r="R679" t="n">
        <v>20.9</v>
      </c>
      <c r="S679" t="inlineStr">
        <is>
          <t>627</t>
        </is>
      </c>
      <c r="T679" t="n">
        <v>99.3</v>
      </c>
      <c r="U679" t="inlineStr">
        <is>
          <t>40</t>
        </is>
      </c>
      <c r="V679" t="n">
        <v>11.2</v>
      </c>
      <c r="W679" t="inlineStr">
        <is>
          <t>801+</t>
        </is>
      </c>
      <c r="X679" t="n">
        <v>60.6</v>
      </c>
      <c r="Y679" t="inlineStr">
        <is>
          <t>387</t>
        </is>
      </c>
      <c r="Z679" t="n">
        <v>93.3</v>
      </c>
      <c r="AA679" t="inlineStr">
        <is>
          <t>142</t>
        </is>
      </c>
      <c r="AB679" t="n">
        <v>93.8</v>
      </c>
      <c r="AC679" t="inlineStr">
        <is>
          <t>118</t>
        </is>
      </c>
      <c r="AD679" t="n">
        <v>30.2</v>
      </c>
      <c r="AE679" t="inlineStr">
        <is>
          <t>801+</t>
        </is>
      </c>
      <c r="AF679" t="n">
        <v>17.6</v>
      </c>
      <c r="AG679" t="inlineStr">
        <is>
          <t>769</t>
        </is>
      </c>
      <c r="AH679" t="n">
        <v>23</v>
      </c>
      <c r="AI679" t="inlineStr">
        <is>
          <t>801+</t>
        </is>
      </c>
      <c r="AJ679" t="inlineStr">
        <is>
          <t>10.2</t>
        </is>
      </c>
      <c r="AK679" t="inlineStr">
        <is>
          <t>601+</t>
        </is>
      </c>
      <c r="AL679" t="inlineStr">
        <is>
          <t>10.1</t>
        </is>
      </c>
      <c r="AM679" t="inlineStr">
        <is>
          <t>601+</t>
        </is>
      </c>
      <c r="AN679" t="inlineStr">
        <is>
          <t>99.0</t>
        </is>
      </c>
      <c r="AO679" t="inlineStr">
        <is>
          <t>36</t>
        </is>
      </c>
      <c r="AP679" t="inlineStr">
        <is>
          <t>10.9</t>
        </is>
      </c>
      <c r="AQ679" t="inlineStr">
        <is>
          <t>701+</t>
        </is>
      </c>
      <c r="AR679" t="inlineStr">
        <is>
          <t>54.1</t>
        </is>
      </c>
      <c r="AS679" t="inlineStr">
        <is>
          <t>341</t>
        </is>
      </c>
      <c r="AT679" t="inlineStr">
        <is>
          <t>90.7</t>
        </is>
      </c>
      <c r="AU679" t="inlineStr">
        <is>
          <t>115</t>
        </is>
      </c>
      <c r="AV679" t="inlineStr">
        <is>
          <t>2.0</t>
        </is>
      </c>
      <c r="AW679" t="inlineStr">
        <is>
          <t>701+</t>
        </is>
      </c>
      <c r="AX679" t="inlineStr">
        <is>
          <t>18</t>
        </is>
      </c>
      <c r="AY679" t="inlineStr">
        <is>
          <t>466</t>
        </is>
      </c>
      <c r="AZ679" t="inlineStr">
        <is>
          <t>1.2</t>
        </is>
      </c>
      <c r="BA679" t="inlineStr">
        <is>
          <t>701+</t>
        </is>
      </c>
    </row>
    <row r="680">
      <c r="A680" t="inlineStr">
        <is>
          <t>National Research Saratov State University</t>
        </is>
      </c>
      <c r="B680" t="inlineStr">
        <is>
          <t>Russia</t>
        </is>
      </c>
      <c r="C680" t="inlineStr">
        <is>
          <t>RU</t>
        </is>
      </c>
      <c r="D680" t="inlineStr">
        <is>
          <t>Europe</t>
        </is>
      </c>
      <c r="E680" t="inlineStr">
        <is>
          <t>M</t>
        </is>
      </c>
      <c r="F680" t="inlineStr">
        <is>
          <t>FO</t>
        </is>
      </c>
      <c r="G680" t="inlineStr">
        <is>
          <t>VH</t>
        </is>
      </c>
      <c r="H680" t="inlineStr">
        <is>
          <t>5</t>
        </is>
      </c>
      <c r="I680" t="inlineStr">
        <is>
          <t>Public</t>
        </is>
      </c>
      <c r="J680" t="inlineStr">
        <is>
          <t>1001-1200</t>
        </is>
      </c>
      <c r="K680" t="inlineStr">
        <is>
          <t>901-950</t>
        </is>
      </c>
      <c r="L680" t="inlineStr">
        <is>
          <t>851-900</t>
        </is>
      </c>
      <c r="M680" t="inlineStr">
        <is>
          <t>551-560</t>
        </is>
      </c>
      <c r="N680" t="inlineStr">
        <is>
          <t>-</t>
        </is>
      </c>
      <c r="O680" t="inlineStr">
        <is>
          <t>-</t>
        </is>
      </c>
      <c r="P680" t="n">
        <v>5</v>
      </c>
      <c r="Q680" t="inlineStr">
        <is>
          <t>701+</t>
        </is>
      </c>
      <c r="R680" t="n">
        <v>5.3</v>
      </c>
      <c r="S680" t="inlineStr">
        <is>
          <t>701+</t>
        </is>
      </c>
      <c r="T680" t="n">
        <v>97.59999999999999</v>
      </c>
      <c r="U680" t="inlineStr">
        <is>
          <t>60</t>
        </is>
      </c>
      <c r="V680" t="n">
        <v>2.4</v>
      </c>
      <c r="W680" t="inlineStr">
        <is>
          <t>801+</t>
        </is>
      </c>
      <c r="X680" t="n">
        <v>4</v>
      </c>
      <c r="Y680" t="inlineStr">
        <is>
          <t>801+</t>
        </is>
      </c>
      <c r="Z680" t="n">
        <v>26.9</v>
      </c>
      <c r="AA680" t="inlineStr">
        <is>
          <t>632</t>
        </is>
      </c>
      <c r="AB680" t="n">
        <v>20.2</v>
      </c>
      <c r="AC680" t="inlineStr">
        <is>
          <t>761</t>
        </is>
      </c>
      <c r="AD680" t="n">
        <v>14.4</v>
      </c>
      <c r="AE680" t="inlineStr">
        <is>
          <t>801+</t>
        </is>
      </c>
      <c r="AF680" t="n">
        <v>1.8</v>
      </c>
      <c r="AG680" t="inlineStr">
        <is>
          <t>801+</t>
        </is>
      </c>
      <c r="AH680" t="n">
        <v>10.2</v>
      </c>
      <c r="AI680" t="inlineStr">
        <is>
          <t>801+</t>
        </is>
      </c>
      <c r="AJ680" t="inlineStr">
        <is>
          <t>5.2</t>
        </is>
      </c>
      <c r="AK680" t="inlineStr">
        <is>
          <t>601+</t>
        </is>
      </c>
      <c r="AL680" t="inlineStr">
        <is>
          <t>2.5</t>
        </is>
      </c>
      <c r="AM680" t="inlineStr">
        <is>
          <t>601+</t>
        </is>
      </c>
      <c r="AN680" t="inlineStr">
        <is>
          <t>95.8</t>
        </is>
      </c>
      <c r="AO680" t="inlineStr">
        <is>
          <t>58</t>
        </is>
      </c>
      <c r="AP680" t="inlineStr">
        <is>
          <t>1.7</t>
        </is>
      </c>
      <c r="AQ680" t="inlineStr">
        <is>
          <t>701+</t>
        </is>
      </c>
      <c r="AR680" t="inlineStr">
        <is>
          <t>3.2</t>
        </is>
      </c>
      <c r="AS680" t="inlineStr">
        <is>
          <t>701+</t>
        </is>
      </c>
      <c r="AT680" t="inlineStr">
        <is>
          <t>18.2</t>
        </is>
      </c>
      <c r="AU680" t="inlineStr">
        <is>
          <t>572</t>
        </is>
      </c>
      <c r="AV680" t="inlineStr">
        <is>
          <t>1.2</t>
        </is>
      </c>
      <c r="AW680" t="inlineStr">
        <is>
          <t>701+</t>
        </is>
      </c>
      <c r="AX680" t="inlineStr">
        <is>
          <t>4.7</t>
        </is>
      </c>
      <c r="AY680" t="inlineStr">
        <is>
          <t>701+</t>
        </is>
      </c>
      <c r="AZ680" t="inlineStr">
        <is>
          <t>1</t>
        </is>
      </c>
      <c r="BA680" t="inlineStr">
        <is>
          <t>701+</t>
        </is>
      </c>
    </row>
    <row r="681">
      <c r="A681" t="inlineStr">
        <is>
          <t>National Research Tomsk Polytechnic University</t>
        </is>
      </c>
      <c r="B681" t="inlineStr">
        <is>
          <t>Russia</t>
        </is>
      </c>
      <c r="C681" t="inlineStr">
        <is>
          <t>RU</t>
        </is>
      </c>
      <c r="D681" t="inlineStr"/>
      <c r="E681" t="inlineStr">
        <is>
          <t>M</t>
        </is>
      </c>
      <c r="F681" t="inlineStr">
        <is>
          <t>FO</t>
        </is>
      </c>
      <c r="G681" t="inlineStr">
        <is>
          <t>VH</t>
        </is>
      </c>
      <c r="H681" t="inlineStr">
        <is>
          <t>5</t>
        </is>
      </c>
      <c r="I681" t="inlineStr">
        <is>
          <t>A</t>
        </is>
      </c>
      <c r="J681" t="inlineStr"/>
      <c r="K681" t="inlineStr"/>
      <c r="L681">
        <f>586</f>
        <v/>
      </c>
      <c r="M681" t="inlineStr">
        <is>
          <t>398=</t>
        </is>
      </c>
      <c r="N681" t="inlineStr"/>
      <c r="O681" t="inlineStr">
        <is>
          <t>20.2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9.7</t>
        </is>
      </c>
      <c r="AK681" t="inlineStr">
        <is>
          <t>601+</t>
        </is>
      </c>
      <c r="AL681" t="inlineStr">
        <is>
          <t>7.5</t>
        </is>
      </c>
      <c r="AM681" t="inlineStr">
        <is>
          <t>601+</t>
        </is>
      </c>
      <c r="AN681" t="inlineStr">
        <is>
          <t>93.9</t>
        </is>
      </c>
      <c r="AO681" t="inlineStr">
        <is>
          <t>66</t>
        </is>
      </c>
      <c r="AP681" t="inlineStr">
        <is>
          <t>4.0</t>
        </is>
      </c>
      <c r="AQ681" t="inlineStr">
        <is>
          <t>701+</t>
        </is>
      </c>
      <c r="AR681" t="inlineStr">
        <is>
          <t>8.1</t>
        </is>
      </c>
      <c r="AS681" t="inlineStr">
        <is>
          <t>701+</t>
        </is>
      </c>
      <c r="AT681" t="inlineStr">
        <is>
          <t>76.6</t>
        </is>
      </c>
      <c r="AU681" t="inlineStr">
        <is>
          <t>177</t>
        </is>
      </c>
      <c r="AV681" t="inlineStr">
        <is>
          <t>21.3</t>
        </is>
      </c>
      <c r="AW681" t="inlineStr">
        <is>
          <t>535</t>
        </is>
      </c>
      <c r="AX681" t="inlineStr">
        <is>
          <t>8.1</t>
        </is>
      </c>
      <c r="AY681" t="inlineStr">
        <is>
          <t>701+</t>
        </is>
      </c>
      <c r="AZ681" t="inlineStr">
        <is>
          <t>8.3</t>
        </is>
      </c>
      <c r="BA681" t="inlineStr">
        <is>
          <t>701+</t>
        </is>
      </c>
    </row>
    <row r="682">
      <c r="A682" t="inlineStr">
        <is>
          <t>National Research University Higher School of Economics (HSE, Moscow)</t>
        </is>
      </c>
      <c r="B682" t="inlineStr">
        <is>
          <t>Russia</t>
        </is>
      </c>
      <c r="C682" t="inlineStr"/>
      <c r="D682" t="inlineStr">
        <is>
          <t>Europe</t>
        </is>
      </c>
      <c r="E682" t="inlineStr">
        <is>
          <t>XL</t>
        </is>
      </c>
      <c r="F682" t="inlineStr">
        <is>
          <t>CO</t>
        </is>
      </c>
      <c r="G682" t="inlineStr">
        <is>
          <t>VH</t>
        </is>
      </c>
      <c r="H682" t="inlineStr"/>
      <c r="I682" t="inlineStr">
        <is>
          <t>Public</t>
        </is>
      </c>
      <c r="J682" t="inlineStr">
        <is>
          <t>440</t>
        </is>
      </c>
      <c r="K682" t="inlineStr">
        <is>
          <t>410</t>
        </is>
      </c>
      <c r="L682" t="inlineStr"/>
      <c r="M682" t="inlineStr"/>
      <c r="N682" t="inlineStr">
        <is>
          <t>34.9</t>
        </is>
      </c>
      <c r="O682" t="inlineStr"/>
      <c r="P682" t="n">
        <v>28.1</v>
      </c>
      <c r="Q682" t="inlineStr">
        <is>
          <t>449</t>
        </is>
      </c>
      <c r="R682" t="n">
        <v>52.9</v>
      </c>
      <c r="S682" t="inlineStr">
        <is>
          <t>231</t>
        </is>
      </c>
      <c r="T682" t="n">
        <v>92</v>
      </c>
      <c r="U682" t="inlineStr">
        <is>
          <t>96</t>
        </is>
      </c>
      <c r="V682" t="n">
        <v>2.7</v>
      </c>
      <c r="W682" t="inlineStr">
        <is>
          <t>801+</t>
        </is>
      </c>
      <c r="X682" t="n">
        <v>10.2</v>
      </c>
      <c r="Y682" t="inlineStr">
        <is>
          <t>801+</t>
        </is>
      </c>
      <c r="Z682" t="n">
        <v>24</v>
      </c>
      <c r="AA682" t="inlineStr">
        <is>
          <t>675</t>
        </is>
      </c>
      <c r="AB682" t="n">
        <v>30.1</v>
      </c>
      <c r="AC682" t="inlineStr">
        <is>
          <t>614</t>
        </is>
      </c>
      <c r="AD682" t="n">
        <v>84.7</v>
      </c>
      <c r="AE682" t="inlineStr">
        <is>
          <t>261</t>
        </is>
      </c>
      <c r="AF682" t="n">
        <v>19.4</v>
      </c>
      <c r="AG682" t="inlineStr">
        <is>
          <t>737</t>
        </is>
      </c>
      <c r="AH682" t="n">
        <v>57.6</v>
      </c>
      <c r="AI682" t="inlineStr">
        <is>
          <t>549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</row>
    <row r="683">
      <c r="A683" t="inlineStr">
        <is>
          <t>National Research University Moscow Power Engineering Institute (MPEI)</t>
        </is>
      </c>
      <c r="B683" t="inlineStr">
        <is>
          <t>Russia</t>
        </is>
      </c>
      <c r="C683" t="inlineStr">
        <is>
          <t>RU</t>
        </is>
      </c>
      <c r="D683" t="inlineStr">
        <is>
          <t>Europe</t>
        </is>
      </c>
      <c r="E683" t="inlineStr">
        <is>
          <t>M</t>
        </is>
      </c>
      <c r="F683" t="inlineStr">
        <is>
          <t>FO</t>
        </is>
      </c>
      <c r="G683" t="inlineStr">
        <is>
          <t>VH</t>
        </is>
      </c>
      <c r="H683" t="inlineStr">
        <is>
          <t>5</t>
        </is>
      </c>
      <c r="I683" t="inlineStr">
        <is>
          <t>Public</t>
        </is>
      </c>
      <c r="J683" t="inlineStr">
        <is>
          <t>1201-1400</t>
        </is>
      </c>
      <c r="K683" t="inlineStr">
        <is>
          <t>1201-1400</t>
        </is>
      </c>
      <c r="L683" t="inlineStr">
        <is>
          <t>1201-1400</t>
        </is>
      </c>
      <c r="M683" t="inlineStr">
        <is>
          <t>1201-1400</t>
        </is>
      </c>
      <c r="N683" t="inlineStr">
        <is>
          <t>-</t>
        </is>
      </c>
      <c r="O683" t="inlineStr">
        <is>
          <t>-</t>
        </is>
      </c>
      <c r="P683" t="n">
        <v>6.6</v>
      </c>
      <c r="Q683" t="inlineStr">
        <is>
          <t>701+</t>
        </is>
      </c>
      <c r="R683" t="n">
        <v>8.4</v>
      </c>
      <c r="S683" t="inlineStr">
        <is>
          <t>701+</t>
        </is>
      </c>
      <c r="T683" t="n">
        <v>21.9</v>
      </c>
      <c r="U683" t="inlineStr">
        <is>
          <t>797</t>
        </is>
      </c>
      <c r="V683" t="n">
        <v>2.5</v>
      </c>
      <c r="W683" t="inlineStr">
        <is>
          <t>801+</t>
        </is>
      </c>
      <c r="X683" t="n">
        <v>6</v>
      </c>
      <c r="Y683" t="inlineStr">
        <is>
          <t>801+</t>
        </is>
      </c>
      <c r="Z683" t="n">
        <v>54.9</v>
      </c>
      <c r="AA683" t="inlineStr">
        <is>
          <t>379</t>
        </is>
      </c>
      <c r="AB683" t="n">
        <v>55.1</v>
      </c>
      <c r="AC683" t="inlineStr">
        <is>
          <t>373</t>
        </is>
      </c>
      <c r="AD683" t="n">
        <v>15.8</v>
      </c>
      <c r="AE683" t="inlineStr">
        <is>
          <t>801+</t>
        </is>
      </c>
      <c r="AF683" t="n">
        <v>17.2</v>
      </c>
      <c r="AG683" t="inlineStr">
        <is>
          <t>778</t>
        </is>
      </c>
      <c r="AH683" t="n">
        <v>16.8</v>
      </c>
      <c r="AI683" t="inlineStr">
        <is>
          <t>801+</t>
        </is>
      </c>
      <c r="AJ683" t="inlineStr">
        <is>
          <t>5.8</t>
        </is>
      </c>
      <c r="AK683" t="inlineStr">
        <is>
          <t>601+</t>
        </is>
      </c>
      <c r="AL683" t="inlineStr">
        <is>
          <t>3.5</t>
        </is>
      </c>
      <c r="AM683" t="inlineStr">
        <is>
          <t>601+</t>
        </is>
      </c>
      <c r="AN683" t="inlineStr">
        <is>
          <t>11.7</t>
        </is>
      </c>
      <c r="AO683" t="inlineStr">
        <is>
          <t>701+</t>
        </is>
      </c>
      <c r="AP683" t="inlineStr">
        <is>
          <t>2.0</t>
        </is>
      </c>
      <c r="AQ683" t="inlineStr">
        <is>
          <t>701+</t>
        </is>
      </c>
      <c r="AR683" t="inlineStr">
        <is>
          <t>7.9</t>
        </is>
      </c>
      <c r="AS683" t="inlineStr">
        <is>
          <t>701+</t>
        </is>
      </c>
      <c r="AT683" t="inlineStr">
        <is>
          <t>45.0</t>
        </is>
      </c>
      <c r="AU683" t="inlineStr">
        <is>
          <t>323</t>
        </is>
      </c>
      <c r="AV683" t="inlineStr">
        <is>
          <t>1.1</t>
        </is>
      </c>
      <c r="AW683" t="inlineStr">
        <is>
          <t>701+</t>
        </is>
      </c>
      <c r="AX683" t="inlineStr">
        <is>
          <t>7.8</t>
        </is>
      </c>
      <c r="AY683" t="inlineStr">
        <is>
          <t>701+</t>
        </is>
      </c>
      <c r="AZ683" t="inlineStr">
        <is>
          <t>1.4</t>
        </is>
      </c>
      <c r="BA683" t="inlineStr">
        <is>
          <t>701+</t>
        </is>
      </c>
    </row>
    <row r="684">
      <c r="A684" t="inlineStr">
        <is>
          <t>National Sun Yat-sen University</t>
        </is>
      </c>
      <c r="B684" t="inlineStr">
        <is>
          <t>Taiwan</t>
        </is>
      </c>
      <c r="C684" t="inlineStr">
        <is>
          <t>TW</t>
        </is>
      </c>
      <c r="D684" t="inlineStr">
        <is>
          <t>Asia</t>
        </is>
      </c>
      <c r="E684" t="inlineStr">
        <is>
          <t>M</t>
        </is>
      </c>
      <c r="F684" t="inlineStr">
        <is>
          <t>CO</t>
        </is>
      </c>
      <c r="G684" t="inlineStr">
        <is>
          <t>VH</t>
        </is>
      </c>
      <c r="H684" t="inlineStr">
        <is>
          <t>3</t>
        </is>
      </c>
      <c r="I684" t="inlineStr">
        <is>
          <t>Public</t>
        </is>
      </c>
      <c r="J684" t="inlineStr">
        <is>
          <t>439</t>
        </is>
      </c>
      <c r="K684" t="inlineStr">
        <is>
          <t>485</t>
        </is>
      </c>
      <c r="L684">
        <f>505</f>
        <v/>
      </c>
      <c r="M684" t="inlineStr">
        <is>
          <t>428=</t>
        </is>
      </c>
      <c r="N684" t="inlineStr">
        <is>
          <t>35</t>
        </is>
      </c>
      <c r="O684" t="inlineStr">
        <is>
          <t>23.0</t>
        </is>
      </c>
      <c r="P684" t="n">
        <v>36.8</v>
      </c>
      <c r="Q684" t="inlineStr">
        <is>
          <t>326</t>
        </is>
      </c>
      <c r="R684" t="n">
        <v>32.1</v>
      </c>
      <c r="S684" t="inlineStr">
        <is>
          <t>447</t>
        </is>
      </c>
      <c r="T684" t="n">
        <v>35.6</v>
      </c>
      <c r="U684" t="inlineStr">
        <is>
          <t>558</t>
        </is>
      </c>
      <c r="V684" t="n">
        <v>38</v>
      </c>
      <c r="W684" t="inlineStr">
        <is>
          <t>492</t>
        </is>
      </c>
      <c r="X684" t="n">
        <v>35.5</v>
      </c>
      <c r="Y684" t="inlineStr">
        <is>
          <t>534</t>
        </is>
      </c>
      <c r="Z684" t="n">
        <v>16.5</v>
      </c>
      <c r="AA684" t="inlineStr">
        <is>
          <t>788</t>
        </is>
      </c>
      <c r="AB684" t="n">
        <v>22.2</v>
      </c>
      <c r="AC684" t="inlineStr">
        <is>
          <t>728</t>
        </is>
      </c>
      <c r="AD684" t="n">
        <v>46.4</v>
      </c>
      <c r="AE684" t="inlineStr">
        <is>
          <t>801+</t>
        </is>
      </c>
      <c r="AF684" t="n">
        <v>14.7</v>
      </c>
      <c r="AG684" t="inlineStr">
        <is>
          <t>801+</t>
        </is>
      </c>
      <c r="AH684" t="n">
        <v>67</v>
      </c>
      <c r="AI684" t="inlineStr">
        <is>
          <t>362</t>
        </is>
      </c>
      <c r="AJ684" t="inlineStr">
        <is>
          <t>26.5</t>
        </is>
      </c>
      <c r="AK684" t="inlineStr">
        <is>
          <t>330</t>
        </is>
      </c>
      <c r="AL684" t="inlineStr">
        <is>
          <t>24.4</t>
        </is>
      </c>
      <c r="AM684" t="inlineStr">
        <is>
          <t>395</t>
        </is>
      </c>
      <c r="AN684" t="inlineStr">
        <is>
          <t>29.5</t>
        </is>
      </c>
      <c r="AO684" t="inlineStr">
        <is>
          <t>527</t>
        </is>
      </c>
      <c r="AP684" t="inlineStr">
        <is>
          <t>25.2</t>
        </is>
      </c>
      <c r="AQ684" t="inlineStr">
        <is>
          <t>483</t>
        </is>
      </c>
      <c r="AR684" t="inlineStr">
        <is>
          <t>23.8</t>
        </is>
      </c>
      <c r="AS684" t="inlineStr">
        <is>
          <t>552</t>
        </is>
      </c>
      <c r="AT684" t="inlineStr">
        <is>
          <t>10.3</t>
        </is>
      </c>
      <c r="AU684" t="inlineStr">
        <is>
          <t>701+</t>
        </is>
      </c>
      <c r="AV684" t="inlineStr">
        <is>
          <t>2.5</t>
        </is>
      </c>
      <c r="AW684" t="inlineStr">
        <is>
          <t>701+</t>
        </is>
      </c>
      <c r="AX684" t="inlineStr">
        <is>
          <t>12.1</t>
        </is>
      </c>
      <c r="AY684" t="inlineStr">
        <is>
          <t>701+</t>
        </is>
      </c>
      <c r="AZ684" t="inlineStr">
        <is>
          <t>20.9</t>
        </is>
      </c>
      <c r="BA684" t="inlineStr">
        <is>
          <t>536=</t>
        </is>
      </c>
    </row>
    <row r="685">
      <c r="A685" t="inlineStr">
        <is>
          <t>National Taipei University</t>
        </is>
      </c>
      <c r="B685" t="inlineStr">
        <is>
          <t>Taiwan</t>
        </is>
      </c>
      <c r="C685" t="inlineStr">
        <is>
          <t>TW</t>
        </is>
      </c>
      <c r="D685" t="inlineStr">
        <is>
          <t>Asia</t>
        </is>
      </c>
      <c r="E685" t="inlineStr">
        <is>
          <t>M</t>
        </is>
      </c>
      <c r="F685" t="inlineStr">
        <is>
          <t>FO</t>
        </is>
      </c>
      <c r="G685" t="inlineStr">
        <is>
          <t>HI</t>
        </is>
      </c>
      <c r="H685" t="inlineStr">
        <is>
          <t>2</t>
        </is>
      </c>
      <c r="I685" t="inlineStr">
        <is>
          <t>Public</t>
        </is>
      </c>
      <c r="J685" t="inlineStr">
        <is>
          <t>1401+</t>
        </is>
      </c>
      <c r="K685" t="inlineStr">
        <is>
          <t>1201-1400</t>
        </is>
      </c>
      <c r="L685" t="inlineStr">
        <is>
          <t>1201-1400</t>
        </is>
      </c>
      <c r="M685" t="inlineStr">
        <is>
          <t>1201-1400</t>
        </is>
      </c>
      <c r="N685" t="inlineStr">
        <is>
          <t>-</t>
        </is>
      </c>
      <c r="O685" t="inlineStr">
        <is>
          <t>-</t>
        </is>
      </c>
      <c r="P685" t="n">
        <v>12.4</v>
      </c>
      <c r="Q685" t="inlineStr">
        <is>
          <t>701+</t>
        </is>
      </c>
      <c r="R685" t="n">
        <v>8</v>
      </c>
      <c r="S685" t="inlineStr">
        <is>
          <t>701+</t>
        </is>
      </c>
      <c r="T685" t="n">
        <v>11.6</v>
      </c>
      <c r="U685" t="inlineStr">
        <is>
          <t>801+</t>
        </is>
      </c>
      <c r="V685" t="n">
        <v>4.4</v>
      </c>
      <c r="W685" t="inlineStr">
        <is>
          <t>801+</t>
        </is>
      </c>
      <c r="X685" t="n">
        <v>5.9</v>
      </c>
      <c r="Y685" t="inlineStr">
        <is>
          <t>801+</t>
        </is>
      </c>
      <c r="Z685" t="n">
        <v>10.1</v>
      </c>
      <c r="AA685" t="inlineStr">
        <is>
          <t>801+</t>
        </is>
      </c>
      <c r="AB685" t="n">
        <v>14.6</v>
      </c>
      <c r="AC685" t="inlineStr">
        <is>
          <t>801+</t>
        </is>
      </c>
      <c r="AD685" t="n">
        <v>3.9</v>
      </c>
      <c r="AE685" t="inlineStr">
        <is>
          <t>801+</t>
        </is>
      </c>
      <c r="AF685" t="n">
        <v>26.6</v>
      </c>
      <c r="AG685" t="inlineStr">
        <is>
          <t>614</t>
        </is>
      </c>
      <c r="AH685" t="n">
        <v>26.6</v>
      </c>
      <c r="AI685" t="inlineStr">
        <is>
          <t>801+</t>
        </is>
      </c>
      <c r="AJ685" t="inlineStr">
        <is>
          <t>7.5</t>
        </is>
      </c>
      <c r="AK685" t="inlineStr">
        <is>
          <t>601+</t>
        </is>
      </c>
      <c r="AL685" t="inlineStr">
        <is>
          <t>4.5</t>
        </is>
      </c>
      <c r="AM685" t="inlineStr">
        <is>
          <t>601+</t>
        </is>
      </c>
      <c r="AN685" t="inlineStr">
        <is>
          <t>8.2</t>
        </is>
      </c>
      <c r="AO685" t="inlineStr">
        <is>
          <t>701+</t>
        </is>
      </c>
      <c r="AP685" t="inlineStr">
        <is>
          <t>3.2</t>
        </is>
      </c>
      <c r="AQ685" t="inlineStr">
        <is>
          <t>701+</t>
        </is>
      </c>
      <c r="AR685" t="inlineStr">
        <is>
          <t>2.7</t>
        </is>
      </c>
      <c r="AS685" t="inlineStr">
        <is>
          <t>701+</t>
        </is>
      </c>
      <c r="AT685" t="inlineStr">
        <is>
          <t>5.2</t>
        </is>
      </c>
      <c r="AU685" t="inlineStr">
        <is>
          <t>701+</t>
        </is>
      </c>
      <c r="AV685" t="inlineStr">
        <is>
          <t>1.0</t>
        </is>
      </c>
      <c r="AW685" t="inlineStr">
        <is>
          <t>701+</t>
        </is>
      </c>
      <c r="AX685" t="inlineStr">
        <is>
          <t>16.1</t>
        </is>
      </c>
      <c r="AY685" t="inlineStr">
        <is>
          <t>518</t>
        </is>
      </c>
      <c r="AZ685" t="inlineStr">
        <is>
          <t>3.1</t>
        </is>
      </c>
      <c r="BA685" t="inlineStr">
        <is>
          <t>701+</t>
        </is>
      </c>
    </row>
    <row r="686">
      <c r="A686" t="inlineStr">
        <is>
          <t>National Taipei University of Technology</t>
        </is>
      </c>
      <c r="B686" t="inlineStr">
        <is>
          <t>Taiwan</t>
        </is>
      </c>
      <c r="C686" t="inlineStr">
        <is>
          <t>TW</t>
        </is>
      </c>
      <c r="D686" t="inlineStr">
        <is>
          <t>Asia</t>
        </is>
      </c>
      <c r="E686" t="inlineStr">
        <is>
          <t>M</t>
        </is>
      </c>
      <c r="F686" t="inlineStr">
        <is>
          <t>FO</t>
        </is>
      </c>
      <c r="G686" t="inlineStr">
        <is>
          <t>VH</t>
        </is>
      </c>
      <c r="H686" t="inlineStr">
        <is>
          <t>3</t>
        </is>
      </c>
      <c r="I686" t="inlineStr">
        <is>
          <t>Public</t>
        </is>
      </c>
      <c r="J686" t="inlineStr">
        <is>
          <t>420</t>
        </is>
      </c>
      <c r="K686" t="inlineStr">
        <is>
          <t>425</t>
        </is>
      </c>
      <c r="L686">
        <f>431</f>
        <v/>
      </c>
      <c r="M686" t="inlineStr">
        <is>
          <t>436=</t>
        </is>
      </c>
      <c r="N686" t="inlineStr">
        <is>
          <t>36.3</t>
        </is>
      </c>
      <c r="O686" t="inlineStr">
        <is>
          <t>26.2</t>
        </is>
      </c>
      <c r="P686" t="n">
        <v>18.2</v>
      </c>
      <c r="Q686" t="inlineStr">
        <is>
          <t>672</t>
        </is>
      </c>
      <c r="R686" t="n">
        <v>57.6</v>
      </c>
      <c r="S686" t="inlineStr">
        <is>
          <t>202</t>
        </is>
      </c>
      <c r="T686" t="n">
        <v>28.6</v>
      </c>
      <c r="U686" t="inlineStr">
        <is>
          <t>667</t>
        </is>
      </c>
      <c r="V686" t="n">
        <v>58.8</v>
      </c>
      <c r="W686" t="inlineStr">
        <is>
          <t>294</t>
        </is>
      </c>
      <c r="X686" t="n">
        <v>25.6</v>
      </c>
      <c r="Y686" t="inlineStr">
        <is>
          <t>639</t>
        </is>
      </c>
      <c r="Z686" t="n">
        <v>31.7</v>
      </c>
      <c r="AA686" t="inlineStr">
        <is>
          <t>573</t>
        </is>
      </c>
      <c r="AB686" t="n">
        <v>34.9</v>
      </c>
      <c r="AC686" t="inlineStr">
        <is>
          <t>552</t>
        </is>
      </c>
      <c r="AD686" t="n">
        <v>25.6</v>
      </c>
      <c r="AE686" t="inlineStr">
        <is>
          <t>801+</t>
        </is>
      </c>
      <c r="AF686" t="n">
        <v>29.2</v>
      </c>
      <c r="AG686" t="inlineStr">
        <is>
          <t>565</t>
        </is>
      </c>
      <c r="AH686" t="n">
        <v>58.9</v>
      </c>
      <c r="AI686" t="inlineStr">
        <is>
          <t>521=</t>
        </is>
      </c>
      <c r="AJ686" t="inlineStr">
        <is>
          <t>15.0</t>
        </is>
      </c>
      <c r="AK686" t="inlineStr">
        <is>
          <t>584</t>
        </is>
      </c>
      <c r="AL686" t="inlineStr">
        <is>
          <t>57.7</t>
        </is>
      </c>
      <c r="AM686" t="inlineStr">
        <is>
          <t>144</t>
        </is>
      </c>
      <c r="AN686" t="inlineStr">
        <is>
          <t>27.0</t>
        </is>
      </c>
      <c r="AO686" t="inlineStr">
        <is>
          <t>560</t>
        </is>
      </c>
      <c r="AP686" t="inlineStr">
        <is>
          <t>34.3</t>
        </is>
      </c>
      <c r="AQ686" t="inlineStr">
        <is>
          <t>398</t>
        </is>
      </c>
      <c r="AR686" t="inlineStr">
        <is>
          <t>21.1</t>
        </is>
      </c>
      <c r="AS686" t="inlineStr">
        <is>
          <t>582</t>
        </is>
      </c>
      <c r="AT686" t="inlineStr">
        <is>
          <t>18.2</t>
        </is>
      </c>
      <c r="AU686" t="inlineStr">
        <is>
          <t>571</t>
        </is>
      </c>
      <c r="AV686" t="inlineStr">
        <is>
          <t>1.3</t>
        </is>
      </c>
      <c r="AW686" t="inlineStr">
        <is>
          <t>701+</t>
        </is>
      </c>
      <c r="AX686" t="inlineStr">
        <is>
          <t>17.3</t>
        </is>
      </c>
      <c r="AY686" t="inlineStr">
        <is>
          <t>485</t>
        </is>
      </c>
      <c r="AZ686" t="inlineStr">
        <is>
          <t>12.6</t>
        </is>
      </c>
      <c r="BA686" t="inlineStr">
        <is>
          <t>638</t>
        </is>
      </c>
    </row>
    <row r="687">
      <c r="A687" t="inlineStr">
        <is>
          <t>National Taiwan Normal University</t>
        </is>
      </c>
      <c r="B687" t="inlineStr">
        <is>
          <t>Taiwan</t>
        </is>
      </c>
      <c r="C687" t="inlineStr">
        <is>
          <t>TW</t>
        </is>
      </c>
      <c r="D687" t="inlineStr">
        <is>
          <t>Asia</t>
        </is>
      </c>
      <c r="E687" t="inlineStr">
        <is>
          <t>M</t>
        </is>
      </c>
      <c r="F687" t="inlineStr">
        <is>
          <t>CO</t>
        </is>
      </c>
      <c r="G687" t="inlineStr">
        <is>
          <t>VH</t>
        </is>
      </c>
      <c r="H687" t="inlineStr">
        <is>
          <t>4</t>
        </is>
      </c>
      <c r="I687" t="inlineStr">
        <is>
          <t>Public</t>
        </is>
      </c>
      <c r="J687" t="inlineStr">
        <is>
          <t>435</t>
        </is>
      </c>
      <c r="K687" t="inlineStr">
        <is>
          <t>452</t>
        </is>
      </c>
      <c r="L687">
        <f>431</f>
        <v/>
      </c>
      <c r="M687" t="inlineStr">
        <is>
          <t>332</t>
        </is>
      </c>
      <c r="N687" t="inlineStr">
        <is>
          <t>35.4</t>
        </is>
      </c>
      <c r="O687" t="inlineStr">
        <is>
          <t>26.2</t>
        </is>
      </c>
      <c r="P687" t="n">
        <v>47.8</v>
      </c>
      <c r="Q687" t="inlineStr">
        <is>
          <t>240</t>
        </is>
      </c>
      <c r="R687" t="n">
        <v>28.2</v>
      </c>
      <c r="S687" t="inlineStr">
        <is>
          <t>493</t>
        </is>
      </c>
      <c r="T687" t="n">
        <v>68.3</v>
      </c>
      <c r="U687" t="inlineStr">
        <is>
          <t>243</t>
        </is>
      </c>
      <c r="V687" t="n">
        <v>9.6</v>
      </c>
      <c r="W687" t="inlineStr">
        <is>
          <t>801+</t>
        </is>
      </c>
      <c r="X687" t="n">
        <v>19.7</v>
      </c>
      <c r="Y687" t="inlineStr">
        <is>
          <t>717</t>
        </is>
      </c>
      <c r="Z687" t="n">
        <v>39.6</v>
      </c>
      <c r="AA687" t="inlineStr">
        <is>
          <t>495</t>
        </is>
      </c>
      <c r="AB687" t="n">
        <v>42.6</v>
      </c>
      <c r="AC687" t="inlineStr">
        <is>
          <t>486</t>
        </is>
      </c>
      <c r="AD687" t="n">
        <v>24.1</v>
      </c>
      <c r="AE687" t="inlineStr">
        <is>
          <t>801+</t>
        </is>
      </c>
      <c r="AF687" t="n">
        <v>29</v>
      </c>
      <c r="AG687" t="inlineStr">
        <is>
          <t>573</t>
        </is>
      </c>
      <c r="AH687" t="n">
        <v>68.2</v>
      </c>
      <c r="AI687" t="inlineStr">
        <is>
          <t>346=</t>
        </is>
      </c>
      <c r="AJ687" t="inlineStr">
        <is>
          <t>34.5</t>
        </is>
      </c>
      <c r="AK687" t="inlineStr">
        <is>
          <t>248</t>
        </is>
      </c>
      <c r="AL687" t="inlineStr">
        <is>
          <t>20.8</t>
        </is>
      </c>
      <c r="AM687" t="inlineStr">
        <is>
          <t>448</t>
        </is>
      </c>
      <c r="AN687" t="inlineStr">
        <is>
          <t>65.4</t>
        </is>
      </c>
      <c r="AO687" t="inlineStr">
        <is>
          <t>209</t>
        </is>
      </c>
      <c r="AP687" t="inlineStr">
        <is>
          <t>5.9</t>
        </is>
      </c>
      <c r="AQ687" t="inlineStr">
        <is>
          <t>701+</t>
        </is>
      </c>
      <c r="AR687" t="inlineStr">
        <is>
          <t>14.5</t>
        </is>
      </c>
      <c r="AS687" t="inlineStr">
        <is>
          <t>674</t>
        </is>
      </c>
      <c r="AT687" t="inlineStr">
        <is>
          <t>26.7</t>
        </is>
      </c>
      <c r="AU687" t="inlineStr">
        <is>
          <t>452</t>
        </is>
      </c>
      <c r="AV687" t="inlineStr">
        <is>
          <t>1.5</t>
        </is>
      </c>
      <c r="AW687" t="inlineStr">
        <is>
          <t>701+</t>
        </is>
      </c>
      <c r="AX687" t="inlineStr">
        <is>
          <t>14.7</t>
        </is>
      </c>
      <c r="AY687" t="inlineStr">
        <is>
          <t>571</t>
        </is>
      </c>
      <c r="AZ687" t="inlineStr">
        <is>
          <t>43.2</t>
        </is>
      </c>
      <c r="BA687" t="inlineStr">
        <is>
          <t>344</t>
        </is>
      </c>
    </row>
    <row r="688">
      <c r="A688" t="inlineStr">
        <is>
          <t>National Taiwan Ocean University</t>
        </is>
      </c>
      <c r="B688" t="inlineStr">
        <is>
          <t>Taiwan</t>
        </is>
      </c>
      <c r="C688" t="inlineStr">
        <is>
          <t>TW</t>
        </is>
      </c>
      <c r="D688" t="inlineStr">
        <is>
          <t>Asia</t>
        </is>
      </c>
      <c r="E688" t="inlineStr">
        <is>
          <t>M</t>
        </is>
      </c>
      <c r="F688" t="inlineStr">
        <is>
          <t>FO</t>
        </is>
      </c>
      <c r="G688" t="inlineStr">
        <is>
          <t>VH</t>
        </is>
      </c>
      <c r="H688" t="inlineStr">
        <is>
          <t>3</t>
        </is>
      </c>
      <c r="I688" t="inlineStr">
        <is>
          <t>Public</t>
        </is>
      </c>
      <c r="J688" t="inlineStr">
        <is>
          <t>1201-1400</t>
        </is>
      </c>
      <c r="K688" t="inlineStr">
        <is>
          <t>1201-1400</t>
        </is>
      </c>
      <c r="L688" t="inlineStr">
        <is>
          <t>1201-1400</t>
        </is>
      </c>
      <c r="M688" t="inlineStr">
        <is>
          <t>1001-1200</t>
        </is>
      </c>
      <c r="N688" t="inlineStr">
        <is>
          <t>-</t>
        </is>
      </c>
      <c r="O688" t="inlineStr">
        <is>
          <t>-</t>
        </is>
      </c>
      <c r="P688" t="n">
        <v>7.7</v>
      </c>
      <c r="Q688" t="inlineStr">
        <is>
          <t>701+</t>
        </is>
      </c>
      <c r="R688" t="n">
        <v>6.3</v>
      </c>
      <c r="S688" t="inlineStr">
        <is>
          <t>701+</t>
        </is>
      </c>
      <c r="T688" t="n">
        <v>16</v>
      </c>
      <c r="U688" t="inlineStr">
        <is>
          <t>801+</t>
        </is>
      </c>
      <c r="V688" t="n">
        <v>18.5</v>
      </c>
      <c r="W688" t="inlineStr">
        <is>
          <t>745</t>
        </is>
      </c>
      <c r="X688" t="n">
        <v>10.2</v>
      </c>
      <c r="Y688" t="inlineStr">
        <is>
          <t>801+</t>
        </is>
      </c>
      <c r="Z688" t="n">
        <v>13.9</v>
      </c>
      <c r="AA688" t="inlineStr">
        <is>
          <t>801+</t>
        </is>
      </c>
      <c r="AB688" t="n">
        <v>16.6</v>
      </c>
      <c r="AC688" t="inlineStr">
        <is>
          <t>801+</t>
        </is>
      </c>
      <c r="AD688" t="n">
        <v>18.6</v>
      </c>
      <c r="AE688" t="inlineStr">
        <is>
          <t>801+</t>
        </is>
      </c>
      <c r="AF688" t="n">
        <v>4.1</v>
      </c>
      <c r="AG688" t="inlineStr">
        <is>
          <t>801+</t>
        </is>
      </c>
      <c r="AH688" t="n">
        <v>55.7</v>
      </c>
      <c r="AI688" t="inlineStr">
        <is>
          <t>582=</t>
        </is>
      </c>
      <c r="AJ688" t="inlineStr">
        <is>
          <t>5.7</t>
        </is>
      </c>
      <c r="AK688" t="inlineStr">
        <is>
          <t>601+</t>
        </is>
      </c>
      <c r="AL688" t="inlineStr">
        <is>
          <t>3.2</t>
        </is>
      </c>
      <c r="AM688" t="inlineStr">
        <is>
          <t>601+</t>
        </is>
      </c>
      <c r="AN688" t="inlineStr">
        <is>
          <t>11.6</t>
        </is>
      </c>
      <c r="AO688" t="inlineStr">
        <is>
          <t>701+</t>
        </is>
      </c>
      <c r="AP688" t="inlineStr">
        <is>
          <t>10.1</t>
        </is>
      </c>
      <c r="AQ688" t="inlineStr">
        <is>
          <t>701+</t>
        </is>
      </c>
      <c r="AR688" t="inlineStr">
        <is>
          <t>5.6</t>
        </is>
      </c>
      <c r="AS688" t="inlineStr">
        <is>
          <t>701+</t>
        </is>
      </c>
      <c r="AT688" t="inlineStr">
        <is>
          <t>7.7</t>
        </is>
      </c>
      <c r="AU688" t="inlineStr">
        <is>
          <t>701+</t>
        </is>
      </c>
      <c r="AV688" t="inlineStr">
        <is>
          <t>1.1</t>
        </is>
      </c>
      <c r="AW688" t="inlineStr">
        <is>
          <t>701+</t>
        </is>
      </c>
      <c r="AX688" t="inlineStr">
        <is>
          <t>8.6</t>
        </is>
      </c>
      <c r="AY688" t="inlineStr">
        <is>
          <t>701+</t>
        </is>
      </c>
      <c r="AZ688" t="inlineStr">
        <is>
          <t>5.6</t>
        </is>
      </c>
      <c r="BA688" t="inlineStr">
        <is>
          <t>701+</t>
        </is>
      </c>
    </row>
    <row r="689">
      <c r="A689" t="inlineStr">
        <is>
          <t>National Taiwan University (NTU)</t>
        </is>
      </c>
      <c r="B689" t="inlineStr">
        <is>
          <t>Taiwan</t>
        </is>
      </c>
      <c r="C689" t="inlineStr">
        <is>
          <t>TW</t>
        </is>
      </c>
      <c r="D689" t="inlineStr">
        <is>
          <t>Asia</t>
        </is>
      </c>
      <c r="E689" t="inlineStr">
        <is>
          <t>L</t>
        </is>
      </c>
      <c r="F689" t="inlineStr">
        <is>
          <t>FC</t>
        </is>
      </c>
      <c r="G689" t="inlineStr">
        <is>
          <t>VH</t>
        </is>
      </c>
      <c r="H689" t="inlineStr">
        <is>
          <t>4</t>
        </is>
      </c>
      <c r="I689" t="inlineStr">
        <is>
          <t>Public</t>
        </is>
      </c>
      <c r="J689" t="inlineStr">
        <is>
          <t>63</t>
        </is>
      </c>
      <c r="K689" t="inlineStr">
        <is>
          <t>68</t>
        </is>
      </c>
      <c r="L689" t="inlineStr">
        <is>
          <t>69</t>
        </is>
      </c>
      <c r="M689" t="inlineStr">
        <is>
          <t>77</t>
        </is>
      </c>
      <c r="N689" t="inlineStr">
        <is>
          <t>78.9</t>
        </is>
      </c>
      <c r="O689" t="inlineStr">
        <is>
          <t>67.9</t>
        </is>
      </c>
      <c r="P689" t="n">
        <v>97.7</v>
      </c>
      <c r="Q689" t="inlineStr">
        <is>
          <t>38</t>
        </is>
      </c>
      <c r="R689" t="n">
        <v>94.2</v>
      </c>
      <c r="S689" t="inlineStr">
        <is>
          <t>54</t>
        </is>
      </c>
      <c r="T689" t="n">
        <v>38.8</v>
      </c>
      <c r="U689" t="inlineStr">
        <is>
          <t>522</t>
        </is>
      </c>
      <c r="V689" t="n">
        <v>70.90000000000001</v>
      </c>
      <c r="W689" t="inlineStr">
        <is>
          <t>209</t>
        </is>
      </c>
      <c r="X689" t="n">
        <v>25.3</v>
      </c>
      <c r="Y689" t="inlineStr">
        <is>
          <t>647</t>
        </is>
      </c>
      <c r="Z689" t="n">
        <v>59.2</v>
      </c>
      <c r="AA689" t="inlineStr">
        <is>
          <t>346</t>
        </is>
      </c>
      <c r="AB689" t="n">
        <v>63.1</v>
      </c>
      <c r="AC689" t="inlineStr">
        <is>
          <t>313</t>
        </is>
      </c>
      <c r="AD689" t="n">
        <v>67.09999999999999</v>
      </c>
      <c r="AE689" t="inlineStr">
        <is>
          <t>587</t>
        </is>
      </c>
      <c r="AF689" t="n">
        <v>100</v>
      </c>
      <c r="AG689" t="inlineStr">
        <is>
          <t>11</t>
        </is>
      </c>
      <c r="AH689" t="n">
        <v>88.40000000000001</v>
      </c>
      <c r="AI689" t="inlineStr">
        <is>
          <t>74=</t>
        </is>
      </c>
      <c r="AJ689" t="inlineStr">
        <is>
          <t>92.8</t>
        </is>
      </c>
      <c r="AK689" t="inlineStr">
        <is>
          <t>39</t>
        </is>
      </c>
      <c r="AL689" t="inlineStr">
        <is>
          <t>91.3</t>
        </is>
      </c>
      <c r="AM689" t="inlineStr">
        <is>
          <t>46</t>
        </is>
      </c>
      <c r="AN689" t="inlineStr">
        <is>
          <t>30.9</t>
        </is>
      </c>
      <c r="AO689" t="inlineStr">
        <is>
          <t>508</t>
        </is>
      </c>
      <c r="AP689" t="inlineStr">
        <is>
          <t>47.0</t>
        </is>
      </c>
      <c r="AQ689" t="inlineStr">
        <is>
          <t>288</t>
        </is>
      </c>
      <c r="AR689" t="inlineStr">
        <is>
          <t>17.7</t>
        </is>
      </c>
      <c r="AS689" t="inlineStr">
        <is>
          <t>619</t>
        </is>
      </c>
      <c r="AT689" t="inlineStr">
        <is>
          <t>20.0</t>
        </is>
      </c>
      <c r="AU689" t="inlineStr">
        <is>
          <t>547</t>
        </is>
      </c>
      <c r="AV689" t="inlineStr">
        <is>
          <t>33.2</t>
        </is>
      </c>
      <c r="AW689" t="inlineStr">
        <is>
          <t>431</t>
        </is>
      </c>
      <c r="AX689" t="inlineStr">
        <is>
          <t>99.7</t>
        </is>
      </c>
      <c r="AY689" t="inlineStr">
        <is>
          <t>12</t>
        </is>
      </c>
      <c r="AZ689" t="inlineStr">
        <is>
          <t>95.6</t>
        </is>
      </c>
      <c r="BA689" t="inlineStr">
        <is>
          <t>49</t>
        </is>
      </c>
    </row>
    <row r="690">
      <c r="A690" t="inlineStr">
        <is>
          <t>National Taiwan University of Science and Technology (Taiwan Tech)</t>
        </is>
      </c>
      <c r="B690" t="inlineStr">
        <is>
          <t>Taiwan</t>
        </is>
      </c>
      <c r="C690" t="inlineStr">
        <is>
          <t>TW</t>
        </is>
      </c>
      <c r="D690" t="inlineStr">
        <is>
          <t>Asia</t>
        </is>
      </c>
      <c r="E690" t="inlineStr">
        <is>
          <t>M</t>
        </is>
      </c>
      <c r="F690" t="inlineStr">
        <is>
          <t>FO</t>
        </is>
      </c>
      <c r="G690" t="inlineStr">
        <is>
          <t>VH</t>
        </is>
      </c>
      <c r="H690" t="inlineStr">
        <is>
          <t>3</t>
        </is>
      </c>
      <c r="I690" t="inlineStr">
        <is>
          <t>Public</t>
        </is>
      </c>
      <c r="J690" t="inlineStr">
        <is>
          <t>345</t>
        </is>
      </c>
      <c r="K690" t="inlineStr">
        <is>
          <t>392</t>
        </is>
      </c>
      <c r="L690">
        <f>387</f>
        <v/>
      </c>
      <c r="M690" t="inlineStr">
        <is>
          <t>327</t>
        </is>
      </c>
      <c r="N690" t="inlineStr">
        <is>
          <t>41.7</t>
        </is>
      </c>
      <c r="O690" t="inlineStr">
        <is>
          <t>28.3</t>
        </is>
      </c>
      <c r="P690" t="n">
        <v>36.7</v>
      </c>
      <c r="Q690" t="inlineStr">
        <is>
          <t>330</t>
        </is>
      </c>
      <c r="R690" t="n">
        <v>48.6</v>
      </c>
      <c r="S690" t="inlineStr">
        <is>
          <t>266</t>
        </is>
      </c>
      <c r="T690" t="n">
        <v>50.6</v>
      </c>
      <c r="U690" t="inlineStr">
        <is>
          <t>374</t>
        </is>
      </c>
      <c r="V690" t="n">
        <v>46.8</v>
      </c>
      <c r="W690" t="inlineStr">
        <is>
          <t>405</t>
        </is>
      </c>
      <c r="X690" t="n">
        <v>31.3</v>
      </c>
      <c r="Y690" t="inlineStr">
        <is>
          <t>571</t>
        </is>
      </c>
      <c r="Z690" t="n">
        <v>35.3</v>
      </c>
      <c r="AA690" t="inlineStr">
        <is>
          <t>538</t>
        </is>
      </c>
      <c r="AB690" t="n">
        <v>38.9</v>
      </c>
      <c r="AC690" t="inlineStr">
        <is>
          <t>508</t>
        </is>
      </c>
      <c r="AD690" t="n">
        <v>45.6</v>
      </c>
      <c r="AE690" t="inlineStr">
        <is>
          <t>801+</t>
        </is>
      </c>
      <c r="AF690" t="n">
        <v>25.4</v>
      </c>
      <c r="AG690" t="inlineStr">
        <is>
          <t>632</t>
        </is>
      </c>
      <c r="AH690" t="n">
        <v>56.8</v>
      </c>
      <c r="AI690" t="inlineStr">
        <is>
          <t>560=</t>
        </is>
      </c>
      <c r="AJ690" t="inlineStr">
        <is>
          <t>27.1</t>
        </is>
      </c>
      <c r="AK690" t="inlineStr">
        <is>
          <t>321</t>
        </is>
      </c>
      <c r="AL690" t="inlineStr">
        <is>
          <t>37.8</t>
        </is>
      </c>
      <c r="AM690" t="inlineStr">
        <is>
          <t>256</t>
        </is>
      </c>
      <c r="AN690" t="inlineStr">
        <is>
          <t>43.6</t>
        </is>
      </c>
      <c r="AO690" t="inlineStr">
        <is>
          <t>360</t>
        </is>
      </c>
      <c r="AP690" t="inlineStr">
        <is>
          <t>27.0</t>
        </is>
      </c>
      <c r="AQ690" t="inlineStr">
        <is>
          <t>463</t>
        </is>
      </c>
      <c r="AR690" t="inlineStr">
        <is>
          <t>17.5</t>
        </is>
      </c>
      <c r="AS690" t="inlineStr">
        <is>
          <t>622</t>
        </is>
      </c>
      <c r="AT690" t="inlineStr">
        <is>
          <t>31.1</t>
        </is>
      </c>
      <c r="AU690" t="inlineStr">
        <is>
          <t>410</t>
        </is>
      </c>
      <c r="AV690" t="inlineStr">
        <is>
          <t>1.9</t>
        </is>
      </c>
      <c r="AW690" t="inlineStr">
        <is>
          <t>701+</t>
        </is>
      </c>
      <c r="AX690" t="inlineStr">
        <is>
          <t>18.5</t>
        </is>
      </c>
      <c r="AY690" t="inlineStr">
        <is>
          <t>451</t>
        </is>
      </c>
      <c r="AZ690" t="inlineStr">
        <is>
          <t>26.6</t>
        </is>
      </c>
      <c r="BA690" t="inlineStr">
        <is>
          <t>481=</t>
        </is>
      </c>
    </row>
    <row r="691">
      <c r="A691" t="inlineStr">
        <is>
          <t>National Technical University "Kharkiv Polytechnic Institute"</t>
        </is>
      </c>
      <c r="B691" t="inlineStr">
        <is>
          <t>Ukraine</t>
        </is>
      </c>
      <c r="C691" t="inlineStr">
        <is>
          <t>UA</t>
        </is>
      </c>
      <c r="D691" t="inlineStr">
        <is>
          <t>Europe</t>
        </is>
      </c>
      <c r="E691" t="inlineStr">
        <is>
          <t>M</t>
        </is>
      </c>
      <c r="F691" t="inlineStr">
        <is>
          <t>CO</t>
        </is>
      </c>
      <c r="G691" t="inlineStr">
        <is>
          <t>VH</t>
        </is>
      </c>
      <c r="H691" t="inlineStr">
        <is>
          <t>5</t>
        </is>
      </c>
      <c r="I691" t="inlineStr">
        <is>
          <t>Public</t>
        </is>
      </c>
      <c r="J691" t="inlineStr">
        <is>
          <t>1001-1200</t>
        </is>
      </c>
      <c r="K691" t="inlineStr">
        <is>
          <t>1001-1200</t>
        </is>
      </c>
      <c r="L691" t="inlineStr">
        <is>
          <t>901-950</t>
        </is>
      </c>
      <c r="M691" t="inlineStr">
        <is>
          <t>651-700</t>
        </is>
      </c>
      <c r="N691" t="inlineStr">
        <is>
          <t>-</t>
        </is>
      </c>
      <c r="O691" t="inlineStr">
        <is>
          <t>-</t>
        </is>
      </c>
      <c r="P691" t="n">
        <v>7.6</v>
      </c>
      <c r="Q691" t="inlineStr">
        <is>
          <t>701+</t>
        </is>
      </c>
      <c r="R691" t="n">
        <v>20.8</v>
      </c>
      <c r="S691" t="inlineStr">
        <is>
          <t>633</t>
        </is>
      </c>
      <c r="T691" t="n">
        <v>61.1</v>
      </c>
      <c r="U691" t="inlineStr">
        <is>
          <t>294</t>
        </is>
      </c>
      <c r="V691" t="n">
        <v>1.8</v>
      </c>
      <c r="W691" t="inlineStr">
        <is>
          <t>801+</t>
        </is>
      </c>
      <c r="X691" t="n">
        <v>2.3</v>
      </c>
      <c r="Y691" t="inlineStr">
        <is>
          <t>801+</t>
        </is>
      </c>
      <c r="Z691" t="n">
        <v>33.3</v>
      </c>
      <c r="AA691" t="inlineStr">
        <is>
          <t>555</t>
        </is>
      </c>
      <c r="AB691" t="n">
        <v>34.7</v>
      </c>
      <c r="AC691" t="inlineStr">
        <is>
          <t>553</t>
        </is>
      </c>
      <c r="AD691" t="n">
        <v>17.1</v>
      </c>
      <c r="AE691" t="inlineStr">
        <is>
          <t>801+</t>
        </is>
      </c>
      <c r="AF691" t="n">
        <v>4.6</v>
      </c>
      <c r="AG691" t="inlineStr">
        <is>
          <t>801+</t>
        </is>
      </c>
      <c r="AH691" t="n">
        <v>38.9</v>
      </c>
      <c r="AI691" t="inlineStr">
        <is>
          <t>801+</t>
        </is>
      </c>
      <c r="AJ691" t="inlineStr">
        <is>
          <t>6.6</t>
        </is>
      </c>
      <c r="AK691" t="inlineStr">
        <is>
          <t>601+</t>
        </is>
      </c>
      <c r="AL691" t="inlineStr">
        <is>
          <t>12.1</t>
        </is>
      </c>
      <c r="AM691" t="inlineStr">
        <is>
          <t>601+</t>
        </is>
      </c>
      <c r="AN691" t="inlineStr">
        <is>
          <t>63.3</t>
        </is>
      </c>
      <c r="AO691" t="inlineStr">
        <is>
          <t>224</t>
        </is>
      </c>
      <c r="AP691" t="inlineStr">
        <is>
          <t>1.3</t>
        </is>
      </c>
      <c r="AQ691" t="inlineStr">
        <is>
          <t>701+</t>
        </is>
      </c>
      <c r="AR691" t="inlineStr">
        <is>
          <t>1.8</t>
        </is>
      </c>
      <c r="AS691" t="inlineStr">
        <is>
          <t>701+</t>
        </is>
      </c>
      <c r="AT691" t="inlineStr">
        <is>
          <t>24.0</t>
        </is>
      </c>
      <c r="AU691" t="inlineStr">
        <is>
          <t>487</t>
        </is>
      </c>
      <c r="AV691" t="inlineStr">
        <is>
          <t>1.0</t>
        </is>
      </c>
      <c r="AW691" t="inlineStr">
        <is>
          <t>701+</t>
        </is>
      </c>
      <c r="AX691" t="inlineStr">
        <is>
          <t>10.2</t>
        </is>
      </c>
      <c r="AY691" t="inlineStr">
        <is>
          <t>701+</t>
        </is>
      </c>
      <c r="AZ691" t="inlineStr"/>
      <c r="BA691" t="inlineStr"/>
    </row>
    <row r="692">
      <c r="A692" t="inlineStr">
        <is>
          <t>National Technical University of Athens</t>
        </is>
      </c>
      <c r="B692" t="inlineStr">
        <is>
          <t>Greece</t>
        </is>
      </c>
      <c r="C692" t="inlineStr">
        <is>
          <t>GR</t>
        </is>
      </c>
      <c r="D692" t="inlineStr">
        <is>
          <t>Europe</t>
        </is>
      </c>
      <c r="E692" t="inlineStr">
        <is>
          <t>L</t>
        </is>
      </c>
      <c r="F692" t="inlineStr">
        <is>
          <t>FO</t>
        </is>
      </c>
      <c r="G692" t="inlineStr">
        <is>
          <t>VH</t>
        </is>
      </c>
      <c r="H692" t="inlineStr">
        <is>
          <t>5</t>
        </is>
      </c>
      <c r="I692" t="inlineStr">
        <is>
          <t>Public</t>
        </is>
      </c>
      <c r="J692" t="inlineStr">
        <is>
          <t>355</t>
        </is>
      </c>
      <c r="K692" t="inlineStr">
        <is>
          <t>321</t>
        </is>
      </c>
      <c r="L692">
        <f>347</f>
        <v/>
      </c>
      <c r="M692" t="inlineStr">
        <is>
          <t>422=</t>
        </is>
      </c>
      <c r="N692" t="inlineStr">
        <is>
          <t>41.2</t>
        </is>
      </c>
      <c r="O692" t="inlineStr">
        <is>
          <t>31.4</t>
        </is>
      </c>
      <c r="P692" t="n">
        <v>28.2</v>
      </c>
      <c r="Q692" t="inlineStr">
        <is>
          <t>448</t>
        </is>
      </c>
      <c r="R692" t="n">
        <v>51.2</v>
      </c>
      <c r="S692" t="inlineStr">
        <is>
          <t>244</t>
        </is>
      </c>
      <c r="T692" t="n">
        <v>5.9</v>
      </c>
      <c r="U692" t="inlineStr">
        <is>
          <t>801+</t>
        </is>
      </c>
      <c r="V692" t="n">
        <v>80.90000000000001</v>
      </c>
      <c r="W692" t="inlineStr">
        <is>
          <t>153</t>
        </is>
      </c>
      <c r="X692" t="inlineStr"/>
      <c r="Y692" t="inlineStr"/>
      <c r="Z692" t="n">
        <v>9.6</v>
      </c>
      <c r="AA692" t="inlineStr">
        <is>
          <t>801+</t>
        </is>
      </c>
      <c r="AB692" t="n">
        <v>14.9</v>
      </c>
      <c r="AC692" t="inlineStr">
        <is>
          <t>801+</t>
        </is>
      </c>
      <c r="AD692" t="n">
        <v>72</v>
      </c>
      <c r="AE692" t="inlineStr">
        <is>
          <t>499</t>
        </is>
      </c>
      <c r="AF692" t="n">
        <v>51.4</v>
      </c>
      <c r="AG692" t="inlineStr">
        <is>
          <t>331</t>
        </is>
      </c>
      <c r="AH692" t="n">
        <v>49.3</v>
      </c>
      <c r="AI692" t="inlineStr">
        <is>
          <t>725=</t>
        </is>
      </c>
      <c r="AJ692" t="inlineStr">
        <is>
          <t>20.5</t>
        </is>
      </c>
      <c r="AK692" t="inlineStr">
        <is>
          <t>425</t>
        </is>
      </c>
      <c r="AL692" t="inlineStr">
        <is>
          <t>42.7</t>
        </is>
      </c>
      <c r="AM692" t="inlineStr">
        <is>
          <t>215</t>
        </is>
      </c>
      <c r="AN692" t="inlineStr">
        <is>
          <t>4.7</t>
        </is>
      </c>
      <c r="AO692" t="inlineStr">
        <is>
          <t>701+</t>
        </is>
      </c>
      <c r="AP692" t="inlineStr">
        <is>
          <t>72.3</t>
        </is>
      </c>
      <c r="AQ692" t="inlineStr">
        <is>
          <t>137</t>
        </is>
      </c>
      <c r="AR692" t="inlineStr">
        <is>
          <t>1.3</t>
        </is>
      </c>
      <c r="AS692" t="inlineStr">
        <is>
          <t>701+</t>
        </is>
      </c>
      <c r="AT692" t="inlineStr">
        <is>
          <t>4.3</t>
        </is>
      </c>
      <c r="AU692" t="inlineStr">
        <is>
          <t>701+</t>
        </is>
      </c>
      <c r="AV692" t="inlineStr">
        <is>
          <t>32.0</t>
        </is>
      </c>
      <c r="AW692" t="inlineStr">
        <is>
          <t>447</t>
        </is>
      </c>
      <c r="AX692" t="inlineStr">
        <is>
          <t>31.8</t>
        </is>
      </c>
      <c r="AY692" t="inlineStr">
        <is>
          <t>240</t>
        </is>
      </c>
      <c r="AZ692" t="inlineStr">
        <is>
          <t>7.8</t>
        </is>
      </c>
      <c r="BA692" t="inlineStr">
        <is>
          <t>701+</t>
        </is>
      </c>
    </row>
    <row r="693">
      <c r="A693" t="inlineStr">
        <is>
          <t>National Technical University of Ukraine "Igor Sikorsky Kyiv Polytechnic Institute"</t>
        </is>
      </c>
      <c r="B693" t="inlineStr">
        <is>
          <t>Ukraine</t>
        </is>
      </c>
      <c r="C693" t="inlineStr">
        <is>
          <t>UA</t>
        </is>
      </c>
      <c r="D693" t="inlineStr">
        <is>
          <t>Europe</t>
        </is>
      </c>
      <c r="E693" t="inlineStr">
        <is>
          <t>L</t>
        </is>
      </c>
      <c r="F693" t="inlineStr">
        <is>
          <t>CO</t>
        </is>
      </c>
      <c r="G693" t="inlineStr">
        <is>
          <t>VH</t>
        </is>
      </c>
      <c r="H693" t="inlineStr">
        <is>
          <t>5</t>
        </is>
      </c>
      <c r="I693" t="inlineStr">
        <is>
          <t>Public</t>
        </is>
      </c>
      <c r="J693" t="inlineStr">
        <is>
          <t>801-850</t>
        </is>
      </c>
      <c r="K693" t="inlineStr">
        <is>
          <t>801-850</t>
        </is>
      </c>
      <c r="L693" t="inlineStr">
        <is>
          <t>731-740</t>
        </is>
      </c>
      <c r="M693" t="inlineStr">
        <is>
          <t>701-750</t>
        </is>
      </c>
      <c r="N693" t="inlineStr">
        <is>
          <t>-</t>
        </is>
      </c>
      <c r="O693" t="inlineStr">
        <is>
          <t>-</t>
        </is>
      </c>
      <c r="P693" t="n">
        <v>18.4</v>
      </c>
      <c r="Q693" t="inlineStr">
        <is>
          <t>663</t>
        </is>
      </c>
      <c r="R693" t="n">
        <v>49</v>
      </c>
      <c r="S693" t="inlineStr">
        <is>
          <t>261</t>
        </is>
      </c>
      <c r="T693" t="n">
        <v>38.5</v>
      </c>
      <c r="U693" t="inlineStr">
        <is>
          <t>527</t>
        </is>
      </c>
      <c r="V693" t="n">
        <v>2.1</v>
      </c>
      <c r="W693" t="inlineStr">
        <is>
          <t>801+</t>
        </is>
      </c>
      <c r="X693" t="n">
        <v>1.3</v>
      </c>
      <c r="Y693" t="inlineStr">
        <is>
          <t>801+</t>
        </is>
      </c>
      <c r="Z693" t="n">
        <v>3</v>
      </c>
      <c r="AA693" t="inlineStr">
        <is>
          <t>801+</t>
        </is>
      </c>
      <c r="AB693" t="n">
        <v>7.3</v>
      </c>
      <c r="AC693" t="inlineStr">
        <is>
          <t>801+</t>
        </is>
      </c>
      <c r="AD693" t="n">
        <v>22.7</v>
      </c>
      <c r="AE693" t="inlineStr">
        <is>
          <t>801+</t>
        </is>
      </c>
      <c r="AF693" t="n">
        <v>48.8</v>
      </c>
      <c r="AG693" t="inlineStr">
        <is>
          <t>355</t>
        </is>
      </c>
      <c r="AH693" t="n">
        <v>37.2</v>
      </c>
      <c r="AI693" t="inlineStr">
        <is>
          <t>801+</t>
        </is>
      </c>
      <c r="AJ693" t="inlineStr">
        <is>
          <t>16.1</t>
        </is>
      </c>
      <c r="AK693" t="inlineStr">
        <is>
          <t>544</t>
        </is>
      </c>
      <c r="AL693" t="inlineStr">
        <is>
          <t>33.7</t>
        </is>
      </c>
      <c r="AM693" t="inlineStr">
        <is>
          <t>292</t>
        </is>
      </c>
      <c r="AN693" t="inlineStr">
        <is>
          <t>47.0</t>
        </is>
      </c>
      <c r="AO693" t="inlineStr">
        <is>
          <t>333</t>
        </is>
      </c>
      <c r="AP693" t="inlineStr">
        <is>
          <t>1.5</t>
        </is>
      </c>
      <c r="AQ693" t="inlineStr">
        <is>
          <t>701+</t>
        </is>
      </c>
      <c r="AR693" t="inlineStr">
        <is>
          <t>1.1</t>
        </is>
      </c>
      <c r="AS693" t="inlineStr">
        <is>
          <t>701+</t>
        </is>
      </c>
      <c r="AT693" t="inlineStr">
        <is>
          <t>2.5</t>
        </is>
      </c>
      <c r="AU693" t="inlineStr">
        <is>
          <t>701+</t>
        </is>
      </c>
      <c r="AV693" t="inlineStr">
        <is>
          <t>1.4</t>
        </is>
      </c>
      <c r="AW693" t="inlineStr">
        <is>
          <t>701+</t>
        </is>
      </c>
      <c r="AX693" t="inlineStr">
        <is>
          <t>18.9</t>
        </is>
      </c>
      <c r="AY693" t="inlineStr">
        <is>
          <t>441</t>
        </is>
      </c>
      <c r="AZ693" t="inlineStr">
        <is>
          <t>1.4</t>
        </is>
      </c>
      <c r="BA693" t="inlineStr">
        <is>
          <t>701+</t>
        </is>
      </c>
    </row>
    <row r="694">
      <c r="A694" t="inlineStr">
        <is>
          <t>National Tsing Hua University</t>
        </is>
      </c>
      <c r="B694" t="inlineStr">
        <is>
          <t>Taiwan</t>
        </is>
      </c>
      <c r="C694" t="inlineStr">
        <is>
          <t>TW</t>
        </is>
      </c>
      <c r="D694" t="inlineStr">
        <is>
          <t>Asia</t>
        </is>
      </c>
      <c r="E694" t="inlineStr">
        <is>
          <t>M</t>
        </is>
      </c>
      <c r="F694" t="inlineStr">
        <is>
          <t>CO</t>
        </is>
      </c>
      <c r="G694" t="inlineStr">
        <is>
          <t>VH</t>
        </is>
      </c>
      <c r="H694" t="inlineStr">
        <is>
          <t>4</t>
        </is>
      </c>
      <c r="I694" t="inlineStr">
        <is>
          <t>Public</t>
        </is>
      </c>
      <c r="J694" t="inlineStr">
        <is>
          <t>176</t>
        </is>
      </c>
      <c r="K694" t="inlineStr">
        <is>
          <t>210</t>
        </is>
      </c>
      <c r="L694">
        <f>233</f>
        <v/>
      </c>
      <c r="M694" t="inlineStr">
        <is>
          <t>177</t>
        </is>
      </c>
      <c r="N694" t="inlineStr">
        <is>
          <t>59</t>
        </is>
      </c>
      <c r="O694" t="inlineStr">
        <is>
          <t>41.3</t>
        </is>
      </c>
      <c r="P694" t="n">
        <v>67</v>
      </c>
      <c r="Q694" t="inlineStr">
        <is>
          <t>148</t>
        </is>
      </c>
      <c r="R694" t="n">
        <v>77.09999999999999</v>
      </c>
      <c r="S694" t="inlineStr">
        <is>
          <t>116</t>
        </is>
      </c>
      <c r="T694" t="n">
        <v>34.2</v>
      </c>
      <c r="U694" t="inlineStr">
        <is>
          <t>574</t>
        </is>
      </c>
      <c r="V694" t="n">
        <v>73.5</v>
      </c>
      <c r="W694" t="inlineStr">
        <is>
          <t>187</t>
        </is>
      </c>
      <c r="X694" t="n">
        <v>26.7</v>
      </c>
      <c r="Y694" t="inlineStr">
        <is>
          <t>630</t>
        </is>
      </c>
      <c r="Z694" t="n">
        <v>37.3</v>
      </c>
      <c r="AA694" t="inlineStr">
        <is>
          <t>522</t>
        </is>
      </c>
      <c r="AB694" t="n">
        <v>40.4</v>
      </c>
      <c r="AC694" t="inlineStr">
        <is>
          <t>501</t>
        </is>
      </c>
      <c r="AD694" t="n">
        <v>42.1</v>
      </c>
      <c r="AE694" t="inlineStr">
        <is>
          <t>801+</t>
        </is>
      </c>
      <c r="AF694" t="n">
        <v>25.4</v>
      </c>
      <c r="AG694" t="inlineStr">
        <is>
          <t>633</t>
        </is>
      </c>
      <c r="AH694" t="n">
        <v>57.8</v>
      </c>
      <c r="AI694" t="inlineStr">
        <is>
          <t>546=</t>
        </is>
      </c>
      <c r="AJ694" t="inlineStr">
        <is>
          <t>53.1</t>
        </is>
      </c>
      <c r="AK694" t="inlineStr">
        <is>
          <t>147</t>
        </is>
      </c>
      <c r="AL694" t="inlineStr">
        <is>
          <t>67.7</t>
        </is>
      </c>
      <c r="AM694" t="inlineStr">
        <is>
          <t>111</t>
        </is>
      </c>
      <c r="AN694" t="inlineStr">
        <is>
          <t>28.3</t>
        </is>
      </c>
      <c r="AO694" t="inlineStr">
        <is>
          <t>542</t>
        </is>
      </c>
      <c r="AP694" t="inlineStr">
        <is>
          <t>38.3</t>
        </is>
      </c>
      <c r="AQ694" t="inlineStr">
        <is>
          <t>363</t>
        </is>
      </c>
      <c r="AR694" t="inlineStr">
        <is>
          <t>16.8</t>
        </is>
      </c>
      <c r="AS694" t="inlineStr">
        <is>
          <t>635</t>
        </is>
      </c>
      <c r="AT694" t="inlineStr">
        <is>
          <t>20.1</t>
        </is>
      </c>
      <c r="AU694" t="inlineStr">
        <is>
          <t>546</t>
        </is>
      </c>
      <c r="AV694" t="inlineStr">
        <is>
          <t>6.7</t>
        </is>
      </c>
      <c r="AW694" t="inlineStr">
        <is>
          <t>701+</t>
        </is>
      </c>
      <c r="AX694" t="inlineStr">
        <is>
          <t>15.9</t>
        </is>
      </c>
      <c r="AY694" t="inlineStr">
        <is>
          <t>525</t>
        </is>
      </c>
      <c r="AZ694" t="inlineStr">
        <is>
          <t>30.5</t>
        </is>
      </c>
      <c r="BA694" t="inlineStr">
        <is>
          <t>444=</t>
        </is>
      </c>
    </row>
    <row r="695">
      <c r="A695" t="inlineStr">
        <is>
          <t>National University Lviv Polytechnic</t>
        </is>
      </c>
      <c r="B695" t="inlineStr">
        <is>
          <t>Ukraine</t>
        </is>
      </c>
      <c r="C695" t="inlineStr"/>
      <c r="D695" t="inlineStr">
        <is>
          <t>Europe</t>
        </is>
      </c>
      <c r="E695" t="inlineStr">
        <is>
          <t>L</t>
        </is>
      </c>
      <c r="F695" t="inlineStr">
        <is>
          <t>CO</t>
        </is>
      </c>
      <c r="G695" t="inlineStr">
        <is>
          <t>VH</t>
        </is>
      </c>
      <c r="H695" t="inlineStr"/>
      <c r="I695" t="inlineStr">
        <is>
          <t>Public</t>
        </is>
      </c>
      <c r="J695" t="inlineStr">
        <is>
          <t>1001-1200</t>
        </is>
      </c>
      <c r="K695" t="inlineStr">
        <is>
          <t>1001-1200</t>
        </is>
      </c>
      <c r="L695" t="inlineStr"/>
      <c r="M695" t="inlineStr"/>
      <c r="N695" t="inlineStr">
        <is>
          <t>-</t>
        </is>
      </c>
      <c r="O695" t="inlineStr"/>
      <c r="P695" t="n">
        <v>9.6</v>
      </c>
      <c r="Q695" t="inlineStr">
        <is>
          <t>701+</t>
        </is>
      </c>
      <c r="R695" t="n">
        <v>26.3</v>
      </c>
      <c r="S695" t="inlineStr">
        <is>
          <t>518</t>
        </is>
      </c>
      <c r="T695" t="n">
        <v>38.6</v>
      </c>
      <c r="U695" t="inlineStr">
        <is>
          <t>525</t>
        </is>
      </c>
      <c r="V695" t="n">
        <v>2.6</v>
      </c>
      <c r="W695" t="inlineStr">
        <is>
          <t>801+</t>
        </is>
      </c>
      <c r="X695" t="n">
        <v>3.7</v>
      </c>
      <c r="Y695" t="inlineStr">
        <is>
          <t>801+</t>
        </is>
      </c>
      <c r="Z695" t="n">
        <v>2.1</v>
      </c>
      <c r="AA695" t="inlineStr">
        <is>
          <t>801+</t>
        </is>
      </c>
      <c r="AB695" t="n">
        <v>6.4</v>
      </c>
      <c r="AC695" t="inlineStr">
        <is>
          <t>801+</t>
        </is>
      </c>
      <c r="AD695" t="n">
        <v>20.2</v>
      </c>
      <c r="AE695" t="inlineStr">
        <is>
          <t>801+</t>
        </is>
      </c>
      <c r="AF695" t="n">
        <v>17.9</v>
      </c>
      <c r="AG695" t="inlineStr">
        <is>
          <t>761</t>
        </is>
      </c>
      <c r="AH695" t="n">
        <v>50.8</v>
      </c>
      <c r="AI695" t="inlineStr">
        <is>
          <t>688=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</row>
    <row r="696">
      <c r="A696" t="inlineStr">
        <is>
          <t>National University of Kyiv-Mohyla Academy (NaUKMA)</t>
        </is>
      </c>
      <c r="B696" t="inlineStr">
        <is>
          <t>Ukraine</t>
        </is>
      </c>
      <c r="C696" t="inlineStr">
        <is>
          <t>UA</t>
        </is>
      </c>
      <c r="D696" t="inlineStr">
        <is>
          <t>Europe</t>
        </is>
      </c>
      <c r="E696" t="inlineStr">
        <is>
          <t>S</t>
        </is>
      </c>
      <c r="F696" t="inlineStr">
        <is>
          <t>FO</t>
        </is>
      </c>
      <c r="G696" t="inlineStr">
        <is>
          <t>VH</t>
        </is>
      </c>
      <c r="H696" t="inlineStr">
        <is>
          <t>5</t>
        </is>
      </c>
      <c r="I696" t="inlineStr">
        <is>
          <t>Public</t>
        </is>
      </c>
      <c r="J696" t="inlineStr">
        <is>
          <t>1201-1400</t>
        </is>
      </c>
      <c r="K696" t="inlineStr">
        <is>
          <t>1001-1200</t>
        </is>
      </c>
      <c r="L696" t="inlineStr">
        <is>
          <t>1001-1200</t>
        </is>
      </c>
      <c r="M696" t="inlineStr">
        <is>
          <t>1001-1200</t>
        </is>
      </c>
      <c r="N696" t="inlineStr">
        <is>
          <t>-</t>
        </is>
      </c>
      <c r="O696" t="inlineStr">
        <is>
          <t>-</t>
        </is>
      </c>
      <c r="P696" t="n">
        <v>5.6</v>
      </c>
      <c r="Q696" t="inlineStr">
        <is>
          <t>701+</t>
        </is>
      </c>
      <c r="R696" t="n">
        <v>26.8</v>
      </c>
      <c r="S696" t="inlineStr">
        <is>
          <t>512</t>
        </is>
      </c>
      <c r="T696" t="n">
        <v>57.1</v>
      </c>
      <c r="U696" t="inlineStr">
        <is>
          <t>322</t>
        </is>
      </c>
      <c r="V696" t="n">
        <v>1.5</v>
      </c>
      <c r="W696" t="inlineStr">
        <is>
          <t>801+</t>
        </is>
      </c>
      <c r="X696" t="n">
        <v>2.6</v>
      </c>
      <c r="Y696" t="inlineStr">
        <is>
          <t>801+</t>
        </is>
      </c>
      <c r="Z696" t="n">
        <v>1.3</v>
      </c>
      <c r="AA696" t="inlineStr">
        <is>
          <t>801+</t>
        </is>
      </c>
      <c r="AB696" t="n">
        <v>5.7</v>
      </c>
      <c r="AC696" t="inlineStr">
        <is>
          <t>801+</t>
        </is>
      </c>
      <c r="AD696" t="n">
        <v>6.1</v>
      </c>
      <c r="AE696" t="inlineStr">
        <is>
          <t>801+</t>
        </is>
      </c>
      <c r="AF696" t="n">
        <v>29.9</v>
      </c>
      <c r="AG696" t="inlineStr">
        <is>
          <t>550</t>
        </is>
      </c>
      <c r="AH696" t="n">
        <v>16.5</v>
      </c>
      <c r="AI696" t="inlineStr">
        <is>
          <t>801+</t>
        </is>
      </c>
      <c r="AJ696" t="inlineStr">
        <is>
          <t>5.2</t>
        </is>
      </c>
      <c r="AK696" t="inlineStr">
        <is>
          <t>601+</t>
        </is>
      </c>
      <c r="AL696" t="inlineStr">
        <is>
          <t>11.6</t>
        </is>
      </c>
      <c r="AM696" t="inlineStr">
        <is>
          <t>601+</t>
        </is>
      </c>
      <c r="AN696" t="inlineStr">
        <is>
          <t>39.9</t>
        </is>
      </c>
      <c r="AO696" t="inlineStr">
        <is>
          <t>396</t>
        </is>
      </c>
      <c r="AP696" t="inlineStr">
        <is>
          <t>1.2</t>
        </is>
      </c>
      <c r="AQ696" t="inlineStr">
        <is>
          <t>701+</t>
        </is>
      </c>
      <c r="AR696" t="inlineStr">
        <is>
          <t>2.2</t>
        </is>
      </c>
      <c r="AS696" t="inlineStr">
        <is>
          <t>701+</t>
        </is>
      </c>
      <c r="AT696" t="inlineStr">
        <is>
          <t>1.4</t>
        </is>
      </c>
      <c r="AU696" t="inlineStr">
        <is>
          <t>701+</t>
        </is>
      </c>
      <c r="AV696" t="inlineStr">
        <is>
          <t>1.0</t>
        </is>
      </c>
      <c r="AW696" t="inlineStr">
        <is>
          <t>701+</t>
        </is>
      </c>
      <c r="AX696" t="inlineStr">
        <is>
          <t>12.7</t>
        </is>
      </c>
      <c r="AY696" t="inlineStr">
        <is>
          <t>685</t>
        </is>
      </c>
      <c r="AZ696" t="inlineStr">
        <is>
          <t>1.3</t>
        </is>
      </c>
      <c r="BA696" t="inlineStr">
        <is>
          <t>701+</t>
        </is>
      </c>
    </row>
    <row r="697">
      <c r="A697" t="inlineStr">
        <is>
          <t>National University of Life and Environmental Sciences of Ukraine</t>
        </is>
      </c>
      <c r="B697" t="inlineStr">
        <is>
          <t>Ukraine</t>
        </is>
      </c>
      <c r="C697" t="inlineStr">
        <is>
          <t>UA</t>
        </is>
      </c>
      <c r="D697" t="inlineStr"/>
      <c r="E697" t="inlineStr">
        <is>
          <t>L</t>
        </is>
      </c>
      <c r="F697" t="inlineStr">
        <is>
          <t>FO</t>
        </is>
      </c>
      <c r="G697" t="inlineStr">
        <is>
          <t>HI</t>
        </is>
      </c>
      <c r="H697" t="inlineStr">
        <is>
          <t>5</t>
        </is>
      </c>
      <c r="I697" t="inlineStr">
        <is>
          <t>A</t>
        </is>
      </c>
      <c r="J697" t="inlineStr"/>
      <c r="K697" t="inlineStr"/>
      <c r="L697" t="inlineStr">
        <is>
          <t>1201-1400</t>
        </is>
      </c>
      <c r="M697" t="inlineStr">
        <is>
          <t>1201-1400</t>
        </is>
      </c>
      <c r="N697" t="inlineStr"/>
      <c r="O697" t="inlineStr">
        <is>
          <t>-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5.7</t>
        </is>
      </c>
      <c r="AK697" t="inlineStr">
        <is>
          <t>601+</t>
        </is>
      </c>
      <c r="AL697" t="inlineStr">
        <is>
          <t>4.4</t>
        </is>
      </c>
      <c r="AM697" t="inlineStr">
        <is>
          <t>601+</t>
        </is>
      </c>
      <c r="AN697" t="inlineStr">
        <is>
          <t>17.2</t>
        </is>
      </c>
      <c r="AO697" t="inlineStr">
        <is>
          <t>701+</t>
        </is>
      </c>
      <c r="AP697" t="inlineStr">
        <is>
          <t>1.4</t>
        </is>
      </c>
      <c r="AQ697" t="inlineStr">
        <is>
          <t>701+</t>
        </is>
      </c>
      <c r="AR697" t="inlineStr">
        <is>
          <t>1.2</t>
        </is>
      </c>
      <c r="AS697" t="inlineStr">
        <is>
          <t>701+</t>
        </is>
      </c>
      <c r="AT697" t="inlineStr">
        <is>
          <t>1.2</t>
        </is>
      </c>
      <c r="AU697" t="inlineStr">
        <is>
          <t>701+</t>
        </is>
      </c>
      <c r="AV697" t="inlineStr">
        <is>
          <t>1.1</t>
        </is>
      </c>
      <c r="AW697" t="inlineStr">
        <is>
          <t>701+</t>
        </is>
      </c>
      <c r="AX697" t="inlineStr">
        <is>
          <t>9.8</t>
        </is>
      </c>
      <c r="AY697" t="inlineStr">
        <is>
          <t>701+</t>
        </is>
      </c>
      <c r="AZ697" t="inlineStr">
        <is>
          <t>1.1</t>
        </is>
      </c>
      <c r="BA697" t="inlineStr">
        <is>
          <t>701+</t>
        </is>
      </c>
    </row>
    <row r="698">
      <c r="A698" t="inlineStr">
        <is>
          <t>National University of Modern Languages (NUML), Islamabad</t>
        </is>
      </c>
      <c r="B698" t="inlineStr">
        <is>
          <t>Pakistan</t>
        </is>
      </c>
      <c r="C698" t="inlineStr">
        <is>
          <t>PK</t>
        </is>
      </c>
      <c r="D698" t="inlineStr"/>
      <c r="E698" t="inlineStr">
        <is>
          <t>L</t>
        </is>
      </c>
      <c r="F698" t="inlineStr">
        <is>
          <t>FO</t>
        </is>
      </c>
      <c r="G698" t="inlineStr">
        <is>
          <t>MD</t>
        </is>
      </c>
      <c r="H698" t="inlineStr">
        <is>
          <t>4</t>
        </is>
      </c>
      <c r="I698" t="inlineStr"/>
      <c r="J698" t="inlineStr"/>
      <c r="K698" t="inlineStr"/>
      <c r="L698" t="inlineStr">
        <is>
          <t>1201-1400</t>
        </is>
      </c>
      <c r="M698" t="inlineStr"/>
      <c r="N698" t="inlineStr"/>
      <c r="O698" t="inlineStr">
        <is>
          <t>-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6.6</t>
        </is>
      </c>
      <c r="AK698" t="inlineStr">
        <is>
          <t>601+</t>
        </is>
      </c>
      <c r="AL698" t="inlineStr">
        <is>
          <t>7.2</t>
        </is>
      </c>
      <c r="AM698" t="inlineStr">
        <is>
          <t>601+</t>
        </is>
      </c>
      <c r="AN698" t="inlineStr">
        <is>
          <t>5.3</t>
        </is>
      </c>
      <c r="AO698" t="inlineStr">
        <is>
          <t>701+</t>
        </is>
      </c>
      <c r="AP698" t="inlineStr">
        <is>
          <t>1.4</t>
        </is>
      </c>
      <c r="AQ698" t="inlineStr">
        <is>
          <t>701+</t>
        </is>
      </c>
      <c r="AR698" t="inlineStr">
        <is>
          <t>4.8</t>
        </is>
      </c>
      <c r="AS698" t="inlineStr">
        <is>
          <t>701+</t>
        </is>
      </c>
      <c r="AT698" t="inlineStr">
        <is>
          <t>1.3</t>
        </is>
      </c>
      <c r="AU698" t="inlineStr">
        <is>
          <t>701+</t>
        </is>
      </c>
      <c r="AV698" t="inlineStr">
        <is>
          <t>1.0</t>
        </is>
      </c>
      <c r="AW698" t="inlineStr">
        <is>
          <t>701+</t>
        </is>
      </c>
      <c r="AX698" t="inlineStr">
        <is>
          <t>7.8</t>
        </is>
      </c>
      <c r="AY698" t="inlineStr">
        <is>
          <t>701+</t>
        </is>
      </c>
      <c r="AZ698" t="inlineStr"/>
      <c r="BA698" t="inlineStr"/>
    </row>
    <row r="699">
      <c r="A699" t="inlineStr">
        <is>
          <t>National University of Science and Technology MISiS</t>
        </is>
      </c>
      <c r="B699" t="inlineStr">
        <is>
          <t>Russia</t>
        </is>
      </c>
      <c r="C699" t="inlineStr"/>
      <c r="D699" t="inlineStr">
        <is>
          <t>Europe</t>
        </is>
      </c>
      <c r="E699" t="inlineStr">
        <is>
          <t>M</t>
        </is>
      </c>
      <c r="F699" t="inlineStr">
        <is>
          <t>FO</t>
        </is>
      </c>
      <c r="G699" t="inlineStr">
        <is>
          <t>VH</t>
        </is>
      </c>
      <c r="H699" t="inlineStr"/>
      <c r="I699" t="inlineStr">
        <is>
          <t>Public</t>
        </is>
      </c>
      <c r="J699" t="inlineStr">
        <is>
          <t>721-730</t>
        </is>
      </c>
      <c r="K699" t="inlineStr">
        <is>
          <t>711-720</t>
        </is>
      </c>
      <c r="L699" t="inlineStr"/>
      <c r="M699" t="inlineStr"/>
      <c r="N699" t="inlineStr">
        <is>
          <t>-</t>
        </is>
      </c>
      <c r="O699" t="inlineStr"/>
      <c r="P699" t="n">
        <v>7.2</v>
      </c>
      <c r="Q699" t="inlineStr">
        <is>
          <t>701+</t>
        </is>
      </c>
      <c r="R699" t="n">
        <v>15.5</v>
      </c>
      <c r="S699" t="inlineStr">
        <is>
          <t>701+</t>
        </is>
      </c>
      <c r="T699" t="n">
        <v>76.8</v>
      </c>
      <c r="U699" t="inlineStr">
        <is>
          <t>186</t>
        </is>
      </c>
      <c r="V699" t="n">
        <v>21</v>
      </c>
      <c r="W699" t="inlineStr">
        <is>
          <t>698</t>
        </is>
      </c>
      <c r="X699" t="n">
        <v>10.7</v>
      </c>
      <c r="Y699" t="inlineStr">
        <is>
          <t>801+</t>
        </is>
      </c>
      <c r="Z699" t="n">
        <v>67.40000000000001</v>
      </c>
      <c r="AA699" t="inlineStr">
        <is>
          <t>294</t>
        </is>
      </c>
      <c r="AB699" t="n">
        <v>70.2</v>
      </c>
      <c r="AC699" t="inlineStr">
        <is>
          <t>268</t>
        </is>
      </c>
      <c r="AD699" t="n">
        <v>43.7</v>
      </c>
      <c r="AE699" t="inlineStr">
        <is>
          <t>801+</t>
        </is>
      </c>
      <c r="AF699" t="n">
        <v>25.1</v>
      </c>
      <c r="AG699" t="inlineStr">
        <is>
          <t>638</t>
        </is>
      </c>
      <c r="AH699" t="n">
        <v>37.5</v>
      </c>
      <c r="AI699" t="inlineStr">
        <is>
          <t>801+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</row>
    <row r="700">
      <c r="A700" t="inlineStr">
        <is>
          <t>National University of Sciences And Technology (NUST) Islamabad</t>
        </is>
      </c>
      <c r="B700" t="inlineStr">
        <is>
          <t>Pakistan</t>
        </is>
      </c>
      <c r="C700" t="inlineStr">
        <is>
          <t>PK</t>
        </is>
      </c>
      <c r="D700" t="inlineStr">
        <is>
          <t>Asia</t>
        </is>
      </c>
      <c r="E700" t="inlineStr">
        <is>
          <t>L</t>
        </is>
      </c>
      <c r="F700" t="inlineStr">
        <is>
          <t>FC</t>
        </is>
      </c>
      <c r="G700" t="inlineStr">
        <is>
          <t>VH</t>
        </is>
      </c>
      <c r="H700" t="inlineStr">
        <is>
          <t>3</t>
        </is>
      </c>
      <c r="I700" t="inlineStr">
        <is>
          <t>Public</t>
        </is>
      </c>
      <c r="J700" t="inlineStr">
        <is>
          <t>371</t>
        </is>
      </c>
      <c r="K700" t="inlineStr">
        <is>
          <t>353</t>
        </is>
      </c>
      <c r="L700" t="inlineStr">
        <is>
          <t>367</t>
        </is>
      </c>
      <c r="M700" t="inlineStr">
        <is>
          <t>334</t>
        </is>
      </c>
      <c r="N700" t="inlineStr">
        <is>
          <t>40.3</t>
        </is>
      </c>
      <c r="O700" t="inlineStr">
        <is>
          <t>30.2</t>
        </is>
      </c>
      <c r="P700" t="n">
        <v>29.3</v>
      </c>
      <c r="Q700" t="inlineStr">
        <is>
          <t>421</t>
        </is>
      </c>
      <c r="R700" t="n">
        <v>76.3</v>
      </c>
      <c r="S700" t="inlineStr">
        <is>
          <t>121</t>
        </is>
      </c>
      <c r="T700" t="n">
        <v>66.7</v>
      </c>
      <c r="U700" t="inlineStr">
        <is>
          <t>259</t>
        </is>
      </c>
      <c r="V700" t="n">
        <v>32.3</v>
      </c>
      <c r="W700" t="inlineStr">
        <is>
          <t>559</t>
        </is>
      </c>
      <c r="X700" t="n">
        <v>5.7</v>
      </c>
      <c r="Y700" t="inlineStr">
        <is>
          <t>801+</t>
        </is>
      </c>
      <c r="Z700" t="n">
        <v>5</v>
      </c>
      <c r="AA700" t="inlineStr">
        <is>
          <t>801+</t>
        </is>
      </c>
      <c r="AB700" t="n">
        <v>9.300000000000001</v>
      </c>
      <c r="AC700" t="inlineStr">
        <is>
          <t>801+</t>
        </is>
      </c>
      <c r="AD700" t="n">
        <v>76.59999999999999</v>
      </c>
      <c r="AE700" t="inlineStr">
        <is>
          <t>411</t>
        </is>
      </c>
      <c r="AF700" t="n">
        <v>3.4</v>
      </c>
      <c r="AG700" t="inlineStr">
        <is>
          <t>801+</t>
        </is>
      </c>
      <c r="AH700" t="n">
        <v>63.3</v>
      </c>
      <c r="AI700" t="inlineStr">
        <is>
          <t>435</t>
        </is>
      </c>
      <c r="AJ700" t="inlineStr">
        <is>
          <t>18.9</t>
        </is>
      </c>
      <c r="AK700" t="inlineStr">
        <is>
          <t>472</t>
        </is>
      </c>
      <c r="AL700" t="inlineStr">
        <is>
          <t>72.7</t>
        </is>
      </c>
      <c r="AM700" t="inlineStr">
        <is>
          <t>93</t>
        </is>
      </c>
      <c r="AN700" t="inlineStr">
        <is>
          <t>77.4</t>
        </is>
      </c>
      <c r="AO700" t="inlineStr">
        <is>
          <t>151</t>
        </is>
      </c>
      <c r="AP700" t="inlineStr">
        <is>
          <t>11.7</t>
        </is>
      </c>
      <c r="AQ700" t="inlineStr">
        <is>
          <t>701+</t>
        </is>
      </c>
      <c r="AR700" t="inlineStr">
        <is>
          <t>2.6</t>
        </is>
      </c>
      <c r="AS700" t="inlineStr">
        <is>
          <t>701+</t>
        </is>
      </c>
      <c r="AT700" t="inlineStr">
        <is>
          <t>3.9</t>
        </is>
      </c>
      <c r="AU700" t="inlineStr">
        <is>
          <t>701+</t>
        </is>
      </c>
      <c r="AV700" t="inlineStr">
        <is>
          <t>23.5</t>
        </is>
      </c>
      <c r="AW700" t="inlineStr">
        <is>
          <t>512</t>
        </is>
      </c>
      <c r="AX700" t="inlineStr">
        <is>
          <t>9</t>
        </is>
      </c>
      <c r="AY700" t="inlineStr">
        <is>
          <t>701+</t>
        </is>
      </c>
      <c r="AZ700" t="inlineStr">
        <is>
          <t>30.7</t>
        </is>
      </c>
      <c r="BA700" t="inlineStr">
        <is>
          <t>438=</t>
        </is>
      </c>
    </row>
    <row r="701">
      <c r="A701" t="inlineStr">
        <is>
          <t>National University of Singapore (NUS)</t>
        </is>
      </c>
      <c r="B701" t="inlineStr">
        <is>
          <t>Singapore</t>
        </is>
      </c>
      <c r="C701" t="inlineStr">
        <is>
          <t>SG</t>
        </is>
      </c>
      <c r="D701" t="inlineStr">
        <is>
          <t>Asia</t>
        </is>
      </c>
      <c r="E701" t="inlineStr">
        <is>
          <t>XL</t>
        </is>
      </c>
      <c r="F701" t="inlineStr">
        <is>
          <t>FC</t>
        </is>
      </c>
      <c r="G701" t="inlineStr">
        <is>
          <t>VH</t>
        </is>
      </c>
      <c r="H701" t="inlineStr">
        <is>
          <t>3</t>
        </is>
      </c>
      <c r="I701" t="inlineStr">
        <is>
          <t>Public</t>
        </is>
      </c>
      <c r="J701" t="inlineStr">
        <is>
          <t>8</t>
        </is>
      </c>
      <c r="K701" t="inlineStr">
        <is>
          <t>8</t>
        </is>
      </c>
      <c r="L701" t="inlineStr">
        <is>
          <t>8</t>
        </is>
      </c>
      <c r="M701" t="inlineStr">
        <is>
          <t>11</t>
        </is>
      </c>
      <c r="N701" t="inlineStr">
        <is>
          <t>95.9</t>
        </is>
      </c>
      <c r="O701" t="inlineStr">
        <is>
          <t>92.7</t>
        </is>
      </c>
      <c r="P701" t="n">
        <v>99.90000000000001</v>
      </c>
      <c r="Q701" t="inlineStr">
        <is>
          <t>14</t>
        </is>
      </c>
      <c r="R701" t="n">
        <v>98.2</v>
      </c>
      <c r="S701" t="inlineStr">
        <is>
          <t>32</t>
        </is>
      </c>
      <c r="T701" t="n">
        <v>71.5</v>
      </c>
      <c r="U701" t="inlineStr">
        <is>
          <t>216</t>
        </is>
      </c>
      <c r="V701" t="n">
        <v>95.90000000000001</v>
      </c>
      <c r="W701" t="inlineStr">
        <is>
          <t>64</t>
        </is>
      </c>
      <c r="X701" t="n">
        <v>100</v>
      </c>
      <c r="Y701" t="inlineStr">
        <is>
          <t>37</t>
        </is>
      </c>
      <c r="Z701" t="n">
        <v>96.90000000000001</v>
      </c>
      <c r="AA701" t="inlineStr">
        <is>
          <t>101</t>
        </is>
      </c>
      <c r="AB701" t="n">
        <v>72.09999999999999</v>
      </c>
      <c r="AC701" t="inlineStr">
        <is>
          <t>253</t>
        </is>
      </c>
      <c r="AD701" t="n">
        <v>92.40000000000001</v>
      </c>
      <c r="AE701" t="inlineStr">
        <is>
          <t>140</t>
        </is>
      </c>
      <c r="AF701" t="n">
        <v>100</v>
      </c>
      <c r="AG701" t="inlineStr">
        <is>
          <t>9</t>
        </is>
      </c>
      <c r="AH701" t="n">
        <v>90</v>
      </c>
      <c r="AI701" t="inlineStr">
        <is>
          <t>63=</t>
        </is>
      </c>
      <c r="AJ701" t="inlineStr">
        <is>
          <t>99.4</t>
        </is>
      </c>
      <c r="AK701" t="inlineStr">
        <is>
          <t>15</t>
        </is>
      </c>
      <c r="AL701" t="inlineStr">
        <is>
          <t>88.6</t>
        </is>
      </c>
      <c r="AM701" t="inlineStr">
        <is>
          <t>54</t>
        </is>
      </c>
      <c r="AN701" t="inlineStr">
        <is>
          <t>76.5</t>
        </is>
      </c>
      <c r="AO701" t="inlineStr">
        <is>
          <t>157</t>
        </is>
      </c>
      <c r="AP701" t="inlineStr">
        <is>
          <t>93.2</t>
        </is>
      </c>
      <c r="AQ701" t="inlineStr">
        <is>
          <t>64</t>
        </is>
      </c>
      <c r="AR701" t="inlineStr">
        <is>
          <t>100.0</t>
        </is>
      </c>
      <c r="AS701" t="inlineStr">
        <is>
          <t>33</t>
        </is>
      </c>
      <c r="AT701" t="inlineStr">
        <is>
          <t>81.9</t>
        </is>
      </c>
      <c r="AU701" t="inlineStr">
        <is>
          <t>154</t>
        </is>
      </c>
      <c r="AV701" t="inlineStr">
        <is>
          <t>76.3</t>
        </is>
      </c>
      <c r="AW701" t="inlineStr">
        <is>
          <t>165</t>
        </is>
      </c>
      <c r="AX701" t="inlineStr">
        <is>
          <t>100</t>
        </is>
      </c>
      <c r="AY701" t="inlineStr">
        <is>
          <t>7</t>
        </is>
      </c>
      <c r="AZ701" t="inlineStr">
        <is>
          <t>88.1</t>
        </is>
      </c>
      <c r="BA701" t="inlineStr">
        <is>
          <t>106=</t>
        </is>
      </c>
    </row>
    <row r="702">
      <c r="A702" t="inlineStr">
        <is>
          <t>National University of Uzbekistan</t>
        </is>
      </c>
      <c r="B702" t="inlineStr">
        <is>
          <t>Uzbekistan</t>
        </is>
      </c>
      <c r="C702" t="inlineStr"/>
      <c r="D702" t="inlineStr">
        <is>
          <t>Asia</t>
        </is>
      </c>
      <c r="E702" t="inlineStr">
        <is>
          <t>L</t>
        </is>
      </c>
      <c r="F702" t="inlineStr">
        <is>
          <t>CO</t>
        </is>
      </c>
      <c r="G702" t="inlineStr">
        <is>
          <t>HI</t>
        </is>
      </c>
      <c r="H702" t="inlineStr"/>
      <c r="I702" t="inlineStr">
        <is>
          <t>Public</t>
        </is>
      </c>
      <c r="J702" t="inlineStr">
        <is>
          <t>721-730</t>
        </is>
      </c>
      <c r="K702" t="inlineStr">
        <is>
          <t>781-790</t>
        </is>
      </c>
      <c r="L702" t="inlineStr"/>
      <c r="M702" t="inlineStr"/>
      <c r="N702" t="inlineStr">
        <is>
          <t>-</t>
        </is>
      </c>
      <c r="O702" t="inlineStr"/>
      <c r="P702" t="n">
        <v>29.7</v>
      </c>
      <c r="Q702" t="inlineStr">
        <is>
          <t>412</t>
        </is>
      </c>
      <c r="R702" t="n">
        <v>38.9</v>
      </c>
      <c r="S702" t="inlineStr">
        <is>
          <t>355</t>
        </is>
      </c>
      <c r="T702" t="n">
        <v>7.5</v>
      </c>
      <c r="U702" t="inlineStr">
        <is>
          <t>801+</t>
        </is>
      </c>
      <c r="V702" t="n">
        <v>1.9</v>
      </c>
      <c r="W702" t="inlineStr">
        <is>
          <t>801+</t>
        </is>
      </c>
      <c r="X702" t="n">
        <v>92.90000000000001</v>
      </c>
      <c r="Y702" t="inlineStr">
        <is>
          <t>200</t>
        </is>
      </c>
      <c r="Z702" t="n">
        <v>6.8</v>
      </c>
      <c r="AA702" t="inlineStr">
        <is>
          <t>801+</t>
        </is>
      </c>
      <c r="AB702" t="n">
        <v>10.4</v>
      </c>
      <c r="AC702" t="inlineStr">
        <is>
          <t>801+</t>
        </is>
      </c>
      <c r="AD702" t="n">
        <v>21.3</v>
      </c>
      <c r="AE702" t="inlineStr">
        <is>
          <t>801+</t>
        </is>
      </c>
      <c r="AF702" t="n">
        <v>30.4</v>
      </c>
      <c r="AG702" t="inlineStr">
        <is>
          <t>545</t>
        </is>
      </c>
      <c r="AH702" t="n">
        <v>43.5</v>
      </c>
      <c r="AI702" t="inlineStr">
        <is>
          <t>801+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</row>
    <row r="703">
      <c r="A703" t="inlineStr">
        <is>
          <t>National Yang Ming Chiao Tung University</t>
        </is>
      </c>
      <c r="B703" t="inlineStr">
        <is>
          <t>Taiwan</t>
        </is>
      </c>
      <c r="C703" t="inlineStr">
        <is>
          <t>TW</t>
        </is>
      </c>
      <c r="D703" t="inlineStr">
        <is>
          <t>Asia</t>
        </is>
      </c>
      <c r="E703" t="inlineStr">
        <is>
          <t>L</t>
        </is>
      </c>
      <c r="F703" t="inlineStr">
        <is>
          <t>FC</t>
        </is>
      </c>
      <c r="G703" t="inlineStr">
        <is>
          <t>VH</t>
        </is>
      </c>
      <c r="H703" t="inlineStr">
        <is>
          <t>1</t>
        </is>
      </c>
      <c r="I703" t="inlineStr">
        <is>
          <t>Public</t>
        </is>
      </c>
      <c r="J703" t="inlineStr">
        <is>
          <t>199</t>
        </is>
      </c>
      <c r="K703" t="inlineStr">
        <is>
          <t>219</t>
        </is>
      </c>
      <c r="L703" t="inlineStr">
        <is>
          <t>217</t>
        </is>
      </c>
      <c r="M703" t="inlineStr">
        <is>
          <t>202</t>
        </is>
      </c>
      <c r="N703" t="inlineStr">
        <is>
          <t>55.7</t>
        </is>
      </c>
      <c r="O703" t="inlineStr">
        <is>
          <t>43.3</t>
        </is>
      </c>
      <c r="P703" t="n">
        <v>42.1</v>
      </c>
      <c r="Q703" t="inlineStr">
        <is>
          <t>285</t>
        </is>
      </c>
      <c r="R703" t="n">
        <v>68.5</v>
      </c>
      <c r="S703" t="inlineStr">
        <is>
          <t>153</t>
        </is>
      </c>
      <c r="T703" t="n">
        <v>55.4</v>
      </c>
      <c r="U703" t="inlineStr">
        <is>
          <t>339</t>
        </is>
      </c>
      <c r="V703" t="n">
        <v>71.8</v>
      </c>
      <c r="W703" t="inlineStr">
        <is>
          <t>202</t>
        </is>
      </c>
      <c r="X703" t="n">
        <v>29.1</v>
      </c>
      <c r="Y703" t="inlineStr">
        <is>
          <t>593</t>
        </is>
      </c>
      <c r="Z703" t="n">
        <v>31.9</v>
      </c>
      <c r="AA703" t="inlineStr">
        <is>
          <t>569</t>
        </is>
      </c>
      <c r="AB703" t="n">
        <v>37.7</v>
      </c>
      <c r="AC703" t="inlineStr">
        <is>
          <t>520</t>
        </is>
      </c>
      <c r="AD703" t="n">
        <v>54.1</v>
      </c>
      <c r="AE703" t="inlineStr">
        <is>
          <t>782</t>
        </is>
      </c>
      <c r="AF703" t="n">
        <v>75.8</v>
      </c>
      <c r="AG703" t="inlineStr">
        <is>
          <t>179</t>
        </is>
      </c>
      <c r="AH703" t="n">
        <v>74.09999999999999</v>
      </c>
      <c r="AI703" t="inlineStr">
        <is>
          <t>255=</t>
        </is>
      </c>
      <c r="AJ703" t="inlineStr">
        <is>
          <t>33.3</t>
        </is>
      </c>
      <c r="AK703" t="inlineStr">
        <is>
          <t>262</t>
        </is>
      </c>
      <c r="AL703" t="inlineStr">
        <is>
          <t>67.9</t>
        </is>
      </c>
      <c r="AM703" t="inlineStr">
        <is>
          <t>110</t>
        </is>
      </c>
      <c r="AN703" t="inlineStr">
        <is>
          <t>53.9</t>
        </is>
      </c>
      <c r="AO703" t="inlineStr">
        <is>
          <t>286</t>
        </is>
      </c>
      <c r="AP703" t="inlineStr">
        <is>
          <t>52.1</t>
        </is>
      </c>
      <c r="AQ703" t="inlineStr">
        <is>
          <t>247</t>
        </is>
      </c>
      <c r="AR703" t="inlineStr">
        <is>
          <t>19.0</t>
        </is>
      </c>
      <c r="AS703" t="inlineStr">
        <is>
          <t>601</t>
        </is>
      </c>
      <c r="AT703" t="inlineStr">
        <is>
          <t>18.5</t>
        </is>
      </c>
      <c r="AU703" t="inlineStr">
        <is>
          <t>566</t>
        </is>
      </c>
      <c r="AV703" t="inlineStr">
        <is>
          <t>4.4</t>
        </is>
      </c>
      <c r="AW703" t="inlineStr">
        <is>
          <t>701+</t>
        </is>
      </c>
      <c r="AX703" t="inlineStr">
        <is>
          <t>44.6</t>
        </is>
      </c>
      <c r="AY703" t="inlineStr">
        <is>
          <t>160</t>
        </is>
      </c>
      <c r="AZ703" t="inlineStr">
        <is>
          <t>54.3</t>
        </is>
      </c>
      <c r="BA703" t="inlineStr">
        <is>
          <t>283=</t>
        </is>
      </c>
    </row>
    <row r="704">
      <c r="A704" t="inlineStr">
        <is>
          <t>New Jersey Institute of Technology (NJIT)</t>
        </is>
      </c>
      <c r="B704" t="inlineStr">
        <is>
          <t>United States</t>
        </is>
      </c>
      <c r="C704" t="inlineStr">
        <is>
          <t>US</t>
        </is>
      </c>
      <c r="D704" t="inlineStr">
        <is>
          <t>Americas</t>
        </is>
      </c>
      <c r="E704" t="inlineStr">
        <is>
          <t>M</t>
        </is>
      </c>
      <c r="F704" t="inlineStr">
        <is>
          <t>FO</t>
        </is>
      </c>
      <c r="G704" t="inlineStr">
        <is>
          <t>VH</t>
        </is>
      </c>
      <c r="H704" t="inlineStr">
        <is>
          <t>5</t>
        </is>
      </c>
      <c r="I704" t="inlineStr">
        <is>
          <t>Public</t>
        </is>
      </c>
      <c r="J704" t="inlineStr">
        <is>
          <t>761-770</t>
        </is>
      </c>
      <c r="K704" t="inlineStr">
        <is>
          <t>791-800</t>
        </is>
      </c>
      <c r="L704" t="inlineStr">
        <is>
          <t>641-650</t>
        </is>
      </c>
      <c r="M704" t="inlineStr">
        <is>
          <t>651-700</t>
        </is>
      </c>
      <c r="N704" t="inlineStr">
        <is>
          <t>-</t>
        </is>
      </c>
      <c r="O704" t="inlineStr">
        <is>
          <t>-</t>
        </is>
      </c>
      <c r="P704" t="n">
        <v>7.5</v>
      </c>
      <c r="Q704" t="inlineStr">
        <is>
          <t>701+</t>
        </is>
      </c>
      <c r="R704" t="n">
        <v>19.8</v>
      </c>
      <c r="S704" t="inlineStr">
        <is>
          <t>666</t>
        </is>
      </c>
      <c r="T704" t="n">
        <v>13.2</v>
      </c>
      <c r="U704" t="inlineStr">
        <is>
          <t>801+</t>
        </is>
      </c>
      <c r="V704" t="n">
        <v>40.6</v>
      </c>
      <c r="W704" t="inlineStr">
        <is>
          <t>462</t>
        </is>
      </c>
      <c r="X704" t="n">
        <v>36</v>
      </c>
      <c r="Y704" t="inlineStr">
        <is>
          <t>529</t>
        </is>
      </c>
      <c r="Z704" t="n">
        <v>65.40000000000001</v>
      </c>
      <c r="AA704" t="inlineStr">
        <is>
          <t>306</t>
        </is>
      </c>
      <c r="AB704" t="n">
        <v>68.7</v>
      </c>
      <c r="AC704" t="inlineStr">
        <is>
          <t>281</t>
        </is>
      </c>
      <c r="AD704" t="n">
        <v>37.7</v>
      </c>
      <c r="AE704" t="inlineStr">
        <is>
          <t>801+</t>
        </is>
      </c>
      <c r="AF704" t="n">
        <v>10.4</v>
      </c>
      <c r="AG704" t="inlineStr">
        <is>
          <t>801+</t>
        </is>
      </c>
      <c r="AH704" t="n">
        <v>54.2</v>
      </c>
      <c r="AI704" t="inlineStr">
        <is>
          <t>619=</t>
        </is>
      </c>
      <c r="AJ704" t="inlineStr">
        <is>
          <t>3.9</t>
        </is>
      </c>
      <c r="AK704" t="inlineStr">
        <is>
          <t>601+</t>
        </is>
      </c>
      <c r="AL704" t="inlineStr">
        <is>
          <t>6.1</t>
        </is>
      </c>
      <c r="AM704" t="inlineStr">
        <is>
          <t>601+</t>
        </is>
      </c>
      <c r="AN704" t="inlineStr">
        <is>
          <t>14.0</t>
        </is>
      </c>
      <c r="AO704" t="inlineStr">
        <is>
          <t>701+</t>
        </is>
      </c>
      <c r="AP704" t="inlineStr">
        <is>
          <t>27.5</t>
        </is>
      </c>
      <c r="AQ704" t="inlineStr">
        <is>
          <t>454</t>
        </is>
      </c>
      <c r="AR704" t="inlineStr">
        <is>
          <t>84.5</t>
        </is>
      </c>
      <c r="AS704" t="inlineStr">
        <is>
          <t>211</t>
        </is>
      </c>
      <c r="AT704" t="inlineStr">
        <is>
          <t>69.9</t>
        </is>
      </c>
      <c r="AU704" t="inlineStr">
        <is>
          <t>211</t>
        </is>
      </c>
      <c r="AV704" t="inlineStr">
        <is>
          <t>1.9</t>
        </is>
      </c>
      <c r="AW704" t="inlineStr">
        <is>
          <t>701+</t>
        </is>
      </c>
      <c r="AX704" t="inlineStr">
        <is>
          <t>9.9</t>
        </is>
      </c>
      <c r="AY704" t="inlineStr">
        <is>
          <t>701+</t>
        </is>
      </c>
      <c r="AZ704" t="inlineStr">
        <is>
          <t>20.5</t>
        </is>
      </c>
      <c r="BA704" t="inlineStr">
        <is>
          <t>540=</t>
        </is>
      </c>
    </row>
    <row r="705">
      <c r="A705" t="inlineStr">
        <is>
          <t>New Mexico State University</t>
        </is>
      </c>
      <c r="B705" t="inlineStr">
        <is>
          <t>United States</t>
        </is>
      </c>
      <c r="C705" t="inlineStr"/>
      <c r="D705" t="inlineStr">
        <is>
          <t>Americas</t>
        </is>
      </c>
      <c r="E705" t="inlineStr">
        <is>
          <t>L</t>
        </is>
      </c>
      <c r="F705" t="inlineStr">
        <is>
          <t>CO</t>
        </is>
      </c>
      <c r="G705" t="inlineStr">
        <is>
          <t>VH</t>
        </is>
      </c>
      <c r="H705" t="inlineStr"/>
      <c r="I705" t="inlineStr"/>
      <c r="J705" t="inlineStr">
        <is>
          <t>1201-1400</t>
        </is>
      </c>
      <c r="K705" t="inlineStr"/>
      <c r="L705" t="inlineStr"/>
      <c r="M705" t="inlineStr"/>
      <c r="N705" t="inlineStr">
        <is>
          <t>-</t>
        </is>
      </c>
      <c r="O705" t="inlineStr"/>
      <c r="P705" t="n">
        <v>6.6</v>
      </c>
      <c r="Q705" t="inlineStr">
        <is>
          <t>701+</t>
        </is>
      </c>
      <c r="R705" t="n">
        <v>6.8</v>
      </c>
      <c r="S705" t="inlineStr">
        <is>
          <t>701+</t>
        </is>
      </c>
      <c r="T705" t="n">
        <v>13</v>
      </c>
      <c r="U705" t="inlineStr">
        <is>
          <t>801+</t>
        </is>
      </c>
      <c r="V705" t="n">
        <v>21.3</v>
      </c>
      <c r="W705" t="inlineStr">
        <is>
          <t>695</t>
        </is>
      </c>
      <c r="X705" t="n">
        <v>10.4</v>
      </c>
      <c r="Y705" t="inlineStr">
        <is>
          <t>801+</t>
        </is>
      </c>
      <c r="Z705" t="n">
        <v>10</v>
      </c>
      <c r="AA705" t="inlineStr">
        <is>
          <t>801+</t>
        </is>
      </c>
      <c r="AB705" t="n">
        <v>7.7</v>
      </c>
      <c r="AC705" t="inlineStr">
        <is>
          <t>801+</t>
        </is>
      </c>
      <c r="AD705" t="n">
        <v>38.6</v>
      </c>
      <c r="AE705" t="inlineStr">
        <is>
          <t>801+</t>
        </is>
      </c>
      <c r="AF705" t="n">
        <v>10.8</v>
      </c>
      <c r="AG705" t="inlineStr">
        <is>
          <t>801+</t>
        </is>
      </c>
      <c r="AH705" t="n">
        <v>43</v>
      </c>
      <c r="AI705" t="inlineStr">
        <is>
          <t>801+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</row>
    <row r="706">
      <c r="A706" t="inlineStr">
        <is>
          <t>New York University (NYU)</t>
        </is>
      </c>
      <c r="B706" t="inlineStr">
        <is>
          <t>United States</t>
        </is>
      </c>
      <c r="C706" t="inlineStr">
        <is>
          <t>US</t>
        </is>
      </c>
      <c r="D706" t="inlineStr">
        <is>
          <t>Americas</t>
        </is>
      </c>
      <c r="E706" t="inlineStr">
        <is>
          <t>XL</t>
        </is>
      </c>
      <c r="F706" t="inlineStr">
        <is>
          <t>FC</t>
        </is>
      </c>
      <c r="G706" t="inlineStr">
        <is>
          <t>VH</t>
        </is>
      </c>
      <c r="H706" t="inlineStr">
        <is>
          <t>5</t>
        </is>
      </c>
      <c r="I706" t="inlineStr">
        <is>
          <t>Private not for Profit</t>
        </is>
      </c>
      <c r="J706" t="inlineStr">
        <is>
          <t>55</t>
        </is>
      </c>
      <c r="K706" t="inlineStr">
        <is>
          <t>43</t>
        </is>
      </c>
      <c r="L706">
        <f>38</f>
        <v/>
      </c>
      <c r="M706" t="inlineStr">
        <is>
          <t>39</t>
        </is>
      </c>
      <c r="N706" t="inlineStr">
        <is>
          <t>81.1</t>
        </is>
      </c>
      <c r="O706" t="inlineStr">
        <is>
          <t>79.5</t>
        </is>
      </c>
      <c r="P706" t="n">
        <v>98.59999999999999</v>
      </c>
      <c r="Q706" t="inlineStr">
        <is>
          <t>32</t>
        </is>
      </c>
      <c r="R706" t="n">
        <v>99.90000000000001</v>
      </c>
      <c r="S706" t="inlineStr">
        <is>
          <t>12</t>
        </is>
      </c>
      <c r="T706" t="n">
        <v>89</v>
      </c>
      <c r="U706" t="inlineStr">
        <is>
          <t>109</t>
        </is>
      </c>
      <c r="V706" t="n">
        <v>31.7</v>
      </c>
      <c r="W706" t="inlineStr">
        <is>
          <t>568</t>
        </is>
      </c>
      <c r="X706" t="n">
        <v>33.1</v>
      </c>
      <c r="Y706" t="inlineStr">
        <is>
          <t>553</t>
        </is>
      </c>
      <c r="Z706" t="n">
        <v>99.7</v>
      </c>
      <c r="AA706" t="inlineStr">
        <is>
          <t>52</t>
        </is>
      </c>
      <c r="AB706" t="n">
        <v>99.7</v>
      </c>
      <c r="AC706" t="inlineStr">
        <is>
          <t>42</t>
        </is>
      </c>
      <c r="AD706" t="n">
        <v>93.5</v>
      </c>
      <c r="AE706" t="inlineStr">
        <is>
          <t>115</t>
        </is>
      </c>
      <c r="AF706" t="n">
        <v>99.5</v>
      </c>
      <c r="AG706" t="inlineStr">
        <is>
          <t>19</t>
        </is>
      </c>
      <c r="AH706" t="n">
        <v>91.3</v>
      </c>
      <c r="AI706" t="inlineStr">
        <is>
          <t>52</t>
        </is>
      </c>
      <c r="AJ706" t="inlineStr">
        <is>
          <t>95.9</t>
        </is>
      </c>
      <c r="AK706" t="inlineStr">
        <is>
          <t>32</t>
        </is>
      </c>
      <c r="AL706" t="inlineStr">
        <is>
          <t>98.5</t>
        </is>
      </c>
      <c r="AM706" t="inlineStr">
        <is>
          <t>15</t>
        </is>
      </c>
      <c r="AN706" t="inlineStr">
        <is>
          <t>95.5</t>
        </is>
      </c>
      <c r="AO706" t="inlineStr">
        <is>
          <t>60</t>
        </is>
      </c>
      <c r="AP706" t="inlineStr">
        <is>
          <t>26.7</t>
        </is>
      </c>
      <c r="AQ706" t="inlineStr">
        <is>
          <t>465</t>
        </is>
      </c>
      <c r="AR706" t="inlineStr">
        <is>
          <t>26.4</t>
        </is>
      </c>
      <c r="AS706" t="inlineStr">
        <is>
          <t>518</t>
        </is>
      </c>
      <c r="AT706" t="inlineStr">
        <is>
          <t>95.0</t>
        </is>
      </c>
      <c r="AU706" t="inlineStr">
        <is>
          <t>87</t>
        </is>
      </c>
      <c r="AV706" t="inlineStr">
        <is>
          <t>85.4</t>
        </is>
      </c>
      <c r="AW706" t="inlineStr">
        <is>
          <t>114</t>
        </is>
      </c>
      <c r="AX706" t="inlineStr">
        <is>
          <t>99.7</t>
        </is>
      </c>
      <c r="AY706" t="inlineStr">
        <is>
          <t>13</t>
        </is>
      </c>
      <c r="AZ706" t="inlineStr">
        <is>
          <t>98.3</t>
        </is>
      </c>
      <c r="BA706" t="inlineStr">
        <is>
          <t>20</t>
        </is>
      </c>
    </row>
    <row r="707">
      <c r="A707" t="inlineStr">
        <is>
          <t>Newcastle University</t>
        </is>
      </c>
      <c r="B707" t="inlineStr">
        <is>
          <t>United Kingdom</t>
        </is>
      </c>
      <c r="C707" t="inlineStr">
        <is>
          <t>UK</t>
        </is>
      </c>
      <c r="D707" t="inlineStr">
        <is>
          <t>Europe</t>
        </is>
      </c>
      <c r="E707" t="inlineStr">
        <is>
          <t>L</t>
        </is>
      </c>
      <c r="F707" t="inlineStr">
        <is>
          <t>FC</t>
        </is>
      </c>
      <c r="G707" t="inlineStr">
        <is>
          <t>VH</t>
        </is>
      </c>
      <c r="H707" t="inlineStr">
        <is>
          <t>4</t>
        </is>
      </c>
      <c r="I707" t="inlineStr">
        <is>
          <t>Public</t>
        </is>
      </c>
      <c r="J707" t="inlineStr">
        <is>
          <t>137</t>
        </is>
      </c>
      <c r="K707" t="inlineStr">
        <is>
          <t>129</t>
        </is>
      </c>
      <c r="L707" t="inlineStr">
        <is>
          <t>110</t>
        </is>
      </c>
      <c r="M707" t="inlineStr">
        <is>
          <t>122</t>
        </is>
      </c>
      <c r="N707" t="inlineStr">
        <is>
          <t>63.9</t>
        </is>
      </c>
      <c r="O707" t="inlineStr">
        <is>
          <t>58.6</t>
        </is>
      </c>
      <c r="P707" t="n">
        <v>62.9</v>
      </c>
      <c r="Q707" t="inlineStr">
        <is>
          <t>162</t>
        </is>
      </c>
      <c r="R707" t="n">
        <v>68.7</v>
      </c>
      <c r="S707" t="inlineStr">
        <is>
          <t>152</t>
        </is>
      </c>
      <c r="T707" t="n">
        <v>49.5</v>
      </c>
      <c r="U707" t="inlineStr">
        <is>
          <t>388</t>
        </is>
      </c>
      <c r="V707" t="n">
        <v>49.1</v>
      </c>
      <c r="W707" t="inlineStr">
        <is>
          <t>379</t>
        </is>
      </c>
      <c r="X707" t="n">
        <v>92.5</v>
      </c>
      <c r="Y707" t="inlineStr">
        <is>
          <t>205</t>
        </is>
      </c>
      <c r="Z707" t="n">
        <v>81</v>
      </c>
      <c r="AA707" t="inlineStr">
        <is>
          <t>220</t>
        </is>
      </c>
      <c r="AB707" t="n">
        <v>82.8</v>
      </c>
      <c r="AC707" t="inlineStr">
        <is>
          <t>185</t>
        </is>
      </c>
      <c r="AD707" t="n">
        <v>95.8</v>
      </c>
      <c r="AE707" t="inlineStr">
        <is>
          <t>65</t>
        </is>
      </c>
      <c r="AF707" t="n">
        <v>40.5</v>
      </c>
      <c r="AG707" t="inlineStr">
        <is>
          <t>433</t>
        </is>
      </c>
      <c r="AH707" t="n">
        <v>90.90000000000001</v>
      </c>
      <c r="AI707" t="inlineStr">
        <is>
          <t>56</t>
        </is>
      </c>
      <c r="AJ707" t="inlineStr">
        <is>
          <t>48.0</t>
        </is>
      </c>
      <c r="AK707" t="inlineStr">
        <is>
          <t>170</t>
        </is>
      </c>
      <c r="AL707" t="inlineStr">
        <is>
          <t>74.5</t>
        </is>
      </c>
      <c r="AM707" t="inlineStr">
        <is>
          <t>87</t>
        </is>
      </c>
      <c r="AN707" t="inlineStr">
        <is>
          <t>35.6</t>
        </is>
      </c>
      <c r="AO707" t="inlineStr">
        <is>
          <t>445</t>
        </is>
      </c>
      <c r="AP707" t="inlineStr">
        <is>
          <t>50.2</t>
        </is>
      </c>
      <c r="AQ707" t="inlineStr">
        <is>
          <t>264</t>
        </is>
      </c>
      <c r="AR707" t="inlineStr">
        <is>
          <t>90.0</t>
        </is>
      </c>
      <c r="AS707" t="inlineStr">
        <is>
          <t>182</t>
        </is>
      </c>
      <c r="AT707" t="inlineStr">
        <is>
          <t>70.9</t>
        </is>
      </c>
      <c r="AU707" t="inlineStr">
        <is>
          <t>203</t>
        </is>
      </c>
      <c r="AV707" t="inlineStr">
        <is>
          <t>96.1</t>
        </is>
      </c>
      <c r="AW707" t="inlineStr">
        <is>
          <t>39</t>
        </is>
      </c>
      <c r="AX707" t="inlineStr">
        <is>
          <t>24.1</t>
        </is>
      </c>
      <c r="AY707" t="inlineStr">
        <is>
          <t>349</t>
        </is>
      </c>
      <c r="AZ707" t="inlineStr">
        <is>
          <t>98.8</t>
        </is>
      </c>
      <c r="BA707" t="inlineStr">
        <is>
          <t>17</t>
        </is>
      </c>
    </row>
    <row r="708">
      <c r="A708" t="inlineStr">
        <is>
          <t>Nicolaus Copernicus University</t>
        </is>
      </c>
      <c r="B708" t="inlineStr">
        <is>
          <t>Poland</t>
        </is>
      </c>
      <c r="C708" t="inlineStr">
        <is>
          <t>PL</t>
        </is>
      </c>
      <c r="D708" t="inlineStr">
        <is>
          <t>Europe</t>
        </is>
      </c>
      <c r="E708" t="inlineStr">
        <is>
          <t>L</t>
        </is>
      </c>
      <c r="F708" t="inlineStr">
        <is>
          <t>FC</t>
        </is>
      </c>
      <c r="G708" t="inlineStr">
        <is>
          <t>HI</t>
        </is>
      </c>
      <c r="H708" t="inlineStr">
        <is>
          <t>4</t>
        </is>
      </c>
      <c r="I708" t="inlineStr">
        <is>
          <t>Public</t>
        </is>
      </c>
      <c r="J708" t="inlineStr">
        <is>
          <t>1001-1200</t>
        </is>
      </c>
      <c r="K708" t="inlineStr">
        <is>
          <t>901-950</t>
        </is>
      </c>
      <c r="L708" t="inlineStr">
        <is>
          <t>901-950</t>
        </is>
      </c>
      <c r="M708" t="inlineStr">
        <is>
          <t>801-1000</t>
        </is>
      </c>
      <c r="N708" t="inlineStr">
        <is>
          <t>-</t>
        </is>
      </c>
      <c r="O708" t="inlineStr">
        <is>
          <t>-</t>
        </is>
      </c>
      <c r="P708" t="n">
        <v>10.3</v>
      </c>
      <c r="Q708" t="inlineStr">
        <is>
          <t>701+</t>
        </is>
      </c>
      <c r="R708" t="n">
        <v>4.8</v>
      </c>
      <c r="S708" t="inlineStr">
        <is>
          <t>701+</t>
        </is>
      </c>
      <c r="T708" t="n">
        <v>65.8</v>
      </c>
      <c r="U708" t="inlineStr">
        <is>
          <t>262</t>
        </is>
      </c>
      <c r="V708" t="n">
        <v>9.4</v>
      </c>
      <c r="W708" t="inlineStr">
        <is>
          <t>801+</t>
        </is>
      </c>
      <c r="X708" t="n">
        <v>4.6</v>
      </c>
      <c r="Y708" t="inlineStr">
        <is>
          <t>801+</t>
        </is>
      </c>
      <c r="Z708" t="n">
        <v>11.3</v>
      </c>
      <c r="AA708" t="inlineStr">
        <is>
          <t>801+</t>
        </is>
      </c>
      <c r="AB708" t="n">
        <v>15.8</v>
      </c>
      <c r="AC708" t="inlineStr">
        <is>
          <t>801+</t>
        </is>
      </c>
      <c r="AD708" t="n">
        <v>81.3</v>
      </c>
      <c r="AE708" t="inlineStr">
        <is>
          <t>325</t>
        </is>
      </c>
      <c r="AF708" t="n">
        <v>3.9</v>
      </c>
      <c r="AG708" t="inlineStr">
        <is>
          <t>801+</t>
        </is>
      </c>
      <c r="AH708" t="n">
        <v>30.1</v>
      </c>
      <c r="AI708" t="inlineStr">
        <is>
          <t>801+</t>
        </is>
      </c>
      <c r="AJ708" t="inlineStr">
        <is>
          <t>7.5</t>
        </is>
      </c>
      <c r="AK708" t="inlineStr">
        <is>
          <t>601+</t>
        </is>
      </c>
      <c r="AL708" t="inlineStr">
        <is>
          <t>3.0</t>
        </is>
      </c>
      <c r="AM708" t="inlineStr">
        <is>
          <t>601+</t>
        </is>
      </c>
      <c r="AN708" t="inlineStr">
        <is>
          <t>48.7</t>
        </is>
      </c>
      <c r="AO708" t="inlineStr">
        <is>
          <t>323</t>
        </is>
      </c>
      <c r="AP708" t="inlineStr">
        <is>
          <t>4.8</t>
        </is>
      </c>
      <c r="AQ708" t="inlineStr">
        <is>
          <t>701+</t>
        </is>
      </c>
      <c r="AR708" t="inlineStr">
        <is>
          <t>3.4</t>
        </is>
      </c>
      <c r="AS708" t="inlineStr">
        <is>
          <t>701+</t>
        </is>
      </c>
      <c r="AT708" t="inlineStr">
        <is>
          <t>4.8</t>
        </is>
      </c>
      <c r="AU708" t="inlineStr">
        <is>
          <t>701+</t>
        </is>
      </c>
      <c r="AV708" t="inlineStr">
        <is>
          <t>51.1</t>
        </is>
      </c>
      <c r="AW708" t="inlineStr">
        <is>
          <t>305</t>
        </is>
      </c>
      <c r="AX708" t="inlineStr">
        <is>
          <t>8.2</t>
        </is>
      </c>
      <c r="AY708" t="inlineStr">
        <is>
          <t>701+</t>
        </is>
      </c>
      <c r="AZ708" t="inlineStr">
        <is>
          <t>2</t>
        </is>
      </c>
      <c r="BA708" t="inlineStr">
        <is>
          <t>701+</t>
        </is>
      </c>
    </row>
    <row r="709">
      <c r="A709" t="inlineStr">
        <is>
          <t>Niigata University</t>
        </is>
      </c>
      <c r="B709" t="inlineStr">
        <is>
          <t>Japan</t>
        </is>
      </c>
      <c r="C709" t="inlineStr">
        <is>
          <t>JP</t>
        </is>
      </c>
      <c r="D709" t="inlineStr">
        <is>
          <t>Asia</t>
        </is>
      </c>
      <c r="E709" t="inlineStr">
        <is>
          <t>L</t>
        </is>
      </c>
      <c r="F709" t="inlineStr">
        <is>
          <t>FC</t>
        </is>
      </c>
      <c r="G709" t="inlineStr">
        <is>
          <t>HI</t>
        </is>
      </c>
      <c r="H709" t="inlineStr">
        <is>
          <t>4</t>
        </is>
      </c>
      <c r="I709" t="inlineStr">
        <is>
          <t>Public</t>
        </is>
      </c>
      <c r="J709" t="inlineStr">
        <is>
          <t>1001-1200</t>
        </is>
      </c>
      <c r="K709" t="inlineStr">
        <is>
          <t>951-1000</t>
        </is>
      </c>
      <c r="L709" t="inlineStr">
        <is>
          <t>851-900</t>
        </is>
      </c>
      <c r="M709" t="inlineStr">
        <is>
          <t>561-570</t>
        </is>
      </c>
      <c r="N709" t="inlineStr">
        <is>
          <t>-</t>
        </is>
      </c>
      <c r="O709" t="inlineStr">
        <is>
          <t>-</t>
        </is>
      </c>
      <c r="P709" t="n">
        <v>6.6</v>
      </c>
      <c r="Q709" t="inlineStr">
        <is>
          <t>701+</t>
        </is>
      </c>
      <c r="R709" t="n">
        <v>5.1</v>
      </c>
      <c r="S709" t="inlineStr">
        <is>
          <t>701+</t>
        </is>
      </c>
      <c r="T709" t="n">
        <v>88.7</v>
      </c>
      <c r="U709" t="inlineStr">
        <is>
          <t>110</t>
        </is>
      </c>
      <c r="V709" t="n">
        <v>6.7</v>
      </c>
      <c r="W709" t="inlineStr">
        <is>
          <t>801+</t>
        </is>
      </c>
      <c r="X709" t="n">
        <v>6.6</v>
      </c>
      <c r="Y709" t="inlineStr">
        <is>
          <t>801+</t>
        </is>
      </c>
      <c r="Z709" t="n">
        <v>6.1</v>
      </c>
      <c r="AA709" t="inlineStr">
        <is>
          <t>801+</t>
        </is>
      </c>
      <c r="AB709" t="n">
        <v>10.6</v>
      </c>
      <c r="AC709" t="inlineStr">
        <is>
          <t>801+</t>
        </is>
      </c>
      <c r="AD709" t="n">
        <v>23.1</v>
      </c>
      <c r="AE709" t="inlineStr">
        <is>
          <t>801+</t>
        </is>
      </c>
      <c r="AF709" t="n">
        <v>7.2</v>
      </c>
      <c r="AG709" t="inlineStr">
        <is>
          <t>801+</t>
        </is>
      </c>
      <c r="AH709" t="n">
        <v>43</v>
      </c>
      <c r="AI709" t="inlineStr">
        <is>
          <t>801+</t>
        </is>
      </c>
      <c r="AJ709" t="inlineStr">
        <is>
          <t>4.9</t>
        </is>
      </c>
      <c r="AK709" t="inlineStr">
        <is>
          <t>601+</t>
        </is>
      </c>
      <c r="AL709" t="inlineStr">
        <is>
          <t>3.3</t>
        </is>
      </c>
      <c r="AM709" t="inlineStr">
        <is>
          <t>601+</t>
        </is>
      </c>
      <c r="AN709" t="inlineStr">
        <is>
          <t>88.1</t>
        </is>
      </c>
      <c r="AO709" t="inlineStr">
        <is>
          <t>93</t>
        </is>
      </c>
      <c r="AP709" t="inlineStr">
        <is>
          <t>4.6</t>
        </is>
      </c>
      <c r="AQ709" t="inlineStr">
        <is>
          <t>701+</t>
        </is>
      </c>
      <c r="AR709" t="inlineStr">
        <is>
          <t>4.2</t>
        </is>
      </c>
      <c r="AS709" t="inlineStr">
        <is>
          <t>701+</t>
        </is>
      </c>
      <c r="AT709" t="inlineStr">
        <is>
          <t>3.3</t>
        </is>
      </c>
      <c r="AU709" t="inlineStr">
        <is>
          <t>701+</t>
        </is>
      </c>
      <c r="AV709" t="inlineStr">
        <is>
          <t>1.2</t>
        </is>
      </c>
      <c r="AW709" t="inlineStr">
        <is>
          <t>701+</t>
        </is>
      </c>
      <c r="AX709" t="inlineStr">
        <is>
          <t>9.2</t>
        </is>
      </c>
      <c r="AY709" t="inlineStr">
        <is>
          <t>701+</t>
        </is>
      </c>
      <c r="AZ709" t="inlineStr">
        <is>
          <t>3</t>
        </is>
      </c>
      <c r="BA709" t="inlineStr">
        <is>
          <t>701+</t>
        </is>
      </c>
    </row>
    <row r="710">
      <c r="A710" t="inlineStr">
        <is>
          <t>Nile University</t>
        </is>
      </c>
      <c r="B710" t="inlineStr">
        <is>
          <t>Egypt</t>
        </is>
      </c>
      <c r="C710" t="inlineStr"/>
      <c r="D710" t="inlineStr">
        <is>
          <t>Africa</t>
        </is>
      </c>
      <c r="E710" t="inlineStr">
        <is>
          <t>S</t>
        </is>
      </c>
      <c r="F710" t="inlineStr">
        <is>
          <t>SP</t>
        </is>
      </c>
      <c r="G710" t="inlineStr">
        <is>
          <t>HI</t>
        </is>
      </c>
      <c r="H710" t="inlineStr"/>
      <c r="I710" t="inlineStr">
        <is>
          <t>Private not for Profit</t>
        </is>
      </c>
      <c r="J710" t="inlineStr">
        <is>
          <t>1401+</t>
        </is>
      </c>
      <c r="K710" t="inlineStr"/>
      <c r="L710" t="inlineStr"/>
      <c r="M710" t="inlineStr"/>
      <c r="N710" t="inlineStr">
        <is>
          <t>-</t>
        </is>
      </c>
      <c r="O710" t="inlineStr"/>
      <c r="P710" t="n">
        <v>8.6</v>
      </c>
      <c r="Q710" t="inlineStr">
        <is>
          <t>701+</t>
        </is>
      </c>
      <c r="R710" t="n">
        <v>4.6</v>
      </c>
      <c r="S710" t="inlineStr">
        <is>
          <t>701+</t>
        </is>
      </c>
      <c r="T710" t="n">
        <v>29.2</v>
      </c>
      <c r="U710" t="inlineStr">
        <is>
          <t>646</t>
        </is>
      </c>
      <c r="V710" t="n">
        <v>7.4</v>
      </c>
      <c r="W710" t="inlineStr">
        <is>
          <t>801+</t>
        </is>
      </c>
      <c r="X710" t="n">
        <v>5.5</v>
      </c>
      <c r="Y710" t="inlineStr">
        <is>
          <t>801+</t>
        </is>
      </c>
      <c r="Z710" t="n">
        <v>2.7</v>
      </c>
      <c r="AA710" t="inlineStr">
        <is>
          <t>801+</t>
        </is>
      </c>
      <c r="AB710" t="n">
        <v>6.9</v>
      </c>
      <c r="AC710" t="inlineStr">
        <is>
          <t>801+</t>
        </is>
      </c>
      <c r="AD710" t="n">
        <v>9.800000000000001</v>
      </c>
      <c r="AE710" t="inlineStr">
        <is>
          <t>801+</t>
        </is>
      </c>
      <c r="AF710" t="n">
        <v>3.3</v>
      </c>
      <c r="AG710" t="inlineStr">
        <is>
          <t>801+</t>
        </is>
      </c>
      <c r="AH710" t="n">
        <v>19.8</v>
      </c>
      <c r="AI710" t="inlineStr">
        <is>
          <t>801+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</row>
    <row r="711">
      <c r="A711" t="inlineStr">
        <is>
          <t>NJSC KIMEP University</t>
        </is>
      </c>
      <c r="B711" t="inlineStr">
        <is>
          <t>Kazakhstan</t>
        </is>
      </c>
      <c r="C711" t="inlineStr">
        <is>
          <t>KZ</t>
        </is>
      </c>
      <c r="D711" t="inlineStr"/>
      <c r="E711" t="inlineStr">
        <is>
          <t>S</t>
        </is>
      </c>
      <c r="F711" t="inlineStr">
        <is>
          <t>SP</t>
        </is>
      </c>
      <c r="G711" t="inlineStr"/>
      <c r="H711" t="inlineStr">
        <is>
          <t>3</t>
        </is>
      </c>
      <c r="I711" t="inlineStr">
        <is>
          <t>B</t>
        </is>
      </c>
      <c r="J711" t="inlineStr"/>
      <c r="K711" t="inlineStr"/>
      <c r="L711" t="inlineStr">
        <is>
          <t>951-1000</t>
        </is>
      </c>
      <c r="M711" t="inlineStr">
        <is>
          <t>801-1000</t>
        </is>
      </c>
      <c r="N711" t="inlineStr"/>
      <c r="O711" t="inlineStr">
        <is>
          <t>-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5.9</t>
        </is>
      </c>
      <c r="AK711" t="inlineStr">
        <is>
          <t>601+</t>
        </is>
      </c>
      <c r="AL711" t="inlineStr">
        <is>
          <t>11.9</t>
        </is>
      </c>
      <c r="AM711" t="inlineStr">
        <is>
          <t>601+</t>
        </is>
      </c>
      <c r="AN711" t="inlineStr">
        <is>
          <t>17.7</t>
        </is>
      </c>
      <c r="AO711" t="inlineStr">
        <is>
          <t>701+</t>
        </is>
      </c>
      <c r="AP711" t="inlineStr">
        <is>
          <t>3.5</t>
        </is>
      </c>
      <c r="AQ711" t="inlineStr">
        <is>
          <t>701+</t>
        </is>
      </c>
      <c r="AR711" t="inlineStr">
        <is>
          <t>75.2</t>
        </is>
      </c>
      <c r="AS711" t="inlineStr">
        <is>
          <t>251</t>
        </is>
      </c>
      <c r="AT711" t="inlineStr">
        <is>
          <t>19.8</t>
        </is>
      </c>
      <c r="AU711" t="inlineStr">
        <is>
          <t>550</t>
        </is>
      </c>
      <c r="AV711" t="inlineStr">
        <is>
          <t>1.0</t>
        </is>
      </c>
      <c r="AW711" t="inlineStr">
        <is>
          <t>701+</t>
        </is>
      </c>
      <c r="AX711" t="inlineStr">
        <is>
          <t>14.8</t>
        </is>
      </c>
      <c r="AY711" t="inlineStr">
        <is>
          <t>567</t>
        </is>
      </c>
      <c r="AZ711" t="inlineStr">
        <is>
          <t>1.2</t>
        </is>
      </c>
      <c r="BA711" t="inlineStr">
        <is>
          <t>701+</t>
        </is>
      </c>
    </row>
    <row r="712">
      <c r="A712" t="inlineStr">
        <is>
          <t>North Carolina State University</t>
        </is>
      </c>
      <c r="B712" t="inlineStr">
        <is>
          <t>United States</t>
        </is>
      </c>
      <c r="C712" t="inlineStr">
        <is>
          <t>US</t>
        </is>
      </c>
      <c r="D712" t="inlineStr">
        <is>
          <t>Americas</t>
        </is>
      </c>
      <c r="E712" t="inlineStr">
        <is>
          <t>XL</t>
        </is>
      </c>
      <c r="F712" t="inlineStr">
        <is>
          <t>CO</t>
        </is>
      </c>
      <c r="G712" t="inlineStr">
        <is>
          <t>VH</t>
        </is>
      </c>
      <c r="H712" t="inlineStr">
        <is>
          <t>5</t>
        </is>
      </c>
      <c r="I712" t="inlineStr">
        <is>
          <t>Public</t>
        </is>
      </c>
      <c r="J712" t="inlineStr">
        <is>
          <t>272</t>
        </is>
      </c>
      <c r="K712" t="inlineStr">
        <is>
          <t>311</t>
        </is>
      </c>
      <c r="L712" t="inlineStr">
        <is>
          <t>274</t>
        </is>
      </c>
      <c r="M712" t="inlineStr">
        <is>
          <t>312=</t>
        </is>
      </c>
      <c r="N712" t="inlineStr">
        <is>
          <t>48.2</t>
        </is>
      </c>
      <c r="O712" t="inlineStr">
        <is>
          <t>37.2</t>
        </is>
      </c>
      <c r="P712" t="n">
        <v>36.4</v>
      </c>
      <c r="Q712" t="inlineStr">
        <is>
          <t>333</t>
        </is>
      </c>
      <c r="R712" t="n">
        <v>47.9</v>
      </c>
      <c r="S712" t="inlineStr">
        <is>
          <t>271</t>
        </is>
      </c>
      <c r="T712" t="n">
        <v>12.2</v>
      </c>
      <c r="U712" t="inlineStr">
        <is>
          <t>801+</t>
        </is>
      </c>
      <c r="V712" t="n">
        <v>72.90000000000001</v>
      </c>
      <c r="W712" t="inlineStr">
        <is>
          <t>190</t>
        </is>
      </c>
      <c r="X712" t="n">
        <v>67.5</v>
      </c>
      <c r="Y712" t="inlineStr">
        <is>
          <t>347</t>
        </is>
      </c>
      <c r="Z712" t="n">
        <v>25.6</v>
      </c>
      <c r="AA712" t="inlineStr">
        <is>
          <t>651</t>
        </is>
      </c>
      <c r="AB712" t="n">
        <v>31.7</v>
      </c>
      <c r="AC712" t="inlineStr">
        <is>
          <t>594</t>
        </is>
      </c>
      <c r="AD712" t="n">
        <v>79.8</v>
      </c>
      <c r="AE712" t="inlineStr">
        <is>
          <t>356</t>
        </is>
      </c>
      <c r="AF712" t="n">
        <v>37.7</v>
      </c>
      <c r="AG712" t="inlineStr">
        <is>
          <t>464</t>
        </is>
      </c>
      <c r="AH712" t="n">
        <v>86.7</v>
      </c>
      <c r="AI712" t="inlineStr">
        <is>
          <t>91=</t>
        </is>
      </c>
      <c r="AJ712" t="inlineStr">
        <is>
          <t>27.8</t>
        </is>
      </c>
      <c r="AK712" t="inlineStr">
        <is>
          <t>315</t>
        </is>
      </c>
      <c r="AL712" t="inlineStr">
        <is>
          <t>25.0</t>
        </is>
      </c>
      <c r="AM712" t="inlineStr">
        <is>
          <t>384</t>
        </is>
      </c>
      <c r="AN712" t="inlineStr">
        <is>
          <t>8.9</t>
        </is>
      </c>
      <c r="AO712" t="inlineStr">
        <is>
          <t>701+</t>
        </is>
      </c>
      <c r="AP712" t="inlineStr">
        <is>
          <t>67.3</t>
        </is>
      </c>
      <c r="AQ712" t="inlineStr">
        <is>
          <t>162</t>
        </is>
      </c>
      <c r="AR712" t="inlineStr">
        <is>
          <t>63.0</t>
        </is>
      </c>
      <c r="AS712" t="inlineStr">
        <is>
          <t>306</t>
        </is>
      </c>
      <c r="AT712" t="inlineStr">
        <is>
          <t>15.3</t>
        </is>
      </c>
      <c r="AU712" t="inlineStr">
        <is>
          <t>613</t>
        </is>
      </c>
      <c r="AV712" t="inlineStr">
        <is>
          <t>49.6</t>
        </is>
      </c>
      <c r="AW712" t="inlineStr">
        <is>
          <t>317</t>
        </is>
      </c>
      <c r="AX712" t="inlineStr">
        <is>
          <t>20.8</t>
        </is>
      </c>
      <c r="AY712" t="inlineStr">
        <is>
          <t>398</t>
        </is>
      </c>
      <c r="AZ712" t="inlineStr">
        <is>
          <t>64.5</t>
        </is>
      </c>
      <c r="BA712" t="inlineStr">
        <is>
          <t>228=</t>
        </is>
      </c>
    </row>
    <row r="713">
      <c r="A713" t="inlineStr">
        <is>
          <t>North South University</t>
        </is>
      </c>
      <c r="B713" t="inlineStr">
        <is>
          <t>Bangladesh</t>
        </is>
      </c>
      <c r="C713" t="inlineStr">
        <is>
          <t>BD</t>
        </is>
      </c>
      <c r="D713" t="inlineStr">
        <is>
          <t>Asia</t>
        </is>
      </c>
      <c r="E713" t="inlineStr">
        <is>
          <t>L</t>
        </is>
      </c>
      <c r="F713" t="inlineStr">
        <is>
          <t>FO</t>
        </is>
      </c>
      <c r="G713" t="inlineStr">
        <is>
          <t>HI</t>
        </is>
      </c>
      <c r="H713" t="inlineStr">
        <is>
          <t>3</t>
        </is>
      </c>
      <c r="I713" t="inlineStr">
        <is>
          <t>Private not for Profit</t>
        </is>
      </c>
      <c r="J713" t="inlineStr">
        <is>
          <t>951-1000</t>
        </is>
      </c>
      <c r="K713" t="inlineStr">
        <is>
          <t>901-950</t>
        </is>
      </c>
      <c r="L713" t="inlineStr">
        <is>
          <t>851-900</t>
        </is>
      </c>
      <c r="M713" t="inlineStr">
        <is>
          <t>1001-1200</t>
        </is>
      </c>
      <c r="N713" t="inlineStr">
        <is>
          <t>-</t>
        </is>
      </c>
      <c r="O713" t="inlineStr">
        <is>
          <t>-</t>
        </is>
      </c>
      <c r="P713" t="n">
        <v>16.9</v>
      </c>
      <c r="Q713" t="inlineStr">
        <is>
          <t>701+</t>
        </is>
      </c>
      <c r="R713" t="n">
        <v>54.1</v>
      </c>
      <c r="S713" t="inlineStr">
        <is>
          <t>226</t>
        </is>
      </c>
      <c r="T713" t="n">
        <v>7.5</v>
      </c>
      <c r="U713" t="inlineStr">
        <is>
          <t>801+</t>
        </is>
      </c>
      <c r="V713" t="n">
        <v>6.6</v>
      </c>
      <c r="W713" t="inlineStr">
        <is>
          <t>801+</t>
        </is>
      </c>
      <c r="X713" t="n">
        <v>10.5</v>
      </c>
      <c r="Y713" t="inlineStr">
        <is>
          <t>801+</t>
        </is>
      </c>
      <c r="Z713" t="n">
        <v>1.6</v>
      </c>
      <c r="AA713" t="inlineStr">
        <is>
          <t>801+</t>
        </is>
      </c>
      <c r="AB713" t="n">
        <v>6</v>
      </c>
      <c r="AC713" t="inlineStr">
        <is>
          <t>801+</t>
        </is>
      </c>
      <c r="AD713" t="n">
        <v>30.2</v>
      </c>
      <c r="AE713" t="inlineStr">
        <is>
          <t>801+</t>
        </is>
      </c>
      <c r="AF713" t="n">
        <v>11.7</v>
      </c>
      <c r="AG713" t="inlineStr">
        <is>
          <t>801+</t>
        </is>
      </c>
      <c r="AH713" t="n">
        <v>37.3</v>
      </c>
      <c r="AI713" t="inlineStr">
        <is>
          <t>801+</t>
        </is>
      </c>
      <c r="AJ713" t="inlineStr">
        <is>
          <t>12.1</t>
        </is>
      </c>
      <c r="AK713" t="inlineStr">
        <is>
          <t>601+</t>
        </is>
      </c>
      <c r="AL713" t="inlineStr">
        <is>
          <t>48.4</t>
        </is>
      </c>
      <c r="AM713" t="inlineStr">
        <is>
          <t>180</t>
        </is>
      </c>
      <c r="AN713" t="inlineStr">
        <is>
          <t>5.6</t>
        </is>
      </c>
      <c r="AO713" t="inlineStr">
        <is>
          <t>701+</t>
        </is>
      </c>
      <c r="AP713" t="inlineStr">
        <is>
          <t>2.3</t>
        </is>
      </c>
      <c r="AQ713" t="inlineStr">
        <is>
          <t>701+</t>
        </is>
      </c>
      <c r="AR713" t="inlineStr">
        <is>
          <t>12.2</t>
        </is>
      </c>
      <c r="AS713" t="inlineStr">
        <is>
          <t>701+</t>
        </is>
      </c>
      <c r="AT713" t="inlineStr">
        <is>
          <t>2.4</t>
        </is>
      </c>
      <c r="AU713" t="inlineStr">
        <is>
          <t>701+</t>
        </is>
      </c>
      <c r="AV713" t="inlineStr">
        <is>
          <t>1.1</t>
        </is>
      </c>
      <c r="AW713" t="inlineStr">
        <is>
          <t>701+</t>
        </is>
      </c>
      <c r="AX713" t="inlineStr">
        <is>
          <t>13.3</t>
        </is>
      </c>
      <c r="AY713" t="inlineStr">
        <is>
          <t>645</t>
        </is>
      </c>
      <c r="AZ713" t="inlineStr">
        <is>
          <t>1.1</t>
        </is>
      </c>
      <c r="BA713" t="inlineStr">
        <is>
          <t>701+</t>
        </is>
      </c>
    </row>
    <row r="714">
      <c r="A714" t="inlineStr">
        <is>
          <t>North-West University</t>
        </is>
      </c>
      <c r="B714" t="inlineStr">
        <is>
          <t>South Africa</t>
        </is>
      </c>
      <c r="C714" t="inlineStr">
        <is>
          <t>ZA</t>
        </is>
      </c>
      <c r="D714" t="inlineStr">
        <is>
          <t>Africa</t>
        </is>
      </c>
      <c r="E714" t="inlineStr">
        <is>
          <t>XL</t>
        </is>
      </c>
      <c r="F714" t="inlineStr">
        <is>
          <t>CO</t>
        </is>
      </c>
      <c r="G714" t="inlineStr">
        <is>
          <t>VH</t>
        </is>
      </c>
      <c r="H714" t="inlineStr">
        <is>
          <t>2</t>
        </is>
      </c>
      <c r="I714" t="inlineStr">
        <is>
          <t>Public</t>
        </is>
      </c>
      <c r="J714" t="inlineStr">
        <is>
          <t>951-1000</t>
        </is>
      </c>
      <c r="K714" t="inlineStr">
        <is>
          <t>851-900</t>
        </is>
      </c>
      <c r="L714" t="inlineStr">
        <is>
          <t>801-850</t>
        </is>
      </c>
      <c r="M714" t="inlineStr">
        <is>
          <t>1001-1200</t>
        </is>
      </c>
      <c r="N714" t="inlineStr">
        <is>
          <t>-</t>
        </is>
      </c>
      <c r="O714" t="inlineStr">
        <is>
          <t>-</t>
        </is>
      </c>
      <c r="P714" t="n">
        <v>8.4</v>
      </c>
      <c r="Q714" t="inlineStr">
        <is>
          <t>701+</t>
        </is>
      </c>
      <c r="R714" t="n">
        <v>14.9</v>
      </c>
      <c r="S714" t="inlineStr">
        <is>
          <t>701+</t>
        </is>
      </c>
      <c r="T714" t="n">
        <v>7</v>
      </c>
      <c r="U714" t="inlineStr">
        <is>
          <t>801+</t>
        </is>
      </c>
      <c r="V714" t="n">
        <v>24.9</v>
      </c>
      <c r="W714" t="inlineStr">
        <is>
          <t>641</t>
        </is>
      </c>
      <c r="X714" t="n">
        <v>9.199999999999999</v>
      </c>
      <c r="Y714" t="inlineStr">
        <is>
          <t>801+</t>
        </is>
      </c>
      <c r="Z714" t="n">
        <v>3.1</v>
      </c>
      <c r="AA714" t="inlineStr">
        <is>
          <t>801+</t>
        </is>
      </c>
      <c r="AB714" t="n">
        <v>7.7</v>
      </c>
      <c r="AC714" t="inlineStr">
        <is>
          <t>801+</t>
        </is>
      </c>
      <c r="AD714" t="n">
        <v>94.59999999999999</v>
      </c>
      <c r="AE714" t="inlineStr">
        <is>
          <t>89</t>
        </is>
      </c>
      <c r="AF714" t="n">
        <v>24.8</v>
      </c>
      <c r="AG714" t="inlineStr">
        <is>
          <t>643</t>
        </is>
      </c>
      <c r="AH714" t="n">
        <v>60.4</v>
      </c>
      <c r="AI714" t="inlineStr">
        <is>
          <t>499=</t>
        </is>
      </c>
      <c r="AJ714" t="inlineStr">
        <is>
          <t>7.1</t>
        </is>
      </c>
      <c r="AK714" t="inlineStr">
        <is>
          <t>601+</t>
        </is>
      </c>
      <c r="AL714" t="inlineStr">
        <is>
          <t>9.1</t>
        </is>
      </c>
      <c r="AM714" t="inlineStr">
        <is>
          <t>601+</t>
        </is>
      </c>
      <c r="AN714" t="inlineStr">
        <is>
          <t>5.2</t>
        </is>
      </c>
      <c r="AO714" t="inlineStr">
        <is>
          <t>701+</t>
        </is>
      </c>
      <c r="AP714" t="inlineStr">
        <is>
          <t>13.0</t>
        </is>
      </c>
      <c r="AQ714" t="inlineStr">
        <is>
          <t>677</t>
        </is>
      </c>
      <c r="AR714" t="inlineStr">
        <is>
          <t>5.8</t>
        </is>
      </c>
      <c r="AS714" t="inlineStr">
        <is>
          <t>701+</t>
        </is>
      </c>
      <c r="AT714" t="inlineStr">
        <is>
          <t>2.4</t>
        </is>
      </c>
      <c r="AU714" t="inlineStr">
        <is>
          <t>701+</t>
        </is>
      </c>
      <c r="AV714" t="inlineStr">
        <is>
          <t>88.2</t>
        </is>
      </c>
      <c r="AW714" t="inlineStr">
        <is>
          <t>95</t>
        </is>
      </c>
      <c r="AX714" t="inlineStr">
        <is>
          <t>12.7</t>
        </is>
      </c>
      <c r="AY714" t="inlineStr">
        <is>
          <t>676</t>
        </is>
      </c>
      <c r="AZ714" t="inlineStr">
        <is>
          <t>49.7</t>
        </is>
      </c>
      <c r="BA714" t="inlineStr">
        <is>
          <t>309=</t>
        </is>
      </c>
    </row>
    <row r="715">
      <c r="A715" t="inlineStr">
        <is>
          <t>Northeastern University</t>
        </is>
      </c>
      <c r="B715" t="inlineStr">
        <is>
          <t>United States</t>
        </is>
      </c>
      <c r="C715" t="inlineStr">
        <is>
          <t>US</t>
        </is>
      </c>
      <c r="D715" t="inlineStr">
        <is>
          <t>Americas</t>
        </is>
      </c>
      <c r="E715" t="inlineStr">
        <is>
          <t>XL</t>
        </is>
      </c>
      <c r="F715" t="inlineStr">
        <is>
          <t>CO</t>
        </is>
      </c>
      <c r="G715" t="inlineStr">
        <is>
          <t>VH</t>
        </is>
      </c>
      <c r="H715" t="inlineStr">
        <is>
          <t>5</t>
        </is>
      </c>
      <c r="I715" t="inlineStr">
        <is>
          <t>Private not for Profit</t>
        </is>
      </c>
      <c r="J715" t="inlineStr">
        <is>
          <t>384</t>
        </is>
      </c>
      <c r="K715" t="inlineStr">
        <is>
          <t>396</t>
        </is>
      </c>
      <c r="L715">
        <f>375</f>
        <v/>
      </c>
      <c r="M715" t="inlineStr">
        <is>
          <t>388=</t>
        </is>
      </c>
      <c r="N715" t="inlineStr">
        <is>
          <t>39.3</t>
        </is>
      </c>
      <c r="O715" t="inlineStr">
        <is>
          <t>29.5</t>
        </is>
      </c>
      <c r="P715" t="n">
        <v>28</v>
      </c>
      <c r="Q715" t="inlineStr">
        <is>
          <t>450</t>
        </is>
      </c>
      <c r="R715" t="n">
        <v>31.3</v>
      </c>
      <c r="S715" t="inlineStr">
        <is>
          <t>457</t>
        </is>
      </c>
      <c r="T715" t="n">
        <v>23.3</v>
      </c>
      <c r="U715" t="inlineStr">
        <is>
          <t>769</t>
        </is>
      </c>
      <c r="V715" t="n">
        <v>33.7</v>
      </c>
      <c r="W715" t="inlineStr">
        <is>
          <t>541</t>
        </is>
      </c>
      <c r="X715" t="n">
        <v>63.3</v>
      </c>
      <c r="Y715" t="inlineStr">
        <is>
          <t>368</t>
        </is>
      </c>
      <c r="Z715" t="n">
        <v>95.8</v>
      </c>
      <c r="AA715" t="inlineStr">
        <is>
          <t>116</t>
        </is>
      </c>
      <c r="AB715" t="n">
        <v>96.09999999999999</v>
      </c>
      <c r="AC715" t="inlineStr">
        <is>
          <t>99</t>
        </is>
      </c>
      <c r="AD715" t="n">
        <v>66.3</v>
      </c>
      <c r="AE715" t="inlineStr">
        <is>
          <t>602</t>
        </is>
      </c>
      <c r="AF715" t="n">
        <v>54.3</v>
      </c>
      <c r="AG715" t="inlineStr">
        <is>
          <t>309</t>
        </is>
      </c>
      <c r="AH715" t="n">
        <v>80.2</v>
      </c>
      <c r="AI715" t="inlineStr">
        <is>
          <t>166=</t>
        </is>
      </c>
      <c r="AJ715" t="inlineStr">
        <is>
          <t>19.4</t>
        </is>
      </c>
      <c r="AK715" t="inlineStr">
        <is>
          <t>463</t>
        </is>
      </c>
      <c r="AL715" t="inlineStr">
        <is>
          <t>9.5</t>
        </is>
      </c>
      <c r="AM715" t="inlineStr">
        <is>
          <t>601+</t>
        </is>
      </c>
      <c r="AN715" t="inlineStr">
        <is>
          <t>19.1</t>
        </is>
      </c>
      <c r="AO715" t="inlineStr">
        <is>
          <t>691</t>
        </is>
      </c>
      <c r="AP715" t="inlineStr">
        <is>
          <t>24.2</t>
        </is>
      </c>
      <c r="AQ715" t="inlineStr">
        <is>
          <t>497</t>
        </is>
      </c>
      <c r="AR715" t="inlineStr">
        <is>
          <t>60.2</t>
        </is>
      </c>
      <c r="AS715" t="inlineStr">
        <is>
          <t>316</t>
        </is>
      </c>
      <c r="AT715" t="inlineStr">
        <is>
          <t>94.3</t>
        </is>
      </c>
      <c r="AU715" t="inlineStr">
        <is>
          <t>90</t>
        </is>
      </c>
      <c r="AV715" t="inlineStr">
        <is>
          <t>33.2</t>
        </is>
      </c>
      <c r="AW715" t="inlineStr">
        <is>
          <t>433</t>
        </is>
      </c>
      <c r="AX715" t="inlineStr">
        <is>
          <t>35.4</t>
        </is>
      </c>
      <c r="AY715" t="inlineStr">
        <is>
          <t>211</t>
        </is>
      </c>
      <c r="AZ715" t="inlineStr">
        <is>
          <t>87.3</t>
        </is>
      </c>
      <c r="BA715" t="inlineStr">
        <is>
          <t>112</t>
        </is>
      </c>
    </row>
    <row r="716">
      <c r="A716" t="inlineStr">
        <is>
          <t>Northern Arizona University</t>
        </is>
      </c>
      <c r="B716" t="inlineStr">
        <is>
          <t>United States</t>
        </is>
      </c>
      <c r="C716" t="inlineStr">
        <is>
          <t>US</t>
        </is>
      </c>
      <c r="D716" t="inlineStr">
        <is>
          <t>Americas</t>
        </is>
      </c>
      <c r="E716" t="inlineStr">
        <is>
          <t>L</t>
        </is>
      </c>
      <c r="F716" t="inlineStr">
        <is>
          <t>CO</t>
        </is>
      </c>
      <c r="G716" t="inlineStr">
        <is>
          <t>VH</t>
        </is>
      </c>
      <c r="H716" t="inlineStr">
        <is>
          <t>5</t>
        </is>
      </c>
      <c r="I716" t="inlineStr">
        <is>
          <t>Public</t>
        </is>
      </c>
      <c r="J716" t="inlineStr">
        <is>
          <t>1001-1200</t>
        </is>
      </c>
      <c r="K716" t="inlineStr">
        <is>
          <t>1001-1200</t>
        </is>
      </c>
      <c r="L716" t="inlineStr">
        <is>
          <t>1001-1200</t>
        </is>
      </c>
      <c r="M716" t="inlineStr">
        <is>
          <t>1201-1400</t>
        </is>
      </c>
      <c r="N716" t="inlineStr">
        <is>
          <t>-</t>
        </is>
      </c>
      <c r="O716" t="inlineStr">
        <is>
          <t>-</t>
        </is>
      </c>
      <c r="P716" t="n">
        <v>9.5</v>
      </c>
      <c r="Q716" t="inlineStr">
        <is>
          <t>701+</t>
        </is>
      </c>
      <c r="R716" t="n">
        <v>16.2</v>
      </c>
      <c r="S716" t="inlineStr">
        <is>
          <t>701+</t>
        </is>
      </c>
      <c r="T716" t="n">
        <v>6.7</v>
      </c>
      <c r="U716" t="inlineStr">
        <is>
          <t>801+</t>
        </is>
      </c>
      <c r="V716" t="n">
        <v>23.4</v>
      </c>
      <c r="W716" t="inlineStr">
        <is>
          <t>667</t>
        </is>
      </c>
      <c r="X716" t="n">
        <v>3.5</v>
      </c>
      <c r="Y716" t="inlineStr">
        <is>
          <t>801+</t>
        </is>
      </c>
      <c r="Z716" t="n">
        <v>3.8</v>
      </c>
      <c r="AA716" t="inlineStr">
        <is>
          <t>801+</t>
        </is>
      </c>
      <c r="AB716" t="n">
        <v>3.1</v>
      </c>
      <c r="AC716" t="inlineStr">
        <is>
          <t>801+</t>
        </is>
      </c>
      <c r="AD716" t="n">
        <v>48</v>
      </c>
      <c r="AE716" t="inlineStr">
        <is>
          <t>801+</t>
        </is>
      </c>
      <c r="AF716" t="n">
        <v>7.5</v>
      </c>
      <c r="AG716" t="inlineStr">
        <is>
          <t>801+</t>
        </is>
      </c>
      <c r="AH716" t="n">
        <v>45.2</v>
      </c>
      <c r="AI716" t="inlineStr">
        <is>
          <t>801+</t>
        </is>
      </c>
      <c r="AJ716" t="inlineStr">
        <is>
          <t>6.5</t>
        </is>
      </c>
      <c r="AK716" t="inlineStr">
        <is>
          <t>601+</t>
        </is>
      </c>
      <c r="AL716" t="inlineStr">
        <is>
          <t>6.0</t>
        </is>
      </c>
      <c r="AM716" t="inlineStr">
        <is>
          <t>601+</t>
        </is>
      </c>
      <c r="AN716" t="inlineStr">
        <is>
          <t>4.8</t>
        </is>
      </c>
      <c r="AO716" t="inlineStr">
        <is>
          <t>701+</t>
        </is>
      </c>
      <c r="AP716" t="inlineStr">
        <is>
          <t>12.2</t>
        </is>
      </c>
      <c r="AQ716" t="inlineStr">
        <is>
          <t>695</t>
        </is>
      </c>
      <c r="AR716" t="inlineStr">
        <is>
          <t>2.8</t>
        </is>
      </c>
      <c r="AS716" t="inlineStr">
        <is>
          <t>701+</t>
        </is>
      </c>
      <c r="AT716" t="inlineStr">
        <is>
          <t>2.4</t>
        </is>
      </c>
      <c r="AU716" t="inlineStr">
        <is>
          <t>701+</t>
        </is>
      </c>
      <c r="AV716" t="inlineStr">
        <is>
          <t>7.4</t>
        </is>
      </c>
      <c r="AW716" t="inlineStr">
        <is>
          <t>701+</t>
        </is>
      </c>
      <c r="AX716" t="inlineStr">
        <is>
          <t>9.1</t>
        </is>
      </c>
      <c r="AY716" t="inlineStr">
        <is>
          <t>701+</t>
        </is>
      </c>
      <c r="AZ716" t="inlineStr">
        <is>
          <t>12.4</t>
        </is>
      </c>
      <c r="BA716" t="inlineStr">
        <is>
          <t>639</t>
        </is>
      </c>
    </row>
    <row r="717">
      <c r="A717" t="inlineStr">
        <is>
          <t>Northern Borders University</t>
        </is>
      </c>
      <c r="B717" t="inlineStr">
        <is>
          <t>Saudi Arabia</t>
        </is>
      </c>
      <c r="C717" t="inlineStr">
        <is>
          <t>SA</t>
        </is>
      </c>
      <c r="D717" t="inlineStr">
        <is>
          <t>Asia</t>
        </is>
      </c>
      <c r="E717" t="inlineStr">
        <is>
          <t>M</t>
        </is>
      </c>
      <c r="F717" t="inlineStr">
        <is>
          <t>FC</t>
        </is>
      </c>
      <c r="G717" t="inlineStr">
        <is>
          <t>HI</t>
        </is>
      </c>
      <c r="H717" t="inlineStr">
        <is>
          <t>2</t>
        </is>
      </c>
      <c r="I717" t="inlineStr">
        <is>
          <t>Public</t>
        </is>
      </c>
      <c r="J717" t="inlineStr">
        <is>
          <t>1001-1200</t>
        </is>
      </c>
      <c r="K717" t="inlineStr">
        <is>
          <t>951-1000</t>
        </is>
      </c>
      <c r="L717" t="inlineStr">
        <is>
          <t>901-950</t>
        </is>
      </c>
      <c r="M717" t="inlineStr">
        <is>
          <t>801-1000</t>
        </is>
      </c>
      <c r="N717" t="inlineStr">
        <is>
          <t>-</t>
        </is>
      </c>
      <c r="O717" t="inlineStr">
        <is>
          <t>-</t>
        </is>
      </c>
      <c r="P717" t="n">
        <v>13.4</v>
      </c>
      <c r="Q717" t="inlineStr">
        <is>
          <t>701+</t>
        </is>
      </c>
      <c r="R717" t="n">
        <v>6.4</v>
      </c>
      <c r="S717" t="inlineStr">
        <is>
          <t>701+</t>
        </is>
      </c>
      <c r="T717" t="n">
        <v>28.8</v>
      </c>
      <c r="U717" t="inlineStr">
        <is>
          <t>657</t>
        </is>
      </c>
      <c r="V717" t="n">
        <v>4.5</v>
      </c>
      <c r="W717" t="inlineStr">
        <is>
          <t>801+</t>
        </is>
      </c>
      <c r="X717" t="n">
        <v>100</v>
      </c>
      <c r="Y717" t="inlineStr">
        <is>
          <t>42</t>
        </is>
      </c>
      <c r="Z717" t="n">
        <v>16.1</v>
      </c>
      <c r="AA717" t="inlineStr">
        <is>
          <t>797</t>
        </is>
      </c>
      <c r="AB717" t="n">
        <v>12.2</v>
      </c>
      <c r="AC717" t="inlineStr">
        <is>
          <t>801+</t>
        </is>
      </c>
      <c r="AD717" t="n">
        <v>18</v>
      </c>
      <c r="AE717" t="inlineStr">
        <is>
          <t>801+</t>
        </is>
      </c>
      <c r="AF717" t="n">
        <v>3</v>
      </c>
      <c r="AG717" t="inlineStr">
        <is>
          <t>801+</t>
        </is>
      </c>
      <c r="AH717" t="n">
        <v>15.7</v>
      </c>
      <c r="AI717" t="inlineStr">
        <is>
          <t>801+</t>
        </is>
      </c>
      <c r="AJ717" t="inlineStr">
        <is>
          <t>10.4</t>
        </is>
      </c>
      <c r="AK717" t="inlineStr">
        <is>
          <t>601+</t>
        </is>
      </c>
      <c r="AL717" t="inlineStr">
        <is>
          <t>3.7</t>
        </is>
      </c>
      <c r="AM717" t="inlineStr">
        <is>
          <t>601+</t>
        </is>
      </c>
      <c r="AN717" t="inlineStr">
        <is>
          <t>21.9</t>
        </is>
      </c>
      <c r="AO717" t="inlineStr">
        <is>
          <t>632</t>
        </is>
      </c>
      <c r="AP717" t="inlineStr">
        <is>
          <t>2.0</t>
        </is>
      </c>
      <c r="AQ717" t="inlineStr">
        <is>
          <t>701+</t>
        </is>
      </c>
      <c r="AR717" t="inlineStr">
        <is>
          <t>98.2</t>
        </is>
      </c>
      <c r="AS717" t="inlineStr">
        <is>
          <t>112</t>
        </is>
      </c>
      <c r="AT717" t="inlineStr">
        <is>
          <t>5.2</t>
        </is>
      </c>
      <c r="AU717" t="inlineStr">
        <is>
          <t>701+</t>
        </is>
      </c>
      <c r="AV717" t="inlineStr">
        <is>
          <t>1.0</t>
        </is>
      </c>
      <c r="AW717" t="inlineStr">
        <is>
          <t>701+</t>
        </is>
      </c>
      <c r="AX717" t="inlineStr">
        <is>
          <t>8.2</t>
        </is>
      </c>
      <c r="AY717" t="inlineStr">
        <is>
          <t>701+</t>
        </is>
      </c>
      <c r="AZ717" t="inlineStr">
        <is>
          <t>1</t>
        </is>
      </c>
      <c r="BA717" t="inlineStr">
        <is>
          <t>701+</t>
        </is>
      </c>
    </row>
    <row r="718">
      <c r="A718" t="inlineStr">
        <is>
          <t>Northumbria University at Newcastle</t>
        </is>
      </c>
      <c r="B718" t="inlineStr">
        <is>
          <t>United Kingdom</t>
        </is>
      </c>
      <c r="C718" t="inlineStr">
        <is>
          <t>UK</t>
        </is>
      </c>
      <c r="D718" t="inlineStr">
        <is>
          <t>Europe</t>
        </is>
      </c>
      <c r="E718" t="inlineStr">
        <is>
          <t>L</t>
        </is>
      </c>
      <c r="F718" t="inlineStr">
        <is>
          <t>CO</t>
        </is>
      </c>
      <c r="G718" t="inlineStr">
        <is>
          <t>VH</t>
        </is>
      </c>
      <c r="H718" t="inlineStr">
        <is>
          <t>4</t>
        </is>
      </c>
      <c r="I718" t="inlineStr">
        <is>
          <t>Public</t>
        </is>
      </c>
      <c r="J718" t="inlineStr">
        <is>
          <t>550</t>
        </is>
      </c>
      <c r="K718" t="inlineStr">
        <is>
          <t>535</t>
        </is>
      </c>
      <c r="L718">
        <f>548</f>
        <v/>
      </c>
      <c r="M718" t="inlineStr">
        <is>
          <t>651-700</t>
        </is>
      </c>
      <c r="N718" t="inlineStr">
        <is>
          <t>30</t>
        </is>
      </c>
      <c r="O718" t="inlineStr">
        <is>
          <t>21.4</t>
        </is>
      </c>
      <c r="P718" t="n">
        <v>16.6</v>
      </c>
      <c r="Q718" t="inlineStr">
        <is>
          <t>701+</t>
        </is>
      </c>
      <c r="R718" t="n">
        <v>19.1</v>
      </c>
      <c r="S718" t="inlineStr">
        <is>
          <t>681</t>
        </is>
      </c>
      <c r="T718" t="n">
        <v>18.2</v>
      </c>
      <c r="U718" t="inlineStr">
        <is>
          <t>801+</t>
        </is>
      </c>
      <c r="V718" t="n">
        <v>30.6</v>
      </c>
      <c r="W718" t="inlineStr">
        <is>
          <t>580</t>
        </is>
      </c>
      <c r="X718" t="n">
        <v>64.5</v>
      </c>
      <c r="Y718" t="inlineStr">
        <is>
          <t>360</t>
        </is>
      </c>
      <c r="Z718" t="n">
        <v>63.6</v>
      </c>
      <c r="AA718" t="inlineStr">
        <is>
          <t>313</t>
        </is>
      </c>
      <c r="AB718" t="n">
        <v>67.09999999999999</v>
      </c>
      <c r="AC718" t="inlineStr">
        <is>
          <t>289</t>
        </is>
      </c>
      <c r="AD718" t="n">
        <v>81.5</v>
      </c>
      <c r="AE718" t="inlineStr">
        <is>
          <t>321</t>
        </is>
      </c>
      <c r="AF718" t="n">
        <v>20</v>
      </c>
      <c r="AG718" t="inlineStr">
        <is>
          <t>725</t>
        </is>
      </c>
      <c r="AH718" t="n">
        <v>77.8</v>
      </c>
      <c r="AI718" t="inlineStr">
        <is>
          <t>201=</t>
        </is>
      </c>
      <c r="AJ718" t="inlineStr">
        <is>
          <t>10.5</t>
        </is>
      </c>
      <c r="AK718" t="inlineStr">
        <is>
          <t>601+</t>
        </is>
      </c>
      <c r="AL718" t="inlineStr">
        <is>
          <t>15.9</t>
        </is>
      </c>
      <c r="AM718" t="inlineStr">
        <is>
          <t>530</t>
        </is>
      </c>
      <c r="AN718" t="inlineStr">
        <is>
          <t>10.7</t>
        </is>
      </c>
      <c r="AO718" t="inlineStr">
        <is>
          <t>701+</t>
        </is>
      </c>
      <c r="AP718" t="inlineStr">
        <is>
          <t>16.0</t>
        </is>
      </c>
      <c r="AQ718" t="inlineStr">
        <is>
          <t>621</t>
        </is>
      </c>
      <c r="AR718" t="inlineStr">
        <is>
          <t>67.2</t>
        </is>
      </c>
      <c r="AS718" t="inlineStr">
        <is>
          <t>291</t>
        </is>
      </c>
      <c r="AT718" t="inlineStr">
        <is>
          <t>72.3</t>
        </is>
      </c>
      <c r="AU718" t="inlineStr">
        <is>
          <t>199</t>
        </is>
      </c>
      <c r="AV718" t="inlineStr">
        <is>
          <t>49.8</t>
        </is>
      </c>
      <c r="AW718" t="inlineStr">
        <is>
          <t>314</t>
        </is>
      </c>
      <c r="AX718" t="inlineStr">
        <is>
          <t>16</t>
        </is>
      </c>
      <c r="AY718" t="inlineStr">
        <is>
          <t>523</t>
        </is>
      </c>
      <c r="AZ718" t="inlineStr">
        <is>
          <t>29.1</t>
        </is>
      </c>
      <c r="BA718" t="inlineStr">
        <is>
          <t>456=</t>
        </is>
      </c>
    </row>
    <row r="719">
      <c r="A719" t="inlineStr">
        <is>
          <t>Northwest Agriculture and Forestry University</t>
        </is>
      </c>
      <c r="B719" t="inlineStr">
        <is>
          <t>China (Mainland)</t>
        </is>
      </c>
      <c r="C719" t="inlineStr">
        <is>
          <t>CN</t>
        </is>
      </c>
      <c r="D719" t="inlineStr">
        <is>
          <t>Asia</t>
        </is>
      </c>
      <c r="E719" t="inlineStr">
        <is>
          <t>XL</t>
        </is>
      </c>
      <c r="F719" t="inlineStr">
        <is>
          <t>CO</t>
        </is>
      </c>
      <c r="G719" t="inlineStr">
        <is>
          <t>VH</t>
        </is>
      </c>
      <c r="H719" t="inlineStr">
        <is>
          <t>2</t>
        </is>
      </c>
      <c r="I719" t="inlineStr">
        <is>
          <t>Public</t>
        </is>
      </c>
      <c r="J719" t="inlineStr">
        <is>
          <t>801-850</t>
        </is>
      </c>
      <c r="K719" t="inlineStr">
        <is>
          <t>851-900</t>
        </is>
      </c>
      <c r="L719" t="inlineStr">
        <is>
          <t>951-1000</t>
        </is>
      </c>
      <c r="M719" t="inlineStr">
        <is>
          <t>801-1000</t>
        </is>
      </c>
      <c r="N719" t="inlineStr">
        <is>
          <t>-</t>
        </is>
      </c>
      <c r="O719" t="inlineStr">
        <is>
          <t>-</t>
        </is>
      </c>
      <c r="P719" t="n">
        <v>5.2</v>
      </c>
      <c r="Q719" t="inlineStr">
        <is>
          <t>701+</t>
        </is>
      </c>
      <c r="R719" t="n">
        <v>2.9</v>
      </c>
      <c r="S719" t="inlineStr">
        <is>
          <t>701+</t>
        </is>
      </c>
      <c r="T719" t="n">
        <v>35</v>
      </c>
      <c r="U719" t="inlineStr">
        <is>
          <t>565</t>
        </is>
      </c>
      <c r="V719" t="n">
        <v>61.5</v>
      </c>
      <c r="W719" t="inlineStr">
        <is>
          <t>278</t>
        </is>
      </c>
      <c r="X719" t="inlineStr"/>
      <c r="Y719" t="inlineStr"/>
      <c r="Z719" t="n">
        <v>2</v>
      </c>
      <c r="AA719" t="inlineStr">
        <is>
          <t>801+</t>
        </is>
      </c>
      <c r="AB719" t="n">
        <v>1.7</v>
      </c>
      <c r="AC719" t="inlineStr">
        <is>
          <t>801+</t>
        </is>
      </c>
      <c r="AD719" t="n">
        <v>70.59999999999999</v>
      </c>
      <c r="AE719" t="inlineStr">
        <is>
          <t>516</t>
        </is>
      </c>
      <c r="AF719" t="n">
        <v>5.1</v>
      </c>
      <c r="AG719" t="inlineStr">
        <is>
          <t>801+</t>
        </is>
      </c>
      <c r="AH719" t="n">
        <v>39</v>
      </c>
      <c r="AI719" t="inlineStr">
        <is>
          <t>801+</t>
        </is>
      </c>
      <c r="AJ719" t="inlineStr">
        <is>
          <t>4.7</t>
        </is>
      </c>
      <c r="AK719" t="inlineStr">
        <is>
          <t>601+</t>
        </is>
      </c>
      <c r="AL719" t="inlineStr">
        <is>
          <t>1.4</t>
        </is>
      </c>
      <c r="AM719" t="inlineStr">
        <is>
          <t>601+</t>
        </is>
      </c>
      <c r="AN719" t="inlineStr">
        <is>
          <t>30.0</t>
        </is>
      </c>
      <c r="AO719" t="inlineStr">
        <is>
          <t>520</t>
        </is>
      </c>
      <c r="AP719" t="inlineStr">
        <is>
          <t>28.9</t>
        </is>
      </c>
      <c r="AQ719" t="inlineStr">
        <is>
          <t>445</t>
        </is>
      </c>
      <c r="AR719" t="inlineStr"/>
      <c r="AS719" t="inlineStr"/>
      <c r="AT719" t="inlineStr">
        <is>
          <t>1.4</t>
        </is>
      </c>
      <c r="AU719" t="inlineStr">
        <is>
          <t>701+</t>
        </is>
      </c>
      <c r="AV719" t="inlineStr">
        <is>
          <t>5.5</t>
        </is>
      </c>
      <c r="AW719" t="inlineStr">
        <is>
          <t>701+</t>
        </is>
      </c>
      <c r="AX719" t="inlineStr">
        <is>
          <t>5.6</t>
        </is>
      </c>
      <c r="AY719" t="inlineStr">
        <is>
          <t>701+</t>
        </is>
      </c>
      <c r="AZ719" t="inlineStr">
        <is>
          <t>2.3</t>
        </is>
      </c>
      <c r="BA719" t="inlineStr">
        <is>
          <t>701+</t>
        </is>
      </c>
    </row>
    <row r="720">
      <c r="A720" t="inlineStr">
        <is>
          <t>Northwest University (China)</t>
        </is>
      </c>
      <c r="B720" t="inlineStr">
        <is>
          <t>China (Mainland)</t>
        </is>
      </c>
      <c r="C720" t="inlineStr">
        <is>
          <t>CN</t>
        </is>
      </c>
      <c r="D720" t="inlineStr">
        <is>
          <t>Asia</t>
        </is>
      </c>
      <c r="E720" t="inlineStr">
        <is>
          <t>L</t>
        </is>
      </c>
      <c r="F720" t="inlineStr">
        <is>
          <t>CO</t>
        </is>
      </c>
      <c r="G720" t="inlineStr">
        <is>
          <t>VH</t>
        </is>
      </c>
      <c r="H720" t="inlineStr">
        <is>
          <t>5</t>
        </is>
      </c>
      <c r="I720" t="inlineStr">
        <is>
          <t>Public</t>
        </is>
      </c>
      <c r="J720" t="inlineStr">
        <is>
          <t>1001-1200</t>
        </is>
      </c>
      <c r="K720" t="inlineStr">
        <is>
          <t>1001-1200</t>
        </is>
      </c>
      <c r="L720" t="inlineStr">
        <is>
          <t>1001-1200</t>
        </is>
      </c>
      <c r="M720" t="inlineStr">
        <is>
          <t>801-1000</t>
        </is>
      </c>
      <c r="N720" t="inlineStr">
        <is>
          <t>-</t>
        </is>
      </c>
      <c r="O720" t="inlineStr">
        <is>
          <t>-</t>
        </is>
      </c>
      <c r="P720" t="n">
        <v>5.8</v>
      </c>
      <c r="Q720" t="inlineStr">
        <is>
          <t>701+</t>
        </is>
      </c>
      <c r="R720" t="n">
        <v>3.2</v>
      </c>
      <c r="S720" t="inlineStr">
        <is>
          <t>701+</t>
        </is>
      </c>
      <c r="T720" t="n">
        <v>55.7</v>
      </c>
      <c r="U720" t="inlineStr">
        <is>
          <t>338</t>
        </is>
      </c>
      <c r="V720" t="n">
        <v>31.8</v>
      </c>
      <c r="W720" t="inlineStr">
        <is>
          <t>566</t>
        </is>
      </c>
      <c r="X720" t="n">
        <v>4.8</v>
      </c>
      <c r="Y720" t="inlineStr">
        <is>
          <t>801+</t>
        </is>
      </c>
      <c r="Z720" t="n">
        <v>4.7</v>
      </c>
      <c r="AA720" t="inlineStr">
        <is>
          <t>801+</t>
        </is>
      </c>
      <c r="AB720" t="n">
        <v>9.300000000000001</v>
      </c>
      <c r="AC720" t="inlineStr">
        <is>
          <t>801+</t>
        </is>
      </c>
      <c r="AD720" t="n">
        <v>37.6</v>
      </c>
      <c r="AE720" t="inlineStr">
        <is>
          <t>801+</t>
        </is>
      </c>
      <c r="AF720" t="n">
        <v>5.1</v>
      </c>
      <c r="AG720" t="inlineStr">
        <is>
          <t>801+</t>
        </is>
      </c>
      <c r="AH720" t="n">
        <v>33.1</v>
      </c>
      <c r="AI720" t="inlineStr">
        <is>
          <t>801+</t>
        </is>
      </c>
      <c r="AJ720" t="inlineStr">
        <is>
          <t>4.7</t>
        </is>
      </c>
      <c r="AK720" t="inlineStr">
        <is>
          <t>601+</t>
        </is>
      </c>
      <c r="AL720" t="inlineStr">
        <is>
          <t>1.5</t>
        </is>
      </c>
      <c r="AM720" t="inlineStr">
        <is>
          <t>601+</t>
        </is>
      </c>
      <c r="AN720" t="inlineStr">
        <is>
          <t>50.9</t>
        </is>
      </c>
      <c r="AO720" t="inlineStr">
        <is>
          <t>308</t>
        </is>
      </c>
      <c r="AP720" t="inlineStr">
        <is>
          <t>14.3</t>
        </is>
      </c>
      <c r="AQ720" t="inlineStr">
        <is>
          <t>647</t>
        </is>
      </c>
      <c r="AR720" t="inlineStr">
        <is>
          <t>3.8</t>
        </is>
      </c>
      <c r="AS720" t="inlineStr">
        <is>
          <t>701+</t>
        </is>
      </c>
      <c r="AT720" t="inlineStr">
        <is>
          <t>2.8</t>
        </is>
      </c>
      <c r="AU720" t="inlineStr">
        <is>
          <t>701+</t>
        </is>
      </c>
      <c r="AV720" t="inlineStr">
        <is>
          <t>3.0</t>
        </is>
      </c>
      <c r="AW720" t="inlineStr">
        <is>
          <t>701+</t>
        </is>
      </c>
      <c r="AX720" t="inlineStr">
        <is>
          <t>5.9</t>
        </is>
      </c>
      <c r="AY720" t="inlineStr">
        <is>
          <t>701+</t>
        </is>
      </c>
      <c r="AZ720" t="inlineStr">
        <is>
          <t>2.7</t>
        </is>
      </c>
      <c r="BA720" t="inlineStr">
        <is>
          <t>701+</t>
        </is>
      </c>
    </row>
    <row r="721">
      <c r="A721" t="inlineStr">
        <is>
          <t>Northwestern Polytechnical University</t>
        </is>
      </c>
      <c r="B721" t="inlineStr">
        <is>
          <t>China (Mainland)</t>
        </is>
      </c>
      <c r="C721" t="inlineStr">
        <is>
          <t>CN</t>
        </is>
      </c>
      <c r="D721" t="inlineStr">
        <is>
          <t>Asia</t>
        </is>
      </c>
      <c r="E721" t="inlineStr">
        <is>
          <t>XL</t>
        </is>
      </c>
      <c r="F721" t="inlineStr">
        <is>
          <t>CO</t>
        </is>
      </c>
      <c r="G721" t="inlineStr">
        <is>
          <t>VH</t>
        </is>
      </c>
      <c r="H721" t="inlineStr">
        <is>
          <t>4</t>
        </is>
      </c>
      <c r="I721" t="inlineStr">
        <is>
          <t>Public</t>
        </is>
      </c>
      <c r="J721" t="inlineStr">
        <is>
          <t>499</t>
        </is>
      </c>
      <c r="K721" t="inlineStr">
        <is>
          <t>547</t>
        </is>
      </c>
      <c r="L721" t="inlineStr">
        <is>
          <t>621-630</t>
        </is>
      </c>
      <c r="M721" t="inlineStr">
        <is>
          <t>551-560</t>
        </is>
      </c>
      <c r="N721" t="inlineStr">
        <is>
          <t>32.2</t>
        </is>
      </c>
      <c r="O721" t="inlineStr">
        <is>
          <t>-</t>
        </is>
      </c>
      <c r="P721" t="n">
        <v>9.5</v>
      </c>
      <c r="Q721" t="inlineStr">
        <is>
          <t>701+</t>
        </is>
      </c>
      <c r="R721" t="n">
        <v>9.9</v>
      </c>
      <c r="S721" t="inlineStr">
        <is>
          <t>701+</t>
        </is>
      </c>
      <c r="T721" t="n">
        <v>52.3</v>
      </c>
      <c r="U721" t="inlineStr">
        <is>
          <t>356</t>
        </is>
      </c>
      <c r="V721" t="n">
        <v>82.59999999999999</v>
      </c>
      <c r="W721" t="inlineStr">
        <is>
          <t>139</t>
        </is>
      </c>
      <c r="X721" t="n">
        <v>25.5</v>
      </c>
      <c r="Y721" t="inlineStr">
        <is>
          <t>640</t>
        </is>
      </c>
      <c r="Z721" t="n">
        <v>10.1</v>
      </c>
      <c r="AA721" t="inlineStr">
        <is>
          <t>801+</t>
        </is>
      </c>
      <c r="AB721" t="n">
        <v>7.8</v>
      </c>
      <c r="AC721" t="inlineStr">
        <is>
          <t>801+</t>
        </is>
      </c>
      <c r="AD721" t="n">
        <v>57.6</v>
      </c>
      <c r="AE721" t="inlineStr">
        <is>
          <t>724</t>
        </is>
      </c>
      <c r="AF721" t="n">
        <v>11.5</v>
      </c>
      <c r="AG721" t="inlineStr">
        <is>
          <t>801+</t>
        </is>
      </c>
      <c r="AH721" t="n">
        <v>39</v>
      </c>
      <c r="AI721" t="inlineStr">
        <is>
          <t>801+</t>
        </is>
      </c>
      <c r="AJ721" t="inlineStr">
        <is>
          <t>5.9</t>
        </is>
      </c>
      <c r="AK721" t="inlineStr">
        <is>
          <t>601+</t>
        </is>
      </c>
      <c r="AL721" t="inlineStr">
        <is>
          <t>2.5</t>
        </is>
      </c>
      <c r="AM721" t="inlineStr">
        <is>
          <t>601+</t>
        </is>
      </c>
      <c r="AN721" t="inlineStr">
        <is>
          <t>46.0</t>
        </is>
      </c>
      <c r="AO721" t="inlineStr">
        <is>
          <t>341</t>
        </is>
      </c>
      <c r="AP721" t="inlineStr">
        <is>
          <t>53.6</t>
        </is>
      </c>
      <c r="AQ721" t="inlineStr">
        <is>
          <t>239</t>
        </is>
      </c>
      <c r="AR721" t="inlineStr">
        <is>
          <t>13.9</t>
        </is>
      </c>
      <c r="AS721" t="inlineStr">
        <is>
          <t>686</t>
        </is>
      </c>
      <c r="AT721" t="inlineStr">
        <is>
          <t>4.8</t>
        </is>
      </c>
      <c r="AU721" t="inlineStr">
        <is>
          <t>701+</t>
        </is>
      </c>
      <c r="AV721" t="inlineStr">
        <is>
          <t>6.1</t>
        </is>
      </c>
      <c r="AW721" t="inlineStr">
        <is>
          <t>701+</t>
        </is>
      </c>
      <c r="AX721" t="inlineStr">
        <is>
          <t>10.1</t>
        </is>
      </c>
      <c r="AY721" t="inlineStr">
        <is>
          <t>701+</t>
        </is>
      </c>
      <c r="AZ721" t="inlineStr">
        <is>
          <t>3.2</t>
        </is>
      </c>
      <c r="BA721" t="inlineStr">
        <is>
          <t>701+</t>
        </is>
      </c>
    </row>
    <row r="722">
      <c r="A722" t="inlineStr">
        <is>
          <t>Northwestern University</t>
        </is>
      </c>
      <c r="B722" t="inlineStr">
        <is>
          <t>United States</t>
        </is>
      </c>
      <c r="C722" t="inlineStr">
        <is>
          <t>US</t>
        </is>
      </c>
      <c r="D722" t="inlineStr">
        <is>
          <t>Americas</t>
        </is>
      </c>
      <c r="E722" t="inlineStr">
        <is>
          <t>L</t>
        </is>
      </c>
      <c r="F722" t="inlineStr">
        <is>
          <t>FC</t>
        </is>
      </c>
      <c r="G722" t="inlineStr">
        <is>
          <t>VH</t>
        </is>
      </c>
      <c r="H722" t="inlineStr">
        <is>
          <t>5</t>
        </is>
      </c>
      <c r="I722" t="inlineStr">
        <is>
          <t>Private not for Profit</t>
        </is>
      </c>
      <c r="J722" t="inlineStr">
        <is>
          <t>42</t>
        </is>
      </c>
      <c r="K722" t="inlineStr">
        <is>
          <t>50</t>
        </is>
      </c>
      <c r="L722">
        <f>47</f>
        <v/>
      </c>
      <c r="M722" t="inlineStr">
        <is>
          <t>32</t>
        </is>
      </c>
      <c r="N722" t="inlineStr">
        <is>
          <t>85.1</t>
        </is>
      </c>
      <c r="O722" t="inlineStr">
        <is>
          <t>76.2</t>
        </is>
      </c>
      <c r="P722" t="n">
        <v>92.2</v>
      </c>
      <c r="Q722" t="inlineStr">
        <is>
          <t>59</t>
        </is>
      </c>
      <c r="R722" t="n">
        <v>89.40000000000001</v>
      </c>
      <c r="S722" t="inlineStr">
        <is>
          <t>74</t>
        </is>
      </c>
      <c r="T722" t="n">
        <v>99.09999999999999</v>
      </c>
      <c r="U722" t="inlineStr">
        <is>
          <t>44</t>
        </is>
      </c>
      <c r="V722" t="n">
        <v>71.2</v>
      </c>
      <c r="W722" t="inlineStr">
        <is>
          <t>205</t>
        </is>
      </c>
      <c r="X722" t="n">
        <v>57.7</v>
      </c>
      <c r="Y722" t="inlineStr">
        <is>
          <t>399</t>
        </is>
      </c>
      <c r="Z722" t="n">
        <v>67.2</v>
      </c>
      <c r="AA722" t="inlineStr">
        <is>
          <t>295</t>
        </is>
      </c>
      <c r="AB722" t="n">
        <v>50</v>
      </c>
      <c r="AC722" t="inlineStr">
        <is>
          <t>414</t>
        </is>
      </c>
      <c r="AD722" t="n">
        <v>86.5</v>
      </c>
      <c r="AE722" t="inlineStr">
        <is>
          <t>229</t>
        </is>
      </c>
      <c r="AF722" t="n">
        <v>99.5</v>
      </c>
      <c r="AG722" t="inlineStr">
        <is>
          <t>20</t>
        </is>
      </c>
      <c r="AH722" t="n">
        <v>74.40000000000001</v>
      </c>
      <c r="AI722" t="inlineStr">
        <is>
          <t>250=</t>
        </is>
      </c>
      <c r="AJ722" t="inlineStr">
        <is>
          <t>83.8</t>
        </is>
      </c>
      <c r="AK722" t="inlineStr">
        <is>
          <t>60</t>
        </is>
      </c>
      <c r="AL722" t="inlineStr">
        <is>
          <t>60.2</t>
        </is>
      </c>
      <c r="AM722" t="inlineStr">
        <is>
          <t>132</t>
        </is>
      </c>
      <c r="AN722" t="inlineStr">
        <is>
          <t>98.9</t>
        </is>
      </c>
      <c r="AO722" t="inlineStr">
        <is>
          <t>39</t>
        </is>
      </c>
      <c r="AP722" t="inlineStr">
        <is>
          <t>70.3</t>
        </is>
      </c>
      <c r="AQ722" t="inlineStr">
        <is>
          <t>147</t>
        </is>
      </c>
      <c r="AR722" t="inlineStr">
        <is>
          <t>48.2</t>
        </is>
      </c>
      <c r="AS722" t="inlineStr">
        <is>
          <t>364</t>
        </is>
      </c>
      <c r="AT722" t="inlineStr">
        <is>
          <t>44.2</t>
        </is>
      </c>
      <c r="AU722" t="inlineStr">
        <is>
          <t>327</t>
        </is>
      </c>
      <c r="AV722" t="inlineStr">
        <is>
          <t>79.2</t>
        </is>
      </c>
      <c r="AW722" t="inlineStr">
        <is>
          <t>152</t>
        </is>
      </c>
      <c r="AX722" t="inlineStr">
        <is>
          <t>97.7</t>
        </is>
      </c>
      <c r="AY722" t="inlineStr">
        <is>
          <t>19</t>
        </is>
      </c>
      <c r="AZ722" t="inlineStr">
        <is>
          <t>78</t>
        </is>
      </c>
      <c r="BA722" t="inlineStr">
        <is>
          <t>162</t>
        </is>
      </c>
    </row>
    <row r="723">
      <c r="A723" t="inlineStr">
        <is>
          <t>Norwegian University of Life Sciences (UMB)</t>
        </is>
      </c>
      <c r="B723" t="inlineStr">
        <is>
          <t>Norway</t>
        </is>
      </c>
      <c r="C723" t="inlineStr">
        <is>
          <t>NO</t>
        </is>
      </c>
      <c r="D723" t="inlineStr">
        <is>
          <t>Europe</t>
        </is>
      </c>
      <c r="E723" t="inlineStr">
        <is>
          <t>M</t>
        </is>
      </c>
      <c r="F723" t="inlineStr">
        <is>
          <t>FO</t>
        </is>
      </c>
      <c r="G723" t="inlineStr">
        <is>
          <t>VH</t>
        </is>
      </c>
      <c r="H723" t="inlineStr"/>
      <c r="I723" t="inlineStr"/>
      <c r="J723" t="inlineStr">
        <is>
          <t>791-800</t>
        </is>
      </c>
      <c r="K723" t="inlineStr">
        <is>
          <t>691-700</t>
        </is>
      </c>
      <c r="L723" t="inlineStr">
        <is>
          <t>1201-1400</t>
        </is>
      </c>
      <c r="M723" t="inlineStr"/>
      <c r="N723" t="inlineStr">
        <is>
          <t>-</t>
        </is>
      </c>
      <c r="O723" t="inlineStr">
        <is>
          <t>-</t>
        </is>
      </c>
      <c r="P723" t="n">
        <v>8.199999999999999</v>
      </c>
      <c r="Q723" t="inlineStr">
        <is>
          <t>701+</t>
        </is>
      </c>
      <c r="R723" t="n">
        <v>8.199999999999999</v>
      </c>
      <c r="S723" t="inlineStr">
        <is>
          <t>701+</t>
        </is>
      </c>
      <c r="T723" t="n">
        <v>100</v>
      </c>
      <c r="U723" t="inlineStr">
        <is>
          <t>15</t>
        </is>
      </c>
      <c r="V723" t="n">
        <v>13.4</v>
      </c>
      <c r="W723" t="inlineStr">
        <is>
          <t>801+</t>
        </is>
      </c>
      <c r="X723" t="inlineStr"/>
      <c r="Y723" t="inlineStr"/>
      <c r="Z723" t="inlineStr"/>
      <c r="AA723" t="inlineStr"/>
      <c r="AB723" t="inlineStr"/>
      <c r="AC723" t="inlineStr"/>
      <c r="AD723" t="n">
        <v>77.7</v>
      </c>
      <c r="AE723" t="inlineStr">
        <is>
          <t>390</t>
        </is>
      </c>
      <c r="AF723" t="n">
        <v>25.5</v>
      </c>
      <c r="AG723" t="inlineStr">
        <is>
          <t>630</t>
        </is>
      </c>
      <c r="AH723" t="n">
        <v>50.8</v>
      </c>
      <c r="AI723" t="inlineStr">
        <is>
          <t>688=</t>
        </is>
      </c>
      <c r="AJ723" t="inlineStr">
        <is>
          <t>5.9</t>
        </is>
      </c>
      <c r="AK723" t="inlineStr">
        <is>
          <t>601+</t>
        </is>
      </c>
      <c r="AL723" t="inlineStr">
        <is>
          <t>3.7</t>
        </is>
      </c>
      <c r="AM723" t="inlineStr">
        <is>
          <t>601+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>
        <is>
          <t>41.5</t>
        </is>
      </c>
      <c r="AW723" t="inlineStr">
        <is>
          <t>366</t>
        </is>
      </c>
      <c r="AX723" t="inlineStr"/>
      <c r="AY723" t="inlineStr"/>
      <c r="AZ723" t="inlineStr"/>
      <c r="BA723" t="inlineStr"/>
    </row>
    <row r="724">
      <c r="A724" t="inlineStr">
        <is>
          <t>Norwegian University of Science And Technology</t>
        </is>
      </c>
      <c r="B724" t="inlineStr">
        <is>
          <t>Norway</t>
        </is>
      </c>
      <c r="C724" t="inlineStr">
        <is>
          <t>NO</t>
        </is>
      </c>
      <c r="D724" t="inlineStr">
        <is>
          <t>Europe</t>
        </is>
      </c>
      <c r="E724" t="inlineStr">
        <is>
          <t>XL</t>
        </is>
      </c>
      <c r="F724" t="inlineStr">
        <is>
          <t>FC</t>
        </is>
      </c>
      <c r="G724" t="inlineStr">
        <is>
          <t>VH</t>
        </is>
      </c>
      <c r="H724" t="inlineStr">
        <is>
          <t>5</t>
        </is>
      </c>
      <c r="I724" t="inlineStr">
        <is>
          <t>Public</t>
        </is>
      </c>
      <c r="J724" t="inlineStr">
        <is>
          <t>267</t>
        </is>
      </c>
      <c r="K724" t="inlineStr">
        <is>
          <t>264</t>
        </is>
      </c>
      <c r="L724">
        <f>292</f>
        <v/>
      </c>
      <c r="M724" t="inlineStr">
        <is>
          <t>352=</t>
        </is>
      </c>
      <c r="N724" t="inlineStr">
        <is>
          <t>48.9</t>
        </is>
      </c>
      <c r="O724" t="inlineStr">
        <is>
          <t>35.7</t>
        </is>
      </c>
      <c r="P724" t="n">
        <v>45.9</v>
      </c>
      <c r="Q724" t="inlineStr">
        <is>
          <t>255</t>
        </is>
      </c>
      <c r="R724" t="n">
        <v>33.4</v>
      </c>
      <c r="S724" t="inlineStr">
        <is>
          <t>430</t>
        </is>
      </c>
      <c r="T724" t="n">
        <v>30.7</v>
      </c>
      <c r="U724" t="inlineStr">
        <is>
          <t>620</t>
        </is>
      </c>
      <c r="V724" t="n">
        <v>45.1</v>
      </c>
      <c r="W724" t="inlineStr">
        <is>
          <t>413</t>
        </is>
      </c>
      <c r="X724" t="n">
        <v>87.40000000000001</v>
      </c>
      <c r="Y724" t="inlineStr">
        <is>
          <t>240</t>
        </is>
      </c>
      <c r="Z724" t="n">
        <v>17.7</v>
      </c>
      <c r="AA724" t="inlineStr">
        <is>
          <t>769</t>
        </is>
      </c>
      <c r="AB724" t="n">
        <v>23.8</v>
      </c>
      <c r="AC724" t="inlineStr">
        <is>
          <t>709</t>
        </is>
      </c>
      <c r="AD724" t="n">
        <v>95.2</v>
      </c>
      <c r="AE724" t="inlineStr">
        <is>
          <t>77</t>
        </is>
      </c>
      <c r="AF724" t="n">
        <v>90.5</v>
      </c>
      <c r="AG724" t="inlineStr">
        <is>
          <t>101</t>
        </is>
      </c>
      <c r="AH724" t="n">
        <v>80.3</v>
      </c>
      <c r="AI724" t="inlineStr">
        <is>
          <t>165</t>
        </is>
      </c>
      <c r="AJ724" t="inlineStr">
        <is>
          <t>34.0</t>
        </is>
      </c>
      <c r="AK724" t="inlineStr">
        <is>
          <t>253</t>
        </is>
      </c>
      <c r="AL724" t="inlineStr">
        <is>
          <t>19.4</t>
        </is>
      </c>
      <c r="AM724" t="inlineStr">
        <is>
          <t>465</t>
        </is>
      </c>
      <c r="AN724" t="inlineStr">
        <is>
          <t>23.6</t>
        </is>
      </c>
      <c r="AO724" t="inlineStr">
        <is>
          <t>609</t>
        </is>
      </c>
      <c r="AP724" t="inlineStr">
        <is>
          <t>27.5</t>
        </is>
      </c>
      <c r="AQ724" t="inlineStr">
        <is>
          <t>456</t>
        </is>
      </c>
      <c r="AR724" t="inlineStr">
        <is>
          <t>76.1</t>
        </is>
      </c>
      <c r="AS724" t="inlineStr">
        <is>
          <t>246</t>
        </is>
      </c>
      <c r="AT724" t="inlineStr">
        <is>
          <t>10.3</t>
        </is>
      </c>
      <c r="AU724" t="inlineStr">
        <is>
          <t>701+</t>
        </is>
      </c>
      <c r="AV724" t="inlineStr">
        <is>
          <t>88.9</t>
        </is>
      </c>
      <c r="AW724" t="inlineStr">
        <is>
          <t>91</t>
        </is>
      </c>
      <c r="AX724" t="inlineStr">
        <is>
          <t>51</t>
        </is>
      </c>
      <c r="AY724" t="inlineStr">
        <is>
          <t>129</t>
        </is>
      </c>
      <c r="AZ724" t="inlineStr">
        <is>
          <t>65.7</t>
        </is>
      </c>
      <c r="BA724" t="inlineStr">
        <is>
          <t>223=</t>
        </is>
      </c>
    </row>
    <row r="725">
      <c r="A725" t="inlineStr">
        <is>
          <t>Notre Dame University-Louaize (NDU)</t>
        </is>
      </c>
      <c r="B725" t="inlineStr">
        <is>
          <t>Lebanon</t>
        </is>
      </c>
      <c r="C725" t="inlineStr">
        <is>
          <t>LB</t>
        </is>
      </c>
      <c r="D725" t="inlineStr">
        <is>
          <t>Asia</t>
        </is>
      </c>
      <c r="E725" t="inlineStr">
        <is>
          <t>S</t>
        </is>
      </c>
      <c r="F725" t="inlineStr">
        <is>
          <t>CO</t>
        </is>
      </c>
      <c r="G725" t="inlineStr">
        <is>
          <t>HI</t>
        </is>
      </c>
      <c r="H725" t="inlineStr">
        <is>
          <t>3</t>
        </is>
      </c>
      <c r="I725" t="inlineStr">
        <is>
          <t>Private not for Profit</t>
        </is>
      </c>
      <c r="J725" t="inlineStr">
        <is>
          <t>1001-1200</t>
        </is>
      </c>
      <c r="K725" t="inlineStr"/>
      <c r="L725" t="inlineStr">
        <is>
          <t>901-950</t>
        </is>
      </c>
      <c r="M725" t="inlineStr">
        <is>
          <t>801-1000</t>
        </is>
      </c>
      <c r="N725" t="inlineStr">
        <is>
          <t>-</t>
        </is>
      </c>
      <c r="O725" t="inlineStr">
        <is>
          <t>-</t>
        </is>
      </c>
      <c r="P725" t="n">
        <v>6.5</v>
      </c>
      <c r="Q725" t="inlineStr">
        <is>
          <t>701+</t>
        </is>
      </c>
      <c r="R725" t="n">
        <v>19.8</v>
      </c>
      <c r="S725" t="inlineStr">
        <is>
          <t>662</t>
        </is>
      </c>
      <c r="T725" t="n">
        <v>25.1</v>
      </c>
      <c r="U725" t="inlineStr">
        <is>
          <t>732</t>
        </is>
      </c>
      <c r="V725" t="n">
        <v>3.8</v>
      </c>
      <c r="W725" t="inlineStr">
        <is>
          <t>801+</t>
        </is>
      </c>
      <c r="X725" t="n">
        <v>87.90000000000001</v>
      </c>
      <c r="Y725" t="inlineStr">
        <is>
          <t>236</t>
        </is>
      </c>
      <c r="Z725" t="n">
        <v>27.1</v>
      </c>
      <c r="AA725" t="inlineStr">
        <is>
          <t>628</t>
        </is>
      </c>
      <c r="AB725" t="n">
        <v>30.5</v>
      </c>
      <c r="AC725" t="inlineStr">
        <is>
          <t>609</t>
        </is>
      </c>
      <c r="AD725" t="n">
        <v>7.3</v>
      </c>
      <c r="AE725" t="inlineStr">
        <is>
          <t>801+</t>
        </is>
      </c>
      <c r="AF725" t="n">
        <v>3.9</v>
      </c>
      <c r="AG725" t="inlineStr">
        <is>
          <t>801+</t>
        </is>
      </c>
      <c r="AH725" t="n">
        <v>17.5</v>
      </c>
      <c r="AI725" t="inlineStr">
        <is>
          <t>801+</t>
        </is>
      </c>
      <c r="AJ725" t="inlineStr">
        <is>
          <t>4.5</t>
        </is>
      </c>
      <c r="AK725" t="inlineStr">
        <is>
          <t>601+</t>
        </is>
      </c>
      <c r="AL725" t="inlineStr">
        <is>
          <t>13.8</t>
        </is>
      </c>
      <c r="AM725" t="inlineStr">
        <is>
          <t>587</t>
        </is>
      </c>
      <c r="AN725" t="inlineStr">
        <is>
          <t>24.9</t>
        </is>
      </c>
      <c r="AO725" t="inlineStr">
        <is>
          <t>585</t>
        </is>
      </c>
      <c r="AP725" t="inlineStr">
        <is>
          <t>2.6</t>
        </is>
      </c>
      <c r="AQ725" t="inlineStr">
        <is>
          <t>701+</t>
        </is>
      </c>
      <c r="AR725" t="inlineStr">
        <is>
          <t>84.2</t>
        </is>
      </c>
      <c r="AS725" t="inlineStr">
        <is>
          <t>216</t>
        </is>
      </c>
      <c r="AT725" t="inlineStr">
        <is>
          <t>21.9</t>
        </is>
      </c>
      <c r="AU725" t="inlineStr">
        <is>
          <t>517</t>
        </is>
      </c>
      <c r="AV725" t="inlineStr">
        <is>
          <t>1.0</t>
        </is>
      </c>
      <c r="AW725" t="inlineStr">
        <is>
          <t>701+</t>
        </is>
      </c>
      <c r="AX725" t="inlineStr">
        <is>
          <t>8</t>
        </is>
      </c>
      <c r="AY725" t="inlineStr">
        <is>
          <t>701+</t>
        </is>
      </c>
      <c r="AZ725" t="inlineStr">
        <is>
          <t>1</t>
        </is>
      </c>
      <c r="BA725" t="inlineStr">
        <is>
          <t>701+</t>
        </is>
      </c>
    </row>
    <row r="726">
      <c r="A726" t="inlineStr">
        <is>
          <t>Nottingham Trent University</t>
        </is>
      </c>
      <c r="B726" t="inlineStr">
        <is>
          <t>United Kingdom</t>
        </is>
      </c>
      <c r="C726" t="inlineStr">
        <is>
          <t>UK</t>
        </is>
      </c>
      <c r="D726" t="inlineStr">
        <is>
          <t>Europe</t>
        </is>
      </c>
      <c r="E726" t="inlineStr">
        <is>
          <t>XL</t>
        </is>
      </c>
      <c r="F726" t="inlineStr">
        <is>
          <t>CO</t>
        </is>
      </c>
      <c r="G726" t="inlineStr">
        <is>
          <t>VH</t>
        </is>
      </c>
      <c r="H726" t="inlineStr">
        <is>
          <t>3</t>
        </is>
      </c>
      <c r="I726" t="inlineStr">
        <is>
          <t>Public</t>
        </is>
      </c>
      <c r="J726" t="inlineStr">
        <is>
          <t>609</t>
        </is>
      </c>
      <c r="K726" t="inlineStr">
        <is>
          <t>592</t>
        </is>
      </c>
      <c r="L726">
        <f>595</f>
        <v/>
      </c>
      <c r="M726" t="inlineStr">
        <is>
          <t>801-1000</t>
        </is>
      </c>
      <c r="N726" t="inlineStr">
        <is>
          <t>27.9</t>
        </is>
      </c>
      <c r="O726" t="inlineStr">
        <is>
          <t>19.9</t>
        </is>
      </c>
      <c r="P726" t="n">
        <v>16.4</v>
      </c>
      <c r="Q726" t="inlineStr">
        <is>
          <t>701+</t>
        </is>
      </c>
      <c r="R726" t="n">
        <v>22.9</v>
      </c>
      <c r="S726" t="inlineStr">
        <is>
          <t>580</t>
        </is>
      </c>
      <c r="T726" t="n">
        <v>15.5</v>
      </c>
      <c r="U726" t="inlineStr">
        <is>
          <t>801+</t>
        </is>
      </c>
      <c r="V726" t="n">
        <v>10.7</v>
      </c>
      <c r="W726" t="inlineStr">
        <is>
          <t>801+</t>
        </is>
      </c>
      <c r="X726" t="n">
        <v>67.09999999999999</v>
      </c>
      <c r="Y726" t="inlineStr">
        <is>
          <t>349</t>
        </is>
      </c>
      <c r="Z726" t="n">
        <v>90.40000000000001</v>
      </c>
      <c r="AA726" t="inlineStr">
        <is>
          <t>165</t>
        </is>
      </c>
      <c r="AB726" t="n">
        <v>91.2</v>
      </c>
      <c r="AC726" t="inlineStr">
        <is>
          <t>140</t>
        </is>
      </c>
      <c r="AD726" t="n">
        <v>84.8</v>
      </c>
      <c r="AE726" t="inlineStr">
        <is>
          <t>258</t>
        </is>
      </c>
      <c r="AF726" t="n">
        <v>20.4</v>
      </c>
      <c r="AG726" t="inlineStr">
        <is>
          <t>717</t>
        </is>
      </c>
      <c r="AH726" t="n">
        <v>77.5</v>
      </c>
      <c r="AI726" t="inlineStr">
        <is>
          <t>206=</t>
        </is>
      </c>
      <c r="AJ726" t="inlineStr">
        <is>
          <t>10.6</t>
        </is>
      </c>
      <c r="AK726" t="inlineStr">
        <is>
          <t>601+</t>
        </is>
      </c>
      <c r="AL726" t="inlineStr">
        <is>
          <t>20.5</t>
        </is>
      </c>
      <c r="AM726" t="inlineStr">
        <is>
          <t>450</t>
        </is>
      </c>
      <c r="AN726" t="inlineStr">
        <is>
          <t>10.2</t>
        </is>
      </c>
      <c r="AO726" t="inlineStr">
        <is>
          <t>701+</t>
        </is>
      </c>
      <c r="AP726" t="inlineStr">
        <is>
          <t>5.2</t>
        </is>
      </c>
      <c r="AQ726" t="inlineStr">
        <is>
          <t>701+</t>
        </is>
      </c>
      <c r="AR726" t="inlineStr">
        <is>
          <t>56.9</t>
        </is>
      </c>
      <c r="AS726" t="inlineStr">
        <is>
          <t>326</t>
        </is>
      </c>
      <c r="AT726" t="inlineStr">
        <is>
          <t>61.0</t>
        </is>
      </c>
      <c r="AU726" t="inlineStr">
        <is>
          <t>243</t>
        </is>
      </c>
      <c r="AV726" t="inlineStr">
        <is>
          <t>52.1</t>
        </is>
      </c>
      <c r="AW726" t="inlineStr">
        <is>
          <t>300</t>
        </is>
      </c>
      <c r="AX726" t="inlineStr">
        <is>
          <t>13.8</t>
        </is>
      </c>
      <c r="AY726" t="inlineStr">
        <is>
          <t>616</t>
        </is>
      </c>
      <c r="AZ726" t="inlineStr">
        <is>
          <t>50.6</t>
        </is>
      </c>
      <c r="BA726" t="inlineStr">
        <is>
          <t>305=</t>
        </is>
      </c>
    </row>
    <row r="727">
      <c r="A727" t="inlineStr">
        <is>
          <t>Nova Southeastern University</t>
        </is>
      </c>
      <c r="B727" t="inlineStr">
        <is>
          <t>United States</t>
        </is>
      </c>
      <c r="C727" t="inlineStr">
        <is>
          <t>US</t>
        </is>
      </c>
      <c r="D727" t="inlineStr"/>
      <c r="E727" t="inlineStr">
        <is>
          <t>L</t>
        </is>
      </c>
      <c r="F727" t="inlineStr">
        <is>
          <t>CO</t>
        </is>
      </c>
      <c r="G727" t="inlineStr">
        <is>
          <t>HI</t>
        </is>
      </c>
      <c r="H727" t="inlineStr">
        <is>
          <t>4</t>
        </is>
      </c>
      <c r="I727" t="inlineStr"/>
      <c r="J727" t="inlineStr"/>
      <c r="K727" t="inlineStr"/>
      <c r="L727" t="inlineStr">
        <is>
          <t>1201-1400</t>
        </is>
      </c>
      <c r="M727" t="inlineStr">
        <is>
          <t>1201-1400</t>
        </is>
      </c>
      <c r="N727" t="inlineStr"/>
      <c r="O727" t="inlineStr">
        <is>
          <t>-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2.9</t>
        </is>
      </c>
      <c r="AK727" t="inlineStr">
        <is>
          <t>601+</t>
        </is>
      </c>
      <c r="AL727" t="inlineStr">
        <is>
          <t>3.3</t>
        </is>
      </c>
      <c r="AM727" t="inlineStr">
        <is>
          <t>601+</t>
        </is>
      </c>
      <c r="AN727" t="inlineStr">
        <is>
          <t>14.0</t>
        </is>
      </c>
      <c r="AO727" t="inlineStr">
        <is>
          <t>701+</t>
        </is>
      </c>
      <c r="AP727" t="inlineStr">
        <is>
          <t>3.1</t>
        </is>
      </c>
      <c r="AQ727" t="inlineStr">
        <is>
          <t>701+</t>
        </is>
      </c>
      <c r="AR727" t="inlineStr">
        <is>
          <t>4.4</t>
        </is>
      </c>
      <c r="AS727" t="inlineStr">
        <is>
          <t>701+</t>
        </is>
      </c>
      <c r="AT727" t="inlineStr">
        <is>
          <t>3.9</t>
        </is>
      </c>
      <c r="AU727" t="inlineStr">
        <is>
          <t>701+</t>
        </is>
      </c>
      <c r="AV727" t="inlineStr">
        <is>
          <t>1.1</t>
        </is>
      </c>
      <c r="AW727" t="inlineStr">
        <is>
          <t>701+</t>
        </is>
      </c>
      <c r="AX727" t="inlineStr">
        <is>
          <t>10.2</t>
        </is>
      </c>
      <c r="AY727" t="inlineStr">
        <is>
          <t>701+</t>
        </is>
      </c>
      <c r="AZ727" t="inlineStr"/>
      <c r="BA727" t="inlineStr"/>
    </row>
    <row r="728">
      <c r="A728" t="inlineStr">
        <is>
          <t>Novosibirsk State Technical University</t>
        </is>
      </c>
      <c r="B728" t="inlineStr">
        <is>
          <t>Russia</t>
        </is>
      </c>
      <c r="C728" t="inlineStr">
        <is>
          <t>RU</t>
        </is>
      </c>
      <c r="D728" t="inlineStr">
        <is>
          <t>Europe</t>
        </is>
      </c>
      <c r="E728" t="inlineStr">
        <is>
          <t>L</t>
        </is>
      </c>
      <c r="F728" t="inlineStr">
        <is>
          <t>FO</t>
        </is>
      </c>
      <c r="G728" t="inlineStr">
        <is>
          <t>VH</t>
        </is>
      </c>
      <c r="H728" t="inlineStr">
        <is>
          <t>4</t>
        </is>
      </c>
      <c r="I728" t="inlineStr">
        <is>
          <t>Public</t>
        </is>
      </c>
      <c r="J728" t="inlineStr">
        <is>
          <t>1201-1400</t>
        </is>
      </c>
      <c r="K728" t="inlineStr">
        <is>
          <t>1201-1400</t>
        </is>
      </c>
      <c r="L728" t="inlineStr">
        <is>
          <t>1001-1200</t>
        </is>
      </c>
      <c r="M728" t="inlineStr">
        <is>
          <t>801-1000</t>
        </is>
      </c>
      <c r="N728" t="inlineStr">
        <is>
          <t>-</t>
        </is>
      </c>
      <c r="O728" t="inlineStr">
        <is>
          <t>-</t>
        </is>
      </c>
      <c r="P728" t="n">
        <v>5.7</v>
      </c>
      <c r="Q728" t="inlineStr">
        <is>
          <t>701+</t>
        </is>
      </c>
      <c r="R728" t="n">
        <v>11.1</v>
      </c>
      <c r="S728" t="inlineStr">
        <is>
          <t>701+</t>
        </is>
      </c>
      <c r="T728" t="n">
        <v>27.7</v>
      </c>
      <c r="U728" t="inlineStr">
        <is>
          <t>686</t>
        </is>
      </c>
      <c r="V728" t="n">
        <v>2.8</v>
      </c>
      <c r="W728" t="inlineStr">
        <is>
          <t>801+</t>
        </is>
      </c>
      <c r="X728" t="n">
        <v>2</v>
      </c>
      <c r="Y728" t="inlineStr">
        <is>
          <t>801+</t>
        </is>
      </c>
      <c r="Z728" t="n">
        <v>56.7</v>
      </c>
      <c r="AA728" t="inlineStr">
        <is>
          <t>366</t>
        </is>
      </c>
      <c r="AB728" t="n">
        <v>55.2</v>
      </c>
      <c r="AC728" t="inlineStr">
        <is>
          <t>372</t>
        </is>
      </c>
      <c r="AD728" t="n">
        <v>11.6</v>
      </c>
      <c r="AE728" t="inlineStr">
        <is>
          <t>801+</t>
        </is>
      </c>
      <c r="AF728" t="n">
        <v>7.3</v>
      </c>
      <c r="AG728" t="inlineStr">
        <is>
          <t>801+</t>
        </is>
      </c>
      <c r="AH728" t="n">
        <v>15.2</v>
      </c>
      <c r="AI728" t="inlineStr">
        <is>
          <t>801+</t>
        </is>
      </c>
      <c r="AJ728" t="inlineStr">
        <is>
          <t>6.8</t>
        </is>
      </c>
      <c r="AK728" t="inlineStr">
        <is>
          <t>601+</t>
        </is>
      </c>
      <c r="AL728" t="inlineStr">
        <is>
          <t>5.9</t>
        </is>
      </c>
      <c r="AM728" t="inlineStr">
        <is>
          <t>601+</t>
        </is>
      </c>
      <c r="AN728" t="inlineStr">
        <is>
          <t>29.1</t>
        </is>
      </c>
      <c r="AO728" t="inlineStr">
        <is>
          <t>532</t>
        </is>
      </c>
      <c r="AP728" t="inlineStr">
        <is>
          <t>1.8</t>
        </is>
      </c>
      <c r="AQ728" t="inlineStr">
        <is>
          <t>701+</t>
        </is>
      </c>
      <c r="AR728" t="inlineStr">
        <is>
          <t>1.4</t>
        </is>
      </c>
      <c r="AS728" t="inlineStr">
        <is>
          <t>701+</t>
        </is>
      </c>
      <c r="AT728" t="inlineStr">
        <is>
          <t>44.6</t>
        </is>
      </c>
      <c r="AU728" t="inlineStr">
        <is>
          <t>325</t>
        </is>
      </c>
      <c r="AV728" t="inlineStr">
        <is>
          <t>1.0</t>
        </is>
      </c>
      <c r="AW728" t="inlineStr">
        <is>
          <t>701+</t>
        </is>
      </c>
      <c r="AX728" t="inlineStr">
        <is>
          <t>9.9</t>
        </is>
      </c>
      <c r="AY728" t="inlineStr">
        <is>
          <t>701+</t>
        </is>
      </c>
      <c r="AZ728" t="inlineStr">
        <is>
          <t>1.3</t>
        </is>
      </c>
      <c r="BA728" t="inlineStr">
        <is>
          <t>701+</t>
        </is>
      </c>
    </row>
    <row r="729">
      <c r="A729" t="inlineStr">
        <is>
          <t>Novosibirsk State University</t>
        </is>
      </c>
      <c r="B729" t="inlineStr">
        <is>
          <t>Russia</t>
        </is>
      </c>
      <c r="C729" t="inlineStr">
        <is>
          <t>RU</t>
        </is>
      </c>
      <c r="D729" t="inlineStr">
        <is>
          <t>Europe</t>
        </is>
      </c>
      <c r="E729" t="inlineStr">
        <is>
          <t>M</t>
        </is>
      </c>
      <c r="F729" t="inlineStr">
        <is>
          <t>FO</t>
        </is>
      </c>
      <c r="G729" t="inlineStr">
        <is>
          <t>VH</t>
        </is>
      </c>
      <c r="H729" t="inlineStr">
        <is>
          <t>4</t>
        </is>
      </c>
      <c r="I729" t="inlineStr">
        <is>
          <t>Public</t>
        </is>
      </c>
      <c r="J729" t="inlineStr">
        <is>
          <t>461</t>
        </is>
      </c>
      <c r="K729" t="inlineStr">
        <is>
          <t>442</t>
        </is>
      </c>
      <c r="L729">
        <f>421</f>
        <v/>
      </c>
      <c r="M729" t="inlineStr">
        <is>
          <t>260=</t>
        </is>
      </c>
      <c r="N729" t="inlineStr">
        <is>
          <t>33.9</t>
        </is>
      </c>
      <c r="O729" t="inlineStr">
        <is>
          <t>26.7</t>
        </is>
      </c>
      <c r="P729" t="n">
        <v>28.8</v>
      </c>
      <c r="Q729" t="inlineStr">
        <is>
          <t>432</t>
        </is>
      </c>
      <c r="R729" t="n">
        <v>31.1</v>
      </c>
      <c r="S729" t="inlineStr">
        <is>
          <t>460</t>
        </is>
      </c>
      <c r="T729" t="n">
        <v>93.59999999999999</v>
      </c>
      <c r="U729" t="inlineStr">
        <is>
          <t>87</t>
        </is>
      </c>
      <c r="V729" t="n">
        <v>13</v>
      </c>
      <c r="W729" t="inlineStr">
        <is>
          <t>801+</t>
        </is>
      </c>
      <c r="X729" t="n">
        <v>9.1</v>
      </c>
      <c r="Y729" t="inlineStr">
        <is>
          <t>801+</t>
        </is>
      </c>
      <c r="Z729" t="n">
        <v>70.59999999999999</v>
      </c>
      <c r="AA729" t="inlineStr">
        <is>
          <t>272</t>
        </is>
      </c>
      <c r="AB729" t="n">
        <v>69.5</v>
      </c>
      <c r="AC729" t="inlineStr">
        <is>
          <t>274</t>
        </is>
      </c>
      <c r="AD729" t="n">
        <v>55.7</v>
      </c>
      <c r="AE729" t="inlineStr">
        <is>
          <t>758</t>
        </is>
      </c>
      <c r="AF729" t="n">
        <v>13.3</v>
      </c>
      <c r="AG729" t="inlineStr">
        <is>
          <t>801+</t>
        </is>
      </c>
      <c r="AH729" t="n">
        <v>43.8</v>
      </c>
      <c r="AI729" t="inlineStr">
        <is>
          <t>801+</t>
        </is>
      </c>
      <c r="AJ729" t="inlineStr">
        <is>
          <t>27.5</t>
        </is>
      </c>
      <c r="AK729" t="inlineStr">
        <is>
          <t>317</t>
        </is>
      </c>
      <c r="AL729" t="inlineStr">
        <is>
          <t>14.4</t>
        </is>
      </c>
      <c r="AM729" t="inlineStr">
        <is>
          <t>572</t>
        </is>
      </c>
      <c r="AN729" t="inlineStr">
        <is>
          <t>93.5</t>
        </is>
      </c>
      <c r="AO729" t="inlineStr">
        <is>
          <t>69</t>
        </is>
      </c>
      <c r="AP729" t="inlineStr">
        <is>
          <t>12.6</t>
        </is>
      </c>
      <c r="AQ729" t="inlineStr">
        <is>
          <t>685</t>
        </is>
      </c>
      <c r="AR729" t="inlineStr">
        <is>
          <t>6.7</t>
        </is>
      </c>
      <c r="AS729" t="inlineStr">
        <is>
          <t>701+</t>
        </is>
      </c>
      <c r="AT729" t="inlineStr">
        <is>
          <t>56.3</t>
        </is>
      </c>
      <c r="AU729" t="inlineStr">
        <is>
          <t>264</t>
        </is>
      </c>
      <c r="AV729" t="inlineStr">
        <is>
          <t>5.3</t>
        </is>
      </c>
      <c r="AW729" t="inlineStr">
        <is>
          <t>701+</t>
        </is>
      </c>
      <c r="AX729" t="inlineStr">
        <is>
          <t>12.9</t>
        </is>
      </c>
      <c r="AY729" t="inlineStr">
        <is>
          <t>667</t>
        </is>
      </c>
      <c r="AZ729" t="inlineStr">
        <is>
          <t>6.8</t>
        </is>
      </c>
      <c r="BA729" t="inlineStr">
        <is>
          <t>701+</t>
        </is>
      </c>
    </row>
    <row r="730">
      <c r="A730" t="inlineStr">
        <is>
          <t>O.P. Jindal Global University</t>
        </is>
      </c>
      <c r="B730" t="inlineStr">
        <is>
          <t>India</t>
        </is>
      </c>
      <c r="C730" t="inlineStr">
        <is>
          <t>IN</t>
        </is>
      </c>
      <c r="D730" t="inlineStr"/>
      <c r="E730" t="inlineStr">
        <is>
          <t>M</t>
        </is>
      </c>
      <c r="F730" t="inlineStr">
        <is>
          <t>SP</t>
        </is>
      </c>
      <c r="G730" t="inlineStr"/>
      <c r="H730" t="inlineStr">
        <is>
          <t>2</t>
        </is>
      </c>
      <c r="I730" t="inlineStr">
        <is>
          <t>B</t>
        </is>
      </c>
      <c r="J730" t="inlineStr"/>
      <c r="K730" t="inlineStr"/>
      <c r="L730" t="inlineStr">
        <is>
          <t>951-1000</t>
        </is>
      </c>
      <c r="M730" t="inlineStr">
        <is>
          <t>651-700</t>
        </is>
      </c>
      <c r="N730" t="inlineStr"/>
      <c r="O730" t="inlineStr">
        <is>
          <t>-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6.6</t>
        </is>
      </c>
      <c r="AK730" t="inlineStr">
        <is>
          <t>601+</t>
        </is>
      </c>
      <c r="AL730" t="inlineStr">
        <is>
          <t>13.1</t>
        </is>
      </c>
      <c r="AM730" t="inlineStr">
        <is>
          <t>601+</t>
        </is>
      </c>
      <c r="AN730" t="inlineStr">
        <is>
          <t>51.1</t>
        </is>
      </c>
      <c r="AO730" t="inlineStr">
        <is>
          <t>305</t>
        </is>
      </c>
      <c r="AP730" t="inlineStr">
        <is>
          <t>1.5</t>
        </is>
      </c>
      <c r="AQ730" t="inlineStr">
        <is>
          <t>701+</t>
        </is>
      </c>
      <c r="AR730" t="inlineStr">
        <is>
          <t>25.1</t>
        </is>
      </c>
      <c r="AS730" t="inlineStr">
        <is>
          <t>533</t>
        </is>
      </c>
      <c r="AT730" t="inlineStr">
        <is>
          <t>1.2</t>
        </is>
      </c>
      <c r="AU730" t="inlineStr">
        <is>
          <t>701+</t>
        </is>
      </c>
      <c r="AV730" t="inlineStr">
        <is>
          <t>1.0</t>
        </is>
      </c>
      <c r="AW730" t="inlineStr">
        <is>
          <t>701+</t>
        </is>
      </c>
      <c r="AX730" t="inlineStr">
        <is>
          <t>8.7</t>
        </is>
      </c>
      <c r="AY730" t="inlineStr">
        <is>
          <t>701+</t>
        </is>
      </c>
      <c r="AZ730" t="inlineStr">
        <is>
          <t>1.5</t>
        </is>
      </c>
      <c r="BA730" t="inlineStr">
        <is>
          <t>701+</t>
        </is>
      </c>
    </row>
    <row r="731">
      <c r="A731" t="inlineStr">
        <is>
          <t>O. P. Jindal Global University (JGU)</t>
        </is>
      </c>
      <c r="B731" t="inlineStr">
        <is>
          <t>India</t>
        </is>
      </c>
      <c r="C731" t="inlineStr"/>
      <c r="D731" t="inlineStr">
        <is>
          <t>Asia</t>
        </is>
      </c>
      <c r="E731" t="inlineStr">
        <is>
          <t>M</t>
        </is>
      </c>
      <c r="F731" t="inlineStr">
        <is>
          <t>SP</t>
        </is>
      </c>
      <c r="G731" t="inlineStr">
        <is>
          <t>VH</t>
        </is>
      </c>
      <c r="H731" t="inlineStr"/>
      <c r="I731" t="inlineStr">
        <is>
          <t>Private not for Profit</t>
        </is>
      </c>
      <c r="J731" t="inlineStr">
        <is>
          <t>851-900</t>
        </is>
      </c>
      <c r="K731" t="inlineStr">
        <is>
          <t>1001-1200</t>
        </is>
      </c>
      <c r="L731" t="inlineStr"/>
      <c r="M731" t="inlineStr"/>
      <c r="N731" t="inlineStr">
        <is>
          <t>-</t>
        </is>
      </c>
      <c r="O731" t="inlineStr"/>
      <c r="P731" t="n">
        <v>15.9</v>
      </c>
      <c r="Q731" t="inlineStr">
        <is>
          <t>701+</t>
        </is>
      </c>
      <c r="R731" t="n">
        <v>29.7</v>
      </c>
      <c r="S731" t="inlineStr">
        <is>
          <t>481</t>
        </is>
      </c>
      <c r="T731" t="n">
        <v>66.8</v>
      </c>
      <c r="U731" t="inlineStr">
        <is>
          <t>257</t>
        </is>
      </c>
      <c r="V731" t="n">
        <v>3.2</v>
      </c>
      <c r="W731" t="inlineStr">
        <is>
          <t>801+</t>
        </is>
      </c>
      <c r="X731" t="n">
        <v>34.3</v>
      </c>
      <c r="Y731" t="inlineStr">
        <is>
          <t>543</t>
        </is>
      </c>
      <c r="Z731" t="n">
        <v>2.1</v>
      </c>
      <c r="AA731" t="inlineStr">
        <is>
          <t>801+</t>
        </is>
      </c>
      <c r="AB731" t="n">
        <v>6.5</v>
      </c>
      <c r="AC731" t="inlineStr">
        <is>
          <t>801+</t>
        </is>
      </c>
      <c r="AD731" t="n">
        <v>23.3</v>
      </c>
      <c r="AE731" t="inlineStr">
        <is>
          <t>801+</t>
        </is>
      </c>
      <c r="AF731" t="n">
        <v>3.5</v>
      </c>
      <c r="AG731" t="inlineStr">
        <is>
          <t>801+</t>
        </is>
      </c>
      <c r="AH731" t="n">
        <v>46.7</v>
      </c>
      <c r="AI731" t="inlineStr">
        <is>
          <t>799=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</row>
    <row r="732">
      <c r="A732" t="inlineStr">
        <is>
          <t>Obuda University</t>
        </is>
      </c>
      <c r="B732" t="inlineStr">
        <is>
          <t>Hungary</t>
        </is>
      </c>
      <c r="C732" t="inlineStr"/>
      <c r="D732" t="inlineStr">
        <is>
          <t>Europe</t>
        </is>
      </c>
      <c r="E732" t="inlineStr">
        <is>
          <t>M</t>
        </is>
      </c>
      <c r="F732" t="inlineStr">
        <is>
          <t>FO</t>
        </is>
      </c>
      <c r="G732" t="inlineStr">
        <is>
          <t>VH</t>
        </is>
      </c>
      <c r="H732" t="inlineStr"/>
      <c r="I732" t="inlineStr">
        <is>
          <t>Public</t>
        </is>
      </c>
      <c r="J732" t="inlineStr">
        <is>
          <t>1001-1200</t>
        </is>
      </c>
      <c r="K732" t="inlineStr">
        <is>
          <t>1201-1400</t>
        </is>
      </c>
      <c r="L732" t="inlineStr"/>
      <c r="M732" t="inlineStr"/>
      <c r="N732" t="inlineStr">
        <is>
          <t>-</t>
        </is>
      </c>
      <c r="O732" t="inlineStr"/>
      <c r="P732" t="n">
        <v>7.9</v>
      </c>
      <c r="Q732" t="inlineStr">
        <is>
          <t>701+</t>
        </is>
      </c>
      <c r="R732" t="n">
        <v>8.9</v>
      </c>
      <c r="S732" t="inlineStr">
        <is>
          <t>701+</t>
        </is>
      </c>
      <c r="T732" t="n">
        <v>3.9</v>
      </c>
      <c r="U732" t="inlineStr">
        <is>
          <t>801+</t>
        </is>
      </c>
      <c r="V732" t="n">
        <v>19.6</v>
      </c>
      <c r="W732" t="inlineStr">
        <is>
          <t>721</t>
        </is>
      </c>
      <c r="X732" t="n">
        <v>34.7</v>
      </c>
      <c r="Y732" t="inlineStr">
        <is>
          <t>538</t>
        </is>
      </c>
      <c r="Z732" t="n">
        <v>13.3</v>
      </c>
      <c r="AA732" t="inlineStr">
        <is>
          <t>801+</t>
        </is>
      </c>
      <c r="AB732" t="n">
        <v>19.3</v>
      </c>
      <c r="AC732" t="inlineStr">
        <is>
          <t>774</t>
        </is>
      </c>
      <c r="AD732" t="n">
        <v>44.5</v>
      </c>
      <c r="AE732" t="inlineStr">
        <is>
          <t>801+</t>
        </is>
      </c>
      <c r="AF732" t="n">
        <v>5.1</v>
      </c>
      <c r="AG732" t="inlineStr">
        <is>
          <t>801+</t>
        </is>
      </c>
      <c r="AH732" t="n">
        <v>42.4</v>
      </c>
      <c r="AI732" t="inlineStr">
        <is>
          <t>801+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</row>
    <row r="733">
      <c r="A733" t="inlineStr">
        <is>
          <t>Ocean University of China</t>
        </is>
      </c>
      <c r="B733" t="inlineStr">
        <is>
          <t>China (Mainland)</t>
        </is>
      </c>
      <c r="C733" t="inlineStr">
        <is>
          <t>CN</t>
        </is>
      </c>
      <c r="D733" t="inlineStr">
        <is>
          <t>Asia</t>
        </is>
      </c>
      <c r="E733" t="inlineStr">
        <is>
          <t>XL</t>
        </is>
      </c>
      <c r="F733" t="inlineStr">
        <is>
          <t>FC</t>
        </is>
      </c>
      <c r="G733" t="inlineStr">
        <is>
          <t>VH</t>
        </is>
      </c>
      <c r="H733" t="inlineStr">
        <is>
          <t>3</t>
        </is>
      </c>
      <c r="I733" t="inlineStr">
        <is>
          <t>Public</t>
        </is>
      </c>
      <c r="J733" t="inlineStr">
        <is>
          <t>801-850</t>
        </is>
      </c>
      <c r="K733" t="inlineStr">
        <is>
          <t>801-850</t>
        </is>
      </c>
      <c r="L733" t="inlineStr">
        <is>
          <t>901-950</t>
        </is>
      </c>
      <c r="M733" t="inlineStr">
        <is>
          <t>1001-1200</t>
        </is>
      </c>
      <c r="N733" t="inlineStr">
        <is>
          <t>-</t>
        </is>
      </c>
      <c r="O733" t="inlineStr">
        <is>
          <t>-</t>
        </is>
      </c>
      <c r="P733" t="n">
        <v>6.3</v>
      </c>
      <c r="Q733" t="inlineStr">
        <is>
          <t>701+</t>
        </is>
      </c>
      <c r="R733" t="n">
        <v>5.8</v>
      </c>
      <c r="S733" t="inlineStr">
        <is>
          <t>701+</t>
        </is>
      </c>
      <c r="T733" t="n">
        <v>9.6</v>
      </c>
      <c r="U733" t="inlineStr">
        <is>
          <t>801+</t>
        </is>
      </c>
      <c r="V733" t="n">
        <v>72.09999999999999</v>
      </c>
      <c r="W733" t="inlineStr">
        <is>
          <t>198</t>
        </is>
      </c>
      <c r="X733" t="n">
        <v>4</v>
      </c>
      <c r="Y733" t="inlineStr">
        <is>
          <t>801+</t>
        </is>
      </c>
      <c r="Z733" t="n">
        <v>2.6</v>
      </c>
      <c r="AA733" t="inlineStr">
        <is>
          <t>801+</t>
        </is>
      </c>
      <c r="AB733" t="n">
        <v>2.2</v>
      </c>
      <c r="AC733" t="inlineStr">
        <is>
          <t>801+</t>
        </is>
      </c>
      <c r="AD733" t="n">
        <v>49.8</v>
      </c>
      <c r="AE733" t="inlineStr">
        <is>
          <t>801+</t>
        </is>
      </c>
      <c r="AF733" t="n">
        <v>3.9</v>
      </c>
      <c r="AG733" t="inlineStr">
        <is>
          <t>801+</t>
        </is>
      </c>
      <c r="AH733" t="n">
        <v>41.5</v>
      </c>
      <c r="AI733" t="inlineStr">
        <is>
          <t>801+</t>
        </is>
      </c>
      <c r="AJ733" t="inlineStr">
        <is>
          <t>5.5</t>
        </is>
      </c>
      <c r="AK733" t="inlineStr">
        <is>
          <t>601+</t>
        </is>
      </c>
      <c r="AL733" t="inlineStr">
        <is>
          <t>1.9</t>
        </is>
      </c>
      <c r="AM733" t="inlineStr">
        <is>
          <t>601+</t>
        </is>
      </c>
      <c r="AN733" t="inlineStr">
        <is>
          <t>9.9</t>
        </is>
      </c>
      <c r="AO733" t="inlineStr">
        <is>
          <t>701+</t>
        </is>
      </c>
      <c r="AP733" t="inlineStr">
        <is>
          <t>40.5</t>
        </is>
      </c>
      <c r="AQ733" t="inlineStr">
        <is>
          <t>341</t>
        </is>
      </c>
      <c r="AR733" t="inlineStr">
        <is>
          <t>3.3</t>
        </is>
      </c>
      <c r="AS733" t="inlineStr">
        <is>
          <t>701+</t>
        </is>
      </c>
      <c r="AT733" t="inlineStr">
        <is>
          <t>2.0</t>
        </is>
      </c>
      <c r="AU733" t="inlineStr">
        <is>
          <t>701+</t>
        </is>
      </c>
      <c r="AV733" t="inlineStr">
        <is>
          <t>9.4</t>
        </is>
      </c>
      <c r="AW733" t="inlineStr">
        <is>
          <t>684</t>
        </is>
      </c>
      <c r="AX733" t="inlineStr">
        <is>
          <t>5.9</t>
        </is>
      </c>
      <c r="AY733" t="inlineStr">
        <is>
          <t>701+</t>
        </is>
      </c>
      <c r="AZ733" t="inlineStr">
        <is>
          <t>4.9</t>
        </is>
      </c>
      <c r="BA733" t="inlineStr">
        <is>
          <t>701+</t>
        </is>
      </c>
    </row>
    <row r="734">
      <c r="A734" t="inlineStr">
        <is>
          <t>Odessa I.I.Mechnikov National University</t>
        </is>
      </c>
      <c r="B734" t="inlineStr">
        <is>
          <t>Ukraine</t>
        </is>
      </c>
      <c r="C734" t="inlineStr">
        <is>
          <t>UA</t>
        </is>
      </c>
      <c r="D734" t="inlineStr">
        <is>
          <t>Europe</t>
        </is>
      </c>
      <c r="E734" t="inlineStr">
        <is>
          <t>M</t>
        </is>
      </c>
      <c r="F734" t="inlineStr">
        <is>
          <t>FO</t>
        </is>
      </c>
      <c r="G734" t="inlineStr">
        <is>
          <t>HI</t>
        </is>
      </c>
      <c r="H734" t="inlineStr">
        <is>
          <t>5</t>
        </is>
      </c>
      <c r="I734" t="inlineStr">
        <is>
          <t>Public</t>
        </is>
      </c>
      <c r="J734" t="inlineStr">
        <is>
          <t>1201-1400</t>
        </is>
      </c>
      <c r="K734" t="inlineStr">
        <is>
          <t>1201-1400</t>
        </is>
      </c>
      <c r="L734" t="inlineStr">
        <is>
          <t>1001-1200</t>
        </is>
      </c>
      <c r="M734" t="inlineStr">
        <is>
          <t>1001-1200</t>
        </is>
      </c>
      <c r="N734" t="inlineStr">
        <is>
          <t>-</t>
        </is>
      </c>
      <c r="O734" t="inlineStr">
        <is>
          <t>-</t>
        </is>
      </c>
      <c r="P734" t="n">
        <v>3.9</v>
      </c>
      <c r="Q734" t="inlineStr">
        <is>
          <t>701+</t>
        </is>
      </c>
      <c r="R734" t="n">
        <v>6.3</v>
      </c>
      <c r="S734" t="inlineStr">
        <is>
          <t>701+</t>
        </is>
      </c>
      <c r="T734" t="n">
        <v>70.5</v>
      </c>
      <c r="U734" t="inlineStr">
        <is>
          <t>224</t>
        </is>
      </c>
      <c r="V734" t="n">
        <v>1.6</v>
      </c>
      <c r="W734" t="inlineStr">
        <is>
          <t>801+</t>
        </is>
      </c>
      <c r="X734" t="n">
        <v>2.2</v>
      </c>
      <c r="Y734" t="inlineStr">
        <is>
          <t>801+</t>
        </is>
      </c>
      <c r="Z734" t="n">
        <v>6.1</v>
      </c>
      <c r="AA734" t="inlineStr">
        <is>
          <t>801+</t>
        </is>
      </c>
      <c r="AB734" t="n">
        <v>10.1</v>
      </c>
      <c r="AC734" t="inlineStr">
        <is>
          <t>801+</t>
        </is>
      </c>
      <c r="AD734" t="n">
        <v>12.9</v>
      </c>
      <c r="AE734" t="inlineStr">
        <is>
          <t>801+</t>
        </is>
      </c>
      <c r="AF734" t="n">
        <v>16.8</v>
      </c>
      <c r="AG734" t="inlineStr">
        <is>
          <t>790</t>
        </is>
      </c>
      <c r="AH734" t="n">
        <v>15.5</v>
      </c>
      <c r="AI734" t="inlineStr">
        <is>
          <t>801+</t>
        </is>
      </c>
      <c r="AJ734" t="inlineStr">
        <is>
          <t>4.1</t>
        </is>
      </c>
      <c r="AK734" t="inlineStr">
        <is>
          <t>601+</t>
        </is>
      </c>
      <c r="AL734" t="inlineStr">
        <is>
          <t>2.6</t>
        </is>
      </c>
      <c r="AM734" t="inlineStr">
        <is>
          <t>601+</t>
        </is>
      </c>
      <c r="AN734" t="inlineStr">
        <is>
          <t>47.7</t>
        </is>
      </c>
      <c r="AO734" t="inlineStr">
        <is>
          <t>329</t>
        </is>
      </c>
      <c r="AP734" t="inlineStr">
        <is>
          <t>1.3</t>
        </is>
      </c>
      <c r="AQ734" t="inlineStr">
        <is>
          <t>701+</t>
        </is>
      </c>
      <c r="AR734" t="inlineStr">
        <is>
          <t>1.8</t>
        </is>
      </c>
      <c r="AS734" t="inlineStr">
        <is>
          <t>701+</t>
        </is>
      </c>
      <c r="AT734" t="inlineStr">
        <is>
          <t>3.6</t>
        </is>
      </c>
      <c r="AU734" t="inlineStr">
        <is>
          <t>701+</t>
        </is>
      </c>
      <c r="AV734" t="inlineStr">
        <is>
          <t>1.0</t>
        </is>
      </c>
      <c r="AW734" t="inlineStr">
        <is>
          <t>701+</t>
        </is>
      </c>
      <c r="AX734" t="inlineStr">
        <is>
          <t>10.5</t>
        </is>
      </c>
      <c r="AY734" t="inlineStr">
        <is>
          <t>701+</t>
        </is>
      </c>
      <c r="AZ734" t="inlineStr">
        <is>
          <t>1</t>
        </is>
      </c>
      <c r="BA734" t="inlineStr">
        <is>
          <t>701+</t>
        </is>
      </c>
    </row>
    <row r="735">
      <c r="A735" t="inlineStr">
        <is>
          <t>Ohio State University</t>
        </is>
      </c>
      <c r="B735" t="inlineStr">
        <is>
          <t>United States</t>
        </is>
      </c>
      <c r="C735" t="inlineStr"/>
      <c r="D735" t="inlineStr">
        <is>
          <t>Americas</t>
        </is>
      </c>
      <c r="E735" t="inlineStr">
        <is>
          <t>XL</t>
        </is>
      </c>
      <c r="F735" t="inlineStr">
        <is>
          <t>FC</t>
        </is>
      </c>
      <c r="G735" t="inlineStr">
        <is>
          <t>VH</t>
        </is>
      </c>
      <c r="H735" t="inlineStr"/>
      <c r="I735" t="inlineStr">
        <is>
          <t>Public</t>
        </is>
      </c>
      <c r="J735" t="inlineStr">
        <is>
          <t>190</t>
        </is>
      </c>
      <c r="K735" t="inlineStr">
        <is>
          <t>208</t>
        </is>
      </c>
      <c r="L735" t="inlineStr"/>
      <c r="M735" t="inlineStr"/>
      <c r="N735" t="inlineStr">
        <is>
          <t>56.9</t>
        </is>
      </c>
      <c r="O735" t="inlineStr"/>
      <c r="P735" t="n">
        <v>71.09999999999999</v>
      </c>
      <c r="Q735" t="inlineStr">
        <is>
          <t>131</t>
        </is>
      </c>
      <c r="R735" t="n">
        <v>63</v>
      </c>
      <c r="S735" t="inlineStr">
        <is>
          <t>173</t>
        </is>
      </c>
      <c r="T735" t="n">
        <v>53.1</v>
      </c>
      <c r="U735" t="inlineStr">
        <is>
          <t>353</t>
        </is>
      </c>
      <c r="V735" t="n">
        <v>33.8</v>
      </c>
      <c r="W735" t="inlineStr">
        <is>
          <t>539</t>
        </is>
      </c>
      <c r="X735" t="n">
        <v>37.4</v>
      </c>
      <c r="Y735" t="inlineStr">
        <is>
          <t>519</t>
        </is>
      </c>
      <c r="Z735" t="n">
        <v>20.6</v>
      </c>
      <c r="AA735" t="inlineStr">
        <is>
          <t>721</t>
        </is>
      </c>
      <c r="AB735" t="n">
        <v>26.7</v>
      </c>
      <c r="AC735" t="inlineStr">
        <is>
          <t>661</t>
        </is>
      </c>
      <c r="AD735" t="n">
        <v>93.7</v>
      </c>
      <c r="AE735" t="inlineStr">
        <is>
          <t>106</t>
        </is>
      </c>
      <c r="AF735" t="n">
        <v>66</v>
      </c>
      <c r="AG735" t="inlineStr">
        <is>
          <t>236</t>
        </is>
      </c>
      <c r="AH735" t="n">
        <v>69.2</v>
      </c>
      <c r="AI735" t="inlineStr">
        <is>
          <t>326=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</row>
    <row r="736">
      <c r="A736" t="inlineStr">
        <is>
          <t>Ohio University</t>
        </is>
      </c>
      <c r="B736" t="inlineStr">
        <is>
          <t>United States</t>
        </is>
      </c>
      <c r="C736" t="inlineStr">
        <is>
          <t>US</t>
        </is>
      </c>
      <c r="D736" t="inlineStr">
        <is>
          <t>Americas</t>
        </is>
      </c>
      <c r="E736" t="inlineStr">
        <is>
          <t>L</t>
        </is>
      </c>
      <c r="F736" t="inlineStr">
        <is>
          <t>FC</t>
        </is>
      </c>
      <c r="G736" t="inlineStr">
        <is>
          <t>HI</t>
        </is>
      </c>
      <c r="H736" t="inlineStr">
        <is>
          <t>5</t>
        </is>
      </c>
      <c r="I736" t="inlineStr">
        <is>
          <t>Public</t>
        </is>
      </c>
      <c r="J736" t="inlineStr">
        <is>
          <t>1001-1200</t>
        </is>
      </c>
      <c r="K736" t="inlineStr">
        <is>
          <t>1001-1200</t>
        </is>
      </c>
      <c r="L736" t="inlineStr">
        <is>
          <t>1001-1200</t>
        </is>
      </c>
      <c r="M736" t="inlineStr">
        <is>
          <t>1001-1200</t>
        </is>
      </c>
      <c r="N736" t="inlineStr">
        <is>
          <t>-</t>
        </is>
      </c>
      <c r="O736" t="inlineStr">
        <is>
          <t>-</t>
        </is>
      </c>
      <c r="P736" t="n">
        <v>10.9</v>
      </c>
      <c r="Q736" t="inlineStr">
        <is>
          <t>701+</t>
        </is>
      </c>
      <c r="R736" t="n">
        <v>13.3</v>
      </c>
      <c r="S736" t="inlineStr">
        <is>
          <t>701+</t>
        </is>
      </c>
      <c r="T736" t="n">
        <v>7.6</v>
      </c>
      <c r="U736" t="inlineStr">
        <is>
          <t>801+</t>
        </is>
      </c>
      <c r="V736" t="n">
        <v>14</v>
      </c>
      <c r="W736" t="inlineStr">
        <is>
          <t>801+</t>
        </is>
      </c>
      <c r="X736" t="n">
        <v>3.9</v>
      </c>
      <c r="Y736" t="inlineStr">
        <is>
          <t>801+</t>
        </is>
      </c>
      <c r="Z736" t="n">
        <v>6.3</v>
      </c>
      <c r="AA736" t="inlineStr">
        <is>
          <t>801+</t>
        </is>
      </c>
      <c r="AB736" t="n">
        <v>11.7</v>
      </c>
      <c r="AC736" t="inlineStr">
        <is>
          <t>801+</t>
        </is>
      </c>
      <c r="AD736" t="n">
        <v>51.8</v>
      </c>
      <c r="AE736" t="inlineStr">
        <is>
          <t>801+</t>
        </is>
      </c>
      <c r="AF736" t="n">
        <v>27.9</v>
      </c>
      <c r="AG736" t="inlineStr">
        <is>
          <t>598</t>
        </is>
      </c>
      <c r="AH736" t="n">
        <v>38.3</v>
      </c>
      <c r="AI736" t="inlineStr">
        <is>
          <t>801+</t>
        </is>
      </c>
      <c r="AJ736" t="inlineStr">
        <is>
          <t>8.5</t>
        </is>
      </c>
      <c r="AK736" t="inlineStr">
        <is>
          <t>601+</t>
        </is>
      </c>
      <c r="AL736" t="inlineStr">
        <is>
          <t>9.3</t>
        </is>
      </c>
      <c r="AM736" t="inlineStr">
        <is>
          <t>601+</t>
        </is>
      </c>
      <c r="AN736" t="inlineStr">
        <is>
          <t>5.5</t>
        </is>
      </c>
      <c r="AO736" t="inlineStr">
        <is>
          <t>701+</t>
        </is>
      </c>
      <c r="AP736" t="inlineStr">
        <is>
          <t>14.3</t>
        </is>
      </c>
      <c r="AQ736" t="inlineStr">
        <is>
          <t>651</t>
        </is>
      </c>
      <c r="AR736" t="inlineStr">
        <is>
          <t>5.5</t>
        </is>
      </c>
      <c r="AS736" t="inlineStr">
        <is>
          <t>701+</t>
        </is>
      </c>
      <c r="AT736" t="inlineStr">
        <is>
          <t>3.9</t>
        </is>
      </c>
      <c r="AU736" t="inlineStr">
        <is>
          <t>701+</t>
        </is>
      </c>
      <c r="AV736" t="inlineStr">
        <is>
          <t>15.1</t>
        </is>
      </c>
      <c r="AW736" t="inlineStr">
        <is>
          <t>597</t>
        </is>
      </c>
      <c r="AX736" t="inlineStr">
        <is>
          <t>15.5</t>
        </is>
      </c>
      <c r="AY736" t="inlineStr">
        <is>
          <t>538</t>
        </is>
      </c>
      <c r="AZ736" t="inlineStr">
        <is>
          <t>3.9</t>
        </is>
      </c>
      <c r="BA736" t="inlineStr">
        <is>
          <t>701+</t>
        </is>
      </c>
    </row>
    <row r="737">
      <c r="A737" t="inlineStr">
        <is>
          <t>Okayama University</t>
        </is>
      </c>
      <c r="B737" t="inlineStr">
        <is>
          <t>Japan</t>
        </is>
      </c>
      <c r="C737" t="inlineStr">
        <is>
          <t>JP</t>
        </is>
      </c>
      <c r="D737" t="inlineStr">
        <is>
          <t>Asia</t>
        </is>
      </c>
      <c r="E737" t="inlineStr">
        <is>
          <t>L</t>
        </is>
      </c>
      <c r="F737" t="inlineStr">
        <is>
          <t>FC</t>
        </is>
      </c>
      <c r="G737" t="inlineStr">
        <is>
          <t>VH</t>
        </is>
      </c>
      <c r="H737" t="inlineStr">
        <is>
          <t>4</t>
        </is>
      </c>
      <c r="I737" t="inlineStr">
        <is>
          <t>Public</t>
        </is>
      </c>
      <c r="J737" t="inlineStr">
        <is>
          <t>951-1000</t>
        </is>
      </c>
      <c r="K737" t="inlineStr">
        <is>
          <t>851-900</t>
        </is>
      </c>
      <c r="L737" t="inlineStr">
        <is>
          <t>901-950</t>
        </is>
      </c>
      <c r="M737" t="inlineStr">
        <is>
          <t>601-650</t>
        </is>
      </c>
      <c r="N737" t="inlineStr">
        <is>
          <t>-</t>
        </is>
      </c>
      <c r="O737" t="inlineStr">
        <is>
          <t>-</t>
        </is>
      </c>
      <c r="P737" t="n">
        <v>11.5</v>
      </c>
      <c r="Q737" t="inlineStr">
        <is>
          <t>701+</t>
        </is>
      </c>
      <c r="R737" t="n">
        <v>5.1</v>
      </c>
      <c r="S737" t="inlineStr">
        <is>
          <t>701+</t>
        </is>
      </c>
      <c r="T737" t="n">
        <v>67.5</v>
      </c>
      <c r="U737" t="inlineStr">
        <is>
          <t>248</t>
        </is>
      </c>
      <c r="V737" t="n">
        <v>14.7</v>
      </c>
      <c r="W737" t="inlineStr">
        <is>
          <t>801+</t>
        </is>
      </c>
      <c r="X737" t="n">
        <v>8.300000000000001</v>
      </c>
      <c r="Y737" t="inlineStr">
        <is>
          <t>801+</t>
        </is>
      </c>
      <c r="Z737" t="n">
        <v>11.6</v>
      </c>
      <c r="AA737" t="inlineStr">
        <is>
          <t>801+</t>
        </is>
      </c>
      <c r="AB737" t="n">
        <v>17</v>
      </c>
      <c r="AC737" t="inlineStr">
        <is>
          <t>801+</t>
        </is>
      </c>
      <c r="AD737" t="n">
        <v>41.7</v>
      </c>
      <c r="AE737" t="inlineStr">
        <is>
          <t>801+</t>
        </is>
      </c>
      <c r="AF737" t="n">
        <v>3.4</v>
      </c>
      <c r="AG737" t="inlineStr">
        <is>
          <t>801+</t>
        </is>
      </c>
      <c r="AH737" t="n">
        <v>58.3</v>
      </c>
      <c r="AI737" t="inlineStr">
        <is>
          <t>539=</t>
        </is>
      </c>
      <c r="AJ737" t="inlineStr">
        <is>
          <t>8.9</t>
        </is>
      </c>
      <c r="AK737" t="inlineStr">
        <is>
          <t>601+</t>
        </is>
      </c>
      <c r="AL737" t="inlineStr">
        <is>
          <t>3.9</t>
        </is>
      </c>
      <c r="AM737" t="inlineStr">
        <is>
          <t>601+</t>
        </is>
      </c>
      <c r="AN737" t="inlineStr">
        <is>
          <t>62.1</t>
        </is>
      </c>
      <c r="AO737" t="inlineStr">
        <is>
          <t>227</t>
        </is>
      </c>
      <c r="AP737" t="inlineStr">
        <is>
          <t>8.4</t>
        </is>
      </c>
      <c r="AQ737" t="inlineStr">
        <is>
          <t>701+</t>
        </is>
      </c>
      <c r="AR737" t="inlineStr">
        <is>
          <t>5.6</t>
        </is>
      </c>
      <c r="AS737" t="inlineStr">
        <is>
          <t>701+</t>
        </is>
      </c>
      <c r="AT737" t="inlineStr">
        <is>
          <t>6.3</t>
        </is>
      </c>
      <c r="AU737" t="inlineStr">
        <is>
          <t>701+</t>
        </is>
      </c>
      <c r="AV737" t="inlineStr">
        <is>
          <t>3.6</t>
        </is>
      </c>
      <c r="AW737" t="inlineStr">
        <is>
          <t>701+</t>
        </is>
      </c>
      <c r="AX737" t="inlineStr">
        <is>
          <t>8.2</t>
        </is>
      </c>
      <c r="AY737" t="inlineStr">
        <is>
          <t>701+</t>
        </is>
      </c>
      <c r="AZ737" t="inlineStr">
        <is>
          <t>1.6</t>
        </is>
      </c>
      <c r="BA737" t="inlineStr">
        <is>
          <t>701+</t>
        </is>
      </c>
    </row>
    <row r="738">
      <c r="A738" t="inlineStr">
        <is>
          <t>Oklahoma State University</t>
        </is>
      </c>
      <c r="B738" t="inlineStr">
        <is>
          <t>United States</t>
        </is>
      </c>
      <c r="C738" t="inlineStr">
        <is>
          <t>US</t>
        </is>
      </c>
      <c r="D738" t="inlineStr">
        <is>
          <t>Americas</t>
        </is>
      </c>
      <c r="E738" t="inlineStr">
        <is>
          <t>L</t>
        </is>
      </c>
      <c r="F738" t="inlineStr">
        <is>
          <t>FC</t>
        </is>
      </c>
      <c r="G738" t="inlineStr">
        <is>
          <t>HI</t>
        </is>
      </c>
      <c r="H738" t="inlineStr">
        <is>
          <t>5</t>
        </is>
      </c>
      <c r="I738" t="inlineStr">
        <is>
          <t>Public</t>
        </is>
      </c>
      <c r="J738" t="inlineStr">
        <is>
          <t>851-900</t>
        </is>
      </c>
      <c r="K738" t="inlineStr">
        <is>
          <t>851-900</t>
        </is>
      </c>
      <c r="L738" t="inlineStr">
        <is>
          <t>851-900</t>
        </is>
      </c>
      <c r="M738" t="inlineStr">
        <is>
          <t>801-1000</t>
        </is>
      </c>
      <c r="N738" t="inlineStr">
        <is>
          <t>-</t>
        </is>
      </c>
      <c r="O738" t="inlineStr">
        <is>
          <t>-</t>
        </is>
      </c>
      <c r="P738" t="n">
        <v>10.6</v>
      </c>
      <c r="Q738" t="inlineStr">
        <is>
          <t>701+</t>
        </is>
      </c>
      <c r="R738" t="n">
        <v>12.8</v>
      </c>
      <c r="S738" t="inlineStr">
        <is>
          <t>701+</t>
        </is>
      </c>
      <c r="T738" t="n">
        <v>12.2</v>
      </c>
      <c r="U738" t="inlineStr">
        <is>
          <t>801+</t>
        </is>
      </c>
      <c r="V738" t="n">
        <v>21.3</v>
      </c>
      <c r="W738" t="inlineStr">
        <is>
          <t>694</t>
        </is>
      </c>
      <c r="X738" t="n">
        <v>65</v>
      </c>
      <c r="Y738" t="inlineStr">
        <is>
          <t>358</t>
        </is>
      </c>
      <c r="Z738" t="n">
        <v>12</v>
      </c>
      <c r="AA738" t="inlineStr">
        <is>
          <t>801+</t>
        </is>
      </c>
      <c r="AB738" t="n">
        <v>17.9</v>
      </c>
      <c r="AC738" t="inlineStr">
        <is>
          <t>799</t>
        </is>
      </c>
      <c r="AD738" t="n">
        <v>71.40000000000001</v>
      </c>
      <c r="AE738" t="inlineStr">
        <is>
          <t>509</t>
        </is>
      </c>
      <c r="AF738" t="n">
        <v>30.6</v>
      </c>
      <c r="AG738" t="inlineStr">
        <is>
          <t>543</t>
        </is>
      </c>
      <c r="AH738" t="n">
        <v>50.5</v>
      </c>
      <c r="AI738" t="inlineStr">
        <is>
          <t>695</t>
        </is>
      </c>
      <c r="AJ738" t="inlineStr">
        <is>
          <t>8.4</t>
        </is>
      </c>
      <c r="AK738" t="inlineStr">
        <is>
          <t>601+</t>
        </is>
      </c>
      <c r="AL738" t="inlineStr">
        <is>
          <t>9.7</t>
        </is>
      </c>
      <c r="AM738" t="inlineStr">
        <is>
          <t>601+</t>
        </is>
      </c>
      <c r="AN738" t="inlineStr">
        <is>
          <t>10.7</t>
        </is>
      </c>
      <c r="AO738" t="inlineStr">
        <is>
          <t>701+</t>
        </is>
      </c>
      <c r="AP738" t="inlineStr">
        <is>
          <t>15.1</t>
        </is>
      </c>
      <c r="AQ738" t="inlineStr">
        <is>
          <t>630</t>
        </is>
      </c>
      <c r="AR738" t="inlineStr">
        <is>
          <t>37.3</t>
        </is>
      </c>
      <c r="AS738" t="inlineStr">
        <is>
          <t>432</t>
        </is>
      </c>
      <c r="AT738" t="inlineStr">
        <is>
          <t>4.3</t>
        </is>
      </c>
      <c r="AU738" t="inlineStr">
        <is>
          <t>701+</t>
        </is>
      </c>
      <c r="AV738" t="inlineStr">
        <is>
          <t>23.4</t>
        </is>
      </c>
      <c r="AW738" t="inlineStr">
        <is>
          <t>513</t>
        </is>
      </c>
      <c r="AX738" t="inlineStr">
        <is>
          <t>16.6</t>
        </is>
      </c>
      <c r="AY738" t="inlineStr">
        <is>
          <t>512</t>
        </is>
      </c>
      <c r="AZ738" t="inlineStr">
        <is>
          <t>20.9</t>
        </is>
      </c>
      <c r="BA738" t="inlineStr">
        <is>
          <t>536=</t>
        </is>
      </c>
    </row>
    <row r="739">
      <c r="A739" t="inlineStr">
        <is>
          <t>Oregon State University</t>
        </is>
      </c>
      <c r="B739" t="inlineStr">
        <is>
          <t>United States</t>
        </is>
      </c>
      <c r="C739" t="inlineStr">
        <is>
          <t>US</t>
        </is>
      </c>
      <c r="D739" t="inlineStr">
        <is>
          <t>Americas</t>
        </is>
      </c>
      <c r="E739" t="inlineStr">
        <is>
          <t>L</t>
        </is>
      </c>
      <c r="F739" t="inlineStr">
        <is>
          <t>CO</t>
        </is>
      </c>
      <c r="G739" t="inlineStr">
        <is>
          <t>VH</t>
        </is>
      </c>
      <c r="H739" t="inlineStr">
        <is>
          <t>5</t>
        </is>
      </c>
      <c r="I739" t="inlineStr">
        <is>
          <t>Public</t>
        </is>
      </c>
      <c r="J739" t="inlineStr">
        <is>
          <t>624</t>
        </is>
      </c>
      <c r="K739" t="inlineStr">
        <is>
          <t>641-650</t>
        </is>
      </c>
      <c r="L739">
        <f>505</f>
        <v/>
      </c>
      <c r="M739" t="inlineStr">
        <is>
          <t>601-650</t>
        </is>
      </c>
      <c r="N739" t="inlineStr">
        <is>
          <t>27.5</t>
        </is>
      </c>
      <c r="O739" t="inlineStr">
        <is>
          <t>23.0</t>
        </is>
      </c>
      <c r="P739" t="n">
        <v>19.7</v>
      </c>
      <c r="Q739" t="inlineStr">
        <is>
          <t>626</t>
        </is>
      </c>
      <c r="R739" t="n">
        <v>11.9</v>
      </c>
      <c r="S739" t="inlineStr">
        <is>
          <t>701+</t>
        </is>
      </c>
      <c r="T739" t="n">
        <v>20.4</v>
      </c>
      <c r="U739" t="inlineStr">
        <is>
          <t>801+</t>
        </is>
      </c>
      <c r="V739" t="n">
        <v>44.4</v>
      </c>
      <c r="W739" t="inlineStr">
        <is>
          <t>423</t>
        </is>
      </c>
      <c r="X739" t="n">
        <v>17.3</v>
      </c>
      <c r="Y739" t="inlineStr">
        <is>
          <t>761</t>
        </is>
      </c>
      <c r="Z739" t="n">
        <v>11.9</v>
      </c>
      <c r="AA739" t="inlineStr">
        <is>
          <t>801+</t>
        </is>
      </c>
      <c r="AB739" t="n">
        <v>9.1</v>
      </c>
      <c r="AC739" t="inlineStr">
        <is>
          <t>801+</t>
        </is>
      </c>
      <c r="AD739" t="n">
        <v>80.3</v>
      </c>
      <c r="AE739" t="inlineStr">
        <is>
          <t>350</t>
        </is>
      </c>
      <c r="AF739" t="n">
        <v>28.8</v>
      </c>
      <c r="AG739" t="inlineStr">
        <is>
          <t>579</t>
        </is>
      </c>
      <c r="AH739" t="n">
        <v>64.09999999999999</v>
      </c>
      <c r="AI739" t="inlineStr">
        <is>
          <t>420=</t>
        </is>
      </c>
      <c r="AJ739" t="inlineStr">
        <is>
          <t>15.7</t>
        </is>
      </c>
      <c r="AK739" t="inlineStr">
        <is>
          <t>556</t>
        </is>
      </c>
      <c r="AL739" t="inlineStr">
        <is>
          <t>4.6</t>
        </is>
      </c>
      <c r="AM739" t="inlineStr">
        <is>
          <t>601+</t>
        </is>
      </c>
      <c r="AN739" t="inlineStr">
        <is>
          <t>18.9</t>
        </is>
      </c>
      <c r="AO739" t="inlineStr">
        <is>
          <t>698</t>
        </is>
      </c>
      <c r="AP739" t="inlineStr">
        <is>
          <t>41.1</t>
        </is>
      </c>
      <c r="AQ739" t="inlineStr">
        <is>
          <t>334</t>
        </is>
      </c>
      <c r="AR739" t="inlineStr">
        <is>
          <t>17.0</t>
        </is>
      </c>
      <c r="AS739" t="inlineStr">
        <is>
          <t>627</t>
        </is>
      </c>
      <c r="AT739" t="inlineStr">
        <is>
          <t>9.6</t>
        </is>
      </c>
      <c r="AU739" t="inlineStr">
        <is>
          <t>701+</t>
        </is>
      </c>
      <c r="AV739" t="inlineStr">
        <is>
          <t>58.2</t>
        </is>
      </c>
      <c r="AW739" t="inlineStr">
        <is>
          <t>259</t>
        </is>
      </c>
      <c r="AX739" t="inlineStr">
        <is>
          <t>14.1</t>
        </is>
      </c>
      <c r="AY739" t="inlineStr">
        <is>
          <t>607</t>
        </is>
      </c>
      <c r="AZ739" t="inlineStr">
        <is>
          <t>53.1</t>
        </is>
      </c>
      <c r="BA739" t="inlineStr">
        <is>
          <t>291</t>
        </is>
      </c>
    </row>
    <row r="740">
      <c r="A740" t="inlineStr">
        <is>
          <t>Osaka Metropolitan University</t>
        </is>
      </c>
      <c r="B740" t="inlineStr">
        <is>
          <t>Japan</t>
        </is>
      </c>
      <c r="C740" t="inlineStr"/>
      <c r="D740" t="inlineStr">
        <is>
          <t>Asia</t>
        </is>
      </c>
      <c r="E740" t="inlineStr">
        <is>
          <t>L</t>
        </is>
      </c>
      <c r="F740" t="inlineStr">
        <is>
          <t>FC</t>
        </is>
      </c>
      <c r="G740" t="inlineStr">
        <is>
          <t>VH</t>
        </is>
      </c>
      <c r="H740" t="inlineStr"/>
      <c r="I740" t="inlineStr"/>
      <c r="J740" t="inlineStr">
        <is>
          <t>901-950</t>
        </is>
      </c>
      <c r="K740" t="inlineStr">
        <is>
          <t>901-950</t>
        </is>
      </c>
      <c r="L740" t="inlineStr"/>
      <c r="M740" t="inlineStr"/>
      <c r="N740" t="inlineStr">
        <is>
          <t>-</t>
        </is>
      </c>
      <c r="O740" t="inlineStr"/>
      <c r="P740" t="n">
        <v>18.1</v>
      </c>
      <c r="Q740" t="inlineStr">
        <is>
          <t>676</t>
        </is>
      </c>
      <c r="R740" t="n">
        <v>14</v>
      </c>
      <c r="S740" t="inlineStr">
        <is>
          <t>701+</t>
        </is>
      </c>
      <c r="T740" t="n">
        <v>57.2</v>
      </c>
      <c r="U740" t="inlineStr">
        <is>
          <t>321</t>
        </is>
      </c>
      <c r="V740" t="n">
        <v>12.3</v>
      </c>
      <c r="W740" t="inlineStr">
        <is>
          <t>801+</t>
        </is>
      </c>
      <c r="X740" t="n">
        <v>6.2</v>
      </c>
      <c r="Y740" t="inlineStr">
        <is>
          <t>801+</t>
        </is>
      </c>
      <c r="Z740" t="n">
        <v>5.2</v>
      </c>
      <c r="AA740" t="inlineStr">
        <is>
          <t>801+</t>
        </is>
      </c>
      <c r="AB740" t="n">
        <v>9.4</v>
      </c>
      <c r="AC740" t="inlineStr">
        <is>
          <t>801+</t>
        </is>
      </c>
      <c r="AD740" t="n">
        <v>34.1</v>
      </c>
      <c r="AE740" t="inlineStr">
        <is>
          <t>801+</t>
        </is>
      </c>
      <c r="AF740" t="n">
        <v>8.9</v>
      </c>
      <c r="AG740" t="inlineStr">
        <is>
          <t>801+</t>
        </is>
      </c>
      <c r="AH740" t="n">
        <v>47.7</v>
      </c>
      <c r="AI740" t="inlineStr">
        <is>
          <t>765=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</row>
    <row r="741">
      <c r="A741" t="inlineStr">
        <is>
          <t>Osaka University</t>
        </is>
      </c>
      <c r="B741" t="inlineStr">
        <is>
          <t>Japan</t>
        </is>
      </c>
      <c r="C741" t="inlineStr">
        <is>
          <t>JP</t>
        </is>
      </c>
      <c r="D741" t="inlineStr"/>
      <c r="E741" t="inlineStr">
        <is>
          <t>L</t>
        </is>
      </c>
      <c r="F741" t="inlineStr">
        <is>
          <t>FC</t>
        </is>
      </c>
      <c r="G741" t="inlineStr">
        <is>
          <t>VH</t>
        </is>
      </c>
      <c r="H741" t="inlineStr">
        <is>
          <t>4</t>
        </is>
      </c>
      <c r="I741" t="inlineStr">
        <is>
          <t>A</t>
        </is>
      </c>
      <c r="J741" t="inlineStr"/>
      <c r="K741" t="inlineStr"/>
      <c r="L741" t="inlineStr">
        <is>
          <t>80</t>
        </is>
      </c>
      <c r="M741" t="inlineStr">
        <is>
          <t>68</t>
        </is>
      </c>
      <c r="N741" t="inlineStr"/>
      <c r="O741" t="inlineStr">
        <is>
          <t>63.9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81.3</t>
        </is>
      </c>
      <c r="AK741" t="inlineStr">
        <is>
          <t>67</t>
        </is>
      </c>
      <c r="AL741" t="inlineStr">
        <is>
          <t>89.1</t>
        </is>
      </c>
      <c r="AM741" t="inlineStr">
        <is>
          <t>51</t>
        </is>
      </c>
      <c r="AN741" t="inlineStr">
        <is>
          <t>55.3</t>
        </is>
      </c>
      <c r="AO741" t="inlineStr">
        <is>
          <t>272</t>
        </is>
      </c>
      <c r="AP741" t="inlineStr">
        <is>
          <t>62.7</t>
        </is>
      </c>
      <c r="AQ741" t="inlineStr">
        <is>
          <t>191</t>
        </is>
      </c>
      <c r="AR741" t="inlineStr">
        <is>
          <t>28.6</t>
        </is>
      </c>
      <c r="AS741" t="inlineStr">
        <is>
          <t>498</t>
        </is>
      </c>
      <c r="AT741" t="inlineStr">
        <is>
          <t>13.2</t>
        </is>
      </c>
      <c r="AU741" t="inlineStr">
        <is>
          <t>658</t>
        </is>
      </c>
      <c r="AV741" t="inlineStr">
        <is>
          <t>26.7</t>
        </is>
      </c>
      <c r="AW741" t="inlineStr">
        <is>
          <t>486</t>
        </is>
      </c>
      <c r="AX741" t="inlineStr">
        <is>
          <t>23.4</t>
        </is>
      </c>
      <c r="AY741" t="inlineStr">
        <is>
          <t>361</t>
        </is>
      </c>
      <c r="AZ741" t="inlineStr">
        <is>
          <t>58.6</t>
        </is>
      </c>
      <c r="BA741" t="inlineStr">
        <is>
          <t>255=</t>
        </is>
      </c>
    </row>
    <row r="742">
      <c r="A742" t="inlineStr">
        <is>
          <t>OSMANIA UNIVERSITY</t>
        </is>
      </c>
      <c r="B742" t="inlineStr">
        <is>
          <t>India</t>
        </is>
      </c>
      <c r="C742" t="inlineStr">
        <is>
          <t>IN</t>
        </is>
      </c>
      <c r="D742" t="inlineStr"/>
      <c r="E742" t="inlineStr">
        <is>
          <t>M</t>
        </is>
      </c>
      <c r="F742" t="inlineStr">
        <is>
          <t>CO</t>
        </is>
      </c>
      <c r="G742" t="inlineStr">
        <is>
          <t>VH</t>
        </is>
      </c>
      <c r="H742" t="inlineStr">
        <is>
          <t>5</t>
        </is>
      </c>
      <c r="I742" t="inlineStr">
        <is>
          <t>A</t>
        </is>
      </c>
      <c r="J742" t="inlineStr"/>
      <c r="K742" t="inlineStr"/>
      <c r="L742" t="inlineStr">
        <is>
          <t>1201-1400</t>
        </is>
      </c>
      <c r="M742" t="inlineStr">
        <is>
          <t>1201-1400</t>
        </is>
      </c>
      <c r="N742" t="inlineStr"/>
      <c r="O742" t="inlineStr">
        <is>
          <t>-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4.7</t>
        </is>
      </c>
      <c r="AK742" t="inlineStr">
        <is>
          <t>601+</t>
        </is>
      </c>
      <c r="AL742" t="inlineStr">
        <is>
          <t>3.5</t>
        </is>
      </c>
      <c r="AM742" t="inlineStr">
        <is>
          <t>601+</t>
        </is>
      </c>
      <c r="AN742" t="inlineStr">
        <is>
          <t>3.5</t>
        </is>
      </c>
      <c r="AO742" t="inlineStr">
        <is>
          <t>701+</t>
        </is>
      </c>
      <c r="AP742" t="inlineStr">
        <is>
          <t>17.5</t>
        </is>
      </c>
      <c r="AQ742" t="inlineStr">
        <is>
          <t>590</t>
        </is>
      </c>
      <c r="AR742" t="inlineStr"/>
      <c r="AS742" t="inlineStr"/>
      <c r="AT742" t="inlineStr">
        <is>
          <t>5.9</t>
        </is>
      </c>
      <c r="AU742" t="inlineStr">
        <is>
          <t>701+</t>
        </is>
      </c>
      <c r="AV742" t="inlineStr">
        <is>
          <t>1.0</t>
        </is>
      </c>
      <c r="AW742" t="inlineStr">
        <is>
          <t>701+</t>
        </is>
      </c>
      <c r="AX742" t="inlineStr">
        <is>
          <t>7.5</t>
        </is>
      </c>
      <c r="AY742" t="inlineStr">
        <is>
          <t>701+</t>
        </is>
      </c>
      <c r="AZ742" t="inlineStr">
        <is>
          <t>1</t>
        </is>
      </c>
      <c r="BA742" t="inlineStr">
        <is>
          <t>701+</t>
        </is>
      </c>
    </row>
    <row r="743">
      <c r="A743" t="inlineStr">
        <is>
          <t>Osmania University, Hyderabad</t>
        </is>
      </c>
      <c r="B743" t="inlineStr">
        <is>
          <t>India</t>
        </is>
      </c>
      <c r="C743" t="inlineStr"/>
      <c r="D743" t="inlineStr">
        <is>
          <t>Asia</t>
        </is>
      </c>
      <c r="E743" t="inlineStr">
        <is>
          <t>M</t>
        </is>
      </c>
      <c r="F743" t="inlineStr">
        <is>
          <t>CO</t>
        </is>
      </c>
      <c r="G743" t="inlineStr">
        <is>
          <t>VH</t>
        </is>
      </c>
      <c r="H743" t="inlineStr"/>
      <c r="I743" t="inlineStr">
        <is>
          <t>Public</t>
        </is>
      </c>
      <c r="J743" t="inlineStr">
        <is>
          <t>1201-1400</t>
        </is>
      </c>
      <c r="K743" t="inlineStr">
        <is>
          <t>1201-1400</t>
        </is>
      </c>
      <c r="L743" t="inlineStr"/>
      <c r="M743" t="inlineStr"/>
      <c r="N743" t="inlineStr">
        <is>
          <t>-</t>
        </is>
      </c>
      <c r="O743" t="inlineStr"/>
      <c r="P743" t="n">
        <v>6</v>
      </c>
      <c r="Q743" t="inlineStr">
        <is>
          <t>701+</t>
        </is>
      </c>
      <c r="R743" t="n">
        <v>6.2</v>
      </c>
      <c r="S743" t="inlineStr">
        <is>
          <t>701+</t>
        </is>
      </c>
      <c r="T743" t="n">
        <v>5</v>
      </c>
      <c r="U743" t="inlineStr">
        <is>
          <t>801+</t>
        </is>
      </c>
      <c r="V743" t="n">
        <v>35.1</v>
      </c>
      <c r="W743" t="inlineStr">
        <is>
          <t>523</t>
        </is>
      </c>
      <c r="X743" t="inlineStr"/>
      <c r="Y743" t="inlineStr"/>
      <c r="Z743" t="n">
        <v>9.300000000000001</v>
      </c>
      <c r="AA743" t="inlineStr">
        <is>
          <t>801+</t>
        </is>
      </c>
      <c r="AB743" t="n">
        <v>7.1</v>
      </c>
      <c r="AC743" t="inlineStr">
        <is>
          <t>801+</t>
        </is>
      </c>
      <c r="AD743" t="n">
        <v>25.2</v>
      </c>
      <c r="AE743" t="inlineStr">
        <is>
          <t>801+</t>
        </is>
      </c>
      <c r="AF743" t="n">
        <v>16.3</v>
      </c>
      <c r="AG743" t="inlineStr">
        <is>
          <t>801+</t>
        </is>
      </c>
      <c r="AH743" t="n">
        <v>20.5</v>
      </c>
      <c r="AI743" t="inlineStr">
        <is>
          <t>801+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</row>
    <row r="744">
      <c r="A744" t="inlineStr">
        <is>
          <t>Oxford Brookes University</t>
        </is>
      </c>
      <c r="B744" t="inlineStr">
        <is>
          <t>United Kingdom</t>
        </is>
      </c>
      <c r="C744" t="inlineStr">
        <is>
          <t>UK</t>
        </is>
      </c>
      <c r="D744" t="inlineStr">
        <is>
          <t>Europe</t>
        </is>
      </c>
      <c r="E744" t="inlineStr">
        <is>
          <t>L</t>
        </is>
      </c>
      <c r="F744" t="inlineStr">
        <is>
          <t>CO</t>
        </is>
      </c>
      <c r="G744" t="inlineStr">
        <is>
          <t>HI</t>
        </is>
      </c>
      <c r="H744" t="inlineStr">
        <is>
          <t>3</t>
        </is>
      </c>
      <c r="I744" t="inlineStr">
        <is>
          <t>Public</t>
        </is>
      </c>
      <c r="J744" t="inlineStr">
        <is>
          <t>374</t>
        </is>
      </c>
      <c r="K744" t="inlineStr">
        <is>
          <t>416</t>
        </is>
      </c>
      <c r="L744">
        <f>413</f>
        <v/>
      </c>
      <c r="M744" t="inlineStr">
        <is>
          <t>438=</t>
        </is>
      </c>
      <c r="N744" t="inlineStr">
        <is>
          <t>40</t>
        </is>
      </c>
      <c r="O744" t="inlineStr">
        <is>
          <t>27.1</t>
        </is>
      </c>
      <c r="P744" t="n">
        <v>38.7</v>
      </c>
      <c r="Q744" t="inlineStr">
        <is>
          <t>309</t>
        </is>
      </c>
      <c r="R744" t="n">
        <v>62.3</v>
      </c>
      <c r="S744" t="inlineStr">
        <is>
          <t>178</t>
        </is>
      </c>
      <c r="T744" t="n">
        <v>14.8</v>
      </c>
      <c r="U744" t="inlineStr">
        <is>
          <t>801+</t>
        </is>
      </c>
      <c r="V744" t="n">
        <v>12.4</v>
      </c>
      <c r="W744" t="inlineStr">
        <is>
          <t>801+</t>
        </is>
      </c>
      <c r="X744" t="n">
        <v>80.8</v>
      </c>
      <c r="Y744" t="inlineStr">
        <is>
          <t>291</t>
        </is>
      </c>
      <c r="Z744" t="n">
        <v>89.8</v>
      </c>
      <c r="AA744" t="inlineStr">
        <is>
          <t>168</t>
        </is>
      </c>
      <c r="AB744" t="n">
        <v>90.7</v>
      </c>
      <c r="AC744" t="inlineStr">
        <is>
          <t>143</t>
        </is>
      </c>
      <c r="AD744" t="n">
        <v>61.8</v>
      </c>
      <c r="AE744" t="inlineStr">
        <is>
          <t>666</t>
        </is>
      </c>
      <c r="AF744" t="n">
        <v>26</v>
      </c>
      <c r="AG744" t="inlineStr">
        <is>
          <t>624</t>
        </is>
      </c>
      <c r="AH744" t="n">
        <v>59.8</v>
      </c>
      <c r="AI744" t="inlineStr">
        <is>
          <t>506</t>
        </is>
      </c>
      <c r="AJ744" t="inlineStr">
        <is>
          <t>28.9</t>
        </is>
      </c>
      <c r="AK744" t="inlineStr">
        <is>
          <t>301</t>
        </is>
      </c>
      <c r="AL744" t="inlineStr">
        <is>
          <t>29.7</t>
        </is>
      </c>
      <c r="AM744" t="inlineStr">
        <is>
          <t>329</t>
        </is>
      </c>
      <c r="AN744" t="inlineStr">
        <is>
          <t>13.8</t>
        </is>
      </c>
      <c r="AO744" t="inlineStr">
        <is>
          <t>701+</t>
        </is>
      </c>
      <c r="AP744" t="inlineStr">
        <is>
          <t>8.4</t>
        </is>
      </c>
      <c r="AQ744" t="inlineStr">
        <is>
          <t>701+</t>
        </is>
      </c>
      <c r="AR744" t="inlineStr">
        <is>
          <t>68.8</t>
        </is>
      </c>
      <c r="AS744" t="inlineStr">
        <is>
          <t>282</t>
        </is>
      </c>
      <c r="AT744" t="inlineStr">
        <is>
          <t>70.3</t>
        </is>
      </c>
      <c r="AU744" t="inlineStr">
        <is>
          <t>209</t>
        </is>
      </c>
      <c r="AV744" t="inlineStr">
        <is>
          <t>27.1</t>
        </is>
      </c>
      <c r="AW744" t="inlineStr">
        <is>
          <t>481</t>
        </is>
      </c>
      <c r="AX744" t="inlineStr">
        <is>
          <t>18.4</t>
        </is>
      </c>
      <c r="AY744" t="inlineStr">
        <is>
          <t>454</t>
        </is>
      </c>
      <c r="AZ744" t="inlineStr">
        <is>
          <t>34.3</t>
        </is>
      </c>
      <c r="BA744" t="inlineStr">
        <is>
          <t>409=</t>
        </is>
      </c>
    </row>
    <row r="745">
      <c r="A745" t="inlineStr">
        <is>
          <t>Ozyegin University</t>
        </is>
      </c>
      <c r="B745" t="inlineStr">
        <is>
          <t>Turkey</t>
        </is>
      </c>
      <c r="C745" t="inlineStr"/>
      <c r="D745" t="inlineStr">
        <is>
          <t>Asia</t>
        </is>
      </c>
      <c r="E745" t="inlineStr">
        <is>
          <t>M</t>
        </is>
      </c>
      <c r="F745" t="inlineStr">
        <is>
          <t>FO</t>
        </is>
      </c>
      <c r="G745" t="inlineStr">
        <is>
          <t>VH</t>
        </is>
      </c>
      <c r="H745" t="inlineStr"/>
      <c r="I745" t="inlineStr">
        <is>
          <t>Private not for Profit</t>
        </is>
      </c>
      <c r="J745" t="inlineStr">
        <is>
          <t>1201-1400</t>
        </is>
      </c>
      <c r="K745" t="inlineStr"/>
      <c r="L745" t="inlineStr"/>
      <c r="M745" t="inlineStr"/>
      <c r="N745" t="inlineStr">
        <is>
          <t>-</t>
        </is>
      </c>
      <c r="O745" t="inlineStr"/>
      <c r="P745" t="n">
        <v>6.6</v>
      </c>
      <c r="Q745" t="inlineStr">
        <is>
          <t>701+</t>
        </is>
      </c>
      <c r="R745" t="n">
        <v>16.1</v>
      </c>
      <c r="S745" t="inlineStr">
        <is>
          <t>701+</t>
        </is>
      </c>
      <c r="T745" t="n">
        <v>10.2</v>
      </c>
      <c r="U745" t="inlineStr">
        <is>
          <t>801+</t>
        </is>
      </c>
      <c r="V745" t="n">
        <v>10.1</v>
      </c>
      <c r="W745" t="inlineStr">
        <is>
          <t>801+</t>
        </is>
      </c>
      <c r="X745" t="n">
        <v>14.7</v>
      </c>
      <c r="Y745" t="inlineStr">
        <is>
          <t>801+</t>
        </is>
      </c>
      <c r="Z745" t="n">
        <v>33.5</v>
      </c>
      <c r="AA745" t="inlineStr">
        <is>
          <t>552</t>
        </is>
      </c>
      <c r="AB745" t="n">
        <v>38.7</v>
      </c>
      <c r="AC745" t="inlineStr">
        <is>
          <t>510</t>
        </is>
      </c>
      <c r="AD745" t="n">
        <v>18.4</v>
      </c>
      <c r="AE745" t="inlineStr">
        <is>
          <t>801+</t>
        </is>
      </c>
      <c r="AF745" t="n">
        <v>2.6</v>
      </c>
      <c r="AG745" t="inlineStr">
        <is>
          <t>801+</t>
        </is>
      </c>
      <c r="AH745" t="n">
        <v>45.1</v>
      </c>
      <c r="AI745" t="inlineStr">
        <is>
          <t>801+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</row>
    <row r="746">
      <c r="A746" t="inlineStr">
        <is>
          <t>Pakistan Institute of Engineering and Applied Sciences (PIEAS)</t>
        </is>
      </c>
      <c r="B746" t="inlineStr">
        <is>
          <t>Pakistan</t>
        </is>
      </c>
      <c r="C746" t="inlineStr">
        <is>
          <t>PK</t>
        </is>
      </c>
      <c r="D746" t="inlineStr">
        <is>
          <t>Asia</t>
        </is>
      </c>
      <c r="E746" t="inlineStr">
        <is>
          <t>S</t>
        </is>
      </c>
      <c r="F746" t="inlineStr">
        <is>
          <t>SP</t>
        </is>
      </c>
      <c r="G746" t="inlineStr">
        <is>
          <t>HI</t>
        </is>
      </c>
      <c r="H746" t="inlineStr">
        <is>
          <t>3</t>
        </is>
      </c>
      <c r="I746" t="inlineStr">
        <is>
          <t>Public</t>
        </is>
      </c>
      <c r="J746" t="inlineStr">
        <is>
          <t>721-730</t>
        </is>
      </c>
      <c r="K746" t="inlineStr">
        <is>
          <t>691-700</t>
        </is>
      </c>
      <c r="L746" t="inlineStr">
        <is>
          <t>641-650</t>
        </is>
      </c>
      <c r="M746" t="inlineStr">
        <is>
          <t>390=</t>
        </is>
      </c>
      <c r="N746" t="inlineStr">
        <is>
          <t>-</t>
        </is>
      </c>
      <c r="O746" t="inlineStr">
        <is>
          <t>-</t>
        </is>
      </c>
      <c r="P746" t="n">
        <v>7.4</v>
      </c>
      <c r="Q746" t="inlineStr">
        <is>
          <t>701+</t>
        </is>
      </c>
      <c r="R746" t="n">
        <v>15.1</v>
      </c>
      <c r="S746" t="inlineStr">
        <is>
          <t>701+</t>
        </is>
      </c>
      <c r="T746" t="n">
        <v>62.8</v>
      </c>
      <c r="U746" t="inlineStr">
        <is>
          <t>281</t>
        </is>
      </c>
      <c r="V746" t="n">
        <v>66</v>
      </c>
      <c r="W746" t="inlineStr">
        <is>
          <t>241</t>
        </is>
      </c>
      <c r="X746" t="inlineStr"/>
      <c r="Y746" t="inlineStr"/>
      <c r="Z746" t="inlineStr"/>
      <c r="AA746" t="inlineStr"/>
      <c r="AB746" t="inlineStr"/>
      <c r="AC746" t="inlineStr"/>
      <c r="AD746" t="n">
        <v>19</v>
      </c>
      <c r="AE746" t="inlineStr">
        <is>
          <t>801+</t>
        </is>
      </c>
      <c r="AF746" t="n">
        <v>3.8</v>
      </c>
      <c r="AG746" t="inlineStr">
        <is>
          <t>801+</t>
        </is>
      </c>
      <c r="AH746" t="n">
        <v>10.4</v>
      </c>
      <c r="AI746" t="inlineStr">
        <is>
          <t>801+</t>
        </is>
      </c>
      <c r="AJ746" t="inlineStr">
        <is>
          <t>5.5</t>
        </is>
      </c>
      <c r="AK746" t="inlineStr">
        <is>
          <t>601+</t>
        </is>
      </c>
      <c r="AL746" t="inlineStr">
        <is>
          <t>9.5</t>
        </is>
      </c>
      <c r="AM746" t="inlineStr">
        <is>
          <t>601+</t>
        </is>
      </c>
      <c r="AN746" t="inlineStr">
        <is>
          <t>76.6</t>
        </is>
      </c>
      <c r="AO746" t="inlineStr">
        <is>
          <t>156</t>
        </is>
      </c>
      <c r="AP746" t="inlineStr">
        <is>
          <t>34.4</t>
        </is>
      </c>
      <c r="AQ746" t="inlineStr">
        <is>
          <t>396</t>
        </is>
      </c>
      <c r="AR746" t="inlineStr"/>
      <c r="AS746" t="inlineStr"/>
      <c r="AT746" t="inlineStr">
        <is>
          <t>1.0</t>
        </is>
      </c>
      <c r="AU746" t="inlineStr">
        <is>
          <t>701+</t>
        </is>
      </c>
      <c r="AV746" t="inlineStr">
        <is>
          <t>1.1</t>
        </is>
      </c>
      <c r="AW746" t="inlineStr">
        <is>
          <t>701+</t>
        </is>
      </c>
      <c r="AX746" t="inlineStr">
        <is>
          <t>10.9</t>
        </is>
      </c>
      <c r="AY746" t="inlineStr">
        <is>
          <t>701+</t>
        </is>
      </c>
      <c r="AZ746" t="inlineStr">
        <is>
          <t>1</t>
        </is>
      </c>
      <c r="BA746" t="inlineStr">
        <is>
          <t>701+</t>
        </is>
      </c>
    </row>
    <row r="747">
      <c r="A747" t="inlineStr">
        <is>
          <t>Palacký University in Olomouc</t>
        </is>
      </c>
      <c r="B747" t="inlineStr">
        <is>
          <t>Czech Republic</t>
        </is>
      </c>
      <c r="C747" t="inlineStr"/>
      <c r="D747" t="inlineStr">
        <is>
          <t>Europe</t>
        </is>
      </c>
      <c r="E747" t="inlineStr">
        <is>
          <t>L</t>
        </is>
      </c>
      <c r="F747" t="inlineStr">
        <is>
          <t>FO</t>
        </is>
      </c>
      <c r="G747" t="inlineStr">
        <is>
          <t>VH</t>
        </is>
      </c>
      <c r="H747" t="inlineStr"/>
      <c r="I747" t="inlineStr">
        <is>
          <t>Public</t>
        </is>
      </c>
      <c r="J747" t="inlineStr">
        <is>
          <t>668</t>
        </is>
      </c>
      <c r="K747" t="inlineStr">
        <is>
          <t>651-660</t>
        </is>
      </c>
      <c r="L747" t="inlineStr"/>
      <c r="M747" t="inlineStr"/>
      <c r="N747" t="inlineStr">
        <is>
          <t>26.3</t>
        </is>
      </c>
      <c r="O747" t="inlineStr"/>
      <c r="P747" t="n">
        <v>21.5</v>
      </c>
      <c r="Q747" t="inlineStr">
        <is>
          <t>576</t>
        </is>
      </c>
      <c r="R747" t="n">
        <v>19.8</v>
      </c>
      <c r="S747" t="inlineStr">
        <is>
          <t>665</t>
        </is>
      </c>
      <c r="T747" t="n">
        <v>36.5</v>
      </c>
      <c r="U747" t="inlineStr">
        <is>
          <t>550</t>
        </is>
      </c>
      <c r="V747" t="n">
        <v>14.7</v>
      </c>
      <c r="W747" t="inlineStr">
        <is>
          <t>801+</t>
        </is>
      </c>
      <c r="X747" t="n">
        <v>40.1</v>
      </c>
      <c r="Y747" t="inlineStr">
        <is>
          <t>499</t>
        </is>
      </c>
      <c r="Z747" t="n">
        <v>28.5</v>
      </c>
      <c r="AA747" t="inlineStr">
        <is>
          <t>606</t>
        </is>
      </c>
      <c r="AB747" t="n">
        <v>34.5</v>
      </c>
      <c r="AC747" t="inlineStr">
        <is>
          <t>555</t>
        </is>
      </c>
      <c r="AD747" t="n">
        <v>85.8</v>
      </c>
      <c r="AE747" t="inlineStr">
        <is>
          <t>239</t>
        </is>
      </c>
      <c r="AF747" t="n">
        <v>9</v>
      </c>
      <c r="AG747" t="inlineStr">
        <is>
          <t>801+</t>
        </is>
      </c>
      <c r="AH747" t="n">
        <v>67.5</v>
      </c>
      <c r="AI747" t="inlineStr">
        <is>
          <t>358=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</row>
    <row r="748">
      <c r="A748" t="inlineStr">
        <is>
          <t>Palacký University Olomouc</t>
        </is>
      </c>
      <c r="B748" t="inlineStr">
        <is>
          <t>Czech Republic</t>
        </is>
      </c>
      <c r="C748" t="inlineStr">
        <is>
          <t>CZ</t>
        </is>
      </c>
      <c r="D748" t="inlineStr"/>
      <c r="E748" t="inlineStr">
        <is>
          <t>L</t>
        </is>
      </c>
      <c r="F748" t="inlineStr">
        <is>
          <t>FO</t>
        </is>
      </c>
      <c r="G748" t="inlineStr">
        <is>
          <t>VH</t>
        </is>
      </c>
      <c r="H748" t="inlineStr">
        <is>
          <t>5</t>
        </is>
      </c>
      <c r="I748" t="inlineStr">
        <is>
          <t>A</t>
        </is>
      </c>
      <c r="J748" t="inlineStr"/>
      <c r="K748" t="inlineStr"/>
      <c r="L748" t="inlineStr">
        <is>
          <t>631-640</t>
        </is>
      </c>
      <c r="M748" t="inlineStr">
        <is>
          <t>651-700</t>
        </is>
      </c>
      <c r="N748" t="inlineStr"/>
      <c r="O748" t="inlineStr">
        <is>
          <t>-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15.0</t>
        </is>
      </c>
      <c r="AK748" t="inlineStr">
        <is>
          <t>583</t>
        </is>
      </c>
      <c r="AL748" t="inlineStr">
        <is>
          <t>17.9</t>
        </is>
      </c>
      <c r="AM748" t="inlineStr">
        <is>
          <t>492</t>
        </is>
      </c>
      <c r="AN748" t="inlineStr">
        <is>
          <t>29.6</t>
        </is>
      </c>
      <c r="AO748" t="inlineStr">
        <is>
          <t>524</t>
        </is>
      </c>
      <c r="AP748" t="inlineStr">
        <is>
          <t>8.6</t>
        </is>
      </c>
      <c r="AQ748" t="inlineStr">
        <is>
          <t>701+</t>
        </is>
      </c>
      <c r="AR748" t="inlineStr">
        <is>
          <t>33.3</t>
        </is>
      </c>
      <c r="AS748" t="inlineStr">
        <is>
          <t>465</t>
        </is>
      </c>
      <c r="AT748" t="inlineStr">
        <is>
          <t>19.5</t>
        </is>
      </c>
      <c r="AU748" t="inlineStr">
        <is>
          <t>555</t>
        </is>
      </c>
      <c r="AV748" t="inlineStr">
        <is>
          <t>54.0</t>
        </is>
      </c>
      <c r="AW748" t="inlineStr">
        <is>
          <t>292</t>
        </is>
      </c>
      <c r="AX748" t="inlineStr">
        <is>
          <t>9.5</t>
        </is>
      </c>
      <c r="AY748" t="inlineStr">
        <is>
          <t>701+</t>
        </is>
      </c>
      <c r="AZ748" t="inlineStr">
        <is>
          <t>23.7</t>
        </is>
      </c>
      <c r="BA748" t="inlineStr">
        <is>
          <t>506=</t>
        </is>
      </c>
    </row>
    <row r="749">
      <c r="A749" t="inlineStr">
        <is>
          <t>Palestine Technical University - Kadoorie</t>
        </is>
      </c>
      <c r="B749" t="inlineStr">
        <is>
          <t>Palestine</t>
        </is>
      </c>
      <c r="C749" t="inlineStr"/>
      <c r="D749" t="inlineStr">
        <is>
          <t>Asia</t>
        </is>
      </c>
      <c r="E749" t="inlineStr">
        <is>
          <t>S</t>
        </is>
      </c>
      <c r="F749" t="inlineStr">
        <is>
          <t>CO</t>
        </is>
      </c>
      <c r="G749" t="inlineStr">
        <is>
          <t>HI</t>
        </is>
      </c>
      <c r="H749" t="inlineStr"/>
      <c r="I749" t="inlineStr">
        <is>
          <t>Public</t>
        </is>
      </c>
      <c r="J749" t="inlineStr">
        <is>
          <t>1201-1400</t>
        </is>
      </c>
      <c r="K749" t="inlineStr"/>
      <c r="L749" t="inlineStr"/>
      <c r="M749" t="inlineStr"/>
      <c r="N749" t="inlineStr">
        <is>
          <t>-</t>
        </is>
      </c>
      <c r="O749" t="inlineStr"/>
      <c r="P749" t="n">
        <v>9.4</v>
      </c>
      <c r="Q749" t="inlineStr">
        <is>
          <t>701+</t>
        </is>
      </c>
      <c r="R749" t="n">
        <v>9.1</v>
      </c>
      <c r="S749" t="inlineStr">
        <is>
          <t>701+</t>
        </is>
      </c>
      <c r="T749" t="n">
        <v>29.8</v>
      </c>
      <c r="U749" t="inlineStr">
        <is>
          <t>637</t>
        </is>
      </c>
      <c r="V749" t="n">
        <v>3.5</v>
      </c>
      <c r="W749" t="inlineStr">
        <is>
          <t>801+</t>
        </is>
      </c>
      <c r="X749" t="n">
        <v>66.5</v>
      </c>
      <c r="Y749" t="inlineStr">
        <is>
          <t>351</t>
        </is>
      </c>
      <c r="Z749" t="n">
        <v>16.4</v>
      </c>
      <c r="AA749" t="inlineStr">
        <is>
          <t>791</t>
        </is>
      </c>
      <c r="AB749" t="n">
        <v>17.5</v>
      </c>
      <c r="AC749" t="inlineStr">
        <is>
          <t>801+</t>
        </is>
      </c>
      <c r="AD749" t="n">
        <v>18</v>
      </c>
      <c r="AE749" t="inlineStr">
        <is>
          <t>801+</t>
        </is>
      </c>
      <c r="AF749" t="n">
        <v>12</v>
      </c>
      <c r="AG749" t="inlineStr">
        <is>
          <t>801+</t>
        </is>
      </c>
      <c r="AH749" t="n">
        <v>6.1</v>
      </c>
      <c r="AI749" t="inlineStr">
        <is>
          <t>801+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</row>
    <row r="750">
      <c r="A750" t="inlineStr">
        <is>
          <t>Panjab University</t>
        </is>
      </c>
      <c r="B750" t="inlineStr">
        <is>
          <t>India</t>
        </is>
      </c>
      <c r="C750" t="inlineStr">
        <is>
          <t>IN</t>
        </is>
      </c>
      <c r="D750" t="inlineStr">
        <is>
          <t>Asia</t>
        </is>
      </c>
      <c r="E750" t="inlineStr">
        <is>
          <t>L</t>
        </is>
      </c>
      <c r="F750" t="inlineStr">
        <is>
          <t>CO</t>
        </is>
      </c>
      <c r="G750" t="inlineStr">
        <is>
          <t>VH</t>
        </is>
      </c>
      <c r="H750" t="inlineStr">
        <is>
          <t>4</t>
        </is>
      </c>
      <c r="I750" t="inlineStr">
        <is>
          <t>Public</t>
        </is>
      </c>
      <c r="J750" t="inlineStr">
        <is>
          <t>901-950</t>
        </is>
      </c>
      <c r="K750" t="inlineStr">
        <is>
          <t>1001-1200</t>
        </is>
      </c>
      <c r="L750" t="inlineStr">
        <is>
          <t>1001-1200</t>
        </is>
      </c>
      <c r="M750" t="inlineStr">
        <is>
          <t>1201-1400</t>
        </is>
      </c>
      <c r="N750" t="inlineStr">
        <is>
          <t>-</t>
        </is>
      </c>
      <c r="O750" t="inlineStr">
        <is>
          <t>-</t>
        </is>
      </c>
      <c r="P750" t="n">
        <v>9.4</v>
      </c>
      <c r="Q750" t="inlineStr">
        <is>
          <t>701+</t>
        </is>
      </c>
      <c r="R750" t="n">
        <v>11.5</v>
      </c>
      <c r="S750" t="inlineStr">
        <is>
          <t>701+</t>
        </is>
      </c>
      <c r="T750" t="n">
        <v>10.3</v>
      </c>
      <c r="U750" t="inlineStr">
        <is>
          <t>801+</t>
        </is>
      </c>
      <c r="V750" t="n">
        <v>43.5</v>
      </c>
      <c r="W750" t="inlineStr">
        <is>
          <t>433</t>
        </is>
      </c>
      <c r="X750" t="inlineStr"/>
      <c r="Y750" t="inlineStr"/>
      <c r="Z750" t="n">
        <v>3.2</v>
      </c>
      <c r="AA750" t="inlineStr">
        <is>
          <t>801+</t>
        </is>
      </c>
      <c r="AB750" t="n">
        <v>7.5</v>
      </c>
      <c r="AC750" t="inlineStr">
        <is>
          <t>801+</t>
        </is>
      </c>
      <c r="AD750" t="n">
        <v>33</v>
      </c>
      <c r="AE750" t="inlineStr">
        <is>
          <t>801+</t>
        </is>
      </c>
      <c r="AF750" t="n">
        <v>39.6</v>
      </c>
      <c r="AG750" t="inlineStr">
        <is>
          <t>441</t>
        </is>
      </c>
      <c r="AH750" t="n">
        <v>50.9</v>
      </c>
      <c r="AI750" t="inlineStr">
        <is>
          <t>684=</t>
        </is>
      </c>
      <c r="AJ750" t="inlineStr">
        <is>
          <t>6.7</t>
        </is>
      </c>
      <c r="AK750" t="inlineStr">
        <is>
          <t>601+</t>
        </is>
      </c>
      <c r="AL750" t="inlineStr">
        <is>
          <t>5.9</t>
        </is>
      </c>
      <c r="AM750" t="inlineStr">
        <is>
          <t>601+</t>
        </is>
      </c>
      <c r="AN750" t="inlineStr">
        <is>
          <t>5.6</t>
        </is>
      </c>
      <c r="AO750" t="inlineStr">
        <is>
          <t>701+</t>
        </is>
      </c>
      <c r="AP750" t="inlineStr">
        <is>
          <t>21.0</t>
        </is>
      </c>
      <c r="AQ750" t="inlineStr">
        <is>
          <t>545</t>
        </is>
      </c>
      <c r="AR750" t="inlineStr"/>
      <c r="AS750" t="inlineStr"/>
      <c r="AT750" t="inlineStr">
        <is>
          <t>1.8</t>
        </is>
      </c>
      <c r="AU750" t="inlineStr">
        <is>
          <t>701+</t>
        </is>
      </c>
      <c r="AV750" t="inlineStr">
        <is>
          <t>1.9</t>
        </is>
      </c>
      <c r="AW750" t="inlineStr">
        <is>
          <t>701+</t>
        </is>
      </c>
      <c r="AX750" t="inlineStr">
        <is>
          <t>29.8</t>
        </is>
      </c>
      <c r="AY750" t="inlineStr">
        <is>
          <t>265</t>
        </is>
      </c>
      <c r="AZ750" t="inlineStr">
        <is>
          <t>2.2</t>
        </is>
      </c>
      <c r="BA750" t="inlineStr">
        <is>
          <t>701+</t>
        </is>
      </c>
    </row>
    <row r="751">
      <c r="A751" t="inlineStr">
        <is>
          <t>Paris Lodron University of Salzburg</t>
        </is>
      </c>
      <c r="B751" t="inlineStr">
        <is>
          <t>Austria</t>
        </is>
      </c>
      <c r="C751" t="inlineStr">
        <is>
          <t>AT</t>
        </is>
      </c>
      <c r="D751" t="inlineStr">
        <is>
          <t>Europe</t>
        </is>
      </c>
      <c r="E751" t="inlineStr">
        <is>
          <t>M</t>
        </is>
      </c>
      <c r="F751" t="inlineStr">
        <is>
          <t>CO</t>
        </is>
      </c>
      <c r="G751" t="inlineStr">
        <is>
          <t>VH</t>
        </is>
      </c>
      <c r="H751" t="inlineStr">
        <is>
          <t>5</t>
        </is>
      </c>
      <c r="I751" t="inlineStr">
        <is>
          <t>Public</t>
        </is>
      </c>
      <c r="J751" t="inlineStr">
        <is>
          <t>650</t>
        </is>
      </c>
      <c r="K751" t="inlineStr">
        <is>
          <t>601-610</t>
        </is>
      </c>
      <c r="L751" t="inlineStr">
        <is>
          <t>681-690</t>
        </is>
      </c>
      <c r="M751" t="inlineStr">
        <is>
          <t>751-800</t>
        </is>
      </c>
      <c r="N751" t="inlineStr">
        <is>
          <t>26.7</t>
        </is>
      </c>
      <c r="O751" t="inlineStr">
        <is>
          <t>-</t>
        </is>
      </c>
      <c r="P751" t="n">
        <v>13.3</v>
      </c>
      <c r="Q751" t="inlineStr">
        <is>
          <t>701+</t>
        </is>
      </c>
      <c r="R751" t="n">
        <v>4.8</v>
      </c>
      <c r="S751" t="inlineStr">
        <is>
          <t>701+</t>
        </is>
      </c>
      <c r="T751" t="n">
        <v>38.7</v>
      </c>
      <c r="U751" t="inlineStr">
        <is>
          <t>524</t>
        </is>
      </c>
      <c r="V751" t="n">
        <v>11.6</v>
      </c>
      <c r="W751" t="inlineStr">
        <is>
          <t>801+</t>
        </is>
      </c>
      <c r="X751" t="n">
        <v>98.40000000000001</v>
      </c>
      <c r="Y751" t="inlineStr">
        <is>
          <t>137</t>
        </is>
      </c>
      <c r="Z751" t="n">
        <v>98.09999999999999</v>
      </c>
      <c r="AA751" t="inlineStr">
        <is>
          <t>86</t>
        </is>
      </c>
      <c r="AB751" t="n">
        <v>98.2</v>
      </c>
      <c r="AC751" t="inlineStr">
        <is>
          <t>74</t>
        </is>
      </c>
      <c r="AD751" t="n">
        <v>59.1</v>
      </c>
      <c r="AE751" t="inlineStr">
        <is>
          <t>705</t>
        </is>
      </c>
      <c r="AF751" t="n">
        <v>23.7</v>
      </c>
      <c r="AG751" t="inlineStr">
        <is>
          <t>661</t>
        </is>
      </c>
      <c r="AH751" t="n">
        <v>62.2</v>
      </c>
      <c r="AI751" t="inlineStr">
        <is>
          <t>454=</t>
        </is>
      </c>
      <c r="AJ751" t="inlineStr">
        <is>
          <t>9.4</t>
        </is>
      </c>
      <c r="AK751" t="inlineStr">
        <is>
          <t>601+</t>
        </is>
      </c>
      <c r="AL751" t="inlineStr">
        <is>
          <t>2.3</t>
        </is>
      </c>
      <c r="AM751" t="inlineStr">
        <is>
          <t>601+</t>
        </is>
      </c>
      <c r="AN751" t="inlineStr">
        <is>
          <t>13.0</t>
        </is>
      </c>
      <c r="AO751" t="inlineStr">
        <is>
          <t>701+</t>
        </is>
      </c>
      <c r="AP751" t="inlineStr">
        <is>
          <t>8.0</t>
        </is>
      </c>
      <c r="AQ751" t="inlineStr">
        <is>
          <t>701+</t>
        </is>
      </c>
      <c r="AR751" t="inlineStr">
        <is>
          <t>95.1</t>
        </is>
      </c>
      <c r="AS751" t="inlineStr">
        <is>
          <t>150</t>
        </is>
      </c>
      <c r="AT751" t="inlineStr">
        <is>
          <t>97.5</t>
        </is>
      </c>
      <c r="AU751" t="inlineStr">
        <is>
          <t>68</t>
        </is>
      </c>
      <c r="AV751" t="inlineStr">
        <is>
          <t>13.3</t>
        </is>
      </c>
      <c r="AW751" t="inlineStr">
        <is>
          <t>621</t>
        </is>
      </c>
      <c r="AX751" t="inlineStr">
        <is>
          <t>12</t>
        </is>
      </c>
      <c r="AY751" t="inlineStr">
        <is>
          <t>701+</t>
        </is>
      </c>
      <c r="AZ751" t="inlineStr">
        <is>
          <t>6.3</t>
        </is>
      </c>
      <c r="BA751" t="inlineStr">
        <is>
          <t>701+</t>
        </is>
      </c>
    </row>
    <row r="752">
      <c r="A752" t="inlineStr">
        <is>
          <t>Paul Valéry University Montpellier</t>
        </is>
      </c>
      <c r="B752" t="inlineStr">
        <is>
          <t>France</t>
        </is>
      </c>
      <c r="C752" t="inlineStr">
        <is>
          <t>FR</t>
        </is>
      </c>
      <c r="D752" t="inlineStr"/>
      <c r="E752" t="inlineStr">
        <is>
          <t>L</t>
        </is>
      </c>
      <c r="F752" t="inlineStr">
        <is>
          <t>FO</t>
        </is>
      </c>
      <c r="G752" t="inlineStr">
        <is>
          <t>VH</t>
        </is>
      </c>
      <c r="H752" t="inlineStr">
        <is>
          <t>5</t>
        </is>
      </c>
      <c r="I752" t="inlineStr">
        <is>
          <t>A</t>
        </is>
      </c>
      <c r="J752" t="inlineStr"/>
      <c r="K752" t="inlineStr"/>
      <c r="L752" t="inlineStr">
        <is>
          <t>1001-1200</t>
        </is>
      </c>
      <c r="M752" t="inlineStr">
        <is>
          <t>1001-1200</t>
        </is>
      </c>
      <c r="N752" t="inlineStr"/>
      <c r="O752" t="inlineStr">
        <is>
          <t>-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12.2</t>
        </is>
      </c>
      <c r="AK752" t="inlineStr">
        <is>
          <t>601+</t>
        </is>
      </c>
      <c r="AL752" t="inlineStr">
        <is>
          <t>2.7</t>
        </is>
      </c>
      <c r="AM752" t="inlineStr">
        <is>
          <t>601+</t>
        </is>
      </c>
      <c r="AN752" t="inlineStr">
        <is>
          <t>2.9</t>
        </is>
      </c>
      <c r="AO752" t="inlineStr">
        <is>
          <t>701+</t>
        </is>
      </c>
      <c r="AP752" t="inlineStr">
        <is>
          <t>4.6</t>
        </is>
      </c>
      <c r="AQ752" t="inlineStr">
        <is>
          <t>701+</t>
        </is>
      </c>
      <c r="AR752" t="inlineStr">
        <is>
          <t>5.4</t>
        </is>
      </c>
      <c r="AS752" t="inlineStr">
        <is>
          <t>701+</t>
        </is>
      </c>
      <c r="AT752" t="inlineStr">
        <is>
          <t>34.8</t>
        </is>
      </c>
      <c r="AU752" t="inlineStr">
        <is>
          <t>381</t>
        </is>
      </c>
      <c r="AV752" t="inlineStr">
        <is>
          <t>6.6</t>
        </is>
      </c>
      <c r="AW752" t="inlineStr">
        <is>
          <t>701+</t>
        </is>
      </c>
      <c r="AX752" t="inlineStr">
        <is>
          <t>6.4</t>
        </is>
      </c>
      <c r="AY752" t="inlineStr">
        <is>
          <t>701+</t>
        </is>
      </c>
      <c r="AZ752" t="inlineStr">
        <is>
          <t>2.4</t>
        </is>
      </c>
      <c r="BA752" t="inlineStr">
        <is>
          <t>701+</t>
        </is>
      </c>
    </row>
    <row r="753">
      <c r="A753" t="inlineStr">
        <is>
          <t>Pavlodar State University named after Toraighyrov</t>
        </is>
      </c>
      <c r="B753" t="inlineStr">
        <is>
          <t>Kazakhstan</t>
        </is>
      </c>
      <c r="C753" t="inlineStr"/>
      <c r="D753" t="inlineStr">
        <is>
          <t>Asia</t>
        </is>
      </c>
      <c r="E753" t="inlineStr">
        <is>
          <t>M</t>
        </is>
      </c>
      <c r="F753" t="inlineStr">
        <is>
          <t>CO</t>
        </is>
      </c>
      <c r="G753" t="inlineStr">
        <is>
          <t>MD</t>
        </is>
      </c>
      <c r="H753" t="inlineStr"/>
      <c r="I753" t="inlineStr">
        <is>
          <t>Public</t>
        </is>
      </c>
      <c r="J753" t="inlineStr">
        <is>
          <t>1401+</t>
        </is>
      </c>
      <c r="K753" t="inlineStr">
        <is>
          <t>1201-1400</t>
        </is>
      </c>
      <c r="L753" t="inlineStr"/>
      <c r="M753" t="inlineStr"/>
      <c r="N753" t="inlineStr">
        <is>
          <t>-</t>
        </is>
      </c>
      <c r="O753" t="inlineStr"/>
      <c r="P753" t="n">
        <v>8.9</v>
      </c>
      <c r="Q753" t="inlineStr">
        <is>
          <t>701+</t>
        </is>
      </c>
      <c r="R753" t="n">
        <v>12.4</v>
      </c>
      <c r="S753" t="inlineStr">
        <is>
          <t>701+</t>
        </is>
      </c>
      <c r="T753" t="n">
        <v>28.9</v>
      </c>
      <c r="U753" t="inlineStr">
        <is>
          <t>654</t>
        </is>
      </c>
      <c r="V753" t="n">
        <v>1.4</v>
      </c>
      <c r="W753" t="inlineStr">
        <is>
          <t>801+</t>
        </is>
      </c>
      <c r="X753" t="n">
        <v>3.4</v>
      </c>
      <c r="Y753" t="inlineStr">
        <is>
          <t>801+</t>
        </is>
      </c>
      <c r="Z753" t="n">
        <v>5.7</v>
      </c>
      <c r="AA753" t="inlineStr">
        <is>
          <t>801+</t>
        </is>
      </c>
      <c r="AB753" t="n">
        <v>4.5</v>
      </c>
      <c r="AC753" t="inlineStr">
        <is>
          <t>801+</t>
        </is>
      </c>
      <c r="AD753" t="n">
        <v>3</v>
      </c>
      <c r="AE753" t="inlineStr">
        <is>
          <t>801+</t>
        </is>
      </c>
      <c r="AF753" t="n">
        <v>4.2</v>
      </c>
      <c r="AG753" t="inlineStr">
        <is>
          <t>801+</t>
        </is>
      </c>
      <c r="AH753" t="n">
        <v>21.8</v>
      </c>
      <c r="AI753" t="inlineStr">
        <is>
          <t>801+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</row>
    <row r="754">
      <c r="A754" t="inlineStr">
        <is>
          <t>Pavol Josef Safarik University</t>
        </is>
      </c>
      <c r="B754" t="inlineStr">
        <is>
          <t>Slovakia</t>
        </is>
      </c>
      <c r="C754" t="inlineStr"/>
      <c r="D754" t="inlineStr">
        <is>
          <t>Europe</t>
        </is>
      </c>
      <c r="E754" t="inlineStr">
        <is>
          <t>M</t>
        </is>
      </c>
      <c r="F754" t="inlineStr">
        <is>
          <t>FC</t>
        </is>
      </c>
      <c r="G754" t="inlineStr">
        <is>
          <t>HI</t>
        </is>
      </c>
      <c r="H754" t="inlineStr"/>
      <c r="I754" t="inlineStr">
        <is>
          <t>Public</t>
        </is>
      </c>
      <c r="J754" t="inlineStr">
        <is>
          <t>1001-1200</t>
        </is>
      </c>
      <c r="K754" t="inlineStr">
        <is>
          <t>851-900</t>
        </is>
      </c>
      <c r="L754" t="inlineStr"/>
      <c r="M754" t="inlineStr"/>
      <c r="N754" t="inlineStr">
        <is>
          <t>-</t>
        </is>
      </c>
      <c r="O754" t="inlineStr"/>
      <c r="P754" t="n">
        <v>6.4</v>
      </c>
      <c r="Q754" t="inlineStr">
        <is>
          <t>701+</t>
        </is>
      </c>
      <c r="R754" t="n">
        <v>5.6</v>
      </c>
      <c r="S754" t="inlineStr">
        <is>
          <t>701+</t>
        </is>
      </c>
      <c r="T754" t="n">
        <v>69.2</v>
      </c>
      <c r="U754" t="inlineStr">
        <is>
          <t>238</t>
        </is>
      </c>
      <c r="V754" t="n">
        <v>5.5</v>
      </c>
      <c r="W754" t="inlineStr">
        <is>
          <t>801+</t>
        </is>
      </c>
      <c r="X754" t="n">
        <v>7</v>
      </c>
      <c r="Y754" t="inlineStr">
        <is>
          <t>801+</t>
        </is>
      </c>
      <c r="Z754" t="n">
        <v>78.5</v>
      </c>
      <c r="AA754" t="inlineStr">
        <is>
          <t>232</t>
        </is>
      </c>
      <c r="AB754" t="n">
        <v>74.5</v>
      </c>
      <c r="AC754" t="inlineStr">
        <is>
          <t>236</t>
        </is>
      </c>
      <c r="AD754" t="n">
        <v>41.6</v>
      </c>
      <c r="AE754" t="inlineStr">
        <is>
          <t>801+</t>
        </is>
      </c>
      <c r="AF754" t="n">
        <v>5.5</v>
      </c>
      <c r="AG754" t="inlineStr">
        <is>
          <t>801+</t>
        </is>
      </c>
      <c r="AH754" t="n">
        <v>22.2</v>
      </c>
      <c r="AI754" t="inlineStr">
        <is>
          <t>801+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</row>
    <row r="755">
      <c r="A755" t="inlineStr">
        <is>
          <t>Pavol Jozef Šafárik University in Košice</t>
        </is>
      </c>
      <c r="B755" t="inlineStr">
        <is>
          <t>Slovakia</t>
        </is>
      </c>
      <c r="C755" t="inlineStr">
        <is>
          <t>SK</t>
        </is>
      </c>
      <c r="D755" t="inlineStr"/>
      <c r="E755" t="inlineStr">
        <is>
          <t>M</t>
        </is>
      </c>
      <c r="F755" t="inlineStr">
        <is>
          <t>FC</t>
        </is>
      </c>
      <c r="G755" t="inlineStr">
        <is>
          <t>HI</t>
        </is>
      </c>
      <c r="H755" t="inlineStr">
        <is>
          <t>4</t>
        </is>
      </c>
      <c r="I755" t="inlineStr">
        <is>
          <t>A</t>
        </is>
      </c>
      <c r="J755" t="inlineStr"/>
      <c r="K755" t="inlineStr"/>
      <c r="L755" t="inlineStr">
        <is>
          <t>851-900</t>
        </is>
      </c>
      <c r="M755" t="inlineStr">
        <is>
          <t>701-750</t>
        </is>
      </c>
      <c r="N755" t="inlineStr"/>
      <c r="O755" t="inlineStr">
        <is>
          <t>-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5.1</t>
        </is>
      </c>
      <c r="AK755" t="inlineStr">
        <is>
          <t>601+</t>
        </is>
      </c>
      <c r="AL755" t="inlineStr">
        <is>
          <t>3.6</t>
        </is>
      </c>
      <c r="AM755" t="inlineStr">
        <is>
          <t>601+</t>
        </is>
      </c>
      <c r="AN755" t="inlineStr">
        <is>
          <t>55.5</t>
        </is>
      </c>
      <c r="AO755" t="inlineStr">
        <is>
          <t>270</t>
        </is>
      </c>
      <c r="AP755" t="inlineStr">
        <is>
          <t>3.6</t>
        </is>
      </c>
      <c r="AQ755" t="inlineStr">
        <is>
          <t>701+</t>
        </is>
      </c>
      <c r="AR755" t="inlineStr">
        <is>
          <t>2.0</t>
        </is>
      </c>
      <c r="AS755" t="inlineStr">
        <is>
          <t>701+</t>
        </is>
      </c>
      <c r="AT755" t="inlineStr">
        <is>
          <t>63.8</t>
        </is>
      </c>
      <c r="AU755" t="inlineStr">
        <is>
          <t>236</t>
        </is>
      </c>
      <c r="AV755" t="inlineStr">
        <is>
          <t>3.3</t>
        </is>
      </c>
      <c r="AW755" t="inlineStr">
        <is>
          <t>701+</t>
        </is>
      </c>
      <c r="AX755" t="inlineStr">
        <is>
          <t>13</t>
        </is>
      </c>
      <c r="AY755" t="inlineStr">
        <is>
          <t>663</t>
        </is>
      </c>
      <c r="AZ755" t="inlineStr">
        <is>
          <t>1.3</t>
        </is>
      </c>
      <c r="BA755" t="inlineStr">
        <is>
          <t>701+</t>
        </is>
      </c>
    </row>
    <row r="756">
      <c r="A756" t="inlineStr">
        <is>
          <t>Peking University</t>
        </is>
      </c>
      <c r="B756" t="inlineStr">
        <is>
          <t>China (Mainland)</t>
        </is>
      </c>
      <c r="C756" t="inlineStr">
        <is>
          <t>CN</t>
        </is>
      </c>
      <c r="D756" t="inlineStr">
        <is>
          <t>Asia</t>
        </is>
      </c>
      <c r="E756" t="inlineStr">
        <is>
          <t>XL</t>
        </is>
      </c>
      <c r="F756" t="inlineStr">
        <is>
          <t>FC</t>
        </is>
      </c>
      <c r="G756" t="inlineStr">
        <is>
          <t>VH</t>
        </is>
      </c>
      <c r="H756" t="inlineStr">
        <is>
          <t>5</t>
        </is>
      </c>
      <c r="I756" t="inlineStr">
        <is>
          <t>Public</t>
        </is>
      </c>
      <c r="J756" t="inlineStr">
        <is>
          <t>14</t>
        </is>
      </c>
      <c r="K756" t="inlineStr">
        <is>
          <t>14</t>
        </is>
      </c>
      <c r="L756">
        <f>17</f>
        <v/>
      </c>
      <c r="M756" t="inlineStr">
        <is>
          <t>12</t>
        </is>
      </c>
      <c r="N756" t="inlineStr">
        <is>
          <t>92.6</t>
        </is>
      </c>
      <c r="O756" t="inlineStr">
        <is>
          <t>87.0</t>
        </is>
      </c>
      <c r="P756" t="n">
        <v>99.90000000000001</v>
      </c>
      <c r="Q756" t="inlineStr">
        <is>
          <t>12</t>
        </is>
      </c>
      <c r="R756" t="n">
        <v>99.59999999999999</v>
      </c>
      <c r="S756" t="inlineStr">
        <is>
          <t>17</t>
        </is>
      </c>
      <c r="T756" t="n">
        <v>96.2</v>
      </c>
      <c r="U756" t="inlineStr">
        <is>
          <t>66</t>
        </is>
      </c>
      <c r="V756" t="n">
        <v>99.2</v>
      </c>
      <c r="W756" t="inlineStr">
        <is>
          <t>35</t>
        </is>
      </c>
      <c r="X756" t="n">
        <v>59.9</v>
      </c>
      <c r="Y756" t="inlineStr">
        <is>
          <t>391</t>
        </is>
      </c>
      <c r="Z756" t="n">
        <v>37.3</v>
      </c>
      <c r="AA756" t="inlineStr">
        <is>
          <t>523</t>
        </is>
      </c>
      <c r="AB756" t="n">
        <v>27.9</v>
      </c>
      <c r="AC756" t="inlineStr">
        <is>
          <t>640</t>
        </is>
      </c>
      <c r="AD756" t="n">
        <v>83.2</v>
      </c>
      <c r="AE756" t="inlineStr">
        <is>
          <t>290</t>
        </is>
      </c>
      <c r="AF756" t="n">
        <v>97</v>
      </c>
      <c r="AG756" t="inlineStr">
        <is>
          <t>58</t>
        </is>
      </c>
      <c r="AH756" t="n">
        <v>70.59999999999999</v>
      </c>
      <c r="AI756" t="inlineStr">
        <is>
          <t>308=</t>
        </is>
      </c>
      <c r="AJ756" t="inlineStr">
        <is>
          <t>99.4</t>
        </is>
      </c>
      <c r="AK756" t="inlineStr">
        <is>
          <t>14</t>
        </is>
      </c>
      <c r="AL756" t="inlineStr">
        <is>
          <t>95.4</t>
        </is>
      </c>
      <c r="AM756" t="inlineStr">
        <is>
          <t>37</t>
        </is>
      </c>
      <c r="AN756" t="inlineStr">
        <is>
          <t>90.4</t>
        </is>
      </c>
      <c r="AO756" t="inlineStr">
        <is>
          <t>85</t>
        </is>
      </c>
      <c r="AP756" t="inlineStr">
        <is>
          <t>97.5</t>
        </is>
      </c>
      <c r="AQ756" t="inlineStr">
        <is>
          <t>38</t>
        </is>
      </c>
      <c r="AR756" t="inlineStr">
        <is>
          <t>50.8</t>
        </is>
      </c>
      <c r="AS756" t="inlineStr">
        <is>
          <t>354</t>
        </is>
      </c>
      <c r="AT756" t="inlineStr">
        <is>
          <t>23.5</t>
        </is>
      </c>
      <c r="AU756" t="inlineStr">
        <is>
          <t>492</t>
        </is>
      </c>
      <c r="AV756" t="inlineStr">
        <is>
          <t>43.2</t>
        </is>
      </c>
      <c r="AW756" t="inlineStr">
        <is>
          <t>353</t>
        </is>
      </c>
      <c r="AX756" t="inlineStr">
        <is>
          <t>82.6</t>
        </is>
      </c>
      <c r="AY756" t="inlineStr">
        <is>
          <t>46</t>
        </is>
      </c>
      <c r="AZ756" t="inlineStr">
        <is>
          <t>68.8</t>
        </is>
      </c>
      <c r="BA756" t="inlineStr">
        <is>
          <t>212</t>
        </is>
      </c>
    </row>
    <row r="757">
      <c r="A757" t="inlineStr">
        <is>
          <t>Pennsylvania State University</t>
        </is>
      </c>
      <c r="B757" t="inlineStr">
        <is>
          <t>United States</t>
        </is>
      </c>
      <c r="C757" t="inlineStr">
        <is>
          <t>US</t>
        </is>
      </c>
      <c r="D757" t="inlineStr">
        <is>
          <t>Americas</t>
        </is>
      </c>
      <c r="E757" t="inlineStr">
        <is>
          <t>XL</t>
        </is>
      </c>
      <c r="F757" t="inlineStr">
        <is>
          <t>FC</t>
        </is>
      </c>
      <c r="G757" t="inlineStr">
        <is>
          <t>VH</t>
        </is>
      </c>
      <c r="H757" t="inlineStr">
        <is>
          <t>5</t>
        </is>
      </c>
      <c r="I757" t="inlineStr">
        <is>
          <t>Public</t>
        </is>
      </c>
      <c r="J757" t="inlineStr">
        <is>
          <t>82</t>
        </is>
      </c>
      <c r="K757" t="inlineStr">
        <is>
          <t>89</t>
        </is>
      </c>
      <c r="L757" t="inlineStr">
        <is>
          <t>83</t>
        </is>
      </c>
      <c r="M757" t="inlineStr">
        <is>
          <t>93</t>
        </is>
      </c>
      <c r="N757" t="inlineStr">
        <is>
          <t>72.6</t>
        </is>
      </c>
      <c r="O757" t="inlineStr">
        <is>
          <t>63.1</t>
        </is>
      </c>
      <c r="P757" t="n">
        <v>86.09999999999999</v>
      </c>
      <c r="Q757" t="inlineStr">
        <is>
          <t>77</t>
        </is>
      </c>
      <c r="R757" t="n">
        <v>85.8</v>
      </c>
      <c r="S757" t="inlineStr">
        <is>
          <t>89</t>
        </is>
      </c>
      <c r="T757" t="n">
        <v>29.1</v>
      </c>
      <c r="U757" t="inlineStr">
        <is>
          <t>647</t>
        </is>
      </c>
      <c r="V757" t="n">
        <v>67.2</v>
      </c>
      <c r="W757" t="inlineStr">
        <is>
          <t>235</t>
        </is>
      </c>
      <c r="X757" t="n">
        <v>37.4</v>
      </c>
      <c r="Y757" t="inlineStr">
        <is>
          <t>518</t>
        </is>
      </c>
      <c r="Z757" t="n">
        <v>38.2</v>
      </c>
      <c r="AA757" t="inlineStr">
        <is>
          <t>514</t>
        </is>
      </c>
      <c r="AB757" t="n">
        <v>43.8</v>
      </c>
      <c r="AC757" t="inlineStr">
        <is>
          <t>476</t>
        </is>
      </c>
      <c r="AD757" t="n">
        <v>97.40000000000001</v>
      </c>
      <c r="AE757" t="inlineStr">
        <is>
          <t>31</t>
        </is>
      </c>
      <c r="AF757" t="n">
        <v>79.2</v>
      </c>
      <c r="AG757" t="inlineStr">
        <is>
          <t>165</t>
        </is>
      </c>
      <c r="AH757" t="n">
        <v>95.40000000000001</v>
      </c>
      <c r="AI757" t="inlineStr">
        <is>
          <t>19=</t>
        </is>
      </c>
      <c r="AJ757" t="inlineStr">
        <is>
          <t>77.5</t>
        </is>
      </c>
      <c r="AK757" t="inlineStr">
        <is>
          <t>76</t>
        </is>
      </c>
      <c r="AL757" t="inlineStr">
        <is>
          <t>63.0</t>
        </is>
      </c>
      <c r="AM757" t="inlineStr">
        <is>
          <t>126</t>
        </is>
      </c>
      <c r="AN757" t="inlineStr">
        <is>
          <t>28.4</t>
        </is>
      </c>
      <c r="AO757" t="inlineStr">
        <is>
          <t>540</t>
        </is>
      </c>
      <c r="AP757" t="inlineStr">
        <is>
          <t>62.9</t>
        </is>
      </c>
      <c r="AQ757" t="inlineStr">
        <is>
          <t>189</t>
        </is>
      </c>
      <c r="AR757" t="inlineStr">
        <is>
          <t>23.4</t>
        </is>
      </c>
      <c r="AS757" t="inlineStr">
        <is>
          <t>560</t>
        </is>
      </c>
      <c r="AT757" t="inlineStr">
        <is>
          <t>26.8</t>
        </is>
      </c>
      <c r="AU757" t="inlineStr">
        <is>
          <t>449</t>
        </is>
      </c>
      <c r="AV757" t="inlineStr">
        <is>
          <t>96.6</t>
        </is>
      </c>
      <c r="AW757" t="inlineStr">
        <is>
          <t>36</t>
        </is>
      </c>
      <c r="AX757" t="inlineStr">
        <is>
          <t>47.5</t>
        </is>
      </c>
      <c r="AY757" t="inlineStr">
        <is>
          <t>145</t>
        </is>
      </c>
      <c r="AZ757" t="inlineStr">
        <is>
          <t>95.1</t>
        </is>
      </c>
      <c r="BA757" t="inlineStr">
        <is>
          <t>52</t>
        </is>
      </c>
    </row>
    <row r="758">
      <c r="A758" t="inlineStr">
        <is>
          <t>Perm State National Research University</t>
        </is>
      </c>
      <c r="B758" t="inlineStr">
        <is>
          <t>Russia</t>
        </is>
      </c>
      <c r="C758" t="inlineStr">
        <is>
          <t>RU</t>
        </is>
      </c>
      <c r="D758" t="inlineStr"/>
      <c r="E758" t="inlineStr">
        <is>
          <t>M</t>
        </is>
      </c>
      <c r="F758" t="inlineStr">
        <is>
          <t>FO</t>
        </is>
      </c>
      <c r="G758" t="inlineStr">
        <is>
          <t>VH</t>
        </is>
      </c>
      <c r="H758" t="inlineStr">
        <is>
          <t>5</t>
        </is>
      </c>
      <c r="I758" t="inlineStr">
        <is>
          <t>A</t>
        </is>
      </c>
      <c r="J758" t="inlineStr"/>
      <c r="K758" t="inlineStr"/>
      <c r="L758" t="inlineStr">
        <is>
          <t>1201-1400</t>
        </is>
      </c>
      <c r="M758" t="inlineStr">
        <is>
          <t>801-1000</t>
        </is>
      </c>
      <c r="N758" t="inlineStr"/>
      <c r="O758" t="inlineStr">
        <is>
          <t>-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5.0</t>
        </is>
      </c>
      <c r="AK758" t="inlineStr">
        <is>
          <t>601+</t>
        </is>
      </c>
      <c r="AL758" t="inlineStr">
        <is>
          <t>1.7</t>
        </is>
      </c>
      <c r="AM758" t="inlineStr">
        <is>
          <t>601+</t>
        </is>
      </c>
      <c r="AN758" t="inlineStr">
        <is>
          <t>41.1</t>
        </is>
      </c>
      <c r="AO758" t="inlineStr">
        <is>
          <t>383</t>
        </is>
      </c>
      <c r="AP758" t="inlineStr">
        <is>
          <t>1.5</t>
        </is>
      </c>
      <c r="AQ758" t="inlineStr">
        <is>
          <t>701+</t>
        </is>
      </c>
      <c r="AR758" t="inlineStr">
        <is>
          <t>1.4</t>
        </is>
      </c>
      <c r="AS758" t="inlineStr">
        <is>
          <t>701+</t>
        </is>
      </c>
      <c r="AT758" t="inlineStr">
        <is>
          <t>5.8</t>
        </is>
      </c>
      <c r="AU758" t="inlineStr">
        <is>
          <t>701+</t>
        </is>
      </c>
      <c r="AV758" t="inlineStr">
        <is>
          <t>1.0</t>
        </is>
      </c>
      <c r="AW758" t="inlineStr">
        <is>
          <t>701+</t>
        </is>
      </c>
      <c r="AX758" t="inlineStr">
        <is>
          <t>7.7</t>
        </is>
      </c>
      <c r="AY758" t="inlineStr">
        <is>
          <t>701+</t>
        </is>
      </c>
      <c r="AZ758" t="inlineStr">
        <is>
          <t>2.5</t>
        </is>
      </c>
      <c r="BA758" t="inlineStr">
        <is>
          <t>701+</t>
        </is>
      </c>
    </row>
    <row r="759">
      <c r="A759" t="inlineStr">
        <is>
          <t>Perm State University</t>
        </is>
      </c>
      <c r="B759" t="inlineStr">
        <is>
          <t>Russia</t>
        </is>
      </c>
      <c r="C759" t="inlineStr"/>
      <c r="D759" t="inlineStr">
        <is>
          <t>Europe</t>
        </is>
      </c>
      <c r="E759" t="inlineStr">
        <is>
          <t>M</t>
        </is>
      </c>
      <c r="F759" t="inlineStr">
        <is>
          <t>CO</t>
        </is>
      </c>
      <c r="G759" t="inlineStr">
        <is>
          <t>VH</t>
        </is>
      </c>
      <c r="H759" t="inlineStr"/>
      <c r="I759" t="inlineStr">
        <is>
          <t>Public</t>
        </is>
      </c>
      <c r="J759" t="inlineStr">
        <is>
          <t>1401+</t>
        </is>
      </c>
      <c r="K759" t="inlineStr">
        <is>
          <t>1201-1400</t>
        </is>
      </c>
      <c r="L759" t="inlineStr"/>
      <c r="M759" t="inlineStr"/>
      <c r="N759" t="inlineStr">
        <is>
          <t>-</t>
        </is>
      </c>
      <c r="O759" t="inlineStr"/>
      <c r="P759" t="n">
        <v>4</v>
      </c>
      <c r="Q759" t="inlineStr">
        <is>
          <t>701+</t>
        </is>
      </c>
      <c r="R759" t="n">
        <v>3.3</v>
      </c>
      <c r="S759" t="inlineStr">
        <is>
          <t>701+</t>
        </is>
      </c>
      <c r="T759" t="n">
        <v>35.4</v>
      </c>
      <c r="U759" t="inlineStr">
        <is>
          <t>559</t>
        </is>
      </c>
      <c r="V759" t="n">
        <v>2.1</v>
      </c>
      <c r="W759" t="inlineStr">
        <is>
          <t>801+</t>
        </is>
      </c>
      <c r="X759" t="n">
        <v>1.8</v>
      </c>
      <c r="Y759" t="inlineStr">
        <is>
          <t>801+</t>
        </is>
      </c>
      <c r="Z759" t="n">
        <v>20.4</v>
      </c>
      <c r="AA759" t="inlineStr">
        <is>
          <t>725</t>
        </is>
      </c>
      <c r="AB759" t="n">
        <v>22.2</v>
      </c>
      <c r="AC759" t="inlineStr">
        <is>
          <t>727</t>
        </is>
      </c>
      <c r="AD759" t="n">
        <v>6</v>
      </c>
      <c r="AE759" t="inlineStr">
        <is>
          <t>801+</t>
        </is>
      </c>
      <c r="AF759" t="n">
        <v>4</v>
      </c>
      <c r="AG759" t="inlineStr">
        <is>
          <t>801+</t>
        </is>
      </c>
      <c r="AH759" t="n">
        <v>29.7</v>
      </c>
      <c r="AI759" t="inlineStr">
        <is>
          <t>801+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</row>
    <row r="760">
      <c r="A760" t="inlineStr">
        <is>
          <t>Perugia University</t>
        </is>
      </c>
      <c r="B760" t="inlineStr">
        <is>
          <t>Italy</t>
        </is>
      </c>
      <c r="C760" t="inlineStr"/>
      <c r="D760" t="inlineStr">
        <is>
          <t>Europe</t>
        </is>
      </c>
      <c r="E760" t="inlineStr">
        <is>
          <t>L</t>
        </is>
      </c>
      <c r="F760" t="inlineStr">
        <is>
          <t>FC</t>
        </is>
      </c>
      <c r="G760" t="inlineStr">
        <is>
          <t>VH</t>
        </is>
      </c>
      <c r="H760" t="inlineStr"/>
      <c r="I760" t="inlineStr">
        <is>
          <t>Public</t>
        </is>
      </c>
      <c r="J760" t="inlineStr">
        <is>
          <t>801-850</t>
        </is>
      </c>
      <c r="K760" t="inlineStr">
        <is>
          <t>801-850</t>
        </is>
      </c>
      <c r="L760" t="inlineStr"/>
      <c r="M760" t="inlineStr"/>
      <c r="N760" t="inlineStr">
        <is>
          <t>-</t>
        </is>
      </c>
      <c r="O760" t="inlineStr"/>
      <c r="P760" t="n">
        <v>12</v>
      </c>
      <c r="Q760" t="inlineStr">
        <is>
          <t>701+</t>
        </is>
      </c>
      <c r="R760" t="n">
        <v>5.2</v>
      </c>
      <c r="S760" t="inlineStr">
        <is>
          <t>701+</t>
        </is>
      </c>
      <c r="T760" t="n">
        <v>5</v>
      </c>
      <c r="U760" t="inlineStr">
        <is>
          <t>801+</t>
        </is>
      </c>
      <c r="V760" t="n">
        <v>53</v>
      </c>
      <c r="W760" t="inlineStr">
        <is>
          <t>355</t>
        </is>
      </c>
      <c r="X760" t="n">
        <v>8.800000000000001</v>
      </c>
      <c r="Y760" t="inlineStr">
        <is>
          <t>801+</t>
        </is>
      </c>
      <c r="Z760" t="n">
        <v>10</v>
      </c>
      <c r="AA760" t="inlineStr">
        <is>
          <t>801+</t>
        </is>
      </c>
      <c r="AB760" t="n">
        <v>13.9</v>
      </c>
      <c r="AC760" t="inlineStr">
        <is>
          <t>801+</t>
        </is>
      </c>
      <c r="AD760" t="n">
        <v>71.5</v>
      </c>
      <c r="AE760" t="inlineStr">
        <is>
          <t>507</t>
        </is>
      </c>
      <c r="AF760" t="n">
        <v>5.2</v>
      </c>
      <c r="AG760" t="inlineStr">
        <is>
          <t>801+</t>
        </is>
      </c>
      <c r="AH760" t="n">
        <v>49.3</v>
      </c>
      <c r="AI760" t="inlineStr">
        <is>
          <t>725=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</row>
    <row r="761">
      <c r="A761" t="inlineStr">
        <is>
          <t>Peter the Great St.Petersburg Polytechnic University</t>
        </is>
      </c>
      <c r="B761" t="inlineStr">
        <is>
          <t>Russia</t>
        </is>
      </c>
      <c r="C761" t="inlineStr">
        <is>
          <t>RU</t>
        </is>
      </c>
      <c r="D761" t="inlineStr">
        <is>
          <t>Europe</t>
        </is>
      </c>
      <c r="E761" t="inlineStr">
        <is>
          <t>L</t>
        </is>
      </c>
      <c r="F761" t="inlineStr">
        <is>
          <t>CO</t>
        </is>
      </c>
      <c r="G761" t="inlineStr">
        <is>
          <t>VH</t>
        </is>
      </c>
      <c r="H761" t="inlineStr">
        <is>
          <t>5</t>
        </is>
      </c>
      <c r="I761" t="inlineStr">
        <is>
          <t>Public</t>
        </is>
      </c>
      <c r="J761" t="inlineStr">
        <is>
          <t>609</t>
        </is>
      </c>
      <c r="K761" t="inlineStr">
        <is>
          <t>559</t>
        </is>
      </c>
      <c r="L761">
        <f>534</f>
        <v/>
      </c>
      <c r="M761" t="inlineStr">
        <is>
          <t>382=</t>
        </is>
      </c>
      <c r="N761" t="inlineStr">
        <is>
          <t>27.9</t>
        </is>
      </c>
      <c r="O761" t="inlineStr">
        <is>
          <t>22.0</t>
        </is>
      </c>
      <c r="P761" t="n">
        <v>18</v>
      </c>
      <c r="Q761" t="inlineStr">
        <is>
          <t>679</t>
        </is>
      </c>
      <c r="R761" t="n">
        <v>17.8</v>
      </c>
      <c r="S761" t="inlineStr">
        <is>
          <t>701+</t>
        </is>
      </c>
      <c r="T761" t="n">
        <v>79.8</v>
      </c>
      <c r="U761" t="inlineStr">
        <is>
          <t>169</t>
        </is>
      </c>
      <c r="V761" t="n">
        <v>4.9</v>
      </c>
      <c r="W761" t="inlineStr">
        <is>
          <t>801+</t>
        </is>
      </c>
      <c r="X761" t="n">
        <v>18.9</v>
      </c>
      <c r="Y761" t="inlineStr">
        <is>
          <t>730</t>
        </is>
      </c>
      <c r="Z761" t="n">
        <v>89.8</v>
      </c>
      <c r="AA761" t="inlineStr">
        <is>
          <t>167</t>
        </is>
      </c>
      <c r="AB761" t="n">
        <v>90.7</v>
      </c>
      <c r="AC761" t="inlineStr">
        <is>
          <t>142</t>
        </is>
      </c>
      <c r="AD761" t="n">
        <v>70.40000000000001</v>
      </c>
      <c r="AE761" t="inlineStr">
        <is>
          <t>522</t>
        </is>
      </c>
      <c r="AF761" t="n">
        <v>11.1</v>
      </c>
      <c r="AG761" t="inlineStr">
        <is>
          <t>801+</t>
        </is>
      </c>
      <c r="AH761" t="n">
        <v>51.6</v>
      </c>
      <c r="AI761" t="inlineStr">
        <is>
          <t>669=</t>
        </is>
      </c>
      <c r="AJ761" t="inlineStr">
        <is>
          <t>16.7</t>
        </is>
      </c>
      <c r="AK761" t="inlineStr">
        <is>
          <t>529</t>
        </is>
      </c>
      <c r="AL761" t="inlineStr">
        <is>
          <t>9.0</t>
        </is>
      </c>
      <c r="AM761" t="inlineStr">
        <is>
          <t>601+</t>
        </is>
      </c>
      <c r="AN761" t="inlineStr">
        <is>
          <t>77.6</t>
        </is>
      </c>
      <c r="AO761" t="inlineStr">
        <is>
          <t>148</t>
        </is>
      </c>
      <c r="AP761" t="inlineStr">
        <is>
          <t>3.0</t>
        </is>
      </c>
      <c r="AQ761" t="inlineStr">
        <is>
          <t>701+</t>
        </is>
      </c>
      <c r="AR761" t="inlineStr">
        <is>
          <t>15.0</t>
        </is>
      </c>
      <c r="AS761" t="inlineStr">
        <is>
          <t>669</t>
        </is>
      </c>
      <c r="AT761" t="inlineStr">
        <is>
          <t>87.6</t>
        </is>
      </c>
      <c r="AU761" t="inlineStr">
        <is>
          <t>131</t>
        </is>
      </c>
      <c r="AV761" t="inlineStr">
        <is>
          <t>21.9</t>
        </is>
      </c>
      <c r="AW761" t="inlineStr">
        <is>
          <t>528</t>
        </is>
      </c>
      <c r="AX761" t="inlineStr">
        <is>
          <t>4.3</t>
        </is>
      </c>
      <c r="AY761" t="inlineStr">
        <is>
          <t>701+</t>
        </is>
      </c>
      <c r="AZ761" t="inlineStr">
        <is>
          <t>18.2</t>
        </is>
      </c>
      <c r="BA761" t="inlineStr">
        <is>
          <t>564=</t>
        </is>
      </c>
    </row>
    <row r="762">
      <c r="A762" t="inlineStr">
        <is>
          <t>Petra Christian University</t>
        </is>
      </c>
      <c r="B762" t="inlineStr">
        <is>
          <t>Indonesia</t>
        </is>
      </c>
      <c r="C762" t="inlineStr"/>
      <c r="D762" t="inlineStr">
        <is>
          <t>Asia</t>
        </is>
      </c>
      <c r="E762" t="inlineStr">
        <is>
          <t>M</t>
        </is>
      </c>
      <c r="F762" t="inlineStr">
        <is>
          <t>FO</t>
        </is>
      </c>
      <c r="G762" t="inlineStr">
        <is>
          <t>HI</t>
        </is>
      </c>
      <c r="H762" t="inlineStr"/>
      <c r="I762" t="inlineStr">
        <is>
          <t>Private for Profit</t>
        </is>
      </c>
      <c r="J762" t="inlineStr">
        <is>
          <t>1401+</t>
        </is>
      </c>
      <c r="K762" t="inlineStr">
        <is>
          <t>1401+</t>
        </is>
      </c>
      <c r="L762" t="inlineStr"/>
      <c r="M762" t="inlineStr"/>
      <c r="N762" t="inlineStr">
        <is>
          <t>-</t>
        </is>
      </c>
      <c r="O762" t="inlineStr"/>
      <c r="P762" t="n">
        <v>11.7</v>
      </c>
      <c r="Q762" t="inlineStr">
        <is>
          <t>701+</t>
        </is>
      </c>
      <c r="R762" t="n">
        <v>8.699999999999999</v>
      </c>
      <c r="S762" t="inlineStr">
        <is>
          <t>701+</t>
        </is>
      </c>
      <c r="T762" t="n">
        <v>12.5</v>
      </c>
      <c r="U762" t="inlineStr">
        <is>
          <t>801+</t>
        </is>
      </c>
      <c r="V762" t="n">
        <v>2.6</v>
      </c>
      <c r="W762" t="inlineStr">
        <is>
          <t>801+</t>
        </is>
      </c>
      <c r="X762" t="n">
        <v>7.6</v>
      </c>
      <c r="Y762" t="inlineStr">
        <is>
          <t>801+</t>
        </is>
      </c>
      <c r="Z762" t="n">
        <v>1.2</v>
      </c>
      <c r="AA762" t="inlineStr">
        <is>
          <t>801+</t>
        </is>
      </c>
      <c r="AB762" t="n">
        <v>5.6</v>
      </c>
      <c r="AC762" t="inlineStr">
        <is>
          <t>801+</t>
        </is>
      </c>
      <c r="AD762" t="n">
        <v>6.7</v>
      </c>
      <c r="AE762" t="inlineStr">
        <is>
          <t>801+</t>
        </is>
      </c>
      <c r="AF762" t="n">
        <v>2.9</v>
      </c>
      <c r="AG762" t="inlineStr">
        <is>
          <t>801+</t>
        </is>
      </c>
      <c r="AH762" t="n">
        <v>28.7</v>
      </c>
      <c r="AI762" t="inlineStr">
        <is>
          <t>801+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</row>
    <row r="763">
      <c r="A763" t="inlineStr">
        <is>
          <t>Philipps-Universität Marburg</t>
        </is>
      </c>
      <c r="B763" t="inlineStr">
        <is>
          <t>Germany</t>
        </is>
      </c>
      <c r="C763" t="inlineStr">
        <is>
          <t>DE</t>
        </is>
      </c>
      <c r="D763" t="inlineStr">
        <is>
          <t>Europe</t>
        </is>
      </c>
      <c r="E763" t="inlineStr">
        <is>
          <t>L</t>
        </is>
      </c>
      <c r="F763" t="inlineStr">
        <is>
          <t>FC</t>
        </is>
      </c>
      <c r="G763" t="inlineStr">
        <is>
          <t>VH</t>
        </is>
      </c>
      <c r="H763" t="inlineStr">
        <is>
          <t>5</t>
        </is>
      </c>
      <c r="I763" t="inlineStr">
        <is>
          <t>Public</t>
        </is>
      </c>
      <c r="J763" t="inlineStr">
        <is>
          <t>771-780</t>
        </is>
      </c>
      <c r="K763" t="inlineStr">
        <is>
          <t>801-850</t>
        </is>
      </c>
      <c r="L763" t="inlineStr">
        <is>
          <t>761-770</t>
        </is>
      </c>
      <c r="M763" t="inlineStr">
        <is>
          <t>751-800</t>
        </is>
      </c>
      <c r="N763" t="inlineStr">
        <is>
          <t>-</t>
        </is>
      </c>
      <c r="O763" t="inlineStr">
        <is>
          <t>-</t>
        </is>
      </c>
      <c r="P763" t="n">
        <v>16.3</v>
      </c>
      <c r="Q763" t="inlineStr">
        <is>
          <t>701+</t>
        </is>
      </c>
      <c r="R763" t="n">
        <v>15.1</v>
      </c>
      <c r="S763" t="inlineStr">
        <is>
          <t>701+</t>
        </is>
      </c>
      <c r="T763" t="n">
        <v>7.4</v>
      </c>
      <c r="U763" t="inlineStr">
        <is>
          <t>801+</t>
        </is>
      </c>
      <c r="V763" t="n">
        <v>39.6</v>
      </c>
      <c r="W763" t="inlineStr">
        <is>
          <t>475</t>
        </is>
      </c>
      <c r="X763" t="n">
        <v>19</v>
      </c>
      <c r="Y763" t="inlineStr">
        <is>
          <t>727</t>
        </is>
      </c>
      <c r="Z763" t="n">
        <v>31.9</v>
      </c>
      <c r="AA763" t="inlineStr">
        <is>
          <t>568</t>
        </is>
      </c>
      <c r="AB763" t="n">
        <v>23.9</v>
      </c>
      <c r="AC763" t="inlineStr">
        <is>
          <t>705</t>
        </is>
      </c>
      <c r="AD763" t="n">
        <v>65.90000000000001</v>
      </c>
      <c r="AE763" t="inlineStr">
        <is>
          <t>612</t>
        </is>
      </c>
      <c r="AF763" t="n">
        <v>8.9</v>
      </c>
      <c r="AG763" t="inlineStr">
        <is>
          <t>801+</t>
        </is>
      </c>
      <c r="AH763" t="n">
        <v>47.6</v>
      </c>
      <c r="AI763" t="inlineStr">
        <is>
          <t>770=</t>
        </is>
      </c>
      <c r="AJ763" t="inlineStr">
        <is>
          <t>14.0</t>
        </is>
      </c>
      <c r="AK763" t="inlineStr">
        <is>
          <t>601+</t>
        </is>
      </c>
      <c r="AL763" t="inlineStr">
        <is>
          <t>7.5</t>
        </is>
      </c>
      <c r="AM763" t="inlineStr">
        <is>
          <t>601+</t>
        </is>
      </c>
      <c r="AN763" t="inlineStr">
        <is>
          <t>5.5</t>
        </is>
      </c>
      <c r="AO763" t="inlineStr">
        <is>
          <t>701+</t>
        </is>
      </c>
      <c r="AP763" t="inlineStr">
        <is>
          <t>31.1</t>
        </is>
      </c>
      <c r="AQ763" t="inlineStr">
        <is>
          <t>428</t>
        </is>
      </c>
      <c r="AR763" t="inlineStr">
        <is>
          <t>16.8</t>
        </is>
      </c>
      <c r="AS763" t="inlineStr">
        <is>
          <t>638</t>
        </is>
      </c>
      <c r="AT763" t="inlineStr">
        <is>
          <t>22.6</t>
        </is>
      </c>
      <c r="AU763" t="inlineStr">
        <is>
          <t>504</t>
        </is>
      </c>
      <c r="AV763" t="inlineStr">
        <is>
          <t>16.2</t>
        </is>
      </c>
      <c r="AW763" t="inlineStr">
        <is>
          <t>583</t>
        </is>
      </c>
      <c r="AX763" t="inlineStr">
        <is>
          <t>9.1</t>
        </is>
      </c>
      <c r="AY763" t="inlineStr">
        <is>
          <t>701+</t>
        </is>
      </c>
      <c r="AZ763" t="inlineStr">
        <is>
          <t>6.1</t>
        </is>
      </c>
      <c r="BA763" t="inlineStr">
        <is>
          <t>701+</t>
        </is>
      </c>
    </row>
    <row r="764">
      <c r="A764" t="inlineStr">
        <is>
          <t>Plekhanov Russian University of Economics</t>
        </is>
      </c>
      <c r="B764" t="inlineStr">
        <is>
          <t>Russia</t>
        </is>
      </c>
      <c r="C764" t="inlineStr">
        <is>
          <t>RU</t>
        </is>
      </c>
      <c r="D764" t="inlineStr">
        <is>
          <t>Europe</t>
        </is>
      </c>
      <c r="E764" t="inlineStr">
        <is>
          <t>L</t>
        </is>
      </c>
      <c r="F764" t="inlineStr">
        <is>
          <t>FO</t>
        </is>
      </c>
      <c r="G764" t="inlineStr">
        <is>
          <t>VH</t>
        </is>
      </c>
      <c r="H764" t="inlineStr">
        <is>
          <t>5</t>
        </is>
      </c>
      <c r="I764" t="inlineStr">
        <is>
          <t>Public</t>
        </is>
      </c>
      <c r="J764" t="inlineStr">
        <is>
          <t>741-750</t>
        </is>
      </c>
      <c r="K764" t="inlineStr">
        <is>
          <t>711-720</t>
        </is>
      </c>
      <c r="L764" t="inlineStr">
        <is>
          <t>791-800</t>
        </is>
      </c>
      <c r="M764" t="inlineStr">
        <is>
          <t>651-700</t>
        </is>
      </c>
      <c r="N764" t="inlineStr">
        <is>
          <t>-</t>
        </is>
      </c>
      <c r="O764" t="inlineStr">
        <is>
          <t>-</t>
        </is>
      </c>
      <c r="P764" t="n">
        <v>15.5</v>
      </c>
      <c r="Q764" t="inlineStr">
        <is>
          <t>701+</t>
        </is>
      </c>
      <c r="R764" t="n">
        <v>30.1</v>
      </c>
      <c r="S764" t="inlineStr">
        <is>
          <t>474</t>
        </is>
      </c>
      <c r="T764" t="n">
        <v>57.8</v>
      </c>
      <c r="U764" t="inlineStr">
        <is>
          <t>314</t>
        </is>
      </c>
      <c r="V764" t="n">
        <v>3.3</v>
      </c>
      <c r="W764" t="inlineStr">
        <is>
          <t>801+</t>
        </is>
      </c>
      <c r="X764" t="n">
        <v>4.1</v>
      </c>
      <c r="Y764" t="inlineStr">
        <is>
          <t>801+</t>
        </is>
      </c>
      <c r="Z764" t="n">
        <v>26.7</v>
      </c>
      <c r="AA764" t="inlineStr">
        <is>
          <t>636</t>
        </is>
      </c>
      <c r="AB764" t="n">
        <v>31.7</v>
      </c>
      <c r="AC764" t="inlineStr">
        <is>
          <t>595</t>
        </is>
      </c>
      <c r="AD764" t="n">
        <v>61.2</v>
      </c>
      <c r="AE764" t="inlineStr">
        <is>
          <t>674</t>
        </is>
      </c>
      <c r="AF764" t="n">
        <v>55.2</v>
      </c>
      <c r="AG764" t="inlineStr">
        <is>
          <t>300</t>
        </is>
      </c>
      <c r="AH764" t="n">
        <v>42.4</v>
      </c>
      <c r="AI764" t="inlineStr">
        <is>
          <t>801+</t>
        </is>
      </c>
      <c r="AJ764" t="inlineStr">
        <is>
          <t>12.6</t>
        </is>
      </c>
      <c r="AK764" t="inlineStr">
        <is>
          <t>601+</t>
        </is>
      </c>
      <c r="AL764" t="inlineStr">
        <is>
          <t>14.3</t>
        </is>
      </c>
      <c r="AM764" t="inlineStr">
        <is>
          <t>574</t>
        </is>
      </c>
      <c r="AN764" t="inlineStr">
        <is>
          <t>49.6</t>
        </is>
      </c>
      <c r="AO764" t="inlineStr">
        <is>
          <t>312</t>
        </is>
      </c>
      <c r="AP764" t="inlineStr">
        <is>
          <t>2.8</t>
        </is>
      </c>
      <c r="AQ764" t="inlineStr">
        <is>
          <t>701+</t>
        </is>
      </c>
      <c r="AR764" t="inlineStr">
        <is>
          <t>6.0</t>
        </is>
      </c>
      <c r="AS764" t="inlineStr">
        <is>
          <t>701+</t>
        </is>
      </c>
      <c r="AT764" t="inlineStr">
        <is>
          <t>21.2</t>
        </is>
      </c>
      <c r="AU764" t="inlineStr">
        <is>
          <t>530</t>
        </is>
      </c>
      <c r="AV764" t="inlineStr">
        <is>
          <t>5.8</t>
        </is>
      </c>
      <c r="AW764" t="inlineStr">
        <is>
          <t>701+</t>
        </is>
      </c>
      <c r="AX764" t="inlineStr">
        <is>
          <t>30.1</t>
        </is>
      </c>
      <c r="AY764" t="inlineStr">
        <is>
          <t>258</t>
        </is>
      </c>
      <c r="AZ764" t="inlineStr">
        <is>
          <t>7.5</t>
        </is>
      </c>
      <c r="BA764" t="inlineStr">
        <is>
          <t>701+</t>
        </is>
      </c>
    </row>
    <row r="765">
      <c r="A765" t="inlineStr">
        <is>
          <t>Pohang University of Science And Technology (POSTECH)</t>
        </is>
      </c>
      <c r="B765" t="inlineStr">
        <is>
          <t>Republic of Korea</t>
        </is>
      </c>
      <c r="C765" t="inlineStr"/>
      <c r="D765" t="inlineStr">
        <is>
          <t>Asia</t>
        </is>
      </c>
      <c r="E765" t="inlineStr">
        <is>
          <t>S</t>
        </is>
      </c>
      <c r="F765" t="inlineStr">
        <is>
          <t>FO</t>
        </is>
      </c>
      <c r="G765" t="inlineStr">
        <is>
          <t>VH</t>
        </is>
      </c>
      <c r="H765" t="inlineStr"/>
      <c r="I765" t="inlineStr">
        <is>
          <t>Private not for Profit</t>
        </is>
      </c>
      <c r="J765" t="inlineStr">
        <is>
          <t>102</t>
        </is>
      </c>
      <c r="K765" t="inlineStr">
        <is>
          <t>98</t>
        </is>
      </c>
      <c r="L765" t="inlineStr"/>
      <c r="M765" t="inlineStr"/>
      <c r="N765" t="inlineStr">
        <is>
          <t>67.9</t>
        </is>
      </c>
      <c r="O765" t="inlineStr"/>
      <c r="P765" t="n">
        <v>61.3</v>
      </c>
      <c r="Q765" t="inlineStr">
        <is>
          <t>166</t>
        </is>
      </c>
      <c r="R765" t="n">
        <v>83.3</v>
      </c>
      <c r="S765" t="inlineStr">
        <is>
          <t>94</t>
        </is>
      </c>
      <c r="T765" t="n">
        <v>99.90000000000001</v>
      </c>
      <c r="U765" t="inlineStr">
        <is>
          <t>27</t>
        </is>
      </c>
      <c r="V765" t="n">
        <v>98.3</v>
      </c>
      <c r="W765" t="inlineStr">
        <is>
          <t>45</t>
        </is>
      </c>
      <c r="X765" t="n">
        <v>31.6</v>
      </c>
      <c r="Y765" t="inlineStr">
        <is>
          <t>568</t>
        </is>
      </c>
      <c r="Z765" t="n">
        <v>4.2</v>
      </c>
      <c r="AA765" t="inlineStr">
        <is>
          <t>801+</t>
        </is>
      </c>
      <c r="AB765" t="n">
        <v>8.300000000000001</v>
      </c>
      <c r="AC765" t="inlineStr">
        <is>
          <t>801+</t>
        </is>
      </c>
      <c r="AD765" t="n">
        <v>29.6</v>
      </c>
      <c r="AE765" t="inlineStr">
        <is>
          <t>801+</t>
        </is>
      </c>
      <c r="AF765" t="n">
        <v>16</v>
      </c>
      <c r="AG765" t="inlineStr">
        <is>
          <t>801+</t>
        </is>
      </c>
      <c r="AH765" t="n">
        <v>64.3</v>
      </c>
      <c r="AI765" t="inlineStr">
        <is>
          <t>415=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</row>
    <row r="766">
      <c r="A766" t="inlineStr">
        <is>
          <t>Pohang University of Science And Technology (POSTECH)</t>
        </is>
      </c>
      <c r="B766" t="inlineStr">
        <is>
          <t>South Korea</t>
        </is>
      </c>
      <c r="C766" t="inlineStr">
        <is>
          <t>KR</t>
        </is>
      </c>
      <c r="D766" t="inlineStr"/>
      <c r="E766" t="inlineStr">
        <is>
          <t>S</t>
        </is>
      </c>
      <c r="F766" t="inlineStr">
        <is>
          <t>FO</t>
        </is>
      </c>
      <c r="G766" t="inlineStr">
        <is>
          <t>VH</t>
        </is>
      </c>
      <c r="H766" t="inlineStr">
        <is>
          <t>3</t>
        </is>
      </c>
      <c r="I766" t="inlineStr">
        <is>
          <t>B</t>
        </is>
      </c>
      <c r="J766" t="inlineStr"/>
      <c r="K766" t="inlineStr"/>
      <c r="L766">
        <f>100</f>
        <v/>
      </c>
      <c r="M766" t="inlineStr">
        <is>
          <t>71</t>
        </is>
      </c>
      <c r="N766" t="inlineStr"/>
      <c r="O766" t="inlineStr">
        <is>
          <t>60.4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51.6</t>
        </is>
      </c>
      <c r="AK766" t="inlineStr">
        <is>
          <t>153</t>
        </is>
      </c>
      <c r="AL766" t="inlineStr">
        <is>
          <t>75.9</t>
        </is>
      </c>
      <c r="AM766" t="inlineStr">
        <is>
          <t>79</t>
        </is>
      </c>
      <c r="AN766" t="inlineStr">
        <is>
          <t>99.9</t>
        </is>
      </c>
      <c r="AO766" t="inlineStr">
        <is>
          <t>21</t>
        </is>
      </c>
      <c r="AP766" t="inlineStr">
        <is>
          <t>98.3</t>
        </is>
      </c>
      <c r="AQ766" t="inlineStr">
        <is>
          <t>29</t>
        </is>
      </c>
      <c r="AR766" t="inlineStr">
        <is>
          <t>33.8</t>
        </is>
      </c>
      <c r="AS766" t="inlineStr">
        <is>
          <t>464</t>
        </is>
      </c>
      <c r="AT766" t="inlineStr">
        <is>
          <t>2.6</t>
        </is>
      </c>
      <c r="AU766" t="inlineStr">
        <is>
          <t>701+</t>
        </is>
      </c>
      <c r="AV766" t="inlineStr">
        <is>
          <t>1.3</t>
        </is>
      </c>
      <c r="AW766" t="inlineStr">
        <is>
          <t>701+</t>
        </is>
      </c>
      <c r="AX766" t="inlineStr">
        <is>
          <t>13.4</t>
        </is>
      </c>
      <c r="AY766" t="inlineStr">
        <is>
          <t>637</t>
        </is>
      </c>
      <c r="AZ766" t="inlineStr">
        <is>
          <t>16.9</t>
        </is>
      </c>
      <c r="BA766" t="inlineStr">
        <is>
          <t>581=</t>
        </is>
      </c>
    </row>
    <row r="767">
      <c r="A767" t="inlineStr">
        <is>
          <t>Politecnico di Bari</t>
        </is>
      </c>
      <c r="B767" t="inlineStr">
        <is>
          <t>Italy</t>
        </is>
      </c>
      <c r="C767" t="inlineStr">
        <is>
          <t>IT</t>
        </is>
      </c>
      <c r="D767" t="inlineStr">
        <is>
          <t>Europe</t>
        </is>
      </c>
      <c r="E767" t="inlineStr">
        <is>
          <t>M</t>
        </is>
      </c>
      <c r="F767" t="inlineStr">
        <is>
          <t>SP</t>
        </is>
      </c>
      <c r="G767" t="inlineStr">
        <is>
          <t>VH</t>
        </is>
      </c>
      <c r="H767" t="inlineStr">
        <is>
          <t>3</t>
        </is>
      </c>
      <c r="I767" t="inlineStr">
        <is>
          <t>Public</t>
        </is>
      </c>
      <c r="J767" t="inlineStr">
        <is>
          <t>801-850</t>
        </is>
      </c>
      <c r="K767" t="inlineStr">
        <is>
          <t>580</t>
        </is>
      </c>
      <c r="L767">
        <f>556</f>
        <v/>
      </c>
      <c r="M767" t="inlineStr">
        <is>
          <t>591-600</t>
        </is>
      </c>
      <c r="N767" t="inlineStr">
        <is>
          <t>-</t>
        </is>
      </c>
      <c r="O767" t="inlineStr">
        <is>
          <t>21.1</t>
        </is>
      </c>
      <c r="P767" t="n">
        <v>9.800000000000001</v>
      </c>
      <c r="Q767" t="inlineStr">
        <is>
          <t>701+</t>
        </is>
      </c>
      <c r="R767" t="n">
        <v>9</v>
      </c>
      <c r="S767" t="inlineStr">
        <is>
          <t>701+</t>
        </is>
      </c>
      <c r="T767" t="n">
        <v>13.1</v>
      </c>
      <c r="U767" t="inlineStr">
        <is>
          <t>801+</t>
        </is>
      </c>
      <c r="V767" t="n">
        <v>64.7</v>
      </c>
      <c r="W767" t="inlineStr">
        <is>
          <t>251</t>
        </is>
      </c>
      <c r="X767" t="n">
        <v>6.3</v>
      </c>
      <c r="Y767" t="inlineStr">
        <is>
          <t>801+</t>
        </is>
      </c>
      <c r="Z767" t="n">
        <v>13.1</v>
      </c>
      <c r="AA767" t="inlineStr">
        <is>
          <t>801+</t>
        </is>
      </c>
      <c r="AB767" t="n">
        <v>10</v>
      </c>
      <c r="AC767" t="inlineStr">
        <is>
          <t>801+</t>
        </is>
      </c>
      <c r="AD767" t="n">
        <v>47.6</v>
      </c>
      <c r="AE767" t="inlineStr">
        <is>
          <t>801+</t>
        </is>
      </c>
      <c r="AF767" t="n">
        <v>3.7</v>
      </c>
      <c r="AG767" t="inlineStr">
        <is>
          <t>801+</t>
        </is>
      </c>
      <c r="AH767" t="n">
        <v>27.4</v>
      </c>
      <c r="AI767" t="inlineStr">
        <is>
          <t>801+</t>
        </is>
      </c>
      <c r="AJ767" t="inlineStr">
        <is>
          <t>6.5</t>
        </is>
      </c>
      <c r="AK767" t="inlineStr">
        <is>
          <t>601+</t>
        </is>
      </c>
      <c r="AL767" t="inlineStr">
        <is>
          <t>4.6</t>
        </is>
      </c>
      <c r="AM767" t="inlineStr">
        <is>
          <t>601+</t>
        </is>
      </c>
      <c r="AN767" t="inlineStr">
        <is>
          <t>15.6</t>
        </is>
      </c>
      <c r="AO767" t="inlineStr">
        <is>
          <t>701+</t>
        </is>
      </c>
      <c r="AP767" t="inlineStr">
        <is>
          <t>79.3</t>
        </is>
      </c>
      <c r="AQ767" t="inlineStr">
        <is>
          <t>114</t>
        </is>
      </c>
      <c r="AR767" t="inlineStr">
        <is>
          <t>5.0</t>
        </is>
      </c>
      <c r="AS767" t="inlineStr">
        <is>
          <t>701+</t>
        </is>
      </c>
      <c r="AT767" t="inlineStr">
        <is>
          <t>7.9</t>
        </is>
      </c>
      <c r="AU767" t="inlineStr">
        <is>
          <t>701+</t>
        </is>
      </c>
      <c r="AV767" t="inlineStr">
        <is>
          <t>4.1</t>
        </is>
      </c>
      <c r="AW767" t="inlineStr">
        <is>
          <t>701+</t>
        </is>
      </c>
      <c r="AX767" t="inlineStr">
        <is>
          <t>5.5</t>
        </is>
      </c>
      <c r="AY767" t="inlineStr">
        <is>
          <t>701+</t>
        </is>
      </c>
      <c r="AZ767" t="inlineStr">
        <is>
          <t>1.1</t>
        </is>
      </c>
      <c r="BA767" t="inlineStr">
        <is>
          <t>701+</t>
        </is>
      </c>
    </row>
    <row r="768">
      <c r="A768" t="inlineStr">
        <is>
          <t>Politecnico di Milano</t>
        </is>
      </c>
      <c r="B768" t="inlineStr">
        <is>
          <t>Italy</t>
        </is>
      </c>
      <c r="C768" t="inlineStr">
        <is>
          <t>IT</t>
        </is>
      </c>
      <c r="D768" t="inlineStr">
        <is>
          <t>Europe</t>
        </is>
      </c>
      <c r="E768" t="inlineStr">
        <is>
          <t>XL</t>
        </is>
      </c>
      <c r="F768" t="inlineStr">
        <is>
          <t>CO</t>
        </is>
      </c>
      <c r="G768" t="inlineStr">
        <is>
          <t>VH</t>
        </is>
      </c>
      <c r="H768" t="inlineStr">
        <is>
          <t>5</t>
        </is>
      </c>
      <c r="I768" t="inlineStr">
        <is>
          <t>Public</t>
        </is>
      </c>
      <c r="J768" t="inlineStr">
        <is>
          <t>98</t>
        </is>
      </c>
      <c r="K768" t="inlineStr">
        <is>
          <t>111</t>
        </is>
      </c>
      <c r="L768" t="inlineStr">
        <is>
          <t>123</t>
        </is>
      </c>
      <c r="M768" t="inlineStr">
        <is>
          <t>139</t>
        </is>
      </c>
      <c r="N768" t="inlineStr">
        <is>
          <t>69.1</t>
        </is>
      </c>
      <c r="O768" t="inlineStr">
        <is>
          <t>55.2</t>
        </is>
      </c>
      <c r="P768" t="n">
        <v>83.40000000000001</v>
      </c>
      <c r="Q768" t="inlineStr">
        <is>
          <t>84</t>
        </is>
      </c>
      <c r="R768" t="n">
        <v>90.09999999999999</v>
      </c>
      <c r="S768" t="inlineStr">
        <is>
          <t>72</t>
        </is>
      </c>
      <c r="T768" t="n">
        <v>9.300000000000001</v>
      </c>
      <c r="U768" t="inlineStr">
        <is>
          <t>801+</t>
        </is>
      </c>
      <c r="V768" t="n">
        <v>53.9</v>
      </c>
      <c r="W768" t="inlineStr">
        <is>
          <t>343</t>
        </is>
      </c>
      <c r="X768" t="n">
        <v>74.40000000000001</v>
      </c>
      <c r="Y768" t="inlineStr">
        <is>
          <t>317</t>
        </is>
      </c>
      <c r="Z768" t="n">
        <v>69.3</v>
      </c>
      <c r="AA768" t="inlineStr">
        <is>
          <t>281</t>
        </is>
      </c>
      <c r="AB768" t="n">
        <v>72.3</v>
      </c>
      <c r="AC768" t="inlineStr">
        <is>
          <t>252</t>
        </is>
      </c>
      <c r="AD768" t="n">
        <v>87</v>
      </c>
      <c r="AE768" t="inlineStr">
        <is>
          <t>215</t>
        </is>
      </c>
      <c r="AF768" t="n">
        <v>72</v>
      </c>
      <c r="AG768" t="inlineStr">
        <is>
          <t>199</t>
        </is>
      </c>
      <c r="AH768" t="n">
        <v>72.90000000000001</v>
      </c>
      <c r="AI768" t="inlineStr">
        <is>
          <t>275=</t>
        </is>
      </c>
      <c r="AJ768" t="inlineStr">
        <is>
          <t>69.3</t>
        </is>
      </c>
      <c r="AK768" t="inlineStr">
        <is>
          <t>94</t>
        </is>
      </c>
      <c r="AL768" t="inlineStr">
        <is>
          <t>71.2</t>
        </is>
      </c>
      <c r="AM768" t="inlineStr">
        <is>
          <t>99</t>
        </is>
      </c>
      <c r="AN768" t="inlineStr">
        <is>
          <t>5.2</t>
        </is>
      </c>
      <c r="AO768" t="inlineStr">
        <is>
          <t>701+</t>
        </is>
      </c>
      <c r="AP768" t="inlineStr">
        <is>
          <t>48.3</t>
        </is>
      </c>
      <c r="AQ768" t="inlineStr">
        <is>
          <t>282</t>
        </is>
      </c>
      <c r="AR768" t="inlineStr">
        <is>
          <t>63.8</t>
        </is>
      </c>
      <c r="AS768" t="inlineStr">
        <is>
          <t>302</t>
        </is>
      </c>
      <c r="AT768" t="inlineStr">
        <is>
          <t>56.6</t>
        </is>
      </c>
      <c r="AU768" t="inlineStr">
        <is>
          <t>262</t>
        </is>
      </c>
      <c r="AV768" t="inlineStr">
        <is>
          <t>75.1</t>
        </is>
      </c>
      <c r="AW768" t="inlineStr">
        <is>
          <t>173</t>
        </is>
      </c>
      <c r="AX768" t="inlineStr">
        <is>
          <t>36.9</t>
        </is>
      </c>
      <c r="AY768" t="inlineStr">
        <is>
          <t>201</t>
        </is>
      </c>
      <c r="AZ768" t="inlineStr">
        <is>
          <t>29.4</t>
        </is>
      </c>
      <c r="BA768" t="inlineStr">
        <is>
          <t>453=</t>
        </is>
      </c>
    </row>
    <row r="769">
      <c r="A769" t="inlineStr">
        <is>
          <t>Politecnico di Torino</t>
        </is>
      </c>
      <c r="B769" t="inlineStr">
        <is>
          <t>Italy</t>
        </is>
      </c>
      <c r="C769" t="inlineStr">
        <is>
          <t>IT</t>
        </is>
      </c>
      <c r="D769" t="inlineStr">
        <is>
          <t>Europe</t>
        </is>
      </c>
      <c r="E769" t="inlineStr">
        <is>
          <t>XL</t>
        </is>
      </c>
      <c r="F769" t="inlineStr">
        <is>
          <t>FO</t>
        </is>
      </c>
      <c r="G769" t="inlineStr">
        <is>
          <t>VH</t>
        </is>
      </c>
      <c r="H769" t="inlineStr">
        <is>
          <t>5</t>
        </is>
      </c>
      <c r="I769" t="inlineStr">
        <is>
          <t>Public</t>
        </is>
      </c>
      <c r="J769" t="inlineStr">
        <is>
          <t>242</t>
        </is>
      </c>
      <c r="K769" t="inlineStr">
        <is>
          <t>241</t>
        </is>
      </c>
      <c r="L769" t="inlineStr">
        <is>
          <t>252</t>
        </is>
      </c>
      <c r="M769" t="inlineStr">
        <is>
          <t>325=</t>
        </is>
      </c>
      <c r="N769" t="inlineStr">
        <is>
          <t>51.2</t>
        </is>
      </c>
      <c r="O769" t="inlineStr">
        <is>
          <t>39.2</t>
        </is>
      </c>
      <c r="P769" t="n">
        <v>50.3</v>
      </c>
      <c r="Q769" t="inlineStr">
        <is>
          <t>223</t>
        </is>
      </c>
      <c r="R769" t="n">
        <v>64.59999999999999</v>
      </c>
      <c r="S769" t="inlineStr">
        <is>
          <t>164</t>
        </is>
      </c>
      <c r="T769" t="n">
        <v>4.5</v>
      </c>
      <c r="U769" t="inlineStr">
        <is>
          <t>801+</t>
        </is>
      </c>
      <c r="V769" t="n">
        <v>68.09999999999999</v>
      </c>
      <c r="W769" t="inlineStr">
        <is>
          <t>230</t>
        </is>
      </c>
      <c r="X769" t="n">
        <v>7.3</v>
      </c>
      <c r="Y769" t="inlineStr">
        <is>
          <t>801+</t>
        </is>
      </c>
      <c r="Z769" t="n">
        <v>57.9</v>
      </c>
      <c r="AA769" t="inlineStr">
        <is>
          <t>356</t>
        </is>
      </c>
      <c r="AB769" t="n">
        <v>61.9</v>
      </c>
      <c r="AC769" t="inlineStr">
        <is>
          <t>324</t>
        </is>
      </c>
      <c r="AD769" t="n">
        <v>79.09999999999999</v>
      </c>
      <c r="AE769" t="inlineStr">
        <is>
          <t>366</t>
        </is>
      </c>
      <c r="AF769" t="n">
        <v>37.8</v>
      </c>
      <c r="AG769" t="inlineStr">
        <is>
          <t>462</t>
        </is>
      </c>
      <c r="AH769" t="n">
        <v>73.59999999999999</v>
      </c>
      <c r="AI769" t="inlineStr">
        <is>
          <t>265=</t>
        </is>
      </c>
      <c r="AJ769" t="inlineStr">
        <is>
          <t>38.5</t>
        </is>
      </c>
      <c r="AK769" t="inlineStr">
        <is>
          <t>225</t>
        </is>
      </c>
      <c r="AL769" t="inlineStr">
        <is>
          <t>44.9</t>
        </is>
      </c>
      <c r="AM769" t="inlineStr">
        <is>
          <t>194</t>
        </is>
      </c>
      <c r="AN769" t="inlineStr">
        <is>
          <t>2.4</t>
        </is>
      </c>
      <c r="AO769" t="inlineStr">
        <is>
          <t>701+</t>
        </is>
      </c>
      <c r="AP769" t="inlineStr">
        <is>
          <t>57.9</t>
        </is>
      </c>
      <c r="AQ769" t="inlineStr">
        <is>
          <t>222</t>
        </is>
      </c>
      <c r="AR769" t="inlineStr">
        <is>
          <t>4.1</t>
        </is>
      </c>
      <c r="AS769" t="inlineStr">
        <is>
          <t>701+</t>
        </is>
      </c>
      <c r="AT769" t="inlineStr">
        <is>
          <t>46.7</t>
        </is>
      </c>
      <c r="AU769" t="inlineStr">
        <is>
          <t>313</t>
        </is>
      </c>
      <c r="AV769" t="inlineStr">
        <is>
          <t>49.9</t>
        </is>
      </c>
      <c r="AW769" t="inlineStr">
        <is>
          <t>313</t>
        </is>
      </c>
      <c r="AX769" t="inlineStr">
        <is>
          <t>21.3</t>
        </is>
      </c>
      <c r="AY769" t="inlineStr">
        <is>
          <t>391</t>
        </is>
      </c>
      <c r="AZ769" t="inlineStr">
        <is>
          <t>57.4</t>
        </is>
      </c>
      <c r="BA769" t="inlineStr">
        <is>
          <t>263=</t>
        </is>
      </c>
    </row>
    <row r="770">
      <c r="A770" t="inlineStr">
        <is>
          <t>Pondicherry University</t>
        </is>
      </c>
      <c r="B770" t="inlineStr">
        <is>
          <t>India</t>
        </is>
      </c>
      <c r="C770" t="inlineStr">
        <is>
          <t>IN</t>
        </is>
      </c>
      <c r="D770" t="inlineStr">
        <is>
          <t>Asia</t>
        </is>
      </c>
      <c r="E770" t="inlineStr">
        <is>
          <t>M</t>
        </is>
      </c>
      <c r="F770" t="inlineStr">
        <is>
          <t>CO</t>
        </is>
      </c>
      <c r="G770" t="inlineStr">
        <is>
          <t>VH</t>
        </is>
      </c>
      <c r="H770" t="inlineStr">
        <is>
          <t>3</t>
        </is>
      </c>
      <c r="I770" t="inlineStr">
        <is>
          <t>Public</t>
        </is>
      </c>
      <c r="J770" t="inlineStr">
        <is>
          <t>1201-1400</t>
        </is>
      </c>
      <c r="K770" t="inlineStr">
        <is>
          <t>1201-1400</t>
        </is>
      </c>
      <c r="L770" t="inlineStr">
        <is>
          <t>1201-1400</t>
        </is>
      </c>
      <c r="M770" t="inlineStr">
        <is>
          <t>801-1000</t>
        </is>
      </c>
      <c r="N770" t="inlineStr">
        <is>
          <t>-</t>
        </is>
      </c>
      <c r="O770" t="inlineStr">
        <is>
          <t>-</t>
        </is>
      </c>
      <c r="P770" t="n">
        <v>5.1</v>
      </c>
      <c r="Q770" t="inlineStr">
        <is>
          <t>701+</t>
        </is>
      </c>
      <c r="R770" t="n">
        <v>3.4</v>
      </c>
      <c r="S770" t="inlineStr">
        <is>
          <t>701+</t>
        </is>
      </c>
      <c r="T770" t="n">
        <v>7.4</v>
      </c>
      <c r="U770" t="inlineStr">
        <is>
          <t>801+</t>
        </is>
      </c>
      <c r="V770" t="n">
        <v>33.4</v>
      </c>
      <c r="W770" t="inlineStr">
        <is>
          <t>545</t>
        </is>
      </c>
      <c r="X770" t="n">
        <v>2.3</v>
      </c>
      <c r="Y770" t="inlineStr">
        <is>
          <t>801+</t>
        </is>
      </c>
      <c r="Z770" t="n">
        <v>1.6</v>
      </c>
      <c r="AA770" t="inlineStr">
        <is>
          <t>801+</t>
        </is>
      </c>
      <c r="AB770" t="n">
        <v>6</v>
      </c>
      <c r="AC770" t="inlineStr">
        <is>
          <t>801+</t>
        </is>
      </c>
      <c r="AD770" t="n">
        <v>34.7</v>
      </c>
      <c r="AE770" t="inlineStr">
        <is>
          <t>801+</t>
        </is>
      </c>
      <c r="AF770" t="n">
        <v>3.2</v>
      </c>
      <c r="AG770" t="inlineStr">
        <is>
          <t>801+</t>
        </is>
      </c>
      <c r="AH770" t="n">
        <v>47.1</v>
      </c>
      <c r="AI770" t="inlineStr">
        <is>
          <t>785=</t>
        </is>
      </c>
      <c r="AJ770" t="inlineStr">
        <is>
          <t>4.0</t>
        </is>
      </c>
      <c r="AK770" t="inlineStr">
        <is>
          <t>601+</t>
        </is>
      </c>
      <c r="AL770" t="inlineStr">
        <is>
          <t>1.9</t>
        </is>
      </c>
      <c r="AM770" t="inlineStr">
        <is>
          <t>601+</t>
        </is>
      </c>
      <c r="AN770" t="inlineStr">
        <is>
          <t>6.5</t>
        </is>
      </c>
      <c r="AO770" t="inlineStr">
        <is>
          <t>701+</t>
        </is>
      </c>
      <c r="AP770" t="inlineStr">
        <is>
          <t>12.2</t>
        </is>
      </c>
      <c r="AQ770" t="inlineStr">
        <is>
          <t>694</t>
        </is>
      </c>
      <c r="AR770" t="inlineStr">
        <is>
          <t>1.1</t>
        </is>
      </c>
      <c r="AS770" t="inlineStr">
        <is>
          <t>701+</t>
        </is>
      </c>
      <c r="AT770" t="inlineStr">
        <is>
          <t>1.1</t>
        </is>
      </c>
      <c r="AU770" t="inlineStr">
        <is>
          <t>701+</t>
        </is>
      </c>
      <c r="AV770" t="inlineStr">
        <is>
          <t>1.2</t>
        </is>
      </c>
      <c r="AW770" t="inlineStr">
        <is>
          <t>701+</t>
        </is>
      </c>
      <c r="AX770" t="inlineStr">
        <is>
          <t>4.7</t>
        </is>
      </c>
      <c r="AY770" t="inlineStr">
        <is>
          <t>701+</t>
        </is>
      </c>
      <c r="AZ770" t="inlineStr">
        <is>
          <t>8.4</t>
        </is>
      </c>
      <c r="BA770" t="inlineStr">
        <is>
          <t>695=</t>
        </is>
      </c>
    </row>
    <row r="771">
      <c r="A771" t="inlineStr">
        <is>
          <t>Pontificia Universidad Catolica del Ecuador</t>
        </is>
      </c>
      <c r="B771" t="inlineStr">
        <is>
          <t>Ecuador</t>
        </is>
      </c>
      <c r="C771" t="inlineStr"/>
      <c r="D771" t="inlineStr">
        <is>
          <t>Americas</t>
        </is>
      </c>
      <c r="E771" t="inlineStr">
        <is>
          <t>L</t>
        </is>
      </c>
      <c r="F771" t="inlineStr">
        <is>
          <t>FO</t>
        </is>
      </c>
      <c r="G771" t="inlineStr">
        <is>
          <t>HI</t>
        </is>
      </c>
      <c r="H771" t="inlineStr"/>
      <c r="I771" t="inlineStr">
        <is>
          <t>Private not for Profit</t>
        </is>
      </c>
      <c r="J771" t="inlineStr">
        <is>
          <t>1001-1200</t>
        </is>
      </c>
      <c r="K771" t="inlineStr">
        <is>
          <t>951-1000</t>
        </is>
      </c>
      <c r="L771" t="inlineStr"/>
      <c r="M771" t="inlineStr"/>
      <c r="N771" t="inlineStr">
        <is>
          <t>-</t>
        </is>
      </c>
      <c r="O771" t="inlineStr"/>
      <c r="P771" t="n">
        <v>24.4</v>
      </c>
      <c r="Q771" t="inlineStr">
        <is>
          <t>524</t>
        </is>
      </c>
      <c r="R771" t="n">
        <v>19.1</v>
      </c>
      <c r="S771" t="inlineStr">
        <is>
          <t>682</t>
        </is>
      </c>
      <c r="T771" t="n">
        <v>13.5</v>
      </c>
      <c r="U771" t="inlineStr">
        <is>
          <t>801+</t>
        </is>
      </c>
      <c r="V771" t="n">
        <v>1.9</v>
      </c>
      <c r="W771" t="inlineStr">
        <is>
          <t>801+</t>
        </is>
      </c>
      <c r="X771" t="n">
        <v>18</v>
      </c>
      <c r="Y771" t="inlineStr">
        <is>
          <t>745</t>
        </is>
      </c>
      <c r="Z771" t="n">
        <v>2.6</v>
      </c>
      <c r="AA771" t="inlineStr">
        <is>
          <t>801+</t>
        </is>
      </c>
      <c r="AB771" t="n">
        <v>2.2</v>
      </c>
      <c r="AC771" t="inlineStr">
        <is>
          <t>801+</t>
        </is>
      </c>
      <c r="AD771" t="n">
        <v>35.3</v>
      </c>
      <c r="AE771" t="inlineStr">
        <is>
          <t>801+</t>
        </is>
      </c>
      <c r="AF771" t="n">
        <v>46.2</v>
      </c>
      <c r="AG771" t="inlineStr">
        <is>
          <t>377</t>
        </is>
      </c>
      <c r="AH771" t="n">
        <v>23</v>
      </c>
      <c r="AI771" t="inlineStr">
        <is>
          <t>801+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</row>
    <row r="772">
      <c r="A772" t="inlineStr">
        <is>
          <t>Pontificia Universidad Catolica Madre y Maestra</t>
        </is>
      </c>
      <c r="B772" t="inlineStr">
        <is>
          <t>Dominican Republic</t>
        </is>
      </c>
      <c r="C772" t="inlineStr">
        <is>
          <t>DO</t>
        </is>
      </c>
      <c r="D772" t="inlineStr"/>
      <c r="E772" t="inlineStr">
        <is>
          <t>M</t>
        </is>
      </c>
      <c r="F772" t="inlineStr">
        <is>
          <t>FO</t>
        </is>
      </c>
      <c r="G772" t="inlineStr">
        <is>
          <t>MD</t>
        </is>
      </c>
      <c r="H772" t="inlineStr">
        <is>
          <t>4</t>
        </is>
      </c>
      <c r="I772" t="inlineStr">
        <is>
          <t>B</t>
        </is>
      </c>
      <c r="J772" t="inlineStr"/>
      <c r="K772" t="inlineStr"/>
      <c r="L772" t="inlineStr">
        <is>
          <t>1201-1400</t>
        </is>
      </c>
      <c r="M772" t="inlineStr">
        <is>
          <t>1201-1400</t>
        </is>
      </c>
      <c r="N772" t="inlineStr"/>
      <c r="O772" t="inlineStr">
        <is>
          <t>-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3.6</t>
        </is>
      </c>
      <c r="AK772" t="inlineStr">
        <is>
          <t>601+</t>
        </is>
      </c>
      <c r="AL772" t="inlineStr">
        <is>
          <t>8.0</t>
        </is>
      </c>
      <c r="AM772" t="inlineStr">
        <is>
          <t>601+</t>
        </is>
      </c>
      <c r="AN772" t="inlineStr">
        <is>
          <t>9.8</t>
        </is>
      </c>
      <c r="AO772" t="inlineStr">
        <is>
          <t>701+</t>
        </is>
      </c>
      <c r="AP772" t="inlineStr">
        <is>
          <t>1.2</t>
        </is>
      </c>
      <c r="AQ772" t="inlineStr">
        <is>
          <t>701+</t>
        </is>
      </c>
      <c r="AR772" t="inlineStr">
        <is>
          <t>13.7</t>
        </is>
      </c>
      <c r="AS772" t="inlineStr">
        <is>
          <t>692</t>
        </is>
      </c>
      <c r="AT772" t="inlineStr">
        <is>
          <t>13.9</t>
        </is>
      </c>
      <c r="AU772" t="inlineStr">
        <is>
          <t>645</t>
        </is>
      </c>
      <c r="AV772" t="inlineStr">
        <is>
          <t>1.0</t>
        </is>
      </c>
      <c r="AW772" t="inlineStr">
        <is>
          <t>701+</t>
        </is>
      </c>
      <c r="AX772" t="inlineStr">
        <is>
          <t>19.9</t>
        </is>
      </c>
      <c r="AY772" t="inlineStr">
        <is>
          <t>418</t>
        </is>
      </c>
      <c r="AZ772" t="inlineStr"/>
      <c r="BA772" t="inlineStr"/>
    </row>
    <row r="773">
      <c r="A773" t="inlineStr">
        <is>
          <t>Pontificia Universidad Catolica Madre y Maestra (PUCMM)</t>
        </is>
      </c>
      <c r="B773" t="inlineStr">
        <is>
          <t>Dominican Republic</t>
        </is>
      </c>
      <c r="C773" t="inlineStr"/>
      <c r="D773" t="inlineStr">
        <is>
          <t>Americas</t>
        </is>
      </c>
      <c r="E773" t="inlineStr">
        <is>
          <t>L</t>
        </is>
      </c>
      <c r="F773" t="inlineStr">
        <is>
          <t>FC</t>
        </is>
      </c>
      <c r="G773" t="inlineStr">
        <is>
          <t>LO</t>
        </is>
      </c>
      <c r="H773" t="inlineStr"/>
      <c r="I773" t="inlineStr">
        <is>
          <t>Private not for Profit</t>
        </is>
      </c>
      <c r="J773" t="inlineStr">
        <is>
          <t>1401+</t>
        </is>
      </c>
      <c r="K773" t="inlineStr">
        <is>
          <t>1201-1400</t>
        </is>
      </c>
      <c r="L773" t="inlineStr"/>
      <c r="M773" t="inlineStr"/>
      <c r="N773" t="inlineStr">
        <is>
          <t>-</t>
        </is>
      </c>
      <c r="O773" t="inlineStr"/>
      <c r="P773" t="n">
        <v>6</v>
      </c>
      <c r="Q773" t="inlineStr">
        <is>
          <t>701+</t>
        </is>
      </c>
      <c r="R773" t="n">
        <v>7.5</v>
      </c>
      <c r="S773" t="inlineStr">
        <is>
          <t>701+</t>
        </is>
      </c>
      <c r="T773" t="n">
        <v>14.8</v>
      </c>
      <c r="U773" t="inlineStr">
        <is>
          <t>801+</t>
        </is>
      </c>
      <c r="V773" t="n">
        <v>1.6</v>
      </c>
      <c r="W773" t="inlineStr">
        <is>
          <t>801+</t>
        </is>
      </c>
      <c r="X773" t="n">
        <v>12</v>
      </c>
      <c r="Y773" t="inlineStr">
        <is>
          <t>801+</t>
        </is>
      </c>
      <c r="Z773" t="n">
        <v>14.2</v>
      </c>
      <c r="AA773" t="inlineStr">
        <is>
          <t>801+</t>
        </is>
      </c>
      <c r="AB773" t="n">
        <v>17.2</v>
      </c>
      <c r="AC773" t="inlineStr">
        <is>
          <t>801+</t>
        </is>
      </c>
      <c r="AD773" t="n">
        <v>9.4</v>
      </c>
      <c r="AE773" t="inlineStr">
        <is>
          <t>801+</t>
        </is>
      </c>
      <c r="AF773" t="n">
        <v>51.8</v>
      </c>
      <c r="AG773" t="inlineStr">
        <is>
          <t>325</t>
        </is>
      </c>
      <c r="AH773" t="n">
        <v>24.8</v>
      </c>
      <c r="AI773" t="inlineStr">
        <is>
          <t>801+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</row>
    <row r="774">
      <c r="A774" t="inlineStr">
        <is>
          <t>Pontificia Universidad Católica Argentina</t>
        </is>
      </c>
      <c r="B774" t="inlineStr">
        <is>
          <t>Argentina</t>
        </is>
      </c>
      <c r="C774" t="inlineStr">
        <is>
          <t>AR</t>
        </is>
      </c>
      <c r="D774" t="inlineStr"/>
      <c r="E774" t="inlineStr">
        <is>
          <t>L</t>
        </is>
      </c>
      <c r="F774" t="inlineStr">
        <is>
          <t>FC</t>
        </is>
      </c>
      <c r="G774" t="inlineStr">
        <is>
          <t>MD</t>
        </is>
      </c>
      <c r="H774" t="inlineStr">
        <is>
          <t>4</t>
        </is>
      </c>
      <c r="I774" t="inlineStr">
        <is>
          <t>B</t>
        </is>
      </c>
      <c r="J774" t="inlineStr"/>
      <c r="K774" t="inlineStr"/>
      <c r="L774">
        <f>514</f>
        <v/>
      </c>
      <c r="M774" t="inlineStr">
        <is>
          <t>323</t>
        </is>
      </c>
      <c r="N774" t="inlineStr"/>
      <c r="O774" t="inlineStr">
        <is>
          <t>22.7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20.4</t>
        </is>
      </c>
      <c r="AK774" t="inlineStr">
        <is>
          <t>431</t>
        </is>
      </c>
      <c r="AL774" t="inlineStr">
        <is>
          <t>32.3</t>
        </is>
      </c>
      <c r="AM774" t="inlineStr">
        <is>
          <t>303</t>
        </is>
      </c>
      <c r="AN774" t="inlineStr">
        <is>
          <t>99.9</t>
        </is>
      </c>
      <c r="AO774" t="inlineStr">
        <is>
          <t>22</t>
        </is>
      </c>
      <c r="AP774" t="inlineStr">
        <is>
          <t>1.1</t>
        </is>
      </c>
      <c r="AQ774" t="inlineStr">
        <is>
          <t>701+</t>
        </is>
      </c>
      <c r="AR774" t="inlineStr">
        <is>
          <t>1.9</t>
        </is>
      </c>
      <c r="AS774" t="inlineStr">
        <is>
          <t>701+</t>
        </is>
      </c>
      <c r="AT774" t="inlineStr">
        <is>
          <t>8.8</t>
        </is>
      </c>
      <c r="AU774" t="inlineStr">
        <is>
          <t>701+</t>
        </is>
      </c>
      <c r="AV774" t="inlineStr">
        <is>
          <t>1.0</t>
        </is>
      </c>
      <c r="AW774" t="inlineStr">
        <is>
          <t>701+</t>
        </is>
      </c>
      <c r="AX774" t="inlineStr">
        <is>
          <t>19.8</t>
        </is>
      </c>
      <c r="AY774" t="inlineStr">
        <is>
          <t>420</t>
        </is>
      </c>
      <c r="AZ774" t="inlineStr">
        <is>
          <t>1</t>
        </is>
      </c>
      <c r="BA774" t="inlineStr">
        <is>
          <t>701+</t>
        </is>
      </c>
    </row>
    <row r="775">
      <c r="A775" t="inlineStr">
        <is>
          <t>Pontificia Universidad Católica Argentina Santa María de los Buenos Aires - UCA</t>
        </is>
      </c>
      <c r="B775" t="inlineStr">
        <is>
          <t>Argentina</t>
        </is>
      </c>
      <c r="C775" t="inlineStr"/>
      <c r="D775" t="inlineStr">
        <is>
          <t>Americas</t>
        </is>
      </c>
      <c r="E775" t="inlineStr">
        <is>
          <t>L</t>
        </is>
      </c>
      <c r="F775" t="inlineStr">
        <is>
          <t>FC</t>
        </is>
      </c>
      <c r="G775" t="inlineStr">
        <is>
          <t>MD</t>
        </is>
      </c>
      <c r="H775" t="inlineStr"/>
      <c r="I775" t="inlineStr">
        <is>
          <t>Private not for Profit</t>
        </is>
      </c>
      <c r="J775" t="inlineStr">
        <is>
          <t>517</t>
        </is>
      </c>
      <c r="K775" t="inlineStr">
        <is>
          <t>481</t>
        </is>
      </c>
      <c r="L775" t="inlineStr"/>
      <c r="M775" t="inlineStr"/>
      <c r="N775" t="inlineStr">
        <is>
          <t>31.4</t>
        </is>
      </c>
      <c r="O775" t="inlineStr"/>
      <c r="P775" t="n">
        <v>30.2</v>
      </c>
      <c r="Q775" t="inlineStr">
        <is>
          <t>402</t>
        </is>
      </c>
      <c r="R775" t="n">
        <v>39.9</v>
      </c>
      <c r="S775" t="inlineStr">
        <is>
          <t>344</t>
        </is>
      </c>
      <c r="T775" t="n">
        <v>100</v>
      </c>
      <c r="U775" t="inlineStr">
        <is>
          <t>22</t>
        </is>
      </c>
      <c r="V775" t="n">
        <v>1.2</v>
      </c>
      <c r="W775" t="inlineStr">
        <is>
          <t>801+</t>
        </is>
      </c>
      <c r="X775" t="n">
        <v>3</v>
      </c>
      <c r="Y775" t="inlineStr">
        <is>
          <t>801+</t>
        </is>
      </c>
      <c r="Z775" t="n">
        <v>14.8</v>
      </c>
      <c r="AA775" t="inlineStr">
        <is>
          <t>801+</t>
        </is>
      </c>
      <c r="AB775" t="n">
        <v>11.2</v>
      </c>
      <c r="AC775" t="inlineStr">
        <is>
          <t>801+</t>
        </is>
      </c>
      <c r="AD775" t="n">
        <v>10.5</v>
      </c>
      <c r="AE775" t="inlineStr">
        <is>
          <t>801+</t>
        </is>
      </c>
      <c r="AF775" t="n">
        <v>89.8</v>
      </c>
      <c r="AG775" t="inlineStr">
        <is>
          <t>108</t>
        </is>
      </c>
      <c r="AH775" t="n">
        <v>26.7</v>
      </c>
      <c r="AI775" t="inlineStr">
        <is>
          <t>801+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</row>
    <row r="776">
      <c r="A776" t="inlineStr">
        <is>
          <t>Pontificia Universidad Católica de Chile</t>
        </is>
      </c>
      <c r="B776" t="inlineStr">
        <is>
          <t>Chile</t>
        </is>
      </c>
      <c r="C776" t="inlineStr"/>
      <c r="D776" t="inlineStr">
        <is>
          <t>Americas</t>
        </is>
      </c>
      <c r="E776" t="inlineStr">
        <is>
          <t>L</t>
        </is>
      </c>
      <c r="F776" t="inlineStr">
        <is>
          <t>FC</t>
        </is>
      </c>
      <c r="G776" t="inlineStr">
        <is>
          <t>VH</t>
        </is>
      </c>
      <c r="H776" t="inlineStr"/>
      <c r="I776" t="inlineStr">
        <is>
          <t>Private not for Profit</t>
        </is>
      </c>
      <c r="J776" t="inlineStr">
        <is>
          <t>116</t>
        </is>
      </c>
      <c r="K776" t="inlineStr">
        <is>
          <t>93</t>
        </is>
      </c>
      <c r="L776" t="inlineStr"/>
      <c r="M776" t="inlineStr"/>
      <c r="N776" t="inlineStr">
        <is>
          <t>66.1</t>
        </is>
      </c>
      <c r="O776" t="inlineStr"/>
      <c r="P776" t="n">
        <v>98</v>
      </c>
      <c r="Q776" t="inlineStr">
        <is>
          <t>36</t>
        </is>
      </c>
      <c r="R776" t="n">
        <v>98.59999999999999</v>
      </c>
      <c r="S776" t="inlineStr">
        <is>
          <t>29</t>
        </is>
      </c>
      <c r="T776" t="n">
        <v>35.1</v>
      </c>
      <c r="U776" t="inlineStr">
        <is>
          <t>562</t>
        </is>
      </c>
      <c r="V776" t="n">
        <v>14.2</v>
      </c>
      <c r="W776" t="inlineStr">
        <is>
          <t>801+</t>
        </is>
      </c>
      <c r="X776" t="n">
        <v>42</v>
      </c>
      <c r="Y776" t="inlineStr">
        <is>
          <t>482</t>
        </is>
      </c>
      <c r="Z776" t="n">
        <v>7.8</v>
      </c>
      <c r="AA776" t="inlineStr">
        <is>
          <t>801+</t>
        </is>
      </c>
      <c r="AB776" t="n">
        <v>11.9</v>
      </c>
      <c r="AC776" t="inlineStr">
        <is>
          <t>801+</t>
        </is>
      </c>
      <c r="AD776" t="n">
        <v>81.2</v>
      </c>
      <c r="AE776" t="inlineStr">
        <is>
          <t>328</t>
        </is>
      </c>
      <c r="AF776" t="n">
        <v>99.90000000000001</v>
      </c>
      <c r="AG776" t="inlineStr">
        <is>
          <t>13</t>
        </is>
      </c>
      <c r="AH776" t="n">
        <v>80</v>
      </c>
      <c r="AI776" t="inlineStr">
        <is>
          <t>169=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</row>
    <row r="777">
      <c r="A777" t="inlineStr">
        <is>
          <t>Pontificia Universidad Católica de Chile (UC)</t>
        </is>
      </c>
      <c r="B777" t="inlineStr">
        <is>
          <t>Chile</t>
        </is>
      </c>
      <c r="C777" t="inlineStr">
        <is>
          <t>CL</t>
        </is>
      </c>
      <c r="D777" t="inlineStr"/>
      <c r="E777" t="inlineStr">
        <is>
          <t>L</t>
        </is>
      </c>
      <c r="F777" t="inlineStr">
        <is>
          <t>FC</t>
        </is>
      </c>
      <c r="G777" t="inlineStr">
        <is>
          <t>VH</t>
        </is>
      </c>
      <c r="H777" t="inlineStr">
        <is>
          <t>5</t>
        </is>
      </c>
      <c r="I777" t="inlineStr">
        <is>
          <t>B</t>
        </is>
      </c>
      <c r="J777" t="inlineStr"/>
      <c r="K777" t="inlineStr"/>
      <c r="L777" t="inlineStr">
        <is>
          <t>103</t>
        </is>
      </c>
      <c r="M777" t="inlineStr">
        <is>
          <t>121</t>
        </is>
      </c>
      <c r="N777" t="inlineStr"/>
      <c r="O777" t="inlineStr">
        <is>
          <t>59.9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92.9</t>
        </is>
      </c>
      <c r="AK777" t="inlineStr">
        <is>
          <t>38</t>
        </is>
      </c>
      <c r="AL777" t="inlineStr">
        <is>
          <t>99.5</t>
        </is>
      </c>
      <c r="AM777" t="inlineStr">
        <is>
          <t>11</t>
        </is>
      </c>
      <c r="AN777" t="inlineStr">
        <is>
          <t>20.6</t>
        </is>
      </c>
      <c r="AO777" t="inlineStr">
        <is>
          <t>654</t>
        </is>
      </c>
      <c r="AP777" t="inlineStr">
        <is>
          <t>11.6</t>
        </is>
      </c>
      <c r="AQ777" t="inlineStr">
        <is>
          <t>701+</t>
        </is>
      </c>
      <c r="AR777" t="inlineStr">
        <is>
          <t>16.4</t>
        </is>
      </c>
      <c r="AS777" t="inlineStr">
        <is>
          <t>645</t>
        </is>
      </c>
      <c r="AT777" t="inlineStr">
        <is>
          <t>3.5</t>
        </is>
      </c>
      <c r="AU777" t="inlineStr">
        <is>
          <t>701+</t>
        </is>
      </c>
      <c r="AV777" t="inlineStr">
        <is>
          <t>56.8</t>
        </is>
      </c>
      <c r="AW777" t="inlineStr">
        <is>
          <t>270</t>
        </is>
      </c>
      <c r="AX777" t="inlineStr">
        <is>
          <t>76.3</t>
        </is>
      </c>
      <c r="AY777" t="inlineStr">
        <is>
          <t>56</t>
        </is>
      </c>
      <c r="AZ777" t="inlineStr">
        <is>
          <t>91.3</t>
        </is>
      </c>
      <c r="BA777" t="inlineStr">
        <is>
          <t>84=</t>
        </is>
      </c>
    </row>
    <row r="778">
      <c r="A778" t="inlineStr">
        <is>
          <t>Pontificia Universidad Católica de Valparaíso</t>
        </is>
      </c>
      <c r="B778" t="inlineStr">
        <is>
          <t>Chile</t>
        </is>
      </c>
      <c r="C778" t="inlineStr">
        <is>
          <t>CL</t>
        </is>
      </c>
      <c r="D778" t="inlineStr">
        <is>
          <t>Americas</t>
        </is>
      </c>
      <c r="E778" t="inlineStr">
        <is>
          <t>L</t>
        </is>
      </c>
      <c r="F778" t="inlineStr">
        <is>
          <t>CO</t>
        </is>
      </c>
      <c r="G778" t="inlineStr">
        <is>
          <t>VH</t>
        </is>
      </c>
      <c r="H778" t="inlineStr">
        <is>
          <t>4</t>
        </is>
      </c>
      <c r="I778" t="inlineStr">
        <is>
          <t>Private not for Profit</t>
        </is>
      </c>
      <c r="J778" t="inlineStr">
        <is>
          <t>791-800</t>
        </is>
      </c>
      <c r="K778" t="inlineStr">
        <is>
          <t>801-850</t>
        </is>
      </c>
      <c r="L778" t="inlineStr">
        <is>
          <t>681-690</t>
        </is>
      </c>
      <c r="M778" t="inlineStr">
        <is>
          <t>751-800</t>
        </is>
      </c>
      <c r="N778" t="inlineStr">
        <is>
          <t>-</t>
        </is>
      </c>
      <c r="O778" t="inlineStr">
        <is>
          <t>-</t>
        </is>
      </c>
      <c r="P778" t="n">
        <v>36.4</v>
      </c>
      <c r="Q778" t="inlineStr">
        <is>
          <t>332</t>
        </is>
      </c>
      <c r="R778" t="n">
        <v>29</v>
      </c>
      <c r="S778" t="inlineStr">
        <is>
          <t>487</t>
        </is>
      </c>
      <c r="T778" t="n">
        <v>6.8</v>
      </c>
      <c r="U778" t="inlineStr">
        <is>
          <t>801+</t>
        </is>
      </c>
      <c r="V778" t="n">
        <v>13.2</v>
      </c>
      <c r="W778" t="inlineStr">
        <is>
          <t>801+</t>
        </is>
      </c>
      <c r="X778" t="n">
        <v>15.1</v>
      </c>
      <c r="Y778" t="inlineStr">
        <is>
          <t>801+</t>
        </is>
      </c>
      <c r="Z778" t="n">
        <v>2.6</v>
      </c>
      <c r="AA778" t="inlineStr">
        <is>
          <t>801+</t>
        </is>
      </c>
      <c r="AB778" t="n">
        <v>2.2</v>
      </c>
      <c r="AC778" t="inlineStr">
        <is>
          <t>801+</t>
        </is>
      </c>
      <c r="AD778" t="n">
        <v>43.3</v>
      </c>
      <c r="AE778" t="inlineStr">
        <is>
          <t>801+</t>
        </is>
      </c>
      <c r="AF778" t="n">
        <v>12.2</v>
      </c>
      <c r="AG778" t="inlineStr">
        <is>
          <t>801+</t>
        </is>
      </c>
      <c r="AH778" t="n">
        <v>36.9</v>
      </c>
      <c r="AI778" t="inlineStr">
        <is>
          <t>801+</t>
        </is>
      </c>
      <c r="AJ778" t="inlineStr">
        <is>
          <t>27.3</t>
        </is>
      </c>
      <c r="AK778" t="inlineStr">
        <is>
          <t>319</t>
        </is>
      </c>
      <c r="AL778" t="inlineStr">
        <is>
          <t>39.6</t>
        </is>
      </c>
      <c r="AM778" t="inlineStr">
        <is>
          <t>239</t>
        </is>
      </c>
      <c r="AN778" t="inlineStr">
        <is>
          <t>4.9</t>
        </is>
      </c>
      <c r="AO778" t="inlineStr">
        <is>
          <t>701+</t>
        </is>
      </c>
      <c r="AP778" t="inlineStr">
        <is>
          <t>6.6</t>
        </is>
      </c>
      <c r="AQ778" t="inlineStr">
        <is>
          <t>701+</t>
        </is>
      </c>
      <c r="AR778" t="inlineStr">
        <is>
          <t>10.4</t>
        </is>
      </c>
      <c r="AS778" t="inlineStr">
        <is>
          <t>701+</t>
        </is>
      </c>
      <c r="AT778" t="inlineStr">
        <is>
          <t>1.6</t>
        </is>
      </c>
      <c r="AU778" t="inlineStr">
        <is>
          <t>701+</t>
        </is>
      </c>
      <c r="AV778" t="inlineStr">
        <is>
          <t>5.3</t>
        </is>
      </c>
      <c r="AW778" t="inlineStr">
        <is>
          <t>701+</t>
        </is>
      </c>
      <c r="AX778" t="inlineStr">
        <is>
          <t>8.7</t>
        </is>
      </c>
      <c r="AY778" t="inlineStr">
        <is>
          <t>701+</t>
        </is>
      </c>
      <c r="AZ778" t="inlineStr">
        <is>
          <t>1.8</t>
        </is>
      </c>
      <c r="BA778" t="inlineStr">
        <is>
          <t>701+</t>
        </is>
      </c>
    </row>
    <row r="779">
      <c r="A779" t="inlineStr">
        <is>
          <t>Pontificia Universidad Católica del Ecuador (PUCE)</t>
        </is>
      </c>
      <c r="B779" t="inlineStr">
        <is>
          <t>Ecuador</t>
        </is>
      </c>
      <c r="C779" t="inlineStr">
        <is>
          <t>EC</t>
        </is>
      </c>
      <c r="D779" t="inlineStr"/>
      <c r="E779" t="inlineStr">
        <is>
          <t>L</t>
        </is>
      </c>
      <c r="F779" t="inlineStr">
        <is>
          <t>FC</t>
        </is>
      </c>
      <c r="G779" t="inlineStr">
        <is>
          <t>MD</t>
        </is>
      </c>
      <c r="H779" t="inlineStr">
        <is>
          <t>4</t>
        </is>
      </c>
      <c r="I779" t="inlineStr">
        <is>
          <t>B</t>
        </is>
      </c>
      <c r="J779" t="inlineStr"/>
      <c r="K779" t="inlineStr"/>
      <c r="L779" t="inlineStr">
        <is>
          <t>901-950</t>
        </is>
      </c>
      <c r="M779" t="inlineStr">
        <is>
          <t>801-1000</t>
        </is>
      </c>
      <c r="N779" t="inlineStr"/>
      <c r="O779" t="inlineStr">
        <is>
          <t>-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16.8</t>
        </is>
      </c>
      <c r="AK779" t="inlineStr">
        <is>
          <t>526</t>
        </is>
      </c>
      <c r="AL779" t="inlineStr">
        <is>
          <t>28.7</t>
        </is>
      </c>
      <c r="AM779" t="inlineStr">
        <is>
          <t>339</t>
        </is>
      </c>
      <c r="AN779" t="inlineStr">
        <is>
          <t>10.5</t>
        </is>
      </c>
      <c r="AO779" t="inlineStr">
        <is>
          <t>701+</t>
        </is>
      </c>
      <c r="AP779" t="inlineStr">
        <is>
          <t>1.3</t>
        </is>
      </c>
      <c r="AQ779" t="inlineStr">
        <is>
          <t>701+</t>
        </is>
      </c>
      <c r="AR779" t="inlineStr">
        <is>
          <t>16.9</t>
        </is>
      </c>
      <c r="AS779" t="inlineStr">
        <is>
          <t>630</t>
        </is>
      </c>
      <c r="AT779" t="inlineStr">
        <is>
          <t>1.6</t>
        </is>
      </c>
      <c r="AU779" t="inlineStr">
        <is>
          <t>701+</t>
        </is>
      </c>
      <c r="AV779" t="inlineStr">
        <is>
          <t>1.1</t>
        </is>
      </c>
      <c r="AW779" t="inlineStr">
        <is>
          <t>701+</t>
        </is>
      </c>
      <c r="AX779" t="inlineStr">
        <is>
          <t>15.5</t>
        </is>
      </c>
      <c r="AY779" t="inlineStr">
        <is>
          <t>540</t>
        </is>
      </c>
      <c r="AZ779" t="inlineStr">
        <is>
          <t>1.2</t>
        </is>
      </c>
      <c r="BA779" t="inlineStr">
        <is>
          <t>701+</t>
        </is>
      </c>
    </row>
    <row r="780">
      <c r="A780" t="inlineStr">
        <is>
          <t>Pontificia Universidad Católica del Perú</t>
        </is>
      </c>
      <c r="B780" t="inlineStr">
        <is>
          <t>Peru</t>
        </is>
      </c>
      <c r="C780" t="inlineStr">
        <is>
          <t>PE</t>
        </is>
      </c>
      <c r="D780" t="inlineStr"/>
      <c r="E780" t="inlineStr">
        <is>
          <t>L</t>
        </is>
      </c>
      <c r="F780" t="inlineStr">
        <is>
          <t>FO</t>
        </is>
      </c>
      <c r="G780" t="inlineStr">
        <is>
          <t>VH</t>
        </is>
      </c>
      <c r="H780" t="inlineStr">
        <is>
          <t>5</t>
        </is>
      </c>
      <c r="I780" t="inlineStr">
        <is>
          <t>B</t>
        </is>
      </c>
      <c r="J780" t="inlineStr"/>
      <c r="K780" t="inlineStr"/>
      <c r="L780">
        <f>336</f>
        <v/>
      </c>
      <c r="M780" t="inlineStr">
        <is>
          <t>363=</t>
        </is>
      </c>
      <c r="N780" t="inlineStr"/>
      <c r="O780" t="inlineStr">
        <is>
          <t>32.2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46.3</t>
        </is>
      </c>
      <c r="AK780" t="inlineStr">
        <is>
          <t>177</t>
        </is>
      </c>
      <c r="AL780" t="inlineStr">
        <is>
          <t>77.1</t>
        </is>
      </c>
      <c r="AM780" t="inlineStr">
        <is>
          <t>75</t>
        </is>
      </c>
      <c r="AN780" t="inlineStr">
        <is>
          <t>25.9</t>
        </is>
      </c>
      <c r="AO780" t="inlineStr">
        <is>
          <t>572</t>
        </is>
      </c>
      <c r="AP780" t="inlineStr">
        <is>
          <t>1.8</t>
        </is>
      </c>
      <c r="AQ780" t="inlineStr">
        <is>
          <t>701+</t>
        </is>
      </c>
      <c r="AR780" t="inlineStr">
        <is>
          <t>3.9</t>
        </is>
      </c>
      <c r="AS780" t="inlineStr">
        <is>
          <t>701+</t>
        </is>
      </c>
      <c r="AT780" t="inlineStr">
        <is>
          <t>1.4</t>
        </is>
      </c>
      <c r="AU780" t="inlineStr">
        <is>
          <t>701+</t>
        </is>
      </c>
      <c r="AV780" t="inlineStr">
        <is>
          <t>2.5</t>
        </is>
      </c>
      <c r="AW780" t="inlineStr">
        <is>
          <t>701+</t>
        </is>
      </c>
      <c r="AX780" t="inlineStr">
        <is>
          <t>35.2</t>
        </is>
      </c>
      <c r="AY780" t="inlineStr">
        <is>
          <t>214</t>
        </is>
      </c>
      <c r="AZ780" t="inlineStr">
        <is>
          <t>31.3</t>
        </is>
      </c>
      <c r="BA780" t="inlineStr">
        <is>
          <t>428=</t>
        </is>
      </c>
    </row>
    <row r="781">
      <c r="A781" t="inlineStr">
        <is>
          <t>Pontificia Universidad Católica del Perú (PUCP)</t>
        </is>
      </c>
      <c r="B781" t="inlineStr">
        <is>
          <t>Peru</t>
        </is>
      </c>
      <c r="C781" t="inlineStr"/>
      <c r="D781" t="inlineStr">
        <is>
          <t>Americas</t>
        </is>
      </c>
      <c r="E781" t="inlineStr">
        <is>
          <t>L</t>
        </is>
      </c>
      <c r="F781" t="inlineStr">
        <is>
          <t>FO</t>
        </is>
      </c>
      <c r="G781" t="inlineStr">
        <is>
          <t>VH</t>
        </is>
      </c>
      <c r="H781" t="inlineStr"/>
      <c r="I781" t="inlineStr">
        <is>
          <t>Private not for Profit</t>
        </is>
      </c>
      <c r="J781" t="inlineStr">
        <is>
          <t>345</t>
        </is>
      </c>
      <c r="K781" t="inlineStr">
        <is>
          <t>359</t>
        </is>
      </c>
      <c r="L781" t="inlineStr"/>
      <c r="M781" t="inlineStr"/>
      <c r="N781" t="inlineStr">
        <is>
          <t>41.7</t>
        </is>
      </c>
      <c r="O781" t="inlineStr"/>
      <c r="P781" t="n">
        <v>63.1</v>
      </c>
      <c r="Q781" t="inlineStr">
        <is>
          <t>161</t>
        </is>
      </c>
      <c r="R781" t="n">
        <v>66.7</v>
      </c>
      <c r="S781" t="inlineStr">
        <is>
          <t>158</t>
        </is>
      </c>
      <c r="T781" t="n">
        <v>50</v>
      </c>
      <c r="U781" t="inlineStr">
        <is>
          <t>384</t>
        </is>
      </c>
      <c r="V781" t="n">
        <v>2.3</v>
      </c>
      <c r="W781" t="inlineStr">
        <is>
          <t>801+</t>
        </is>
      </c>
      <c r="X781" t="n">
        <v>4.2</v>
      </c>
      <c r="Y781" t="inlineStr">
        <is>
          <t>801+</t>
        </is>
      </c>
      <c r="Z781" t="n">
        <v>1.9</v>
      </c>
      <c r="AA781" t="inlineStr">
        <is>
          <t>801+</t>
        </is>
      </c>
      <c r="AB781" t="n">
        <v>6.4</v>
      </c>
      <c r="AC781" t="inlineStr">
        <is>
          <t>801+</t>
        </is>
      </c>
      <c r="AD781" t="n">
        <v>44.4</v>
      </c>
      <c r="AE781" t="inlineStr">
        <is>
          <t>801+</t>
        </is>
      </c>
      <c r="AF781" t="n">
        <v>50.6</v>
      </c>
      <c r="AG781" t="inlineStr">
        <is>
          <t>338</t>
        </is>
      </c>
      <c r="AH781" t="n">
        <v>59.7</v>
      </c>
      <c r="AI781" t="inlineStr">
        <is>
          <t>507=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</row>
    <row r="782">
      <c r="A782" t="inlineStr">
        <is>
          <t>Pontificia Universidad Javeriana</t>
        </is>
      </c>
      <c r="B782" t="inlineStr">
        <is>
          <t>Colombia</t>
        </is>
      </c>
      <c r="C782" t="inlineStr">
        <is>
          <t>CO</t>
        </is>
      </c>
      <c r="D782" t="inlineStr">
        <is>
          <t>Americas</t>
        </is>
      </c>
      <c r="E782" t="inlineStr">
        <is>
          <t>L</t>
        </is>
      </c>
      <c r="F782" t="inlineStr">
        <is>
          <t>FC</t>
        </is>
      </c>
      <c r="G782" t="inlineStr">
        <is>
          <t>HI</t>
        </is>
      </c>
      <c r="H782" t="inlineStr">
        <is>
          <t>5</t>
        </is>
      </c>
      <c r="I782" t="inlineStr">
        <is>
          <t>Private not for Profit</t>
        </is>
      </c>
      <c r="J782" t="inlineStr">
        <is>
          <t>371</t>
        </is>
      </c>
      <c r="K782" t="inlineStr">
        <is>
          <t>377</t>
        </is>
      </c>
      <c r="L782">
        <f>347</f>
        <v/>
      </c>
      <c r="M782" t="inlineStr">
        <is>
          <t>382=</t>
        </is>
      </c>
      <c r="N782" t="inlineStr">
        <is>
          <t>40.3</t>
        </is>
      </c>
      <c r="O782" t="inlineStr">
        <is>
          <t>31.4</t>
        </is>
      </c>
      <c r="P782" t="n">
        <v>60.5</v>
      </c>
      <c r="Q782" t="inlineStr">
        <is>
          <t>173</t>
        </is>
      </c>
      <c r="R782" t="n">
        <v>61.8</v>
      </c>
      <c r="S782" t="inlineStr">
        <is>
          <t>185</t>
        </is>
      </c>
      <c r="T782" t="n">
        <v>37.8</v>
      </c>
      <c r="U782" t="inlineStr">
        <is>
          <t>535</t>
        </is>
      </c>
      <c r="V782" t="n">
        <v>2.7</v>
      </c>
      <c r="W782" t="inlineStr">
        <is>
          <t>801+</t>
        </is>
      </c>
      <c r="X782" t="n">
        <v>3.8</v>
      </c>
      <c r="Y782" t="inlineStr">
        <is>
          <t>801+</t>
        </is>
      </c>
      <c r="Z782" t="n">
        <v>3.7</v>
      </c>
      <c r="AA782" t="inlineStr">
        <is>
          <t>801+</t>
        </is>
      </c>
      <c r="AB782" t="n">
        <v>8.5</v>
      </c>
      <c r="AC782" t="inlineStr">
        <is>
          <t>801+</t>
        </is>
      </c>
      <c r="AD782" t="n">
        <v>38.7</v>
      </c>
      <c r="AE782" t="inlineStr">
        <is>
          <t>801+</t>
        </is>
      </c>
      <c r="AF782" t="n">
        <v>83.09999999999999</v>
      </c>
      <c r="AG782" t="inlineStr">
        <is>
          <t>144</t>
        </is>
      </c>
      <c r="AH782" t="n">
        <v>58.6</v>
      </c>
      <c r="AI782" t="inlineStr">
        <is>
          <t>530=</t>
        </is>
      </c>
      <c r="AJ782" t="inlineStr">
        <is>
          <t>43.2</t>
        </is>
      </c>
      <c r="AK782" t="inlineStr">
        <is>
          <t>198</t>
        </is>
      </c>
      <c r="AL782" t="inlineStr">
        <is>
          <t>72.7</t>
        </is>
      </c>
      <c r="AM782" t="inlineStr">
        <is>
          <t>94</t>
        </is>
      </c>
      <c r="AN782" t="inlineStr">
        <is>
          <t>22.9</t>
        </is>
      </c>
      <c r="AO782" t="inlineStr">
        <is>
          <t>619</t>
        </is>
      </c>
      <c r="AP782" t="inlineStr">
        <is>
          <t>1.7</t>
        </is>
      </c>
      <c r="AQ782" t="inlineStr">
        <is>
          <t>701+</t>
        </is>
      </c>
      <c r="AR782" t="inlineStr">
        <is>
          <t>4.0</t>
        </is>
      </c>
      <c r="AS782" t="inlineStr">
        <is>
          <t>701+</t>
        </is>
      </c>
      <c r="AT782" t="inlineStr">
        <is>
          <t>2.7</t>
        </is>
      </c>
      <c r="AU782" t="inlineStr">
        <is>
          <t>701+</t>
        </is>
      </c>
      <c r="AV782" t="inlineStr">
        <is>
          <t>4.2</t>
        </is>
      </c>
      <c r="AW782" t="inlineStr">
        <is>
          <t>701+</t>
        </is>
      </c>
      <c r="AX782" t="inlineStr">
        <is>
          <t>57.3</t>
        </is>
      </c>
      <c r="AY782" t="inlineStr">
        <is>
          <t>107</t>
        </is>
      </c>
      <c r="AZ782" t="inlineStr">
        <is>
          <t>29.1</t>
        </is>
      </c>
      <c r="BA782" t="inlineStr">
        <is>
          <t>456=</t>
        </is>
      </c>
    </row>
    <row r="783">
      <c r="A783" t="inlineStr">
        <is>
          <t>Pontificia Universidade Católica de São Paulo (PUC -SP)</t>
        </is>
      </c>
      <c r="B783" t="inlineStr">
        <is>
          <t>Brazil</t>
        </is>
      </c>
      <c r="C783" t="inlineStr"/>
      <c r="D783" t="inlineStr">
        <is>
          <t>Americas</t>
        </is>
      </c>
      <c r="E783" t="inlineStr">
        <is>
          <t>M</t>
        </is>
      </c>
      <c r="F783" t="inlineStr">
        <is>
          <t>FC</t>
        </is>
      </c>
      <c r="G783" t="inlineStr">
        <is>
          <t>MD</t>
        </is>
      </c>
      <c r="H783" t="inlineStr"/>
      <c r="I783" t="inlineStr">
        <is>
          <t>Private not for Profit</t>
        </is>
      </c>
      <c r="J783" t="inlineStr">
        <is>
          <t>1001-1200</t>
        </is>
      </c>
      <c r="K783" t="inlineStr">
        <is>
          <t>1001-1200</t>
        </is>
      </c>
      <c r="L783" t="inlineStr"/>
      <c r="M783" t="inlineStr"/>
      <c r="N783" t="inlineStr">
        <is>
          <t>-</t>
        </is>
      </c>
      <c r="O783" t="inlineStr"/>
      <c r="P783" t="n">
        <v>13.2</v>
      </c>
      <c r="Q783" t="inlineStr">
        <is>
          <t>701+</t>
        </is>
      </c>
      <c r="R783" t="n">
        <v>21.2</v>
      </c>
      <c r="S783" t="inlineStr">
        <is>
          <t>620</t>
        </is>
      </c>
      <c r="T783" t="n">
        <v>48.8</v>
      </c>
      <c r="U783" t="inlineStr">
        <is>
          <t>399</t>
        </is>
      </c>
      <c r="V783" t="n">
        <v>1.7</v>
      </c>
      <c r="W783" t="inlineStr">
        <is>
          <t>801+</t>
        </is>
      </c>
      <c r="X783" t="n">
        <v>5.2</v>
      </c>
      <c r="Y783" t="inlineStr">
        <is>
          <t>801+</t>
        </is>
      </c>
      <c r="Z783" t="n">
        <v>1.5</v>
      </c>
      <c r="AA783" t="inlineStr">
        <is>
          <t>801+</t>
        </is>
      </c>
      <c r="AB783" t="n">
        <v>5.9</v>
      </c>
      <c r="AC783" t="inlineStr">
        <is>
          <t>801+</t>
        </is>
      </c>
      <c r="AD783" t="n">
        <v>2.9</v>
      </c>
      <c r="AE783" t="inlineStr">
        <is>
          <t>801+</t>
        </is>
      </c>
      <c r="AF783" t="n">
        <v>44.1</v>
      </c>
      <c r="AG783" t="inlineStr">
        <is>
          <t>402</t>
        </is>
      </c>
      <c r="AH783" t="n">
        <v>14.9</v>
      </c>
      <c r="AI783" t="inlineStr">
        <is>
          <t>801+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</row>
    <row r="784">
      <c r="A784" t="inlineStr">
        <is>
          <t>Pontificia Universidade Católica do Campinas - PUC Campinas</t>
        </is>
      </c>
      <c r="B784" t="inlineStr">
        <is>
          <t>Brazil</t>
        </is>
      </c>
      <c r="C784" t="inlineStr">
        <is>
          <t>BR</t>
        </is>
      </c>
      <c r="D784" t="inlineStr"/>
      <c r="E784" t="inlineStr">
        <is>
          <t>M</t>
        </is>
      </c>
      <c r="F784" t="inlineStr">
        <is>
          <t>CO</t>
        </is>
      </c>
      <c r="G784" t="inlineStr">
        <is>
          <t>MD</t>
        </is>
      </c>
      <c r="H784" t="inlineStr">
        <is>
          <t>4</t>
        </is>
      </c>
      <c r="I784" t="inlineStr">
        <is>
          <t>C</t>
        </is>
      </c>
      <c r="J784" t="inlineStr"/>
      <c r="K784" t="inlineStr"/>
      <c r="L784" t="inlineStr">
        <is>
          <t>1401+</t>
        </is>
      </c>
      <c r="M784" t="inlineStr">
        <is>
          <t>1201-1400</t>
        </is>
      </c>
      <c r="N784" t="inlineStr"/>
      <c r="O784" t="inlineStr">
        <is>
          <t>-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4.9</t>
        </is>
      </c>
      <c r="AK784" t="inlineStr">
        <is>
          <t>601+</t>
        </is>
      </c>
      <c r="AL784" t="inlineStr">
        <is>
          <t>3.3</t>
        </is>
      </c>
      <c r="AM784" t="inlineStr">
        <is>
          <t>601+</t>
        </is>
      </c>
      <c r="AN784" t="inlineStr">
        <is>
          <t>6.4</t>
        </is>
      </c>
      <c r="AO784" t="inlineStr">
        <is>
          <t>701+</t>
        </is>
      </c>
      <c r="AP784" t="inlineStr">
        <is>
          <t>2.0</t>
        </is>
      </c>
      <c r="AQ784" t="inlineStr">
        <is>
          <t>701+</t>
        </is>
      </c>
      <c r="AR784" t="inlineStr">
        <is>
          <t>2.4</t>
        </is>
      </c>
      <c r="AS784" t="inlineStr">
        <is>
          <t>701+</t>
        </is>
      </c>
      <c r="AT784" t="inlineStr">
        <is>
          <t>1.2</t>
        </is>
      </c>
      <c r="AU784" t="inlineStr">
        <is>
          <t>701+</t>
        </is>
      </c>
      <c r="AV784" t="inlineStr">
        <is>
          <t>1.0</t>
        </is>
      </c>
      <c r="AW784" t="inlineStr">
        <is>
          <t>701+</t>
        </is>
      </c>
      <c r="AX784" t="inlineStr">
        <is>
          <t>9.6</t>
        </is>
      </c>
      <c r="AY784" t="inlineStr">
        <is>
          <t>701+</t>
        </is>
      </c>
      <c r="AZ784" t="inlineStr">
        <is>
          <t>1</t>
        </is>
      </c>
      <c r="BA784" t="inlineStr">
        <is>
          <t>701+</t>
        </is>
      </c>
    </row>
    <row r="785">
      <c r="A785" t="inlineStr">
        <is>
          <t>Pontificia Universidade Católica do Minas Gerais - PUC Minas</t>
        </is>
      </c>
      <c r="B785" t="inlineStr">
        <is>
          <t>Brazil</t>
        </is>
      </c>
      <c r="C785" t="inlineStr">
        <is>
          <t>BR</t>
        </is>
      </c>
      <c r="D785" t="inlineStr"/>
      <c r="E785" t="inlineStr">
        <is>
          <t>XL</t>
        </is>
      </c>
      <c r="F785" t="inlineStr">
        <is>
          <t>FO</t>
        </is>
      </c>
      <c r="G785" t="inlineStr">
        <is>
          <t>HI</t>
        </is>
      </c>
      <c r="H785" t="inlineStr">
        <is>
          <t>4</t>
        </is>
      </c>
      <c r="I785" t="inlineStr">
        <is>
          <t>C</t>
        </is>
      </c>
      <c r="J785" t="inlineStr"/>
      <c r="K785" t="inlineStr"/>
      <c r="L785" t="inlineStr">
        <is>
          <t>1401+</t>
        </is>
      </c>
      <c r="M785" t="inlineStr">
        <is>
          <t>1401+</t>
        </is>
      </c>
      <c r="N785" t="inlineStr"/>
      <c r="O785" t="inlineStr">
        <is>
          <t>-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5.0</t>
        </is>
      </c>
      <c r="AK785" t="inlineStr">
        <is>
          <t>601+</t>
        </is>
      </c>
      <c r="AL785" t="inlineStr">
        <is>
          <t>3.8</t>
        </is>
      </c>
      <c r="AM785" t="inlineStr">
        <is>
          <t>601+</t>
        </is>
      </c>
      <c r="AN785" t="inlineStr">
        <is>
          <t>1.6</t>
        </is>
      </c>
      <c r="AO785" t="inlineStr">
        <is>
          <t>701+</t>
        </is>
      </c>
      <c r="AP785" t="inlineStr">
        <is>
          <t>1.5</t>
        </is>
      </c>
      <c r="AQ785" t="inlineStr">
        <is>
          <t>701+</t>
        </is>
      </c>
      <c r="AR785" t="inlineStr"/>
      <c r="AS785" t="inlineStr"/>
      <c r="AT785" t="inlineStr"/>
      <c r="AU785" t="inlineStr"/>
      <c r="AV785" t="inlineStr">
        <is>
          <t>1.0</t>
        </is>
      </c>
      <c r="AW785" t="inlineStr">
        <is>
          <t>701+</t>
        </is>
      </c>
      <c r="AX785" t="inlineStr">
        <is>
          <t>6.2</t>
        </is>
      </c>
      <c r="AY785" t="inlineStr">
        <is>
          <t>701+</t>
        </is>
      </c>
      <c r="AZ785" t="inlineStr">
        <is>
          <t>1</t>
        </is>
      </c>
      <c r="BA785" t="inlineStr">
        <is>
          <t>701+</t>
        </is>
      </c>
    </row>
    <row r="786">
      <c r="A786" t="inlineStr">
        <is>
          <t>Pontificia Universidade Católica do Rio de Janeiro (PUC - Rio)</t>
        </is>
      </c>
      <c r="B786" t="inlineStr">
        <is>
          <t>Brazil</t>
        </is>
      </c>
      <c r="C786" t="inlineStr"/>
      <c r="D786" t="inlineStr">
        <is>
          <t>Americas</t>
        </is>
      </c>
      <c r="E786" t="inlineStr">
        <is>
          <t>M</t>
        </is>
      </c>
      <c r="F786" t="inlineStr">
        <is>
          <t>CO</t>
        </is>
      </c>
      <c r="G786" t="inlineStr">
        <is>
          <t>VH</t>
        </is>
      </c>
      <c r="H786" t="inlineStr"/>
      <c r="I786" t="inlineStr">
        <is>
          <t>Private not for Profit</t>
        </is>
      </c>
      <c r="J786" t="inlineStr">
        <is>
          <t>571</t>
        </is>
      </c>
      <c r="K786" t="inlineStr">
        <is>
          <t>611-620</t>
        </is>
      </c>
      <c r="L786" t="inlineStr"/>
      <c r="M786" t="inlineStr"/>
      <c r="N786" t="inlineStr">
        <is>
          <t>29.2</t>
        </is>
      </c>
      <c r="O786" t="inlineStr"/>
      <c r="P786" t="n">
        <v>42.5</v>
      </c>
      <c r="Q786" t="inlineStr">
        <is>
          <t>279</t>
        </is>
      </c>
      <c r="R786" t="n">
        <v>23.5</v>
      </c>
      <c r="S786" t="inlineStr">
        <is>
          <t>570</t>
        </is>
      </c>
      <c r="T786" t="n">
        <v>17.2</v>
      </c>
      <c r="U786" t="inlineStr">
        <is>
          <t>801+</t>
        </is>
      </c>
      <c r="V786" t="n">
        <v>14.6</v>
      </c>
      <c r="W786" t="inlineStr">
        <is>
          <t>801+</t>
        </is>
      </c>
      <c r="X786" t="n">
        <v>16.1</v>
      </c>
      <c r="Y786" t="inlineStr">
        <is>
          <t>776</t>
        </is>
      </c>
      <c r="Z786" t="n">
        <v>2.6</v>
      </c>
      <c r="AA786" t="inlineStr">
        <is>
          <t>801+</t>
        </is>
      </c>
      <c r="AB786" t="n">
        <v>7.1</v>
      </c>
      <c r="AC786" t="inlineStr">
        <is>
          <t>801+</t>
        </is>
      </c>
      <c r="AD786" t="n">
        <v>46.1</v>
      </c>
      <c r="AE786" t="inlineStr">
        <is>
          <t>801+</t>
        </is>
      </c>
      <c r="AF786" t="n">
        <v>73.40000000000001</v>
      </c>
      <c r="AG786" t="inlineStr">
        <is>
          <t>192</t>
        </is>
      </c>
      <c r="AH786" t="n">
        <v>51.3</v>
      </c>
      <c r="AI786" t="inlineStr">
        <is>
          <t>677=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</row>
    <row r="787">
      <c r="A787" t="inlineStr">
        <is>
          <t>Pontificia Universidade Católica do Rio Grande do Sul</t>
        </is>
      </c>
      <c r="B787" t="inlineStr">
        <is>
          <t>Brazil</t>
        </is>
      </c>
      <c r="C787" t="inlineStr"/>
      <c r="D787" t="inlineStr">
        <is>
          <t>Americas</t>
        </is>
      </c>
      <c r="E787" t="inlineStr">
        <is>
          <t>M</t>
        </is>
      </c>
      <c r="F787" t="inlineStr">
        <is>
          <t>FC</t>
        </is>
      </c>
      <c r="G787" t="inlineStr">
        <is>
          <t>HI</t>
        </is>
      </c>
      <c r="H787" t="inlineStr"/>
      <c r="I787" t="inlineStr">
        <is>
          <t>Private not for Profit</t>
        </is>
      </c>
      <c r="J787" t="inlineStr">
        <is>
          <t>1201-1400</t>
        </is>
      </c>
      <c r="K787" t="inlineStr">
        <is>
          <t>1201-1400</t>
        </is>
      </c>
      <c r="L787" t="inlineStr"/>
      <c r="M787" t="inlineStr"/>
      <c r="N787" t="inlineStr">
        <is>
          <t>-</t>
        </is>
      </c>
      <c r="O787" t="inlineStr"/>
      <c r="P787" t="n">
        <v>8.699999999999999</v>
      </c>
      <c r="Q787" t="inlineStr">
        <is>
          <t>701+</t>
        </is>
      </c>
      <c r="R787" t="n">
        <v>6</v>
      </c>
      <c r="S787" t="inlineStr">
        <is>
          <t>701+</t>
        </is>
      </c>
      <c r="T787" t="n">
        <v>18.4</v>
      </c>
      <c r="U787" t="inlineStr">
        <is>
          <t>801+</t>
        </is>
      </c>
      <c r="V787" t="n">
        <v>19.9</v>
      </c>
      <c r="W787" t="inlineStr">
        <is>
          <t>714</t>
        </is>
      </c>
      <c r="X787" t="n">
        <v>3.2</v>
      </c>
      <c r="Y787" t="inlineStr">
        <is>
          <t>801+</t>
        </is>
      </c>
      <c r="Z787" t="n">
        <v>2.2</v>
      </c>
      <c r="AA787" t="inlineStr">
        <is>
          <t>801+</t>
        </is>
      </c>
      <c r="AB787" t="n">
        <v>6.6</v>
      </c>
      <c r="AC787" t="inlineStr">
        <is>
          <t>801+</t>
        </is>
      </c>
      <c r="AD787" t="n">
        <v>19.8</v>
      </c>
      <c r="AE787" t="inlineStr">
        <is>
          <t>801+</t>
        </is>
      </c>
      <c r="AF787" t="n">
        <v>11.7</v>
      </c>
      <c r="AG787" t="inlineStr">
        <is>
          <t>801+</t>
        </is>
      </c>
      <c r="AH787" t="n">
        <v>28.5</v>
      </c>
      <c r="AI787" t="inlineStr">
        <is>
          <t>801+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</row>
    <row r="788">
      <c r="A788" t="inlineStr">
        <is>
          <t>Pontifícia Universidade Católica de São Paulo</t>
        </is>
      </c>
      <c r="B788" t="inlineStr">
        <is>
          <t>Brazil</t>
        </is>
      </c>
      <c r="C788" t="inlineStr">
        <is>
          <t>BR</t>
        </is>
      </c>
      <c r="D788" t="inlineStr"/>
      <c r="E788" t="inlineStr">
        <is>
          <t>M</t>
        </is>
      </c>
      <c r="F788" t="inlineStr">
        <is>
          <t>FC</t>
        </is>
      </c>
      <c r="G788" t="inlineStr">
        <is>
          <t>MD</t>
        </is>
      </c>
      <c r="H788" t="inlineStr">
        <is>
          <t>4</t>
        </is>
      </c>
      <c r="I788" t="inlineStr">
        <is>
          <t>B</t>
        </is>
      </c>
      <c r="J788" t="inlineStr"/>
      <c r="K788" t="inlineStr"/>
      <c r="L788" t="inlineStr">
        <is>
          <t>1001-1200</t>
        </is>
      </c>
      <c r="M788" t="inlineStr">
        <is>
          <t>801-1000</t>
        </is>
      </c>
      <c r="N788" t="inlineStr"/>
      <c r="O788" t="inlineStr">
        <is>
          <t>-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11.3</t>
        </is>
      </c>
      <c r="AK788" t="inlineStr">
        <is>
          <t>601+</t>
        </is>
      </c>
      <c r="AL788" t="inlineStr">
        <is>
          <t>11.2</t>
        </is>
      </c>
      <c r="AM788" t="inlineStr">
        <is>
          <t>601+</t>
        </is>
      </c>
      <c r="AN788" t="inlineStr">
        <is>
          <t>34.1</t>
        </is>
      </c>
      <c r="AO788" t="inlineStr">
        <is>
          <t>470</t>
        </is>
      </c>
      <c r="AP788" t="inlineStr">
        <is>
          <t>1.2</t>
        </is>
      </c>
      <c r="AQ788" t="inlineStr">
        <is>
          <t>701+</t>
        </is>
      </c>
      <c r="AR788" t="inlineStr">
        <is>
          <t>4.4</t>
        </is>
      </c>
      <c r="AS788" t="inlineStr">
        <is>
          <t>701+</t>
        </is>
      </c>
      <c r="AT788" t="inlineStr">
        <is>
          <t>1.2</t>
        </is>
      </c>
      <c r="AU788" t="inlineStr">
        <is>
          <t>701+</t>
        </is>
      </c>
      <c r="AV788" t="inlineStr">
        <is>
          <t>1.0</t>
        </is>
      </c>
      <c r="AW788" t="inlineStr">
        <is>
          <t>701+</t>
        </is>
      </c>
      <c r="AX788" t="inlineStr">
        <is>
          <t>13.8</t>
        </is>
      </c>
      <c r="AY788" t="inlineStr">
        <is>
          <t>615</t>
        </is>
      </c>
      <c r="AZ788" t="inlineStr">
        <is>
          <t>1.2</t>
        </is>
      </c>
      <c r="BA788" t="inlineStr">
        <is>
          <t>701+</t>
        </is>
      </c>
    </row>
    <row r="789">
      <c r="A789" t="inlineStr">
        <is>
          <t>Pontifícia Universidade Católica do Paraná</t>
        </is>
      </c>
      <c r="B789" t="inlineStr">
        <is>
          <t>Brazil</t>
        </is>
      </c>
      <c r="C789" t="inlineStr">
        <is>
          <t>BR</t>
        </is>
      </c>
      <c r="D789" t="inlineStr"/>
      <c r="E789" t="inlineStr">
        <is>
          <t>M</t>
        </is>
      </c>
      <c r="F789" t="inlineStr">
        <is>
          <t>FC</t>
        </is>
      </c>
      <c r="G789" t="inlineStr">
        <is>
          <t>HI</t>
        </is>
      </c>
      <c r="H789" t="inlineStr">
        <is>
          <t>4</t>
        </is>
      </c>
      <c r="I789" t="inlineStr">
        <is>
          <t>B</t>
        </is>
      </c>
      <c r="J789" t="inlineStr"/>
      <c r="K789" t="inlineStr"/>
      <c r="L789" t="inlineStr">
        <is>
          <t>1401+</t>
        </is>
      </c>
      <c r="M789" t="inlineStr">
        <is>
          <t>1201-1400</t>
        </is>
      </c>
      <c r="N789" t="inlineStr"/>
      <c r="O789" t="inlineStr">
        <is>
          <t>-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4.3</t>
        </is>
      </c>
      <c r="AK789" t="inlineStr">
        <is>
          <t>601+</t>
        </is>
      </c>
      <c r="AL789" t="inlineStr">
        <is>
          <t>2.7</t>
        </is>
      </c>
      <c r="AM789" t="inlineStr">
        <is>
          <t>601+</t>
        </is>
      </c>
      <c r="AN789" t="inlineStr">
        <is>
          <t>6.0</t>
        </is>
      </c>
      <c r="AO789" t="inlineStr">
        <is>
          <t>701+</t>
        </is>
      </c>
      <c r="AP789" t="inlineStr">
        <is>
          <t>4.2</t>
        </is>
      </c>
      <c r="AQ789" t="inlineStr">
        <is>
          <t>701+</t>
        </is>
      </c>
      <c r="AR789" t="inlineStr">
        <is>
          <t>1.9</t>
        </is>
      </c>
      <c r="AS789" t="inlineStr">
        <is>
          <t>701+</t>
        </is>
      </c>
      <c r="AT789" t="inlineStr">
        <is>
          <t>1.4</t>
        </is>
      </c>
      <c r="AU789" t="inlineStr">
        <is>
          <t>701+</t>
        </is>
      </c>
      <c r="AV789" t="inlineStr">
        <is>
          <t>1.4</t>
        </is>
      </c>
      <c r="AW789" t="inlineStr">
        <is>
          <t>701+</t>
        </is>
      </c>
      <c r="AX789" t="inlineStr">
        <is>
          <t>5.6</t>
        </is>
      </c>
      <c r="AY789" t="inlineStr">
        <is>
          <t>701+</t>
        </is>
      </c>
      <c r="AZ789" t="inlineStr">
        <is>
          <t>1</t>
        </is>
      </c>
      <c r="BA789" t="inlineStr">
        <is>
          <t>701+</t>
        </is>
      </c>
    </row>
    <row r="790">
      <c r="A790" t="inlineStr">
        <is>
          <t>Pontifícia Universidade Católica do Rio de Janeiro</t>
        </is>
      </c>
      <c r="B790" t="inlineStr">
        <is>
          <t>Brazil</t>
        </is>
      </c>
      <c r="C790" t="inlineStr">
        <is>
          <t>BR</t>
        </is>
      </c>
      <c r="D790" t="inlineStr"/>
      <c r="E790" t="inlineStr">
        <is>
          <t>M</t>
        </is>
      </c>
      <c r="F790" t="inlineStr">
        <is>
          <t>CO</t>
        </is>
      </c>
      <c r="G790" t="inlineStr">
        <is>
          <t>VH</t>
        </is>
      </c>
      <c r="H790" t="inlineStr">
        <is>
          <t>4</t>
        </is>
      </c>
      <c r="I790" t="inlineStr">
        <is>
          <t>B</t>
        </is>
      </c>
      <c r="J790" t="inlineStr"/>
      <c r="K790" t="inlineStr"/>
      <c r="L790">
        <f>595</f>
        <v/>
      </c>
      <c r="M790" t="inlineStr">
        <is>
          <t>601-650</t>
        </is>
      </c>
      <c r="N790" t="inlineStr"/>
      <c r="O790" t="inlineStr">
        <is>
          <t>19.9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33.4</t>
        </is>
      </c>
      <c r="AK790" t="inlineStr">
        <is>
          <t>261</t>
        </is>
      </c>
      <c r="AL790" t="inlineStr">
        <is>
          <t>24.5</t>
        </is>
      </c>
      <c r="AM790" t="inlineStr">
        <is>
          <t>392</t>
        </is>
      </c>
      <c r="AN790" t="inlineStr">
        <is>
          <t>9.3</t>
        </is>
      </c>
      <c r="AO790" t="inlineStr">
        <is>
          <t>701+</t>
        </is>
      </c>
      <c r="AP790" t="inlineStr">
        <is>
          <t>7.7</t>
        </is>
      </c>
      <c r="AQ790" t="inlineStr">
        <is>
          <t>701+</t>
        </is>
      </c>
      <c r="AR790" t="inlineStr">
        <is>
          <t>12.4</t>
        </is>
      </c>
      <c r="AS790" t="inlineStr">
        <is>
          <t>701+</t>
        </is>
      </c>
      <c r="AT790" t="inlineStr">
        <is>
          <t>1.6</t>
        </is>
      </c>
      <c r="AU790" t="inlineStr">
        <is>
          <t>701+</t>
        </is>
      </c>
      <c r="AV790" t="inlineStr">
        <is>
          <t>2.4</t>
        </is>
      </c>
      <c r="AW790" t="inlineStr">
        <is>
          <t>701+</t>
        </is>
      </c>
      <c r="AX790" t="inlineStr">
        <is>
          <t>28.6</t>
        </is>
      </c>
      <c r="AY790" t="inlineStr">
        <is>
          <t>279</t>
        </is>
      </c>
      <c r="AZ790" t="inlineStr">
        <is>
          <t>32.7</t>
        </is>
      </c>
      <c r="BA790" t="inlineStr">
        <is>
          <t>420=</t>
        </is>
      </c>
    </row>
    <row r="791">
      <c r="A791" t="inlineStr">
        <is>
          <t>Pontifícia Universidade Católica do Rio Grande do Sul (PUCRS)</t>
        </is>
      </c>
      <c r="B791" t="inlineStr">
        <is>
          <t>Brazil</t>
        </is>
      </c>
      <c r="C791" t="inlineStr">
        <is>
          <t>BR</t>
        </is>
      </c>
      <c r="D791" t="inlineStr"/>
      <c r="E791" t="inlineStr">
        <is>
          <t>M</t>
        </is>
      </c>
      <c r="F791" t="inlineStr">
        <is>
          <t>FC</t>
        </is>
      </c>
      <c r="G791" t="inlineStr">
        <is>
          <t>HI</t>
        </is>
      </c>
      <c r="H791" t="inlineStr">
        <is>
          <t>4</t>
        </is>
      </c>
      <c r="I791" t="inlineStr">
        <is>
          <t>B</t>
        </is>
      </c>
      <c r="J791" t="inlineStr"/>
      <c r="K791" t="inlineStr"/>
      <c r="L791" t="inlineStr">
        <is>
          <t>1201-1400</t>
        </is>
      </c>
      <c r="M791" t="inlineStr">
        <is>
          <t>1201-1400</t>
        </is>
      </c>
      <c r="N791" t="inlineStr"/>
      <c r="O791" t="inlineStr">
        <is>
          <t>-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6.9</t>
        </is>
      </c>
      <c r="AK791" t="inlineStr">
        <is>
          <t>601+</t>
        </is>
      </c>
      <c r="AL791" t="inlineStr">
        <is>
          <t>3.8</t>
        </is>
      </c>
      <c r="AM791" t="inlineStr">
        <is>
          <t>601+</t>
        </is>
      </c>
      <c r="AN791" t="inlineStr">
        <is>
          <t>10.5</t>
        </is>
      </c>
      <c r="AO791" t="inlineStr">
        <is>
          <t>701+</t>
        </is>
      </c>
      <c r="AP791" t="inlineStr">
        <is>
          <t>7.8</t>
        </is>
      </c>
      <c r="AQ791" t="inlineStr">
        <is>
          <t>701+</t>
        </is>
      </c>
      <c r="AR791" t="inlineStr">
        <is>
          <t>2.4</t>
        </is>
      </c>
      <c r="AS791" t="inlineStr">
        <is>
          <t>701+</t>
        </is>
      </c>
      <c r="AT791" t="inlineStr">
        <is>
          <t>2.2</t>
        </is>
      </c>
      <c r="AU791" t="inlineStr">
        <is>
          <t>701+</t>
        </is>
      </c>
      <c r="AV791" t="inlineStr">
        <is>
          <t>1.2</t>
        </is>
      </c>
      <c r="AW791" t="inlineStr">
        <is>
          <t>701+</t>
        </is>
      </c>
      <c r="AX791" t="inlineStr">
        <is>
          <t>6.7</t>
        </is>
      </c>
      <c r="AY791" t="inlineStr">
        <is>
          <t>701+</t>
        </is>
      </c>
      <c r="AZ791" t="inlineStr">
        <is>
          <t>4.1</t>
        </is>
      </c>
      <c r="BA791" t="inlineStr">
        <is>
          <t>701+</t>
        </is>
      </c>
    </row>
    <row r="792">
      <c r="A792" t="inlineStr">
        <is>
          <t>Portland State University</t>
        </is>
      </c>
      <c r="B792" t="inlineStr">
        <is>
          <t>United States</t>
        </is>
      </c>
      <c r="C792" t="inlineStr">
        <is>
          <t>US</t>
        </is>
      </c>
      <c r="D792" t="inlineStr">
        <is>
          <t>Americas</t>
        </is>
      </c>
      <c r="E792" t="inlineStr">
        <is>
          <t>L</t>
        </is>
      </c>
      <c r="F792" t="inlineStr">
        <is>
          <t>CO</t>
        </is>
      </c>
      <c r="G792" t="inlineStr">
        <is>
          <t>VH</t>
        </is>
      </c>
      <c r="H792" t="inlineStr">
        <is>
          <t>4</t>
        </is>
      </c>
      <c r="I792" t="inlineStr">
        <is>
          <t>Public</t>
        </is>
      </c>
      <c r="J792" t="inlineStr">
        <is>
          <t>1201-1400</t>
        </is>
      </c>
      <c r="K792" t="inlineStr">
        <is>
          <t>1201-1400</t>
        </is>
      </c>
      <c r="L792" t="inlineStr">
        <is>
          <t>1201-1400</t>
        </is>
      </c>
      <c r="M792" t="inlineStr">
        <is>
          <t>1201-1400</t>
        </is>
      </c>
      <c r="N792" t="inlineStr">
        <is>
          <t>-</t>
        </is>
      </c>
      <c r="O792" t="inlineStr">
        <is>
          <t>-</t>
        </is>
      </c>
      <c r="P792" t="n">
        <v>4.9</v>
      </c>
      <c r="Q792" t="inlineStr">
        <is>
          <t>701+</t>
        </is>
      </c>
      <c r="R792" t="n">
        <v>2.6</v>
      </c>
      <c r="S792" t="inlineStr">
        <is>
          <t>701+</t>
        </is>
      </c>
      <c r="T792" t="n">
        <v>14.8</v>
      </c>
      <c r="U792" t="inlineStr">
        <is>
          <t>801+</t>
        </is>
      </c>
      <c r="V792" t="n">
        <v>15.7</v>
      </c>
      <c r="W792" t="inlineStr">
        <is>
          <t>789</t>
        </is>
      </c>
      <c r="X792" t="n">
        <v>2.1</v>
      </c>
      <c r="Y792" t="inlineStr">
        <is>
          <t>801+</t>
        </is>
      </c>
      <c r="Z792" t="n">
        <v>10.8</v>
      </c>
      <c r="AA792" t="inlineStr">
        <is>
          <t>801+</t>
        </is>
      </c>
      <c r="AB792" t="n">
        <v>8.300000000000001</v>
      </c>
      <c r="AC792" t="inlineStr">
        <is>
          <t>801+</t>
        </is>
      </c>
      <c r="AD792" t="n">
        <v>42.3</v>
      </c>
      <c r="AE792" t="inlineStr">
        <is>
          <t>801+</t>
        </is>
      </c>
      <c r="AF792" t="n">
        <v>16.5</v>
      </c>
      <c r="AG792" t="inlineStr">
        <is>
          <t>796</t>
        </is>
      </c>
      <c r="AH792" t="n">
        <v>47</v>
      </c>
      <c r="AI792" t="inlineStr">
        <is>
          <t>789=</t>
        </is>
      </c>
      <c r="AJ792" t="inlineStr">
        <is>
          <t>4.3</t>
        </is>
      </c>
      <c r="AK792" t="inlineStr">
        <is>
          <t>601+</t>
        </is>
      </c>
      <c r="AL792" t="inlineStr">
        <is>
          <t>2.1</t>
        </is>
      </c>
      <c r="AM792" t="inlineStr">
        <is>
          <t>601+</t>
        </is>
      </c>
      <c r="AN792" t="inlineStr">
        <is>
          <t>9.5</t>
        </is>
      </c>
      <c r="AO792" t="inlineStr">
        <is>
          <t>701+</t>
        </is>
      </c>
      <c r="AP792" t="inlineStr">
        <is>
          <t>10.5</t>
        </is>
      </c>
      <c r="AQ792" t="inlineStr">
        <is>
          <t>701+</t>
        </is>
      </c>
      <c r="AR792" t="inlineStr">
        <is>
          <t>1.6</t>
        </is>
      </c>
      <c r="AS792" t="inlineStr">
        <is>
          <t>701+</t>
        </is>
      </c>
      <c r="AT792" t="inlineStr">
        <is>
          <t>5.3</t>
        </is>
      </c>
      <c r="AU792" t="inlineStr">
        <is>
          <t>701+</t>
        </is>
      </c>
      <c r="AV792" t="inlineStr">
        <is>
          <t>4.9</t>
        </is>
      </c>
      <c r="AW792" t="inlineStr">
        <is>
          <t>701+</t>
        </is>
      </c>
      <c r="AX792" t="inlineStr">
        <is>
          <t>10.3</t>
        </is>
      </c>
      <c r="AY792" t="inlineStr">
        <is>
          <t>701+</t>
        </is>
      </c>
      <c r="AZ792" t="inlineStr">
        <is>
          <t>18.4</t>
        </is>
      </c>
      <c r="BA792" t="inlineStr">
        <is>
          <t>560=</t>
        </is>
      </c>
    </row>
    <row r="793">
      <c r="A793" t="inlineStr">
        <is>
          <t>Poznan University of Life Sciences</t>
        </is>
      </c>
      <c r="B793" t="inlineStr">
        <is>
          <t>Poland</t>
        </is>
      </c>
      <c r="C793" t="inlineStr">
        <is>
          <t>PL</t>
        </is>
      </c>
      <c r="D793" t="inlineStr">
        <is>
          <t>Europe</t>
        </is>
      </c>
      <c r="E793" t="inlineStr">
        <is>
          <t>M</t>
        </is>
      </c>
      <c r="F793" t="inlineStr">
        <is>
          <t>FO</t>
        </is>
      </c>
      <c r="G793" t="inlineStr">
        <is>
          <t>VH</t>
        </is>
      </c>
      <c r="H793" t="inlineStr">
        <is>
          <t>5</t>
        </is>
      </c>
      <c r="I793" t="inlineStr">
        <is>
          <t>Public</t>
        </is>
      </c>
      <c r="J793" t="inlineStr">
        <is>
          <t>1001-1200</t>
        </is>
      </c>
      <c r="K793" t="inlineStr">
        <is>
          <t>851-900</t>
        </is>
      </c>
      <c r="L793" t="inlineStr">
        <is>
          <t>801-850</t>
        </is>
      </c>
      <c r="M793" t="inlineStr">
        <is>
          <t>521-530</t>
        </is>
      </c>
      <c r="N793" t="inlineStr">
        <is>
          <t>-</t>
        </is>
      </c>
      <c r="O793" t="inlineStr">
        <is>
          <t>-</t>
        </is>
      </c>
      <c r="P793" t="n">
        <v>6.6</v>
      </c>
      <c r="Q793" t="inlineStr">
        <is>
          <t>701+</t>
        </is>
      </c>
      <c r="R793" t="n">
        <v>4.1</v>
      </c>
      <c r="S793" t="inlineStr">
        <is>
          <t>701+</t>
        </is>
      </c>
      <c r="T793" t="n">
        <v>92.2</v>
      </c>
      <c r="U793" t="inlineStr">
        <is>
          <t>95</t>
        </is>
      </c>
      <c r="V793" t="n">
        <v>14.8</v>
      </c>
      <c r="W793" t="inlineStr">
        <is>
          <t>801+</t>
        </is>
      </c>
      <c r="X793" t="n">
        <v>1.7</v>
      </c>
      <c r="Y793" t="inlineStr">
        <is>
          <t>801+</t>
        </is>
      </c>
      <c r="Z793" t="n">
        <v>11.1</v>
      </c>
      <c r="AA793" t="inlineStr">
        <is>
          <t>801+</t>
        </is>
      </c>
      <c r="AB793" t="n">
        <v>14.5</v>
      </c>
      <c r="AC793" t="inlineStr">
        <is>
          <t>801+</t>
        </is>
      </c>
      <c r="AD793" t="n">
        <v>37.5</v>
      </c>
      <c r="AE793" t="inlineStr">
        <is>
          <t>801+</t>
        </is>
      </c>
      <c r="AF793" t="n">
        <v>4.1</v>
      </c>
      <c r="AG793" t="inlineStr">
        <is>
          <t>801+</t>
        </is>
      </c>
      <c r="AH793" t="n">
        <v>26.6</v>
      </c>
      <c r="AI793" t="inlineStr">
        <is>
          <t>801+</t>
        </is>
      </c>
      <c r="AJ793" t="inlineStr">
        <is>
          <t>5.8</t>
        </is>
      </c>
      <c r="AK793" t="inlineStr">
        <is>
          <t>601+</t>
        </is>
      </c>
      <c r="AL793" t="inlineStr">
        <is>
          <t>1.8</t>
        </is>
      </c>
      <c r="AM793" t="inlineStr">
        <is>
          <t>601+</t>
        </is>
      </c>
      <c r="AN793" t="inlineStr">
        <is>
          <t>98.0</t>
        </is>
      </c>
      <c r="AO793" t="inlineStr">
        <is>
          <t>46</t>
        </is>
      </c>
      <c r="AP793" t="inlineStr">
        <is>
          <t>5.2</t>
        </is>
      </c>
      <c r="AQ793" t="inlineStr">
        <is>
          <t>701+</t>
        </is>
      </c>
      <c r="AR793" t="inlineStr">
        <is>
          <t>3.2</t>
        </is>
      </c>
      <c r="AS793" t="inlineStr">
        <is>
          <t>701+</t>
        </is>
      </c>
      <c r="AT793" t="inlineStr">
        <is>
          <t>5.4</t>
        </is>
      </c>
      <c r="AU793" t="inlineStr">
        <is>
          <t>701+</t>
        </is>
      </c>
      <c r="AV793" t="inlineStr">
        <is>
          <t>1.7</t>
        </is>
      </c>
      <c r="AW793" t="inlineStr">
        <is>
          <t>701+</t>
        </is>
      </c>
      <c r="AX793" t="inlineStr">
        <is>
          <t>8.2</t>
        </is>
      </c>
      <c r="AY793" t="inlineStr">
        <is>
          <t>701+</t>
        </is>
      </c>
      <c r="AZ793" t="inlineStr">
        <is>
          <t>1.1</t>
        </is>
      </c>
      <c r="BA793" t="inlineStr">
        <is>
          <t>701+</t>
        </is>
      </c>
    </row>
    <row r="794">
      <c r="A794" t="inlineStr">
        <is>
          <t>Poznan University of Technology</t>
        </is>
      </c>
      <c r="B794" t="inlineStr">
        <is>
          <t>Poland</t>
        </is>
      </c>
      <c r="C794" t="inlineStr"/>
      <c r="D794" t="inlineStr">
        <is>
          <t>Europe</t>
        </is>
      </c>
      <c r="E794" t="inlineStr">
        <is>
          <t>L</t>
        </is>
      </c>
      <c r="F794" t="inlineStr">
        <is>
          <t>FO</t>
        </is>
      </c>
      <c r="G794" t="inlineStr">
        <is>
          <t>VH</t>
        </is>
      </c>
      <c r="H794" t="inlineStr"/>
      <c r="I794" t="inlineStr">
        <is>
          <t>Public</t>
        </is>
      </c>
      <c r="J794" t="inlineStr">
        <is>
          <t>1001-1200</t>
        </is>
      </c>
      <c r="K794" t="inlineStr">
        <is>
          <t>1001-1200</t>
        </is>
      </c>
      <c r="L794" t="inlineStr"/>
      <c r="M794" t="inlineStr"/>
      <c r="N794" t="inlineStr">
        <is>
          <t>-</t>
        </is>
      </c>
      <c r="O794" t="inlineStr"/>
      <c r="P794" t="n">
        <v>10.9</v>
      </c>
      <c r="Q794" t="inlineStr">
        <is>
          <t>701+</t>
        </is>
      </c>
      <c r="R794" t="n">
        <v>13.1</v>
      </c>
      <c r="S794" t="inlineStr">
        <is>
          <t>701+</t>
        </is>
      </c>
      <c r="T794" t="n">
        <v>39.8</v>
      </c>
      <c r="U794" t="inlineStr">
        <is>
          <t>510</t>
        </is>
      </c>
      <c r="V794" t="n">
        <v>12.8</v>
      </c>
      <c r="W794" t="inlineStr">
        <is>
          <t>801+</t>
        </is>
      </c>
      <c r="X794" t="n">
        <v>3.4</v>
      </c>
      <c r="Y794" t="inlineStr">
        <is>
          <t>801+</t>
        </is>
      </c>
      <c r="Z794" t="n">
        <v>10.7</v>
      </c>
      <c r="AA794" t="inlineStr">
        <is>
          <t>801+</t>
        </is>
      </c>
      <c r="AB794" t="n">
        <v>15.5</v>
      </c>
      <c r="AC794" t="inlineStr">
        <is>
          <t>801+</t>
        </is>
      </c>
      <c r="AD794" t="n">
        <v>47.8</v>
      </c>
      <c r="AE794" t="inlineStr">
        <is>
          <t>801+</t>
        </is>
      </c>
      <c r="AF794" t="n">
        <v>7.4</v>
      </c>
      <c r="AG794" t="inlineStr">
        <is>
          <t>801+</t>
        </is>
      </c>
      <c r="AH794" t="n">
        <v>27.6</v>
      </c>
      <c r="AI794" t="inlineStr">
        <is>
          <t>801+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</row>
    <row r="795">
      <c r="A795" t="inlineStr">
        <is>
          <t>Poznań University of Technology</t>
        </is>
      </c>
      <c r="B795" t="inlineStr">
        <is>
          <t>Poland</t>
        </is>
      </c>
      <c r="C795" t="inlineStr">
        <is>
          <t>PL</t>
        </is>
      </c>
      <c r="D795" t="inlineStr"/>
      <c r="E795" t="inlineStr">
        <is>
          <t>L</t>
        </is>
      </c>
      <c r="F795" t="inlineStr">
        <is>
          <t>SP</t>
        </is>
      </c>
      <c r="G795" t="inlineStr"/>
      <c r="H795" t="inlineStr">
        <is>
          <t>5</t>
        </is>
      </c>
      <c r="I795" t="inlineStr">
        <is>
          <t>A</t>
        </is>
      </c>
      <c r="J795" t="inlineStr"/>
      <c r="K795" t="inlineStr"/>
      <c r="L795" t="inlineStr">
        <is>
          <t>1001-1200</t>
        </is>
      </c>
      <c r="M795" t="inlineStr">
        <is>
          <t>801-1000</t>
        </is>
      </c>
      <c r="N795" t="inlineStr"/>
      <c r="O795" t="inlineStr">
        <is>
          <t>-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7.4</t>
        </is>
      </c>
      <c r="AK795" t="inlineStr">
        <is>
          <t>601+</t>
        </is>
      </c>
      <c r="AL795" t="inlineStr">
        <is>
          <t>5.6</t>
        </is>
      </c>
      <c r="AM795" t="inlineStr">
        <is>
          <t>601+</t>
        </is>
      </c>
      <c r="AN795" t="inlineStr">
        <is>
          <t>32.6</t>
        </is>
      </c>
      <c r="AO795" t="inlineStr">
        <is>
          <t>488</t>
        </is>
      </c>
      <c r="AP795" t="inlineStr">
        <is>
          <t>5.9</t>
        </is>
      </c>
      <c r="AQ795" t="inlineStr">
        <is>
          <t>701+</t>
        </is>
      </c>
      <c r="AR795" t="inlineStr">
        <is>
          <t>2.2</t>
        </is>
      </c>
      <c r="AS795" t="inlineStr">
        <is>
          <t>701+</t>
        </is>
      </c>
      <c r="AT795" t="inlineStr">
        <is>
          <t>4.0</t>
        </is>
      </c>
      <c r="AU795" t="inlineStr">
        <is>
          <t>701+</t>
        </is>
      </c>
      <c r="AV795" t="inlineStr">
        <is>
          <t>5.5</t>
        </is>
      </c>
      <c r="AW795" t="inlineStr">
        <is>
          <t>701+</t>
        </is>
      </c>
      <c r="AX795" t="inlineStr">
        <is>
          <t>7.5</t>
        </is>
      </c>
      <c r="AY795" t="inlineStr">
        <is>
          <t>701+</t>
        </is>
      </c>
      <c r="AZ795" t="inlineStr">
        <is>
          <t>1.2</t>
        </is>
      </c>
      <c r="BA795" t="inlineStr">
        <is>
          <t>701+</t>
        </is>
      </c>
    </row>
    <row r="796">
      <c r="A796" t="inlineStr">
        <is>
          <t>Pratt Institute</t>
        </is>
      </c>
      <c r="B796" t="inlineStr">
        <is>
          <t>United States</t>
        </is>
      </c>
      <c r="C796" t="inlineStr"/>
      <c r="D796" t="inlineStr">
        <is>
          <t>Americas</t>
        </is>
      </c>
      <c r="E796" t="inlineStr">
        <is>
          <t>M</t>
        </is>
      </c>
      <c r="F796" t="inlineStr">
        <is>
          <t>FO</t>
        </is>
      </c>
      <c r="G796" t="inlineStr">
        <is>
          <t>HI</t>
        </is>
      </c>
      <c r="H796" t="inlineStr"/>
      <c r="I796" t="inlineStr">
        <is>
          <t>Private not for Profit</t>
        </is>
      </c>
      <c r="J796" t="inlineStr">
        <is>
          <t>1201-1400</t>
        </is>
      </c>
      <c r="K796" t="inlineStr"/>
      <c r="L796" t="inlineStr"/>
      <c r="M796" t="inlineStr"/>
      <c r="N796" t="inlineStr">
        <is>
          <t>-</t>
        </is>
      </c>
      <c r="O796" t="inlineStr"/>
      <c r="P796" t="n">
        <v>6.9</v>
      </c>
      <c r="Q796" t="inlineStr">
        <is>
          <t>701+</t>
        </is>
      </c>
      <c r="R796" t="n">
        <v>7</v>
      </c>
      <c r="S796" t="inlineStr">
        <is>
          <t>701+</t>
        </is>
      </c>
      <c r="T796" t="n">
        <v>47.5</v>
      </c>
      <c r="U796" t="inlineStr">
        <is>
          <t>413</t>
        </is>
      </c>
      <c r="V796" t="n">
        <v>1.7</v>
      </c>
      <c r="W796" t="inlineStr">
        <is>
          <t>801+</t>
        </is>
      </c>
      <c r="X796" t="n">
        <v>7.5</v>
      </c>
      <c r="Y796" t="inlineStr">
        <is>
          <t>801+</t>
        </is>
      </c>
      <c r="Z796" t="n">
        <v>95.59999999999999</v>
      </c>
      <c r="AA796" t="inlineStr">
        <is>
          <t>120</t>
        </is>
      </c>
      <c r="AB796" t="n">
        <v>71.09999999999999</v>
      </c>
      <c r="AC796" t="inlineStr">
        <is>
          <t>262</t>
        </is>
      </c>
      <c r="AD796" t="n">
        <v>2.1</v>
      </c>
      <c r="AE796" t="inlineStr">
        <is>
          <t>801+</t>
        </is>
      </c>
      <c r="AF796" t="n">
        <v>7.1</v>
      </c>
      <c r="AG796" t="inlineStr">
        <is>
          <t>801+</t>
        </is>
      </c>
      <c r="AH796" t="n">
        <v>10.1</v>
      </c>
      <c r="AI796" t="inlineStr">
        <is>
          <t>801+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</row>
    <row r="797">
      <c r="A797" t="inlineStr">
        <is>
          <t>Prince Mohammad Bin Fahd University</t>
        </is>
      </c>
      <c r="B797" t="inlineStr">
        <is>
          <t>Saudi Arabia</t>
        </is>
      </c>
      <c r="C797" t="inlineStr">
        <is>
          <t>SA</t>
        </is>
      </c>
      <c r="D797" t="inlineStr">
        <is>
          <t>Asia</t>
        </is>
      </c>
      <c r="E797" t="inlineStr">
        <is>
          <t>S</t>
        </is>
      </c>
      <c r="F797" t="inlineStr">
        <is>
          <t>SP</t>
        </is>
      </c>
      <c r="G797" t="inlineStr">
        <is>
          <t>VH</t>
        </is>
      </c>
      <c r="H797" t="inlineStr">
        <is>
          <t>2</t>
        </is>
      </c>
      <c r="I797" t="inlineStr">
        <is>
          <t>Private not for Profit</t>
        </is>
      </c>
      <c r="J797" t="inlineStr">
        <is>
          <t>436</t>
        </is>
      </c>
      <c r="K797" t="inlineStr">
        <is>
          <t>513</t>
        </is>
      </c>
      <c r="L797">
        <f>590</f>
        <v/>
      </c>
      <c r="M797" t="inlineStr">
        <is>
          <t>651-700</t>
        </is>
      </c>
      <c r="N797" t="inlineStr">
        <is>
          <t>35.2</t>
        </is>
      </c>
      <c r="O797" t="inlineStr">
        <is>
          <t>20.1</t>
        </is>
      </c>
      <c r="P797" t="n">
        <v>22.5</v>
      </c>
      <c r="Q797" t="inlineStr">
        <is>
          <t>558</t>
        </is>
      </c>
      <c r="R797" t="n">
        <v>33.6</v>
      </c>
      <c r="S797" t="inlineStr">
        <is>
          <t>427</t>
        </is>
      </c>
      <c r="T797" t="n">
        <v>33.1</v>
      </c>
      <c r="U797" t="inlineStr">
        <is>
          <t>588</t>
        </is>
      </c>
      <c r="V797" t="n">
        <v>54.7</v>
      </c>
      <c r="W797" t="inlineStr">
        <is>
          <t>331</t>
        </is>
      </c>
      <c r="X797" t="n">
        <v>100</v>
      </c>
      <c r="Y797" t="inlineStr">
        <is>
          <t>13</t>
        </is>
      </c>
      <c r="Z797" t="n">
        <v>29.6</v>
      </c>
      <c r="AA797" t="inlineStr">
        <is>
          <t>593</t>
        </is>
      </c>
      <c r="AB797" t="n">
        <v>22.2</v>
      </c>
      <c r="AC797" t="inlineStr">
        <is>
          <t>726</t>
        </is>
      </c>
      <c r="AD797" t="n">
        <v>32.3</v>
      </c>
      <c r="AE797" t="inlineStr">
        <is>
          <t>801+</t>
        </is>
      </c>
      <c r="AF797" t="n">
        <v>3.3</v>
      </c>
      <c r="AG797" t="inlineStr">
        <is>
          <t>801+</t>
        </is>
      </c>
      <c r="AH797" t="n">
        <v>37.4</v>
      </c>
      <c r="AI797" t="inlineStr">
        <is>
          <t>801+</t>
        </is>
      </c>
      <c r="AJ797" t="inlineStr">
        <is>
          <t>15.4</t>
        </is>
      </c>
      <c r="AK797" t="inlineStr">
        <is>
          <t>568</t>
        </is>
      </c>
      <c r="AL797" t="inlineStr">
        <is>
          <t>19.1</t>
        </is>
      </c>
      <c r="AM797" t="inlineStr">
        <is>
          <t>468</t>
        </is>
      </c>
      <c r="AN797" t="inlineStr">
        <is>
          <t>20.8</t>
        </is>
      </c>
      <c r="AO797" t="inlineStr">
        <is>
          <t>650</t>
        </is>
      </c>
      <c r="AP797" t="inlineStr">
        <is>
          <t>20.3</t>
        </is>
      </c>
      <c r="AQ797" t="inlineStr">
        <is>
          <t>555</t>
        </is>
      </c>
      <c r="AR797" t="inlineStr">
        <is>
          <t>100.0</t>
        </is>
      </c>
      <c r="AS797" t="inlineStr">
        <is>
          <t>11</t>
        </is>
      </c>
      <c r="AT797" t="inlineStr">
        <is>
          <t>20.5</t>
        </is>
      </c>
      <c r="AU797" t="inlineStr">
        <is>
          <t>542</t>
        </is>
      </c>
      <c r="AV797" t="inlineStr">
        <is>
          <t>1.1</t>
        </is>
      </c>
      <c r="AW797" t="inlineStr">
        <is>
          <t>701+</t>
        </is>
      </c>
      <c r="AX797" t="inlineStr">
        <is>
          <t>9.4</t>
        </is>
      </c>
      <c r="AY797" t="inlineStr">
        <is>
          <t>701+</t>
        </is>
      </c>
      <c r="AZ797" t="inlineStr">
        <is>
          <t>1</t>
        </is>
      </c>
      <c r="BA797" t="inlineStr">
        <is>
          <t>701+</t>
        </is>
      </c>
    </row>
    <row r="798">
      <c r="A798" t="inlineStr">
        <is>
          <t>Prince of Songkla University</t>
        </is>
      </c>
      <c r="B798" t="inlineStr">
        <is>
          <t>Thailand</t>
        </is>
      </c>
      <c r="C798" t="inlineStr">
        <is>
          <t>TH</t>
        </is>
      </c>
      <c r="D798" t="inlineStr">
        <is>
          <t>Asia</t>
        </is>
      </c>
      <c r="E798" t="inlineStr">
        <is>
          <t>XL</t>
        </is>
      </c>
      <c r="F798" t="inlineStr">
        <is>
          <t>FC</t>
        </is>
      </c>
      <c r="G798" t="inlineStr">
        <is>
          <t>HI</t>
        </is>
      </c>
      <c r="H798" t="inlineStr">
        <is>
          <t>4</t>
        </is>
      </c>
      <c r="I798" t="inlineStr">
        <is>
          <t>Public</t>
        </is>
      </c>
      <c r="J798" t="inlineStr">
        <is>
          <t>851-900</t>
        </is>
      </c>
      <c r="K798" t="inlineStr">
        <is>
          <t>951-1000</t>
        </is>
      </c>
      <c r="L798" t="inlineStr">
        <is>
          <t>901-950</t>
        </is>
      </c>
      <c r="M798" t="inlineStr">
        <is>
          <t>801-1000</t>
        </is>
      </c>
      <c r="N798" t="inlineStr">
        <is>
          <t>-</t>
        </is>
      </c>
      <c r="O798" t="inlineStr">
        <is>
          <t>-</t>
        </is>
      </c>
      <c r="P798" t="n">
        <v>32.4</v>
      </c>
      <c r="Q798" t="inlineStr">
        <is>
          <t>380</t>
        </is>
      </c>
      <c r="R798" t="n">
        <v>13.5</v>
      </c>
      <c r="S798" t="inlineStr">
        <is>
          <t>701+</t>
        </is>
      </c>
      <c r="T798" t="n">
        <v>20.4</v>
      </c>
      <c r="U798" t="inlineStr">
        <is>
          <t>801+</t>
        </is>
      </c>
      <c r="V798" t="n">
        <v>6.9</v>
      </c>
      <c r="W798" t="inlineStr">
        <is>
          <t>801+</t>
        </is>
      </c>
      <c r="X798" t="n">
        <v>7.4</v>
      </c>
      <c r="Y798" t="inlineStr">
        <is>
          <t>801+</t>
        </is>
      </c>
      <c r="Z798" t="n">
        <v>2.7</v>
      </c>
      <c r="AA798" t="inlineStr">
        <is>
          <t>801+</t>
        </is>
      </c>
      <c r="AB798" t="n">
        <v>7.2</v>
      </c>
      <c r="AC798" t="inlineStr">
        <is>
          <t>801+</t>
        </is>
      </c>
      <c r="AD798" t="n">
        <v>55.4</v>
      </c>
      <c r="AE798" t="inlineStr">
        <is>
          <t>764</t>
        </is>
      </c>
      <c r="AF798" t="n">
        <v>5.6</v>
      </c>
      <c r="AG798" t="inlineStr">
        <is>
          <t>801+</t>
        </is>
      </c>
      <c r="AH798" t="n">
        <v>60.9</v>
      </c>
      <c r="AI798" t="inlineStr">
        <is>
          <t>486=</t>
        </is>
      </c>
      <c r="AJ798" t="inlineStr">
        <is>
          <t>20.1</t>
        </is>
      </c>
      <c r="AK798" t="inlineStr">
        <is>
          <t>437</t>
        </is>
      </c>
      <c r="AL798" t="inlineStr">
        <is>
          <t>7.1</t>
        </is>
      </c>
      <c r="AM798" t="inlineStr">
        <is>
          <t>601+</t>
        </is>
      </c>
      <c r="AN798" t="inlineStr">
        <is>
          <t>16.4</t>
        </is>
      </c>
      <c r="AO798" t="inlineStr">
        <is>
          <t>701+</t>
        </is>
      </c>
      <c r="AP798" t="inlineStr">
        <is>
          <t>3.2</t>
        </is>
      </c>
      <c r="AQ798" t="inlineStr">
        <is>
          <t>701+</t>
        </is>
      </c>
      <c r="AR798" t="inlineStr">
        <is>
          <t>4.9</t>
        </is>
      </c>
      <c r="AS798" t="inlineStr">
        <is>
          <t>701+</t>
        </is>
      </c>
      <c r="AT798" t="inlineStr">
        <is>
          <t>1.9</t>
        </is>
      </c>
      <c r="AU798" t="inlineStr">
        <is>
          <t>701+</t>
        </is>
      </c>
      <c r="AV798" t="inlineStr">
        <is>
          <t>4.0</t>
        </is>
      </c>
      <c r="AW798" t="inlineStr">
        <is>
          <t>701+</t>
        </is>
      </c>
      <c r="AX798" t="inlineStr">
        <is>
          <t>7.7</t>
        </is>
      </c>
      <c r="AY798" t="inlineStr">
        <is>
          <t>701+</t>
        </is>
      </c>
      <c r="AZ798" t="inlineStr">
        <is>
          <t>42.6</t>
        </is>
      </c>
      <c r="BA798" t="inlineStr">
        <is>
          <t>345=</t>
        </is>
      </c>
    </row>
    <row r="799">
      <c r="A799" t="inlineStr">
        <is>
          <t>Prince Sattam Bin Abdulaziz University</t>
        </is>
      </c>
      <c r="B799" t="inlineStr">
        <is>
          <t>Saudi Arabia</t>
        </is>
      </c>
      <c r="C799" t="inlineStr"/>
      <c r="D799" t="inlineStr">
        <is>
          <t>Asia</t>
        </is>
      </c>
      <c r="E799" t="inlineStr">
        <is>
          <t>L</t>
        </is>
      </c>
      <c r="F799" t="inlineStr">
        <is>
          <t>FO</t>
        </is>
      </c>
      <c r="G799" t="inlineStr">
        <is>
          <t>VH</t>
        </is>
      </c>
      <c r="H799" t="inlineStr"/>
      <c r="I799" t="inlineStr">
        <is>
          <t>Public</t>
        </is>
      </c>
      <c r="J799" t="inlineStr">
        <is>
          <t>721-730</t>
        </is>
      </c>
      <c r="K799" t="inlineStr"/>
      <c r="L799" t="inlineStr"/>
      <c r="M799" t="inlineStr"/>
      <c r="N799" t="inlineStr">
        <is>
          <t>-</t>
        </is>
      </c>
      <c r="O799" t="inlineStr"/>
      <c r="P799" t="n">
        <v>6.4</v>
      </c>
      <c r="Q799" t="inlineStr">
        <is>
          <t>701+</t>
        </is>
      </c>
      <c r="R799" t="n">
        <v>3.1</v>
      </c>
      <c r="S799" t="inlineStr">
        <is>
          <t>701+</t>
        </is>
      </c>
      <c r="T799" t="n">
        <v>69.3</v>
      </c>
      <c r="U799" t="inlineStr">
        <is>
          <t>237</t>
        </is>
      </c>
      <c r="V799" t="n">
        <v>19.6</v>
      </c>
      <c r="W799" t="inlineStr">
        <is>
          <t>720</t>
        </is>
      </c>
      <c r="X799" t="n">
        <v>99.59999999999999</v>
      </c>
      <c r="Y799" t="inlineStr">
        <is>
          <t>109</t>
        </is>
      </c>
      <c r="Z799" t="n">
        <v>15.5</v>
      </c>
      <c r="AA799" t="inlineStr">
        <is>
          <t>801+</t>
        </is>
      </c>
      <c r="AB799" t="n">
        <v>18.4</v>
      </c>
      <c r="AC799" t="inlineStr">
        <is>
          <t>789</t>
        </is>
      </c>
      <c r="AD799" t="n">
        <v>93.59999999999999</v>
      </c>
      <c r="AE799" t="inlineStr">
        <is>
          <t>109</t>
        </is>
      </c>
      <c r="AF799" t="n">
        <v>3</v>
      </c>
      <c r="AG799" t="inlineStr">
        <is>
          <t>801+</t>
        </is>
      </c>
      <c r="AH799" t="n">
        <v>36.3</v>
      </c>
      <c r="AI799" t="inlineStr">
        <is>
          <t>801+</t>
        </is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</row>
    <row r="800">
      <c r="A800" t="inlineStr">
        <is>
          <t>Prince Sultan University</t>
        </is>
      </c>
      <c r="B800" t="inlineStr">
        <is>
          <t>Saudi Arabia</t>
        </is>
      </c>
      <c r="C800" t="inlineStr"/>
      <c r="D800" t="inlineStr">
        <is>
          <t>Asia</t>
        </is>
      </c>
      <c r="E800" t="inlineStr">
        <is>
          <t>S</t>
        </is>
      </c>
      <c r="F800" t="inlineStr">
        <is>
          <t>SP</t>
        </is>
      </c>
      <c r="G800" t="inlineStr">
        <is>
          <t>VH</t>
        </is>
      </c>
      <c r="H800" t="inlineStr"/>
      <c r="I800" t="inlineStr">
        <is>
          <t>Private not for Profit</t>
        </is>
      </c>
      <c r="J800" t="inlineStr">
        <is>
          <t>535</t>
        </is>
      </c>
      <c r="K800" t="inlineStr">
        <is>
          <t>681-690</t>
        </is>
      </c>
      <c r="L800" t="inlineStr"/>
      <c r="M800" t="inlineStr"/>
      <c r="N800" t="inlineStr">
        <is>
          <t>30.6</t>
        </is>
      </c>
      <c r="O800" t="inlineStr"/>
      <c r="P800" t="n">
        <v>10.6</v>
      </c>
      <c r="Q800" t="inlineStr">
        <is>
          <t>701+</t>
        </is>
      </c>
      <c r="R800" t="n">
        <v>12</v>
      </c>
      <c r="S800" t="inlineStr">
        <is>
          <t>701+</t>
        </is>
      </c>
      <c r="T800" t="n">
        <v>19.4</v>
      </c>
      <c r="U800" t="inlineStr">
        <is>
          <t>801+</t>
        </is>
      </c>
      <c r="V800" t="n">
        <v>61.9</v>
      </c>
      <c r="W800" t="inlineStr">
        <is>
          <t>274</t>
        </is>
      </c>
      <c r="X800" t="n">
        <v>100</v>
      </c>
      <c r="Y800" t="inlineStr">
        <is>
          <t>35</t>
        </is>
      </c>
      <c r="Z800" t="n">
        <v>23.2</v>
      </c>
      <c r="AA800" t="inlineStr">
        <is>
          <t>686</t>
        </is>
      </c>
      <c r="AB800" t="n">
        <v>24.7</v>
      </c>
      <c r="AC800" t="inlineStr">
        <is>
          <t>691</t>
        </is>
      </c>
      <c r="AD800" t="n">
        <v>62.7</v>
      </c>
      <c r="AE800" t="inlineStr">
        <is>
          <t>654</t>
        </is>
      </c>
      <c r="AF800" t="n">
        <v>15.9</v>
      </c>
      <c r="AG800" t="inlineStr">
        <is>
          <t>801+</t>
        </is>
      </c>
      <c r="AH800" t="n">
        <v>45.7</v>
      </c>
      <c r="AI800" t="inlineStr">
        <is>
          <t>801+</t>
        </is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</row>
    <row r="801">
      <c r="A801" t="inlineStr">
        <is>
          <t>Princess Nourah bint Abdulrahman University</t>
        </is>
      </c>
      <c r="B801" t="inlineStr">
        <is>
          <t>Saudi Arabia</t>
        </is>
      </c>
      <c r="C801" t="inlineStr">
        <is>
          <t>SA</t>
        </is>
      </c>
      <c r="D801" t="inlineStr">
        <is>
          <t>Asia</t>
        </is>
      </c>
      <c r="E801" t="inlineStr">
        <is>
          <t>L</t>
        </is>
      </c>
      <c r="F801" t="inlineStr">
        <is>
          <t>CO</t>
        </is>
      </c>
      <c r="G801" t="inlineStr">
        <is>
          <t>VH</t>
        </is>
      </c>
      <c r="H801" t="inlineStr">
        <is>
          <t>4</t>
        </is>
      </c>
      <c r="I801" t="inlineStr">
        <is>
          <t>Public</t>
        </is>
      </c>
      <c r="J801" t="inlineStr">
        <is>
          <t>731-740</t>
        </is>
      </c>
      <c r="K801" t="inlineStr">
        <is>
          <t>681-690</t>
        </is>
      </c>
      <c r="L801" t="inlineStr">
        <is>
          <t>661-670</t>
        </is>
      </c>
      <c r="M801" t="inlineStr">
        <is>
          <t>701-750</t>
        </is>
      </c>
      <c r="N801" t="inlineStr">
        <is>
          <t>-</t>
        </is>
      </c>
      <c r="O801" t="inlineStr">
        <is>
          <t>-</t>
        </is>
      </c>
      <c r="P801" t="n">
        <v>18.3</v>
      </c>
      <c r="Q801" t="inlineStr">
        <is>
          <t>666</t>
        </is>
      </c>
      <c r="R801" t="n">
        <v>24.1</v>
      </c>
      <c r="S801" t="inlineStr">
        <is>
          <t>561</t>
        </is>
      </c>
      <c r="T801" t="n">
        <v>28.7</v>
      </c>
      <c r="U801" t="inlineStr">
        <is>
          <t>664</t>
        </is>
      </c>
      <c r="V801" t="n">
        <v>7.2</v>
      </c>
      <c r="W801" t="inlineStr">
        <is>
          <t>801+</t>
        </is>
      </c>
      <c r="X801" t="n">
        <v>83.8</v>
      </c>
      <c r="Y801" t="inlineStr">
        <is>
          <t>264</t>
        </is>
      </c>
      <c r="Z801" t="n">
        <v>31.3</v>
      </c>
      <c r="AA801" t="inlineStr">
        <is>
          <t>575</t>
        </is>
      </c>
      <c r="AB801" t="n">
        <v>35.9</v>
      </c>
      <c r="AC801" t="inlineStr">
        <is>
          <t>537</t>
        </is>
      </c>
      <c r="AD801" t="n">
        <v>74.59999999999999</v>
      </c>
      <c r="AE801" t="inlineStr">
        <is>
          <t>452</t>
        </is>
      </c>
      <c r="AF801" t="n">
        <v>2.8</v>
      </c>
      <c r="AG801" t="inlineStr">
        <is>
          <t>801+</t>
        </is>
      </c>
      <c r="AH801" t="n">
        <v>49.8</v>
      </c>
      <c r="AI801" t="inlineStr">
        <is>
          <t>706=</t>
        </is>
      </c>
      <c r="AJ801" t="inlineStr">
        <is>
          <t>16.6</t>
        </is>
      </c>
      <c r="AK801" t="inlineStr">
        <is>
          <t>532</t>
        </is>
      </c>
      <c r="AL801" t="inlineStr">
        <is>
          <t>16.5</t>
        </is>
      </c>
      <c r="AM801" t="inlineStr">
        <is>
          <t>519</t>
        </is>
      </c>
      <c r="AN801" t="inlineStr">
        <is>
          <t>19.4</t>
        </is>
      </c>
      <c r="AO801" t="inlineStr">
        <is>
          <t>683</t>
        </is>
      </c>
      <c r="AP801" t="inlineStr">
        <is>
          <t>1.9</t>
        </is>
      </c>
      <c r="AQ801" t="inlineStr">
        <is>
          <t>701+</t>
        </is>
      </c>
      <c r="AR801" t="inlineStr">
        <is>
          <t>92.5</t>
        </is>
      </c>
      <c r="AS801" t="inlineStr">
        <is>
          <t>167</t>
        </is>
      </c>
      <c r="AT801" t="inlineStr">
        <is>
          <t>47.7</t>
        </is>
      </c>
      <c r="AU801" t="inlineStr">
        <is>
          <t>307</t>
        </is>
      </c>
      <c r="AV801" t="inlineStr">
        <is>
          <t>6.3</t>
        </is>
      </c>
      <c r="AW801" t="inlineStr">
        <is>
          <t>701+</t>
        </is>
      </c>
      <c r="AX801" t="inlineStr">
        <is>
          <t>8.2</t>
        </is>
      </c>
      <c r="AY801" t="inlineStr">
        <is>
          <t>701+</t>
        </is>
      </c>
      <c r="AZ801" t="inlineStr">
        <is>
          <t>2.5</t>
        </is>
      </c>
      <c r="BA801" t="inlineStr">
        <is>
          <t>701+</t>
        </is>
      </c>
    </row>
    <row r="802">
      <c r="A802" t="inlineStr">
        <is>
          <t>Princess Sumaya University for Technology</t>
        </is>
      </c>
      <c r="B802" t="inlineStr">
        <is>
          <t>Jordan</t>
        </is>
      </c>
      <c r="C802" t="inlineStr">
        <is>
          <t>JO</t>
        </is>
      </c>
      <c r="D802" t="inlineStr">
        <is>
          <t>Asia</t>
        </is>
      </c>
      <c r="E802" t="inlineStr">
        <is>
          <t>S</t>
        </is>
      </c>
      <c r="F802" t="inlineStr">
        <is>
          <t>SP</t>
        </is>
      </c>
      <c r="G802" t="inlineStr">
        <is>
          <t>HI</t>
        </is>
      </c>
      <c r="H802" t="inlineStr">
        <is>
          <t>3</t>
        </is>
      </c>
      <c r="I802" t="inlineStr">
        <is>
          <t>Private not for Profit</t>
        </is>
      </c>
      <c r="J802" t="inlineStr">
        <is>
          <t>901-950</t>
        </is>
      </c>
      <c r="K802" t="inlineStr">
        <is>
          <t>901-950</t>
        </is>
      </c>
      <c r="L802" t="inlineStr">
        <is>
          <t>901-950</t>
        </is>
      </c>
      <c r="M802" t="inlineStr">
        <is>
          <t>801-1000</t>
        </is>
      </c>
      <c r="N802" t="inlineStr">
        <is>
          <t>-</t>
        </is>
      </c>
      <c r="O802" t="inlineStr">
        <is>
          <t>-</t>
        </is>
      </c>
      <c r="P802" t="n">
        <v>11</v>
      </c>
      <c r="Q802" t="inlineStr">
        <is>
          <t>701+</t>
        </is>
      </c>
      <c r="R802" t="n">
        <v>36.8</v>
      </c>
      <c r="S802" t="inlineStr">
        <is>
          <t>385</t>
        </is>
      </c>
      <c r="T802" t="n">
        <v>14.3</v>
      </c>
      <c r="U802" t="inlineStr">
        <is>
          <t>801+</t>
        </is>
      </c>
      <c r="V802" t="n">
        <v>12.1</v>
      </c>
      <c r="W802" t="inlineStr">
        <is>
          <t>801+</t>
        </is>
      </c>
      <c r="X802" t="n">
        <v>60.1</v>
      </c>
      <c r="Y802" t="inlineStr">
        <is>
          <t>390</t>
        </is>
      </c>
      <c r="Z802" t="n">
        <v>57.2</v>
      </c>
      <c r="AA802" t="inlineStr">
        <is>
          <t>362</t>
        </is>
      </c>
      <c r="AB802" t="n">
        <v>54.4</v>
      </c>
      <c r="AC802" t="inlineStr">
        <is>
          <t>377</t>
        </is>
      </c>
      <c r="AD802" t="n">
        <v>8.800000000000001</v>
      </c>
      <c r="AE802" t="inlineStr">
        <is>
          <t>801+</t>
        </is>
      </c>
      <c r="AF802" t="n">
        <v>6.3</v>
      </c>
      <c r="AG802" t="inlineStr">
        <is>
          <t>801+</t>
        </is>
      </c>
      <c r="AH802" t="n">
        <v>31.3</v>
      </c>
      <c r="AI802" t="inlineStr">
        <is>
          <t>801+</t>
        </is>
      </c>
      <c r="AJ802" t="inlineStr">
        <is>
          <t>8.0</t>
        </is>
      </c>
      <c r="AK802" t="inlineStr">
        <is>
          <t>601+</t>
        </is>
      </c>
      <c r="AL802" t="inlineStr">
        <is>
          <t>19.5</t>
        </is>
      </c>
      <c r="AM802" t="inlineStr">
        <is>
          <t>462</t>
        </is>
      </c>
      <c r="AN802" t="inlineStr">
        <is>
          <t>10.7</t>
        </is>
      </c>
      <c r="AO802" t="inlineStr">
        <is>
          <t>701+</t>
        </is>
      </c>
      <c r="AP802" t="inlineStr">
        <is>
          <t>4.5</t>
        </is>
      </c>
      <c r="AQ802" t="inlineStr">
        <is>
          <t>701+</t>
        </is>
      </c>
      <c r="AR802" t="inlineStr">
        <is>
          <t>42.1</t>
        </is>
      </c>
      <c r="AS802" t="inlineStr">
        <is>
          <t>392</t>
        </is>
      </c>
      <c r="AT802" t="inlineStr">
        <is>
          <t>39.9</t>
        </is>
      </c>
      <c r="AU802" t="inlineStr">
        <is>
          <t>343</t>
        </is>
      </c>
      <c r="AV802" t="inlineStr">
        <is>
          <t>1.0</t>
        </is>
      </c>
      <c r="AW802" t="inlineStr">
        <is>
          <t>701+</t>
        </is>
      </c>
      <c r="AX802" t="inlineStr">
        <is>
          <t>11.7</t>
        </is>
      </c>
      <c r="AY802" t="inlineStr">
        <is>
          <t>701+</t>
        </is>
      </c>
      <c r="AZ802" t="inlineStr">
        <is>
          <t>1</t>
        </is>
      </c>
      <c r="BA802" t="inlineStr">
        <is>
          <t>701+</t>
        </is>
      </c>
    </row>
    <row r="803">
      <c r="A803" t="inlineStr">
        <is>
          <t>Princeton University</t>
        </is>
      </c>
      <c r="B803" t="inlineStr">
        <is>
          <t>United States</t>
        </is>
      </c>
      <c r="C803" t="inlineStr">
        <is>
          <t>US</t>
        </is>
      </c>
      <c r="D803" t="inlineStr">
        <is>
          <t>Americas</t>
        </is>
      </c>
      <c r="E803" t="inlineStr">
        <is>
          <t>M</t>
        </is>
      </c>
      <c r="F803" t="inlineStr">
        <is>
          <t>CO</t>
        </is>
      </c>
      <c r="G803" t="inlineStr">
        <is>
          <t>VH</t>
        </is>
      </c>
      <c r="H803" t="inlineStr">
        <is>
          <t>5</t>
        </is>
      </c>
      <c r="I803" t="inlineStr">
        <is>
          <t>Private not for Profit</t>
        </is>
      </c>
      <c r="J803" t="inlineStr">
        <is>
          <t>25</t>
        </is>
      </c>
      <c r="K803" t="inlineStr">
        <is>
          <t>22</t>
        </is>
      </c>
      <c r="L803">
        <f>17</f>
        <v/>
      </c>
      <c r="M803" t="inlineStr">
        <is>
          <t>16=</t>
        </is>
      </c>
      <c r="N803" t="inlineStr">
        <is>
          <t>89.4</t>
        </is>
      </c>
      <c r="O803" t="inlineStr">
        <is>
          <t>87.0</t>
        </is>
      </c>
      <c r="P803" t="n">
        <v>100</v>
      </c>
      <c r="Q803" t="inlineStr">
        <is>
          <t>10</t>
        </is>
      </c>
      <c r="R803" t="n">
        <v>99.8</v>
      </c>
      <c r="S803" t="inlineStr">
        <is>
          <t>13</t>
        </is>
      </c>
      <c r="T803" t="n">
        <v>67.3</v>
      </c>
      <c r="U803" t="inlineStr">
        <is>
          <t>253</t>
        </is>
      </c>
      <c r="V803" t="n">
        <v>100</v>
      </c>
      <c r="W803" t="inlineStr">
        <is>
          <t>5</t>
        </is>
      </c>
      <c r="X803" t="n">
        <v>12.7</v>
      </c>
      <c r="Y803" t="inlineStr">
        <is>
          <t>801+</t>
        </is>
      </c>
      <c r="Z803" t="n">
        <v>70</v>
      </c>
      <c r="AA803" t="inlineStr">
        <is>
          <t>280</t>
        </is>
      </c>
      <c r="AB803" t="n">
        <v>52.2</v>
      </c>
      <c r="AC803" t="inlineStr">
        <is>
          <t>397</t>
        </is>
      </c>
      <c r="AD803" t="n">
        <v>82.59999999999999</v>
      </c>
      <c r="AE803" t="inlineStr">
        <is>
          <t>300</t>
        </is>
      </c>
      <c r="AF803" t="n">
        <v>98.90000000000001</v>
      </c>
      <c r="AG803" t="inlineStr">
        <is>
          <t>28</t>
        </is>
      </c>
      <c r="AH803" t="n">
        <v>76</v>
      </c>
      <c r="AI803" t="inlineStr">
        <is>
          <t>222</t>
        </is>
      </c>
      <c r="AJ803" t="inlineStr">
        <is>
          <t>99.8</t>
        </is>
      </c>
      <c r="AK803" t="inlineStr">
        <is>
          <t>10</t>
        </is>
      </c>
      <c r="AL803" t="inlineStr">
        <is>
          <t>97.5</t>
        </is>
      </c>
      <c r="AM803" t="inlineStr">
        <is>
          <t>23</t>
        </is>
      </c>
      <c r="AN803" t="inlineStr">
        <is>
          <t>64.5</t>
        </is>
      </c>
      <c r="AO803" t="inlineStr">
        <is>
          <t>216</t>
        </is>
      </c>
      <c r="AP803" t="inlineStr">
        <is>
          <t>100.0</t>
        </is>
      </c>
      <c r="AQ803" t="inlineStr">
        <is>
          <t>2</t>
        </is>
      </c>
      <c r="AR803" t="inlineStr">
        <is>
          <t>16.7</t>
        </is>
      </c>
      <c r="AS803" t="inlineStr">
        <is>
          <t>640</t>
        </is>
      </c>
      <c r="AT803" t="inlineStr">
        <is>
          <t>57.5</t>
        </is>
      </c>
      <c r="AU803" t="inlineStr">
        <is>
          <t>261</t>
        </is>
      </c>
      <c r="AV803" t="inlineStr">
        <is>
          <t>52.5</t>
        </is>
      </c>
      <c r="AW803" t="inlineStr">
        <is>
          <t>298</t>
        </is>
      </c>
      <c r="AX803" t="inlineStr">
        <is>
          <t>94.6</t>
        </is>
      </c>
      <c r="AY803" t="inlineStr">
        <is>
          <t>27</t>
        </is>
      </c>
      <c r="AZ803" t="inlineStr">
        <is>
          <t>79.3</t>
        </is>
      </c>
      <c r="BA803" t="inlineStr">
        <is>
          <t>155</t>
        </is>
      </c>
    </row>
    <row r="804">
      <c r="A804" t="inlineStr">
        <is>
          <t>PSL University</t>
        </is>
      </c>
      <c r="B804" t="inlineStr">
        <is>
          <t>France</t>
        </is>
      </c>
      <c r="C804" t="inlineStr"/>
      <c r="D804" t="inlineStr">
        <is>
          <t>Europe</t>
        </is>
      </c>
      <c r="E804" t="inlineStr">
        <is>
          <t>L</t>
        </is>
      </c>
      <c r="F804" t="inlineStr">
        <is>
          <t>CO</t>
        </is>
      </c>
      <c r="G804" t="inlineStr">
        <is>
          <t>VH</t>
        </is>
      </c>
      <c r="H804" t="inlineStr"/>
      <c r="I804" t="inlineStr">
        <is>
          <t>Public</t>
        </is>
      </c>
      <c r="J804" t="inlineStr">
        <is>
          <t>28</t>
        </is>
      </c>
      <c r="K804" t="inlineStr">
        <is>
          <t>24</t>
        </is>
      </c>
      <c r="L804" t="inlineStr"/>
      <c r="M804" t="inlineStr"/>
      <c r="N804" t="inlineStr">
        <is>
          <t>88.6</t>
        </is>
      </c>
      <c r="O804" t="inlineStr"/>
      <c r="P804" t="n">
        <v>82.59999999999999</v>
      </c>
      <c r="Q804" t="inlineStr">
        <is>
          <t>86</t>
        </is>
      </c>
      <c r="R804" t="n">
        <v>98.5</v>
      </c>
      <c r="S804" t="inlineStr">
        <is>
          <t>31</t>
        </is>
      </c>
      <c r="T804" t="n">
        <v>98.59999999999999</v>
      </c>
      <c r="U804" t="inlineStr">
        <is>
          <t>48</t>
        </is>
      </c>
      <c r="V804" t="n">
        <v>85.09999999999999</v>
      </c>
      <c r="W804" t="inlineStr">
        <is>
          <t>123</t>
        </is>
      </c>
      <c r="X804" t="n">
        <v>69.59999999999999</v>
      </c>
      <c r="Y804" t="inlineStr">
        <is>
          <t>336</t>
        </is>
      </c>
      <c r="Z804" t="n">
        <v>75.5</v>
      </c>
      <c r="AA804" t="inlineStr">
        <is>
          <t>252</t>
        </is>
      </c>
      <c r="AB804" t="n">
        <v>77.90000000000001</v>
      </c>
      <c r="AC804" t="inlineStr">
        <is>
          <t>222</t>
        </is>
      </c>
      <c r="AD804" t="n">
        <v>99.7</v>
      </c>
      <c r="AE804" t="inlineStr">
        <is>
          <t>3</t>
        </is>
      </c>
      <c r="AF804" t="n">
        <v>97.5</v>
      </c>
      <c r="AG804" t="inlineStr">
        <is>
          <t>51</t>
        </is>
      </c>
      <c r="AH804" t="n">
        <v>87.8</v>
      </c>
      <c r="AI804" t="inlineStr">
        <is>
          <t>83=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</row>
    <row r="805">
      <c r="A805" t="inlineStr">
        <is>
          <t>Pukyong National University</t>
        </is>
      </c>
      <c r="B805" t="inlineStr">
        <is>
          <t>Republic of Korea</t>
        </is>
      </c>
      <c r="C805" t="inlineStr"/>
      <c r="D805" t="inlineStr">
        <is>
          <t>Asia</t>
        </is>
      </c>
      <c r="E805" t="inlineStr">
        <is>
          <t>L</t>
        </is>
      </c>
      <c r="F805" t="inlineStr">
        <is>
          <t>CO</t>
        </is>
      </c>
      <c r="G805" t="inlineStr">
        <is>
          <t>VH</t>
        </is>
      </c>
      <c r="H805" t="inlineStr"/>
      <c r="I805" t="inlineStr">
        <is>
          <t>Public</t>
        </is>
      </c>
      <c r="J805" t="inlineStr">
        <is>
          <t>1201-1400</t>
        </is>
      </c>
      <c r="K805" t="inlineStr">
        <is>
          <t>1201-1400</t>
        </is>
      </c>
      <c r="L805" t="inlineStr"/>
      <c r="M805" t="inlineStr"/>
      <c r="N805" t="inlineStr">
        <is>
          <t>-</t>
        </is>
      </c>
      <c r="O805" t="inlineStr"/>
      <c r="P805" t="n">
        <v>9.4</v>
      </c>
      <c r="Q805" t="inlineStr">
        <is>
          <t>701+</t>
        </is>
      </c>
      <c r="R805" t="n">
        <v>6</v>
      </c>
      <c r="S805" t="inlineStr">
        <is>
          <t>701+</t>
        </is>
      </c>
      <c r="T805" t="n">
        <v>21.2</v>
      </c>
      <c r="U805" t="inlineStr">
        <is>
          <t>801+</t>
        </is>
      </c>
      <c r="V805" t="n">
        <v>13.6</v>
      </c>
      <c r="W805" t="inlineStr">
        <is>
          <t>801+</t>
        </is>
      </c>
      <c r="X805" t="n">
        <v>6.6</v>
      </c>
      <c r="Y805" t="inlineStr">
        <is>
          <t>801+</t>
        </is>
      </c>
      <c r="Z805" t="n">
        <v>13.9</v>
      </c>
      <c r="AA805" t="inlineStr">
        <is>
          <t>801+</t>
        </is>
      </c>
      <c r="AB805" t="n">
        <v>10.6</v>
      </c>
      <c r="AC805" t="inlineStr">
        <is>
          <t>801+</t>
        </is>
      </c>
      <c r="AD805" t="n">
        <v>33.9</v>
      </c>
      <c r="AE805" t="inlineStr">
        <is>
          <t>801+</t>
        </is>
      </c>
      <c r="AF805" t="n">
        <v>1.7</v>
      </c>
      <c r="AG805" t="inlineStr">
        <is>
          <t>801+</t>
        </is>
      </c>
      <c r="AH805" t="n">
        <v>58.6</v>
      </c>
      <c r="AI805" t="inlineStr">
        <is>
          <t>530=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</row>
    <row r="806">
      <c r="A806" t="inlineStr">
        <is>
          <t xml:space="preserve">Pukyong National University </t>
        </is>
      </c>
      <c r="B806" t="inlineStr">
        <is>
          <t>South Korea</t>
        </is>
      </c>
      <c r="C806" t="inlineStr">
        <is>
          <t>KR</t>
        </is>
      </c>
      <c r="D806" t="inlineStr"/>
      <c r="E806" t="inlineStr">
        <is>
          <t>L</t>
        </is>
      </c>
      <c r="F806" t="inlineStr">
        <is>
          <t>CO</t>
        </is>
      </c>
      <c r="G806" t="inlineStr">
        <is>
          <t>VH</t>
        </is>
      </c>
      <c r="H806" t="inlineStr">
        <is>
          <t>3</t>
        </is>
      </c>
      <c r="I806" t="inlineStr">
        <is>
          <t>A</t>
        </is>
      </c>
      <c r="J806" t="inlineStr"/>
      <c r="K806" t="inlineStr"/>
      <c r="L806" t="inlineStr">
        <is>
          <t>1201-1400</t>
        </is>
      </c>
      <c r="M806" t="inlineStr">
        <is>
          <t>1201-1400</t>
        </is>
      </c>
      <c r="N806" t="inlineStr"/>
      <c r="O806" t="inlineStr">
        <is>
          <t>-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6.6</t>
        </is>
      </c>
      <c r="AK806" t="inlineStr">
        <is>
          <t>601+</t>
        </is>
      </c>
      <c r="AL806" t="inlineStr">
        <is>
          <t>3.4</t>
        </is>
      </c>
      <c r="AM806" t="inlineStr">
        <is>
          <t>601+</t>
        </is>
      </c>
      <c r="AN806" t="inlineStr">
        <is>
          <t>10.3</t>
        </is>
      </c>
      <c r="AO806" t="inlineStr">
        <is>
          <t>701+</t>
        </is>
      </c>
      <c r="AP806" t="inlineStr">
        <is>
          <t>7.0</t>
        </is>
      </c>
      <c r="AQ806" t="inlineStr">
        <is>
          <t>701+</t>
        </is>
      </c>
      <c r="AR806" t="inlineStr">
        <is>
          <t>6.6</t>
        </is>
      </c>
      <c r="AS806" t="inlineStr">
        <is>
          <t>701+</t>
        </is>
      </c>
      <c r="AT806" t="inlineStr">
        <is>
          <t>8.1</t>
        </is>
      </c>
      <c r="AU806" t="inlineStr">
        <is>
          <t>701+</t>
        </is>
      </c>
      <c r="AV806" t="inlineStr">
        <is>
          <t>1.6</t>
        </is>
      </c>
      <c r="AW806" t="inlineStr">
        <is>
          <t>701+</t>
        </is>
      </c>
      <c r="AX806" t="inlineStr">
        <is>
          <t>4.2</t>
        </is>
      </c>
      <c r="AY806" t="inlineStr">
        <is>
          <t>701+</t>
        </is>
      </c>
      <c r="AZ806" t="inlineStr">
        <is>
          <t>1.3</t>
        </is>
      </c>
      <c r="BA806" t="inlineStr">
        <is>
          <t>701+</t>
        </is>
      </c>
    </row>
    <row r="807">
      <c r="A807" t="inlineStr">
        <is>
          <t>Purdue University</t>
        </is>
      </c>
      <c r="B807" t="inlineStr">
        <is>
          <t>United States</t>
        </is>
      </c>
      <c r="C807" t="inlineStr">
        <is>
          <t>US</t>
        </is>
      </c>
      <c r="D807" t="inlineStr">
        <is>
          <t>Americas</t>
        </is>
      </c>
      <c r="E807" t="inlineStr">
        <is>
          <t>XL</t>
        </is>
      </c>
      <c r="F807" t="inlineStr">
        <is>
          <t>FC</t>
        </is>
      </c>
      <c r="G807" t="inlineStr">
        <is>
          <t>VH</t>
        </is>
      </c>
      <c r="H807" t="inlineStr">
        <is>
          <t>5</t>
        </is>
      </c>
      <c r="I807" t="inlineStr">
        <is>
          <t>Public</t>
        </is>
      </c>
      <c r="J807" t="inlineStr">
        <is>
          <t>88</t>
        </is>
      </c>
      <c r="K807" t="inlineStr">
        <is>
          <t>89</t>
        </is>
      </c>
      <c r="L807" t="inlineStr">
        <is>
          <t>99</t>
        </is>
      </c>
      <c r="M807" t="inlineStr">
        <is>
          <t>129=</t>
        </is>
      </c>
      <c r="N807" t="inlineStr">
        <is>
          <t>71.1</t>
        </is>
      </c>
      <c r="O807" t="inlineStr">
        <is>
          <t>60.7</t>
        </is>
      </c>
      <c r="P807" t="n">
        <v>74.3</v>
      </c>
      <c r="Q807" t="inlineStr">
        <is>
          <t>115</t>
        </is>
      </c>
      <c r="R807" t="n">
        <v>92.7</v>
      </c>
      <c r="S807" t="inlineStr">
        <is>
          <t>62</t>
        </is>
      </c>
      <c r="T807" t="n">
        <v>16.4</v>
      </c>
      <c r="U807" t="inlineStr">
        <is>
          <t>801+</t>
        </is>
      </c>
      <c r="V807" t="n">
        <v>62.4</v>
      </c>
      <c r="W807" t="inlineStr">
        <is>
          <t>265</t>
        </is>
      </c>
      <c r="X807" t="n">
        <v>96.40000000000001</v>
      </c>
      <c r="Y807" t="inlineStr">
        <is>
          <t>159</t>
        </is>
      </c>
      <c r="Z807" t="n">
        <v>55.3</v>
      </c>
      <c r="AA807" t="inlineStr">
        <is>
          <t>377</t>
        </is>
      </c>
      <c r="AB807" t="n">
        <v>59.6</v>
      </c>
      <c r="AC807" t="inlineStr">
        <is>
          <t>344</t>
        </is>
      </c>
      <c r="AD807" t="n">
        <v>91</v>
      </c>
      <c r="AE807" t="inlineStr">
        <is>
          <t>157</t>
        </is>
      </c>
      <c r="AF807" t="n">
        <v>81</v>
      </c>
      <c r="AG807" t="inlineStr">
        <is>
          <t>153</t>
        </is>
      </c>
      <c r="AH807" t="n">
        <v>88.40000000000001</v>
      </c>
      <c r="AI807" t="inlineStr">
        <is>
          <t>74=</t>
        </is>
      </c>
      <c r="AJ807" t="inlineStr">
        <is>
          <t>63.9</t>
        </is>
      </c>
      <c r="AK807" t="inlineStr">
        <is>
          <t>108</t>
        </is>
      </c>
      <c r="AL807" t="inlineStr">
        <is>
          <t>81.2</t>
        </is>
      </c>
      <c r="AM807" t="inlineStr">
        <is>
          <t>71</t>
        </is>
      </c>
      <c r="AN807" t="inlineStr">
        <is>
          <t>10.3</t>
        </is>
      </c>
      <c r="AO807" t="inlineStr">
        <is>
          <t>701+</t>
        </is>
      </c>
      <c r="AP807" t="inlineStr">
        <is>
          <t>68.4</t>
        </is>
      </c>
      <c r="AQ807" t="inlineStr">
        <is>
          <t>155</t>
        </is>
      </c>
      <c r="AR807" t="inlineStr">
        <is>
          <t>41.5</t>
        </is>
      </c>
      <c r="AS807" t="inlineStr">
        <is>
          <t>398</t>
        </is>
      </c>
      <c r="AT807" t="inlineStr">
        <is>
          <t>45.8</t>
        </is>
      </c>
      <c r="AU807" t="inlineStr">
        <is>
          <t>317</t>
        </is>
      </c>
      <c r="AV807" t="inlineStr">
        <is>
          <t>75.4</t>
        </is>
      </c>
      <c r="AW807" t="inlineStr">
        <is>
          <t>170</t>
        </is>
      </c>
      <c r="AX807" t="inlineStr">
        <is>
          <t>53.4</t>
        </is>
      </c>
      <c r="AY807" t="inlineStr">
        <is>
          <t>117</t>
        </is>
      </c>
      <c r="AZ807" t="inlineStr">
        <is>
          <t>67.4</t>
        </is>
      </c>
      <c r="BA807" t="inlineStr">
        <is>
          <t>215=</t>
        </is>
      </c>
    </row>
    <row r="808">
      <c r="A808" t="inlineStr">
        <is>
          <t>Pusan National University</t>
        </is>
      </c>
      <c r="B808" t="inlineStr">
        <is>
          <t>Republic of Korea</t>
        </is>
      </c>
      <c r="C808" t="inlineStr"/>
      <c r="D808" t="inlineStr">
        <is>
          <t>Asia</t>
        </is>
      </c>
      <c r="E808" t="inlineStr">
        <is>
          <t>L</t>
        </is>
      </c>
      <c r="F808" t="inlineStr">
        <is>
          <t>FC</t>
        </is>
      </c>
      <c r="G808" t="inlineStr">
        <is>
          <t>VH</t>
        </is>
      </c>
      <c r="H808" t="inlineStr"/>
      <c r="I808" t="inlineStr">
        <is>
          <t>Public</t>
        </is>
      </c>
      <c r="J808" t="inlineStr">
        <is>
          <t>473</t>
        </is>
      </c>
      <c r="K808" t="inlineStr">
        <is>
          <t>524</t>
        </is>
      </c>
      <c r="L808" t="inlineStr"/>
      <c r="M808" t="inlineStr"/>
      <c r="N808" t="inlineStr">
        <is>
          <t>33.5</t>
        </is>
      </c>
      <c r="O808" t="inlineStr"/>
      <c r="P808" t="n">
        <v>28.6</v>
      </c>
      <c r="Q808" t="inlineStr">
        <is>
          <t>439</t>
        </is>
      </c>
      <c r="R808" t="n">
        <v>20.2</v>
      </c>
      <c r="S808" t="inlineStr">
        <is>
          <t>650</t>
        </is>
      </c>
      <c r="T808" t="n">
        <v>57.6</v>
      </c>
      <c r="U808" t="inlineStr">
        <is>
          <t>315</t>
        </is>
      </c>
      <c r="V808" t="n">
        <v>36.7</v>
      </c>
      <c r="W808" t="inlineStr">
        <is>
          <t>509</t>
        </is>
      </c>
      <c r="X808" t="n">
        <v>19.9</v>
      </c>
      <c r="Y808" t="inlineStr">
        <is>
          <t>714</t>
        </is>
      </c>
      <c r="Z808" t="n">
        <v>27.1</v>
      </c>
      <c r="AA808" t="inlineStr">
        <is>
          <t>626</t>
        </is>
      </c>
      <c r="AB808" t="n">
        <v>33.2</v>
      </c>
      <c r="AC808" t="inlineStr">
        <is>
          <t>573</t>
        </is>
      </c>
      <c r="AD808" t="n">
        <v>57.5</v>
      </c>
      <c r="AE808" t="inlineStr">
        <is>
          <t>726</t>
        </is>
      </c>
      <c r="AF808" t="n">
        <v>18.9</v>
      </c>
      <c r="AG808" t="inlineStr">
        <is>
          <t>744</t>
        </is>
      </c>
      <c r="AH808" t="n">
        <v>73.59999999999999</v>
      </c>
      <c r="AI808" t="inlineStr">
        <is>
          <t>265=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</row>
    <row r="809">
      <c r="A809" t="inlineStr">
        <is>
          <t>Pusan National University</t>
        </is>
      </c>
      <c r="B809" t="inlineStr">
        <is>
          <t>South Korea</t>
        </is>
      </c>
      <c r="C809" t="inlineStr">
        <is>
          <t>KR</t>
        </is>
      </c>
      <c r="D809" t="inlineStr"/>
      <c r="E809" t="inlineStr">
        <is>
          <t>L</t>
        </is>
      </c>
      <c r="F809" t="inlineStr">
        <is>
          <t>FC</t>
        </is>
      </c>
      <c r="G809" t="inlineStr">
        <is>
          <t>VH</t>
        </is>
      </c>
      <c r="H809" t="inlineStr">
        <is>
          <t>4</t>
        </is>
      </c>
      <c r="I809" t="inlineStr">
        <is>
          <t>A</t>
        </is>
      </c>
      <c r="J809" t="inlineStr"/>
      <c r="K809" t="inlineStr"/>
      <c r="L809" t="inlineStr">
        <is>
          <t>611-620</t>
        </is>
      </c>
      <c r="M809" t="inlineStr">
        <is>
          <t>601-650</t>
        </is>
      </c>
      <c r="N809" t="inlineStr"/>
      <c r="O809" t="inlineStr">
        <is>
          <t>-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23.0</t>
        </is>
      </c>
      <c r="AK809" t="inlineStr">
        <is>
          <t>379</t>
        </is>
      </c>
      <c r="AL809" t="inlineStr">
        <is>
          <t>18.5</t>
        </is>
      </c>
      <c r="AM809" t="inlineStr">
        <is>
          <t>475</t>
        </is>
      </c>
      <c r="AN809" t="inlineStr">
        <is>
          <t>38.0</t>
        </is>
      </c>
      <c r="AO809" t="inlineStr">
        <is>
          <t>416</t>
        </is>
      </c>
      <c r="AP809" t="inlineStr">
        <is>
          <t>17.1</t>
        </is>
      </c>
      <c r="AQ809" t="inlineStr">
        <is>
          <t>599</t>
        </is>
      </c>
      <c r="AR809" t="inlineStr">
        <is>
          <t>10.4</t>
        </is>
      </c>
      <c r="AS809" t="inlineStr">
        <is>
          <t>701+</t>
        </is>
      </c>
      <c r="AT809" t="inlineStr">
        <is>
          <t>12.4</t>
        </is>
      </c>
      <c r="AU809" t="inlineStr">
        <is>
          <t>672</t>
        </is>
      </c>
      <c r="AV809" t="inlineStr">
        <is>
          <t>7.9</t>
        </is>
      </c>
      <c r="AW809" t="inlineStr">
        <is>
          <t>701+</t>
        </is>
      </c>
      <c r="AX809" t="inlineStr">
        <is>
          <t>13.3</t>
        </is>
      </c>
      <c r="AY809" t="inlineStr">
        <is>
          <t>643</t>
        </is>
      </c>
      <c r="AZ809" t="inlineStr">
        <is>
          <t>8.1</t>
        </is>
      </c>
      <c r="BA809" t="inlineStr">
        <is>
          <t>701+</t>
        </is>
      </c>
    </row>
    <row r="810">
      <c r="A810" t="inlineStr">
        <is>
          <t>Qassim University</t>
        </is>
      </c>
      <c r="B810" t="inlineStr">
        <is>
          <t>Saudi Arabia</t>
        </is>
      </c>
      <c r="C810" t="inlineStr">
        <is>
          <t>SA</t>
        </is>
      </c>
      <c r="D810" t="inlineStr">
        <is>
          <t>Asia</t>
        </is>
      </c>
      <c r="E810" t="inlineStr">
        <is>
          <t>L</t>
        </is>
      </c>
      <c r="F810" t="inlineStr">
        <is>
          <t>FC</t>
        </is>
      </c>
      <c r="G810" t="inlineStr">
        <is>
          <t>VH</t>
        </is>
      </c>
      <c r="H810" t="inlineStr">
        <is>
          <t>2</t>
        </is>
      </c>
      <c r="I810" t="inlineStr">
        <is>
          <t>Public</t>
        </is>
      </c>
      <c r="J810" t="inlineStr">
        <is>
          <t>801-850</t>
        </is>
      </c>
      <c r="K810" t="inlineStr">
        <is>
          <t>781-790</t>
        </is>
      </c>
      <c r="L810" t="inlineStr">
        <is>
          <t>901-950</t>
        </is>
      </c>
      <c r="M810" t="inlineStr">
        <is>
          <t>801-1000</t>
        </is>
      </c>
      <c r="N810" t="inlineStr">
        <is>
          <t>-</t>
        </is>
      </c>
      <c r="O810" t="inlineStr">
        <is>
          <t>-</t>
        </is>
      </c>
      <c r="P810" t="n">
        <v>15.5</v>
      </c>
      <c r="Q810" t="inlineStr">
        <is>
          <t>701+</t>
        </is>
      </c>
      <c r="R810" t="n">
        <v>6.5</v>
      </c>
      <c r="S810" t="inlineStr">
        <is>
          <t>701+</t>
        </is>
      </c>
      <c r="T810" t="n">
        <v>47</v>
      </c>
      <c r="U810" t="inlineStr">
        <is>
          <t>421</t>
        </is>
      </c>
      <c r="V810" t="n">
        <v>3.8</v>
      </c>
      <c r="W810" t="inlineStr">
        <is>
          <t>801+</t>
        </is>
      </c>
      <c r="X810" t="n">
        <v>100</v>
      </c>
      <c r="Y810" t="inlineStr">
        <is>
          <t>64</t>
        </is>
      </c>
      <c r="Z810" t="n">
        <v>25.1</v>
      </c>
      <c r="AA810" t="inlineStr">
        <is>
          <t>661</t>
        </is>
      </c>
      <c r="AB810" t="n">
        <v>31.1</v>
      </c>
      <c r="AC810" t="inlineStr">
        <is>
          <t>600</t>
        </is>
      </c>
      <c r="AD810" t="n">
        <v>72.09999999999999</v>
      </c>
      <c r="AE810" t="inlineStr">
        <is>
          <t>497</t>
        </is>
      </c>
      <c r="AF810" t="n">
        <v>3</v>
      </c>
      <c r="AG810" t="inlineStr">
        <is>
          <t>801+</t>
        </is>
      </c>
      <c r="AH810" t="n">
        <v>52.2</v>
      </c>
      <c r="AI810" t="inlineStr">
        <is>
          <t>658=</t>
        </is>
      </c>
      <c r="AJ810" t="inlineStr">
        <is>
          <t>7.2</t>
        </is>
      </c>
      <c r="AK810" t="inlineStr">
        <is>
          <t>601+</t>
        </is>
      </c>
      <c r="AL810" t="inlineStr">
        <is>
          <t>2.9</t>
        </is>
      </c>
      <c r="AM810" t="inlineStr">
        <is>
          <t>601+</t>
        </is>
      </c>
      <c r="AN810" t="inlineStr">
        <is>
          <t>30.6</t>
        </is>
      </c>
      <c r="AO810" t="inlineStr">
        <is>
          <t>513</t>
        </is>
      </c>
      <c r="AP810" t="inlineStr">
        <is>
          <t>1.6</t>
        </is>
      </c>
      <c r="AQ810" t="inlineStr">
        <is>
          <t>701+</t>
        </is>
      </c>
      <c r="AR810" t="inlineStr">
        <is>
          <t>98.4</t>
        </is>
      </c>
      <c r="AS810" t="inlineStr">
        <is>
          <t>107</t>
        </is>
      </c>
      <c r="AT810" t="inlineStr">
        <is>
          <t>8.6</t>
        </is>
      </c>
      <c r="AU810" t="inlineStr">
        <is>
          <t>701+</t>
        </is>
      </c>
      <c r="AV810" t="inlineStr">
        <is>
          <t>8.2</t>
        </is>
      </c>
      <c r="AW810" t="inlineStr">
        <is>
          <t>701+</t>
        </is>
      </c>
      <c r="AX810" t="inlineStr">
        <is>
          <t>8.8</t>
        </is>
      </c>
      <c r="AY810" t="inlineStr">
        <is>
          <t>701+</t>
        </is>
      </c>
      <c r="AZ810" t="inlineStr">
        <is>
          <t>1.5</t>
        </is>
      </c>
      <c r="BA810" t="inlineStr">
        <is>
          <t>701+</t>
        </is>
      </c>
    </row>
    <row r="811">
      <c r="A811" t="inlineStr">
        <is>
          <t>Qatar University</t>
        </is>
      </c>
      <c r="B811" t="inlineStr">
        <is>
          <t>Qatar</t>
        </is>
      </c>
      <c r="C811" t="inlineStr">
        <is>
          <t>QA</t>
        </is>
      </c>
      <c r="D811" t="inlineStr">
        <is>
          <t>Asia</t>
        </is>
      </c>
      <c r="E811" t="inlineStr">
        <is>
          <t>M</t>
        </is>
      </c>
      <c r="F811" t="inlineStr">
        <is>
          <t>FC</t>
        </is>
      </c>
      <c r="G811" t="inlineStr">
        <is>
          <t>VH</t>
        </is>
      </c>
      <c r="H811" t="inlineStr">
        <is>
          <t>3</t>
        </is>
      </c>
      <c r="I811" t="inlineStr">
        <is>
          <t>Public</t>
        </is>
      </c>
      <c r="J811" t="inlineStr">
        <is>
          <t>112</t>
        </is>
      </c>
      <c r="K811" t="inlineStr">
        <is>
          <t>122</t>
        </is>
      </c>
      <c r="L811">
        <f>173</f>
        <v/>
      </c>
      <c r="M811" t="inlineStr">
        <is>
          <t>208=</t>
        </is>
      </c>
      <c r="N811" t="inlineStr">
        <is>
          <t>66.5</t>
        </is>
      </c>
      <c r="O811" t="inlineStr">
        <is>
          <t>48.7</t>
        </is>
      </c>
      <c r="P811" t="n">
        <v>43.3</v>
      </c>
      <c r="Q811" t="inlineStr">
        <is>
          <t>273</t>
        </is>
      </c>
      <c r="R811" t="n">
        <v>56.5</v>
      </c>
      <c r="S811" t="inlineStr">
        <is>
          <t>208</t>
        </is>
      </c>
      <c r="T811" t="n">
        <v>73.8</v>
      </c>
      <c r="U811" t="inlineStr">
        <is>
          <t>206</t>
        </is>
      </c>
      <c r="V811" t="n">
        <v>73.3</v>
      </c>
      <c r="W811" t="inlineStr">
        <is>
          <t>188</t>
        </is>
      </c>
      <c r="X811" t="n">
        <v>100</v>
      </c>
      <c r="Y811" t="inlineStr">
        <is>
          <t>26</t>
        </is>
      </c>
      <c r="Z811" t="n">
        <v>98.59999999999999</v>
      </c>
      <c r="AA811" t="inlineStr">
        <is>
          <t>83</t>
        </is>
      </c>
      <c r="AB811" t="n">
        <v>98.59999999999999</v>
      </c>
      <c r="AC811" t="inlineStr">
        <is>
          <t>70</t>
        </is>
      </c>
      <c r="AD811" t="n">
        <v>89.59999999999999</v>
      </c>
      <c r="AE811" t="inlineStr">
        <is>
          <t>179</t>
        </is>
      </c>
      <c r="AF811" t="n">
        <v>98.90000000000001</v>
      </c>
      <c r="AG811" t="inlineStr">
        <is>
          <t>29</t>
        </is>
      </c>
      <c r="AH811" t="n">
        <v>72.2</v>
      </c>
      <c r="AI811" t="inlineStr">
        <is>
          <t>289=</t>
        </is>
      </c>
      <c r="AJ811" t="inlineStr">
        <is>
          <t>27.1</t>
        </is>
      </c>
      <c r="AK811" t="inlineStr">
        <is>
          <t>320</t>
        </is>
      </c>
      <c r="AL811" t="inlineStr">
        <is>
          <t>43.9</t>
        </is>
      </c>
      <c r="AM811" t="inlineStr">
        <is>
          <t>206</t>
        </is>
      </c>
      <c r="AN811" t="inlineStr">
        <is>
          <t>64.8</t>
        </is>
      </c>
      <c r="AO811" t="inlineStr">
        <is>
          <t>213</t>
        </is>
      </c>
      <c r="AP811" t="inlineStr">
        <is>
          <t>38.8</t>
        </is>
      </c>
      <c r="AQ811" t="inlineStr">
        <is>
          <t>356</t>
        </is>
      </c>
      <c r="AR811" t="inlineStr">
        <is>
          <t>100.0</t>
        </is>
      </c>
      <c r="AS811" t="inlineStr">
        <is>
          <t>20</t>
        </is>
      </c>
      <c r="AT811" t="inlineStr">
        <is>
          <t>96.8</t>
        </is>
      </c>
      <c r="AU811" t="inlineStr">
        <is>
          <t>74</t>
        </is>
      </c>
      <c r="AV811" t="inlineStr">
        <is>
          <t>59.8</t>
        </is>
      </c>
      <c r="AW811" t="inlineStr">
        <is>
          <t>244</t>
        </is>
      </c>
      <c r="AX811" t="inlineStr">
        <is>
          <t>95.8</t>
        </is>
      </c>
      <c r="AY811" t="inlineStr">
        <is>
          <t>24</t>
        </is>
      </c>
      <c r="AZ811" t="inlineStr">
        <is>
          <t>35.5</t>
        </is>
      </c>
      <c r="BA811" t="inlineStr">
        <is>
          <t>397=</t>
        </is>
      </c>
    </row>
    <row r="812">
      <c r="A812" t="inlineStr">
        <is>
          <t>Quaid-i-azam University</t>
        </is>
      </c>
      <c r="B812" t="inlineStr">
        <is>
          <t>Pakistan</t>
        </is>
      </c>
      <c r="C812" t="inlineStr">
        <is>
          <t>PK</t>
        </is>
      </c>
      <c r="D812" t="inlineStr">
        <is>
          <t>Asia</t>
        </is>
      </c>
      <c r="E812" t="inlineStr">
        <is>
          <t>M</t>
        </is>
      </c>
      <c r="F812" t="inlineStr">
        <is>
          <t>CO</t>
        </is>
      </c>
      <c r="G812" t="inlineStr">
        <is>
          <t>VH</t>
        </is>
      </c>
      <c r="H812" t="inlineStr">
        <is>
          <t>4</t>
        </is>
      </c>
      <c r="I812" t="inlineStr">
        <is>
          <t>Public</t>
        </is>
      </c>
      <c r="J812" t="inlineStr">
        <is>
          <t>354</t>
        </is>
      </c>
      <c r="K812" t="inlineStr">
        <is>
          <t>315</t>
        </is>
      </c>
      <c r="L812">
        <f>315</f>
        <v/>
      </c>
      <c r="M812" t="inlineStr">
        <is>
          <t>363=</t>
        </is>
      </c>
      <c r="N812" t="inlineStr">
        <is>
          <t>41.3</t>
        </is>
      </c>
      <c r="O812" t="inlineStr">
        <is>
          <t>33.4</t>
        </is>
      </c>
      <c r="P812" t="n">
        <v>24</v>
      </c>
      <c r="Q812" t="inlineStr">
        <is>
          <t>530</t>
        </is>
      </c>
      <c r="R812" t="n">
        <v>47.6</v>
      </c>
      <c r="S812" t="inlineStr">
        <is>
          <t>274</t>
        </is>
      </c>
      <c r="T812" t="n">
        <v>5.3</v>
      </c>
      <c r="U812" t="inlineStr">
        <is>
          <t>801+</t>
        </is>
      </c>
      <c r="V812" t="n">
        <v>97.5</v>
      </c>
      <c r="W812" t="inlineStr">
        <is>
          <t>51</t>
        </is>
      </c>
      <c r="X812" t="n">
        <v>9.800000000000001</v>
      </c>
      <c r="Y812" t="inlineStr">
        <is>
          <t>801+</t>
        </is>
      </c>
      <c r="Z812" t="n">
        <v>3.1</v>
      </c>
      <c r="AA812" t="inlineStr">
        <is>
          <t>801+</t>
        </is>
      </c>
      <c r="AB812" t="n">
        <v>7.8</v>
      </c>
      <c r="AC812" t="inlineStr">
        <is>
          <t>801+</t>
        </is>
      </c>
      <c r="AD812" t="n">
        <v>67.5</v>
      </c>
      <c r="AE812" t="inlineStr">
        <is>
          <t>577</t>
        </is>
      </c>
      <c r="AF812" t="n">
        <v>27.8</v>
      </c>
      <c r="AG812" t="inlineStr">
        <is>
          <t>599</t>
        </is>
      </c>
      <c r="AH812" t="n">
        <v>46.9</v>
      </c>
      <c r="AI812" t="inlineStr">
        <is>
          <t>793=</t>
        </is>
      </c>
      <c r="AJ812" t="inlineStr">
        <is>
          <t>15.8</t>
        </is>
      </c>
      <c r="AK812" t="inlineStr">
        <is>
          <t>552</t>
        </is>
      </c>
      <c r="AL812" t="inlineStr">
        <is>
          <t>40.3</t>
        </is>
      </c>
      <c r="AM812" t="inlineStr">
        <is>
          <t>234</t>
        </is>
      </c>
      <c r="AN812" t="inlineStr">
        <is>
          <t>2.8</t>
        </is>
      </c>
      <c r="AO812" t="inlineStr">
        <is>
          <t>701+</t>
        </is>
      </c>
      <c r="AP812" t="inlineStr">
        <is>
          <t>97.0</t>
        </is>
      </c>
      <c r="AQ812" t="inlineStr">
        <is>
          <t>40</t>
        </is>
      </c>
      <c r="AR812" t="inlineStr">
        <is>
          <t>3.4</t>
        </is>
      </c>
      <c r="AS812" t="inlineStr">
        <is>
          <t>701+</t>
        </is>
      </c>
      <c r="AT812" t="inlineStr">
        <is>
          <t>1.4</t>
        </is>
      </c>
      <c r="AU812" t="inlineStr">
        <is>
          <t>701+</t>
        </is>
      </c>
      <c r="AV812" t="inlineStr">
        <is>
          <t>23.0</t>
        </is>
      </c>
      <c r="AW812" t="inlineStr">
        <is>
          <t>519</t>
        </is>
      </c>
      <c r="AX812" t="inlineStr">
        <is>
          <t>5.8</t>
        </is>
      </c>
      <c r="AY812" t="inlineStr">
        <is>
          <t>701+</t>
        </is>
      </c>
      <c r="AZ812" t="inlineStr">
        <is>
          <t>23</t>
        </is>
      </c>
      <c r="BA812" t="inlineStr">
        <is>
          <t>514=</t>
        </is>
      </c>
    </row>
    <row r="813">
      <c r="A813" t="inlineStr">
        <is>
          <t>Queen Margaret University , Edinburgh</t>
        </is>
      </c>
      <c r="B813" t="inlineStr">
        <is>
          <t>United Kingdom</t>
        </is>
      </c>
      <c r="C813" t="inlineStr">
        <is>
          <t>UK</t>
        </is>
      </c>
      <c r="D813" t="inlineStr">
        <is>
          <t>Europe</t>
        </is>
      </c>
      <c r="E813" t="inlineStr">
        <is>
          <t>M</t>
        </is>
      </c>
      <c r="F813" t="inlineStr">
        <is>
          <t>FO</t>
        </is>
      </c>
      <c r="G813" t="inlineStr">
        <is>
          <t>HI</t>
        </is>
      </c>
      <c r="H813" t="inlineStr">
        <is>
          <t>2</t>
        </is>
      </c>
      <c r="I813" t="inlineStr">
        <is>
          <t>Public</t>
        </is>
      </c>
      <c r="J813" t="inlineStr">
        <is>
          <t>1201-1400</t>
        </is>
      </c>
      <c r="K813" t="inlineStr">
        <is>
          <t>951-1000</t>
        </is>
      </c>
      <c r="L813" t="inlineStr">
        <is>
          <t>851-900</t>
        </is>
      </c>
      <c r="M813" t="inlineStr">
        <is>
          <t>801-1000</t>
        </is>
      </c>
      <c r="N813" t="inlineStr">
        <is>
          <t>-</t>
        </is>
      </c>
      <c r="O813" t="inlineStr">
        <is>
          <t>-</t>
        </is>
      </c>
      <c r="P813" t="n">
        <v>4.3</v>
      </c>
      <c r="Q813" t="inlineStr">
        <is>
          <t>701+</t>
        </is>
      </c>
      <c r="R813" t="n">
        <v>6.5</v>
      </c>
      <c r="S813" t="inlineStr">
        <is>
          <t>701+</t>
        </is>
      </c>
      <c r="T813" t="n">
        <v>6.3</v>
      </c>
      <c r="U813" t="inlineStr">
        <is>
          <t>801+</t>
        </is>
      </c>
      <c r="V813" t="n">
        <v>19.1</v>
      </c>
      <c r="W813" t="inlineStr">
        <is>
          <t>729</t>
        </is>
      </c>
      <c r="X813" t="n">
        <v>68.40000000000001</v>
      </c>
      <c r="Y813" t="inlineStr">
        <is>
          <t>341</t>
        </is>
      </c>
      <c r="Z813" t="n">
        <v>67.40000000000001</v>
      </c>
      <c r="AA813" t="inlineStr">
        <is>
          <t>293</t>
        </is>
      </c>
      <c r="AB813" t="n">
        <v>70.59999999999999</v>
      </c>
      <c r="AC813" t="inlineStr">
        <is>
          <t>265</t>
        </is>
      </c>
      <c r="AD813" t="n">
        <v>3.5</v>
      </c>
      <c r="AE813" t="inlineStr">
        <is>
          <t>801+</t>
        </is>
      </c>
      <c r="AF813" t="n">
        <v>1</v>
      </c>
      <c r="AG813" t="inlineStr">
        <is>
          <t>801+</t>
        </is>
      </c>
      <c r="AH813" t="n">
        <v>18.6</v>
      </c>
      <c r="AI813" t="inlineStr">
        <is>
          <t>801+</t>
        </is>
      </c>
      <c r="AJ813" t="inlineStr">
        <is>
          <t>3.8</t>
        </is>
      </c>
      <c r="AK813" t="inlineStr">
        <is>
          <t>601+</t>
        </is>
      </c>
      <c r="AL813" t="inlineStr">
        <is>
          <t>4.0</t>
        </is>
      </c>
      <c r="AM813" t="inlineStr">
        <is>
          <t>601+</t>
        </is>
      </c>
      <c r="AN813" t="inlineStr">
        <is>
          <t>5.3</t>
        </is>
      </c>
      <c r="AO813" t="inlineStr">
        <is>
          <t>701+</t>
        </is>
      </c>
      <c r="AP813" t="inlineStr">
        <is>
          <t>17.0</t>
        </is>
      </c>
      <c r="AQ813" t="inlineStr">
        <is>
          <t>601</t>
        </is>
      </c>
      <c r="AR813" t="inlineStr">
        <is>
          <t>61.2</t>
        </is>
      </c>
      <c r="AS813" t="inlineStr">
        <is>
          <t>312</t>
        </is>
      </c>
      <c r="AT813" t="inlineStr">
        <is>
          <t>76.0</t>
        </is>
      </c>
      <c r="AU813" t="inlineStr">
        <is>
          <t>181</t>
        </is>
      </c>
      <c r="AV813" t="inlineStr">
        <is>
          <t>1.0</t>
        </is>
      </c>
      <c r="AW813" t="inlineStr">
        <is>
          <t>701+</t>
        </is>
      </c>
      <c r="AX813" t="inlineStr">
        <is>
          <t>8.7</t>
        </is>
      </c>
      <c r="AY813" t="inlineStr">
        <is>
          <t>701+</t>
        </is>
      </c>
      <c r="AZ813" t="inlineStr">
        <is>
          <t>1</t>
        </is>
      </c>
      <c r="BA813" t="inlineStr">
        <is>
          <t>701+</t>
        </is>
      </c>
    </row>
    <row r="814">
      <c r="A814" t="inlineStr">
        <is>
          <t>Queen Mary University of London</t>
        </is>
      </c>
      <c r="B814" t="inlineStr">
        <is>
          <t>United Kingdom</t>
        </is>
      </c>
      <c r="C814" t="inlineStr">
        <is>
          <t>UK</t>
        </is>
      </c>
      <c r="D814" t="inlineStr"/>
      <c r="E814" t="inlineStr">
        <is>
          <t>L</t>
        </is>
      </c>
      <c r="F814" t="inlineStr">
        <is>
          <t>FC</t>
        </is>
      </c>
      <c r="G814" t="inlineStr">
        <is>
          <t>VH</t>
        </is>
      </c>
      <c r="H814" t="inlineStr">
        <is>
          <t>5</t>
        </is>
      </c>
      <c r="I814" t="inlineStr">
        <is>
          <t>A</t>
        </is>
      </c>
      <c r="J814" t="inlineStr"/>
      <c r="K814" t="inlineStr"/>
      <c r="L814">
        <f>145</f>
        <v/>
      </c>
      <c r="M814" t="inlineStr">
        <is>
          <t>125=</t>
        </is>
      </c>
      <c r="N814" t="inlineStr"/>
      <c r="O814" t="inlineStr">
        <is>
          <t>51.9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48.8</t>
        </is>
      </c>
      <c r="AK814" t="inlineStr">
        <is>
          <t>168</t>
        </is>
      </c>
      <c r="AL814" t="inlineStr">
        <is>
          <t>32.8</t>
        </is>
      </c>
      <c r="AM814" t="inlineStr">
        <is>
          <t>300</t>
        </is>
      </c>
      <c r="AN814" t="inlineStr">
        <is>
          <t>38.7</t>
        </is>
      </c>
      <c r="AO814" t="inlineStr">
        <is>
          <t>409</t>
        </is>
      </c>
      <c r="AP814" t="inlineStr">
        <is>
          <t>50.7</t>
        </is>
      </c>
      <c r="AQ814" t="inlineStr">
        <is>
          <t>260</t>
        </is>
      </c>
      <c r="AR814" t="inlineStr">
        <is>
          <t>99.7</t>
        </is>
      </c>
      <c r="AS814" t="inlineStr">
        <is>
          <t>85</t>
        </is>
      </c>
      <c r="AT814" t="inlineStr">
        <is>
          <t>99.4</t>
        </is>
      </c>
      <c r="AU814" t="inlineStr">
        <is>
          <t>43</t>
        </is>
      </c>
      <c r="AV814" t="inlineStr">
        <is>
          <t>72.8</t>
        </is>
      </c>
      <c r="AW814" t="inlineStr">
        <is>
          <t>184</t>
        </is>
      </c>
      <c r="AX814" t="inlineStr">
        <is>
          <t>16.8</t>
        </is>
      </c>
      <c r="AY814" t="inlineStr">
        <is>
          <t>506</t>
        </is>
      </c>
      <c r="AZ814" t="inlineStr">
        <is>
          <t>69.9</t>
        </is>
      </c>
      <c r="BA814" t="inlineStr">
        <is>
          <t>207=</t>
        </is>
      </c>
    </row>
    <row r="815">
      <c r="A815" t="inlineStr">
        <is>
          <t>Queen Mary University of London (QMUL)</t>
        </is>
      </c>
      <c r="B815" t="inlineStr">
        <is>
          <t>United Kingdom</t>
        </is>
      </c>
      <c r="C815" t="inlineStr"/>
      <c r="D815" t="inlineStr">
        <is>
          <t>Europe</t>
        </is>
      </c>
      <c r="E815" t="inlineStr">
        <is>
          <t>L</t>
        </is>
      </c>
      <c r="F815" t="inlineStr">
        <is>
          <t>FC</t>
        </is>
      </c>
      <c r="G815" t="inlineStr">
        <is>
          <t>VH</t>
        </is>
      </c>
      <c r="H815" t="inlineStr"/>
      <c r="I815" t="inlineStr">
        <is>
          <t>Public</t>
        </is>
      </c>
      <c r="J815" t="inlineStr">
        <is>
          <t>110</t>
        </is>
      </c>
      <c r="K815" t="inlineStr">
        <is>
          <t>120</t>
        </is>
      </c>
      <c r="L815" t="inlineStr"/>
      <c r="M815" t="inlineStr"/>
      <c r="N815" t="inlineStr">
        <is>
          <t>66.6</t>
        </is>
      </c>
      <c r="O815" t="inlineStr"/>
      <c r="P815" t="n">
        <v>63.6</v>
      </c>
      <c r="Q815" t="inlineStr">
        <is>
          <t>160</t>
        </is>
      </c>
      <c r="R815" t="n">
        <v>47.1</v>
      </c>
      <c r="S815" t="inlineStr">
        <is>
          <t>277</t>
        </is>
      </c>
      <c r="T815" t="n">
        <v>31</v>
      </c>
      <c r="U815" t="inlineStr">
        <is>
          <t>618</t>
        </is>
      </c>
      <c r="V815" t="n">
        <v>83.40000000000001</v>
      </c>
      <c r="W815" t="inlineStr">
        <is>
          <t>134</t>
        </is>
      </c>
      <c r="X815" t="n">
        <v>99.90000000000001</v>
      </c>
      <c r="Y815" t="inlineStr">
        <is>
          <t>100</t>
        </is>
      </c>
      <c r="Z815" t="n">
        <v>99.90000000000001</v>
      </c>
      <c r="AA815" t="inlineStr">
        <is>
          <t>45</t>
        </is>
      </c>
      <c r="AB815" t="n">
        <v>99.90000000000001</v>
      </c>
      <c r="AC815" t="inlineStr">
        <is>
          <t>34</t>
        </is>
      </c>
      <c r="AD815" t="n">
        <v>91.90000000000001</v>
      </c>
      <c r="AE815" t="inlineStr">
        <is>
          <t>146</t>
        </is>
      </c>
      <c r="AF815" t="n">
        <v>40.1</v>
      </c>
      <c r="AG815" t="inlineStr">
        <is>
          <t>438</t>
        </is>
      </c>
      <c r="AH815" t="n">
        <v>82.40000000000001</v>
      </c>
      <c r="AI815" t="inlineStr">
        <is>
          <t>144=</t>
        </is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</row>
    <row r="816">
      <c r="A816" t="inlineStr">
        <is>
          <t>Queen's University at Kingston</t>
        </is>
      </c>
      <c r="B816" t="inlineStr">
        <is>
          <t>Canada</t>
        </is>
      </c>
      <c r="C816" t="inlineStr">
        <is>
          <t>CA</t>
        </is>
      </c>
      <c r="D816" t="inlineStr"/>
      <c r="E816" t="inlineStr">
        <is>
          <t>L</t>
        </is>
      </c>
      <c r="F816" t="inlineStr">
        <is>
          <t>FC</t>
        </is>
      </c>
      <c r="G816" t="inlineStr">
        <is>
          <t>VH</t>
        </is>
      </c>
      <c r="H816" t="inlineStr">
        <is>
          <t>5</t>
        </is>
      </c>
      <c r="I816" t="inlineStr">
        <is>
          <t>A</t>
        </is>
      </c>
      <c r="J816" t="inlineStr"/>
      <c r="K816" t="inlineStr"/>
      <c r="L816" t="inlineStr">
        <is>
          <t>209</t>
        </is>
      </c>
      <c r="M816" t="inlineStr">
        <is>
          <t>246=</t>
        </is>
      </c>
      <c r="N816" t="inlineStr"/>
      <c r="O816" t="inlineStr">
        <is>
          <t>44.5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40.5</t>
        </is>
      </c>
      <c r="AK816" t="inlineStr">
        <is>
          <t>209</t>
        </is>
      </c>
      <c r="AL816" t="inlineStr">
        <is>
          <t>56.7</t>
        </is>
      </c>
      <c r="AM816" t="inlineStr">
        <is>
          <t>146</t>
        </is>
      </c>
      <c r="AN816" t="inlineStr">
        <is>
          <t>5.3</t>
        </is>
      </c>
      <c r="AO816" t="inlineStr">
        <is>
          <t>701+</t>
        </is>
      </c>
      <c r="AP816" t="inlineStr">
        <is>
          <t>45.1</t>
        </is>
      </c>
      <c r="AQ816" t="inlineStr">
        <is>
          <t>300</t>
        </is>
      </c>
      <c r="AR816" t="inlineStr">
        <is>
          <t>70.1</t>
        </is>
      </c>
      <c r="AS816" t="inlineStr">
        <is>
          <t>278</t>
        </is>
      </c>
      <c r="AT816" t="inlineStr">
        <is>
          <t>30.6</t>
        </is>
      </c>
      <c r="AU816" t="inlineStr">
        <is>
          <t>417</t>
        </is>
      </c>
      <c r="AV816" t="inlineStr">
        <is>
          <t>22.5</t>
        </is>
      </c>
      <c r="AW816" t="inlineStr">
        <is>
          <t>523</t>
        </is>
      </c>
      <c r="AX816" t="inlineStr">
        <is>
          <t>71.5</t>
        </is>
      </c>
      <c r="AY816" t="inlineStr">
        <is>
          <t>68</t>
        </is>
      </c>
      <c r="AZ816" t="inlineStr">
        <is>
          <t>85.4</t>
        </is>
      </c>
      <c r="BA816" t="inlineStr">
        <is>
          <t>117</t>
        </is>
      </c>
    </row>
    <row r="817">
      <c r="A817" t="inlineStr">
        <is>
          <t>Queen's University Belfast</t>
        </is>
      </c>
      <c r="B817" t="inlineStr">
        <is>
          <t>United Kingdom</t>
        </is>
      </c>
      <c r="C817" t="inlineStr">
        <is>
          <t>UK</t>
        </is>
      </c>
      <c r="D817" t="inlineStr">
        <is>
          <t>Europe</t>
        </is>
      </c>
      <c r="E817" t="inlineStr">
        <is>
          <t>L</t>
        </is>
      </c>
      <c r="F817" t="inlineStr">
        <is>
          <t>FC</t>
        </is>
      </c>
      <c r="G817" t="inlineStr">
        <is>
          <t>VH</t>
        </is>
      </c>
      <c r="H817" t="inlineStr">
        <is>
          <t>5</t>
        </is>
      </c>
      <c r="I817" t="inlineStr">
        <is>
          <t>Public</t>
        </is>
      </c>
      <c r="J817" t="inlineStr">
        <is>
          <t>199</t>
        </is>
      </c>
      <c r="K817" t="inlineStr">
        <is>
          <t>206</t>
        </is>
      </c>
      <c r="L817" t="inlineStr">
        <is>
          <t>202</t>
        </is>
      </c>
      <c r="M817" t="inlineStr">
        <is>
          <t>233=</t>
        </is>
      </c>
      <c r="N817" t="inlineStr">
        <is>
          <t>55.7</t>
        </is>
      </c>
      <c r="O817" t="inlineStr">
        <is>
          <t>45.8</t>
        </is>
      </c>
      <c r="P817" t="n">
        <v>49.6</v>
      </c>
      <c r="Q817" t="inlineStr">
        <is>
          <t>228</t>
        </is>
      </c>
      <c r="R817" t="n">
        <v>43.4</v>
      </c>
      <c r="S817" t="inlineStr">
        <is>
          <t>309</t>
        </is>
      </c>
      <c r="T817" t="n">
        <v>30.3</v>
      </c>
      <c r="U817" t="inlineStr">
        <is>
          <t>627</t>
        </is>
      </c>
      <c r="V817" t="n">
        <v>57.5</v>
      </c>
      <c r="W817" t="inlineStr">
        <is>
          <t>304</t>
        </is>
      </c>
      <c r="X817" t="n">
        <v>100</v>
      </c>
      <c r="Y817" t="inlineStr">
        <is>
          <t>79</t>
        </is>
      </c>
      <c r="Z817" t="n">
        <v>98.8</v>
      </c>
      <c r="AA817" t="inlineStr">
        <is>
          <t>74</t>
        </is>
      </c>
      <c r="AB817" t="n">
        <v>98.90000000000001</v>
      </c>
      <c r="AC817" t="inlineStr">
        <is>
          <t>65</t>
        </is>
      </c>
      <c r="AD817" t="n">
        <v>95.40000000000001</v>
      </c>
      <c r="AE817" t="inlineStr">
        <is>
          <t>73</t>
        </is>
      </c>
      <c r="AF817" t="n">
        <v>19.5</v>
      </c>
      <c r="AG817" t="inlineStr">
        <is>
          <t>735</t>
        </is>
      </c>
      <c r="AH817" t="n">
        <v>89.5</v>
      </c>
      <c r="AI817" t="inlineStr">
        <is>
          <t>67</t>
        </is>
      </c>
      <c r="AJ817" t="inlineStr">
        <is>
          <t>33.6</t>
        </is>
      </c>
      <c r="AK817" t="inlineStr">
        <is>
          <t>258</t>
        </is>
      </c>
      <c r="AL817" t="inlineStr">
        <is>
          <t>30.3</t>
        </is>
      </c>
      <c r="AM817" t="inlineStr">
        <is>
          <t>321</t>
        </is>
      </c>
      <c r="AN817" t="inlineStr">
        <is>
          <t>27.5</t>
        </is>
      </c>
      <c r="AO817" t="inlineStr">
        <is>
          <t>554</t>
        </is>
      </c>
      <c r="AP817" t="inlineStr">
        <is>
          <t>43.5</t>
        </is>
      </c>
      <c r="AQ817" t="inlineStr">
        <is>
          <t>307</t>
        </is>
      </c>
      <c r="AR817" t="inlineStr">
        <is>
          <t>100.0</t>
        </is>
      </c>
      <c r="AS817" t="inlineStr">
        <is>
          <t>75</t>
        </is>
      </c>
      <c r="AT817" t="inlineStr">
        <is>
          <t>98.9</t>
        </is>
      </c>
      <c r="AU817" t="inlineStr">
        <is>
          <t>54</t>
        </is>
      </c>
      <c r="AV817" t="inlineStr">
        <is>
          <t>84.1</t>
        </is>
      </c>
      <c r="AW817" t="inlineStr">
        <is>
          <t>124</t>
        </is>
      </c>
      <c r="AX817" t="inlineStr">
        <is>
          <t>14.3</t>
        </is>
      </c>
      <c r="AY817" t="inlineStr">
        <is>
          <t>589</t>
        </is>
      </c>
      <c r="AZ817" t="inlineStr">
        <is>
          <t>91</t>
        </is>
      </c>
      <c r="BA817" t="inlineStr">
        <is>
          <t>87</t>
        </is>
      </c>
    </row>
    <row r="818">
      <c r="A818" t="inlineStr">
        <is>
          <t>Queen's University, Ontario</t>
        </is>
      </c>
      <c r="B818" t="inlineStr">
        <is>
          <t>Canada</t>
        </is>
      </c>
      <c r="C818" t="inlineStr"/>
      <c r="D818" t="inlineStr">
        <is>
          <t>Americas</t>
        </is>
      </c>
      <c r="E818" t="inlineStr">
        <is>
          <t>L</t>
        </is>
      </c>
      <c r="F818" t="inlineStr">
        <is>
          <t>FC</t>
        </is>
      </c>
      <c r="G818" t="inlineStr">
        <is>
          <t>VH</t>
        </is>
      </c>
      <c r="H818" t="inlineStr"/>
      <c r="I818" t="inlineStr">
        <is>
          <t>Public</t>
        </is>
      </c>
      <c r="J818" t="inlineStr">
        <is>
          <t>191</t>
        </is>
      </c>
      <c r="K818" t="inlineStr">
        <is>
          <t>193</t>
        </is>
      </c>
      <c r="L818" t="inlineStr"/>
      <c r="M818" t="inlineStr"/>
      <c r="N818" t="inlineStr">
        <is>
          <t>56.8</t>
        </is>
      </c>
      <c r="O818" t="inlineStr"/>
      <c r="P818" t="n">
        <v>50.9</v>
      </c>
      <c r="Q818" t="inlineStr">
        <is>
          <t>219</t>
        </is>
      </c>
      <c r="R818" t="n">
        <v>75.7</v>
      </c>
      <c r="S818" t="inlineStr">
        <is>
          <t>123</t>
        </is>
      </c>
      <c r="T818" t="n">
        <v>7.9</v>
      </c>
      <c r="U818" t="inlineStr">
        <is>
          <t>801+</t>
        </is>
      </c>
      <c r="V818" t="n">
        <v>56.3</v>
      </c>
      <c r="W818" t="inlineStr">
        <is>
          <t>315</t>
        </is>
      </c>
      <c r="X818" t="n">
        <v>75.59999999999999</v>
      </c>
      <c r="Y818" t="inlineStr">
        <is>
          <t>315</t>
        </is>
      </c>
      <c r="Z818" t="n">
        <v>35.5</v>
      </c>
      <c r="AA818" t="inlineStr">
        <is>
          <t>536</t>
        </is>
      </c>
      <c r="AB818" t="n">
        <v>41.2</v>
      </c>
      <c r="AC818" t="inlineStr">
        <is>
          <t>496</t>
        </is>
      </c>
      <c r="AD818" t="n">
        <v>79</v>
      </c>
      <c r="AE818" t="inlineStr">
        <is>
          <t>369</t>
        </is>
      </c>
      <c r="AF818" t="n">
        <v>92.3</v>
      </c>
      <c r="AG818" t="inlineStr">
        <is>
          <t>87</t>
        </is>
      </c>
      <c r="AH818" t="n">
        <v>86.59999999999999</v>
      </c>
      <c r="AI818" t="inlineStr">
        <is>
          <t>93=</t>
        </is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</row>
    <row r="819">
      <c r="A819" t="inlineStr">
        <is>
          <t>Queensland University of Technology</t>
        </is>
      </c>
      <c r="B819" t="inlineStr">
        <is>
          <t>Australia</t>
        </is>
      </c>
      <c r="C819" t="inlineStr"/>
      <c r="D819" t="inlineStr">
        <is>
          <t>Oceania</t>
        </is>
      </c>
      <c r="E819" t="inlineStr">
        <is>
          <t>XL</t>
        </is>
      </c>
      <c r="F819" t="inlineStr">
        <is>
          <t>CO</t>
        </is>
      </c>
      <c r="G819" t="inlineStr">
        <is>
          <t>VH</t>
        </is>
      </c>
      <c r="H819" t="inlineStr"/>
      <c r="I819" t="inlineStr">
        <is>
          <t>Public</t>
        </is>
      </c>
      <c r="J819" t="inlineStr">
        <is>
          <t>226</t>
        </is>
      </c>
      <c r="K819" t="inlineStr">
        <is>
          <t>213</t>
        </is>
      </c>
      <c r="L819" t="inlineStr"/>
      <c r="M819" t="inlineStr"/>
      <c r="N819" t="inlineStr">
        <is>
          <t>53.2</t>
        </is>
      </c>
      <c r="O819" t="inlineStr"/>
      <c r="P819" t="n">
        <v>51.6</v>
      </c>
      <c r="Q819" t="inlineStr">
        <is>
          <t>215</t>
        </is>
      </c>
      <c r="R819" t="n">
        <v>38.8</v>
      </c>
      <c r="S819" t="inlineStr">
        <is>
          <t>356</t>
        </is>
      </c>
      <c r="T819" t="n">
        <v>11.6</v>
      </c>
      <c r="U819" t="inlineStr">
        <is>
          <t>801+</t>
        </is>
      </c>
      <c r="V819" t="n">
        <v>70.90000000000001</v>
      </c>
      <c r="W819" t="inlineStr">
        <is>
          <t>211</t>
        </is>
      </c>
      <c r="X819" t="n">
        <v>96.59999999999999</v>
      </c>
      <c r="Y819" t="inlineStr">
        <is>
          <t>158</t>
        </is>
      </c>
      <c r="Z819" t="n">
        <v>44.8</v>
      </c>
      <c r="AA819" t="inlineStr">
        <is>
          <t>451</t>
        </is>
      </c>
      <c r="AB819" t="n">
        <v>49.9</v>
      </c>
      <c r="AC819" t="inlineStr">
        <is>
          <t>416</t>
        </is>
      </c>
      <c r="AD819" t="n">
        <v>83.40000000000001</v>
      </c>
      <c r="AE819" t="inlineStr">
        <is>
          <t>287</t>
        </is>
      </c>
      <c r="AF819" t="n">
        <v>25.6</v>
      </c>
      <c r="AG819" t="inlineStr">
        <is>
          <t>629</t>
        </is>
      </c>
      <c r="AH819" t="n">
        <v>88.5</v>
      </c>
      <c r="AI819" t="inlineStr">
        <is>
          <t>73</t>
        </is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</row>
    <row r="820">
      <c r="A820" t="inlineStr">
        <is>
          <t>Queensland University of Technology (QUT)</t>
        </is>
      </c>
      <c r="B820" t="inlineStr">
        <is>
          <t>Australia</t>
        </is>
      </c>
      <c r="C820" t="inlineStr">
        <is>
          <t>AU</t>
        </is>
      </c>
      <c r="D820" t="inlineStr"/>
      <c r="E820" t="inlineStr">
        <is>
          <t>XL</t>
        </is>
      </c>
      <c r="F820" t="inlineStr">
        <is>
          <t>CO</t>
        </is>
      </c>
      <c r="G820" t="inlineStr">
        <is>
          <t>VH</t>
        </is>
      </c>
      <c r="H820" t="inlineStr">
        <is>
          <t>3</t>
        </is>
      </c>
      <c r="I820" t="inlineStr">
        <is>
          <t>A</t>
        </is>
      </c>
      <c r="J820" t="inlineStr"/>
      <c r="K820" t="inlineStr"/>
      <c r="L820">
        <f>189</f>
        <v/>
      </c>
      <c r="M820" t="inlineStr">
        <is>
          <t>222=</t>
        </is>
      </c>
      <c r="N820" t="inlineStr"/>
      <c r="O820" t="inlineStr">
        <is>
          <t>46.8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40.9</t>
        </is>
      </c>
      <c r="AK820" t="inlineStr">
        <is>
          <t>205</t>
        </is>
      </c>
      <c r="AL820" t="inlineStr">
        <is>
          <t>37.6</t>
        </is>
      </c>
      <c r="AM820" t="inlineStr">
        <is>
          <t>261</t>
        </is>
      </c>
      <c r="AN820" t="inlineStr">
        <is>
          <t>7.4</t>
        </is>
      </c>
      <c r="AO820" t="inlineStr">
        <is>
          <t>701+</t>
        </is>
      </c>
      <c r="AP820" t="inlineStr">
        <is>
          <t>64.9</t>
        </is>
      </c>
      <c r="AQ820" t="inlineStr">
        <is>
          <t>176</t>
        </is>
      </c>
      <c r="AR820" t="inlineStr">
        <is>
          <t>96.0</t>
        </is>
      </c>
      <c r="AS820" t="inlineStr">
        <is>
          <t>141</t>
        </is>
      </c>
      <c r="AT820" t="inlineStr">
        <is>
          <t>26.4</t>
        </is>
      </c>
      <c r="AU820" t="inlineStr">
        <is>
          <t>458</t>
        </is>
      </c>
      <c r="AV820" t="inlineStr">
        <is>
          <t>68.8</t>
        </is>
      </c>
      <c r="AW820" t="inlineStr">
        <is>
          <t>202</t>
        </is>
      </c>
      <c r="AX820" t="inlineStr">
        <is>
          <t>16.8</t>
        </is>
      </c>
      <c r="AY820" t="inlineStr">
        <is>
          <t>502</t>
        </is>
      </c>
      <c r="AZ820" t="inlineStr">
        <is>
          <t>90.6</t>
        </is>
      </c>
      <c r="BA820" t="inlineStr">
        <is>
          <t>89=</t>
        </is>
      </c>
    </row>
    <row r="821">
      <c r="A821" t="inlineStr">
        <is>
          <t xml:space="preserve">Radboud University </t>
        </is>
      </c>
      <c r="B821" t="inlineStr">
        <is>
          <t>Netherlands</t>
        </is>
      </c>
      <c r="C821" t="inlineStr">
        <is>
          <t>NL</t>
        </is>
      </c>
      <c r="D821" t="inlineStr"/>
      <c r="E821" t="inlineStr">
        <is>
          <t>L</t>
        </is>
      </c>
      <c r="F821" t="inlineStr">
        <is>
          <t>FC</t>
        </is>
      </c>
      <c r="G821" t="inlineStr">
        <is>
          <t>VH</t>
        </is>
      </c>
      <c r="H821" t="inlineStr">
        <is>
          <t>5</t>
        </is>
      </c>
      <c r="I821" t="inlineStr">
        <is>
          <t>A</t>
        </is>
      </c>
      <c r="J821" t="inlineStr"/>
      <c r="K821" t="inlineStr"/>
      <c r="L821">
        <f>222</f>
        <v/>
      </c>
      <c r="M821" t="inlineStr">
        <is>
          <t>232</t>
        </is>
      </c>
      <c r="N821" t="inlineStr"/>
      <c r="O821" t="inlineStr">
        <is>
          <t>42.5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28.9</t>
        </is>
      </c>
      <c r="AK821" t="inlineStr">
        <is>
          <t>302</t>
        </is>
      </c>
      <c r="AL821" t="inlineStr">
        <is>
          <t>13.9</t>
        </is>
      </c>
      <c r="AM821" t="inlineStr">
        <is>
          <t>585</t>
        </is>
      </c>
      <c r="AN821" t="inlineStr">
        <is>
          <t>27.6</t>
        </is>
      </c>
      <c r="AO821" t="inlineStr">
        <is>
          <t>551</t>
        </is>
      </c>
      <c r="AP821" t="inlineStr">
        <is>
          <t>74.9</t>
        </is>
      </c>
      <c r="AQ821" t="inlineStr">
        <is>
          <t>129</t>
        </is>
      </c>
      <c r="AR821" t="inlineStr">
        <is>
          <t>78.3</t>
        </is>
      </c>
      <c r="AS821" t="inlineStr">
        <is>
          <t>236</t>
        </is>
      </c>
      <c r="AT821" t="inlineStr">
        <is>
          <t>20.2</t>
        </is>
      </c>
      <c r="AU821" t="inlineStr">
        <is>
          <t>544</t>
        </is>
      </c>
      <c r="AV821" t="inlineStr">
        <is>
          <t>78.8</t>
        </is>
      </c>
      <c r="AW821" t="inlineStr">
        <is>
          <t>155</t>
        </is>
      </c>
      <c r="AX821" t="inlineStr">
        <is>
          <t>15.7</t>
        </is>
      </c>
      <c r="AY821" t="inlineStr">
        <is>
          <t>533</t>
        </is>
      </c>
      <c r="AZ821" t="inlineStr">
        <is>
          <t>82.7</t>
        </is>
      </c>
      <c r="BA821" t="inlineStr">
        <is>
          <t>133=</t>
        </is>
      </c>
    </row>
    <row r="822">
      <c r="A822" t="inlineStr">
        <is>
          <t>Radboud University Nijmegen</t>
        </is>
      </c>
      <c r="B822" t="inlineStr">
        <is>
          <t>Netherlands</t>
        </is>
      </c>
      <c r="C822" t="inlineStr"/>
      <c r="D822" t="inlineStr">
        <is>
          <t>Europe</t>
        </is>
      </c>
      <c r="E822" t="inlineStr">
        <is>
          <t>L</t>
        </is>
      </c>
      <c r="F822" t="inlineStr">
        <is>
          <t>FC</t>
        </is>
      </c>
      <c r="G822" t="inlineStr">
        <is>
          <t>VH</t>
        </is>
      </c>
      <c r="H822" t="inlineStr"/>
      <c r="I822" t="inlineStr">
        <is>
          <t>Public</t>
        </is>
      </c>
      <c r="J822" t="inlineStr">
        <is>
          <t>279</t>
        </is>
      </c>
      <c r="K822" t="inlineStr">
        <is>
          <t>272</t>
        </is>
      </c>
      <c r="L822" t="inlineStr"/>
      <c r="M822" t="inlineStr"/>
      <c r="N822" t="inlineStr">
        <is>
          <t>47.6</t>
        </is>
      </c>
      <c r="O822" t="inlineStr"/>
      <c r="P822" t="n">
        <v>38.6</v>
      </c>
      <c r="Q822" t="inlineStr">
        <is>
          <t>310</t>
        </is>
      </c>
      <c r="R822" t="n">
        <v>20.3</v>
      </c>
      <c r="S822" t="inlineStr">
        <is>
          <t>648</t>
        </is>
      </c>
      <c r="T822" t="n">
        <v>34.8</v>
      </c>
      <c r="U822" t="inlineStr">
        <is>
          <t>566</t>
        </is>
      </c>
      <c r="V822" t="n">
        <v>73.2</v>
      </c>
      <c r="W822" t="inlineStr">
        <is>
          <t>189</t>
        </is>
      </c>
      <c r="X822" t="n">
        <v>83.5</v>
      </c>
      <c r="Y822" t="inlineStr">
        <is>
          <t>266</t>
        </is>
      </c>
      <c r="Z822" t="n">
        <v>30.1</v>
      </c>
      <c r="AA822" t="inlineStr">
        <is>
          <t>589</t>
        </is>
      </c>
      <c r="AB822" t="n">
        <v>36</v>
      </c>
      <c r="AC822" t="inlineStr">
        <is>
          <t>534</t>
        </is>
      </c>
      <c r="AD822" t="n">
        <v>92.5</v>
      </c>
      <c r="AE822" t="inlineStr">
        <is>
          <t>136</t>
        </is>
      </c>
      <c r="AF822" t="n">
        <v>34.9</v>
      </c>
      <c r="AG822" t="inlineStr">
        <is>
          <t>492</t>
        </is>
      </c>
      <c r="AH822" t="n">
        <v>67.7</v>
      </c>
      <c r="AI822" t="inlineStr">
        <is>
          <t>353=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</row>
    <row r="823">
      <c r="A823" t="inlineStr">
        <is>
          <t>Rajshahi University</t>
        </is>
      </c>
      <c r="B823" t="inlineStr">
        <is>
          <t>Bangladesh</t>
        </is>
      </c>
      <c r="C823" t="inlineStr">
        <is>
          <t>BD</t>
        </is>
      </c>
      <c r="D823" t="inlineStr"/>
      <c r="E823" t="inlineStr"/>
      <c r="F823" t="inlineStr">
        <is>
          <t>CO</t>
        </is>
      </c>
      <c r="G823" t="inlineStr"/>
      <c r="H823" t="inlineStr">
        <is>
          <t>4</t>
        </is>
      </c>
      <c r="I823" t="inlineStr"/>
      <c r="J823" t="inlineStr"/>
      <c r="K823" t="inlineStr"/>
      <c r="L823" t="inlineStr">
        <is>
          <t>1401+</t>
        </is>
      </c>
      <c r="M823" t="inlineStr"/>
      <c r="N823" t="inlineStr"/>
      <c r="O823" t="inlineStr">
        <is>
          <t>-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9.2</t>
        </is>
      </c>
      <c r="AK823" t="inlineStr">
        <is>
          <t>601+</t>
        </is>
      </c>
      <c r="AL823" t="inlineStr">
        <is>
          <t>9.7</t>
        </is>
      </c>
      <c r="AM823" t="inlineStr">
        <is>
          <t>601+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>
        <is>
          <t>1.1</t>
        </is>
      </c>
      <c r="AW823" t="inlineStr">
        <is>
          <t>701+</t>
        </is>
      </c>
      <c r="AX823" t="inlineStr"/>
      <c r="AY823" t="inlineStr"/>
      <c r="AZ823" t="inlineStr"/>
      <c r="BA823" t="inlineStr"/>
    </row>
    <row r="824">
      <c r="A824" t="inlineStr">
        <is>
          <t>Rajshahi University of Engineering and Technology</t>
        </is>
      </c>
      <c r="B824" t="inlineStr">
        <is>
          <t>Bangladesh</t>
        </is>
      </c>
      <c r="C824" t="inlineStr"/>
      <c r="D824" t="inlineStr">
        <is>
          <t>Asia</t>
        </is>
      </c>
      <c r="E824" t="inlineStr">
        <is>
          <t>M</t>
        </is>
      </c>
      <c r="F824" t="inlineStr">
        <is>
          <t>SP</t>
        </is>
      </c>
      <c r="G824" t="inlineStr">
        <is>
          <t>HI</t>
        </is>
      </c>
      <c r="H824" t="inlineStr"/>
      <c r="I824" t="inlineStr"/>
      <c r="J824" t="inlineStr">
        <is>
          <t>1401+</t>
        </is>
      </c>
      <c r="K824" t="inlineStr"/>
      <c r="L824" t="inlineStr"/>
      <c r="M824" t="inlineStr"/>
      <c r="N824" t="inlineStr">
        <is>
          <t>-</t>
        </is>
      </c>
      <c r="O824" t="inlineStr"/>
      <c r="P824" t="n">
        <v>6.9</v>
      </c>
      <c r="Q824" t="inlineStr">
        <is>
          <t>701+</t>
        </is>
      </c>
      <c r="R824" t="n">
        <v>13.3</v>
      </c>
      <c r="S824" t="inlineStr">
        <is>
          <t>701+</t>
        </is>
      </c>
      <c r="T824" t="n">
        <v>9.9</v>
      </c>
      <c r="U824" t="inlineStr">
        <is>
          <t>801+</t>
        </is>
      </c>
      <c r="V824" t="n">
        <v>16</v>
      </c>
      <c r="W824" t="inlineStr">
        <is>
          <t>782</t>
        </is>
      </c>
      <c r="X824" t="inlineStr"/>
      <c r="Y824" t="inlineStr"/>
      <c r="Z824" t="inlineStr"/>
      <c r="AA824" t="inlineStr"/>
      <c r="AB824" t="inlineStr"/>
      <c r="AC824" t="inlineStr"/>
      <c r="AD824" t="n">
        <v>9.800000000000001</v>
      </c>
      <c r="AE824" t="inlineStr">
        <is>
          <t>801+</t>
        </is>
      </c>
      <c r="AF824" t="n">
        <v>4.1</v>
      </c>
      <c r="AG824" t="inlineStr">
        <is>
          <t>801+</t>
        </is>
      </c>
      <c r="AH824" t="n">
        <v>18</v>
      </c>
      <c r="AI824" t="inlineStr">
        <is>
          <t>801+</t>
        </is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</row>
    <row r="825">
      <c r="A825" t="inlineStr">
        <is>
          <t>Renmin (People’s) University of China</t>
        </is>
      </c>
      <c r="B825" t="inlineStr">
        <is>
          <t>China (Mainland)</t>
        </is>
      </c>
      <c r="C825" t="inlineStr">
        <is>
          <t>CN</t>
        </is>
      </c>
      <c r="D825" t="inlineStr">
        <is>
          <t>Asia</t>
        </is>
      </c>
      <c r="E825" t="inlineStr">
        <is>
          <t>L</t>
        </is>
      </c>
      <c r="F825" t="inlineStr">
        <is>
          <t>FO</t>
        </is>
      </c>
      <c r="G825" t="inlineStr">
        <is>
          <t>VH</t>
        </is>
      </c>
      <c r="H825" t="inlineStr">
        <is>
          <t>4</t>
        </is>
      </c>
      <c r="I825" t="inlineStr">
        <is>
          <t>Public</t>
        </is>
      </c>
      <c r="J825" t="inlineStr">
        <is>
          <t>566</t>
        </is>
      </c>
      <c r="K825" t="inlineStr">
        <is>
          <t>621-630</t>
        </is>
      </c>
      <c r="L825">
        <f>556</f>
        <v/>
      </c>
      <c r="M825" t="inlineStr">
        <is>
          <t>601-650</t>
        </is>
      </c>
      <c r="N825" t="inlineStr">
        <is>
          <t>29.3</t>
        </is>
      </c>
      <c r="O825" t="inlineStr">
        <is>
          <t>21.1</t>
        </is>
      </c>
      <c r="P825" t="n">
        <v>29.7</v>
      </c>
      <c r="Q825" t="inlineStr">
        <is>
          <t>416</t>
        </is>
      </c>
      <c r="R825" t="n">
        <v>50</v>
      </c>
      <c r="S825" t="inlineStr">
        <is>
          <t>255</t>
        </is>
      </c>
      <c r="T825" t="n">
        <v>21.3</v>
      </c>
      <c r="U825" t="inlineStr">
        <is>
          <t>801+</t>
        </is>
      </c>
      <c r="V825" t="n">
        <v>16.6</v>
      </c>
      <c r="W825" t="inlineStr">
        <is>
          <t>771</t>
        </is>
      </c>
      <c r="X825" t="n">
        <v>8.9</v>
      </c>
      <c r="Y825" t="inlineStr">
        <is>
          <t>801+</t>
        </is>
      </c>
      <c r="Z825" t="n">
        <v>9.1</v>
      </c>
      <c r="AA825" t="inlineStr">
        <is>
          <t>801+</t>
        </is>
      </c>
      <c r="AB825" t="n">
        <v>7</v>
      </c>
      <c r="AC825" t="inlineStr">
        <is>
          <t>801+</t>
        </is>
      </c>
      <c r="AD825" t="n">
        <v>26</v>
      </c>
      <c r="AE825" t="inlineStr">
        <is>
          <t>801+</t>
        </is>
      </c>
      <c r="AF825" t="n">
        <v>83.59999999999999</v>
      </c>
      <c r="AG825" t="inlineStr">
        <is>
          <t>142</t>
        </is>
      </c>
      <c r="AH825" t="n">
        <v>44.5</v>
      </c>
      <c r="AI825" t="inlineStr">
        <is>
          <t>801+</t>
        </is>
      </c>
      <c r="AJ825" t="inlineStr">
        <is>
          <t>23.7</t>
        </is>
      </c>
      <c r="AK825" t="inlineStr">
        <is>
          <t>363</t>
        </is>
      </c>
      <c r="AL825" t="inlineStr">
        <is>
          <t>40.4</t>
        </is>
      </c>
      <c r="AM825" t="inlineStr">
        <is>
          <t>233</t>
        </is>
      </c>
      <c r="AN825" t="inlineStr">
        <is>
          <t>17.2</t>
        </is>
      </c>
      <c r="AO825" t="inlineStr">
        <is>
          <t>701+</t>
        </is>
      </c>
      <c r="AP825" t="inlineStr">
        <is>
          <t>8.0</t>
        </is>
      </c>
      <c r="AQ825" t="inlineStr">
        <is>
          <t>701+</t>
        </is>
      </c>
      <c r="AR825" t="inlineStr">
        <is>
          <t>7.0</t>
        </is>
      </c>
      <c r="AS825" t="inlineStr">
        <is>
          <t>701+</t>
        </is>
      </c>
      <c r="AT825" t="inlineStr">
        <is>
          <t>5.3</t>
        </is>
      </c>
      <c r="AU825" t="inlineStr">
        <is>
          <t>701+</t>
        </is>
      </c>
      <c r="AV825" t="inlineStr">
        <is>
          <t>1.5</t>
        </is>
      </c>
      <c r="AW825" t="inlineStr">
        <is>
          <t>701+</t>
        </is>
      </c>
      <c r="AX825" t="inlineStr">
        <is>
          <t>62.4</t>
        </is>
      </c>
      <c r="AY825" t="inlineStr">
        <is>
          <t>94</t>
        </is>
      </c>
      <c r="AZ825" t="inlineStr">
        <is>
          <t>18.2</t>
        </is>
      </c>
      <c r="BA825" t="inlineStr">
        <is>
          <t>564=</t>
        </is>
      </c>
    </row>
    <row r="826">
      <c r="A826" t="inlineStr">
        <is>
          <t>Rensselaer Polytechnic Institute</t>
        </is>
      </c>
      <c r="B826" t="inlineStr">
        <is>
          <t>United States</t>
        </is>
      </c>
      <c r="C826" t="inlineStr">
        <is>
          <t>US</t>
        </is>
      </c>
      <c r="D826" t="inlineStr">
        <is>
          <t>Americas</t>
        </is>
      </c>
      <c r="E826" t="inlineStr">
        <is>
          <t>M</t>
        </is>
      </c>
      <c r="F826" t="inlineStr">
        <is>
          <t>CO</t>
        </is>
      </c>
      <c r="G826" t="inlineStr">
        <is>
          <t>VH</t>
        </is>
      </c>
      <c r="H826" t="inlineStr">
        <is>
          <t>5</t>
        </is>
      </c>
      <c r="I826" t="inlineStr">
        <is>
          <t>Private not for Profit</t>
        </is>
      </c>
      <c r="J826" t="inlineStr">
        <is>
          <t>695</t>
        </is>
      </c>
      <c r="K826" t="inlineStr">
        <is>
          <t>601-610</t>
        </is>
      </c>
      <c r="L826">
        <f>494</f>
        <v/>
      </c>
      <c r="M826" t="inlineStr">
        <is>
          <t>461=</t>
        </is>
      </c>
      <c r="N826" t="inlineStr">
        <is>
          <t>25.3</t>
        </is>
      </c>
      <c r="O826" t="inlineStr">
        <is>
          <t>23.4</t>
        </is>
      </c>
      <c r="P826" t="n">
        <v>10.2</v>
      </c>
      <c r="Q826" t="inlineStr">
        <is>
          <t>701+</t>
        </is>
      </c>
      <c r="R826" t="n">
        <v>17.9</v>
      </c>
      <c r="S826" t="inlineStr">
        <is>
          <t>701+</t>
        </is>
      </c>
      <c r="T826" t="n">
        <v>28.7</v>
      </c>
      <c r="U826" t="inlineStr">
        <is>
          <t>662</t>
        </is>
      </c>
      <c r="V826" t="n">
        <v>54.7</v>
      </c>
      <c r="W826" t="inlineStr">
        <is>
          <t>330</t>
        </is>
      </c>
      <c r="X826" t="inlineStr"/>
      <c r="Y826" t="inlineStr"/>
      <c r="Z826" t="n">
        <v>34.4</v>
      </c>
      <c r="AA826" t="inlineStr">
        <is>
          <t>547</t>
        </is>
      </c>
      <c r="AB826" t="n">
        <v>25.7</v>
      </c>
      <c r="AC826" t="inlineStr">
        <is>
          <t>675</t>
        </is>
      </c>
      <c r="AD826" t="n">
        <v>25.8</v>
      </c>
      <c r="AE826" t="inlineStr">
        <is>
          <t>801+</t>
        </is>
      </c>
      <c r="AF826" t="n">
        <v>41.3</v>
      </c>
      <c r="AG826" t="inlineStr">
        <is>
          <t>423</t>
        </is>
      </c>
      <c r="AH826" t="n">
        <v>38.7</v>
      </c>
      <c r="AI826" t="inlineStr">
        <is>
          <t>801+</t>
        </is>
      </c>
      <c r="AJ826" t="inlineStr">
        <is>
          <t>8.3</t>
        </is>
      </c>
      <c r="AK826" t="inlineStr">
        <is>
          <t>601+</t>
        </is>
      </c>
      <c r="AL826" t="inlineStr">
        <is>
          <t>7.0</t>
        </is>
      </c>
      <c r="AM826" t="inlineStr">
        <is>
          <t>601+</t>
        </is>
      </c>
      <c r="AN826" t="inlineStr">
        <is>
          <t>19.5</t>
        </is>
      </c>
      <c r="AO826" t="inlineStr">
        <is>
          <t>682</t>
        </is>
      </c>
      <c r="AP826" t="inlineStr">
        <is>
          <t>70.7</t>
        </is>
      </c>
      <c r="AQ826" t="inlineStr">
        <is>
          <t>144</t>
        </is>
      </c>
      <c r="AR826" t="inlineStr">
        <is>
          <t>4.0</t>
        </is>
      </c>
      <c r="AS826" t="inlineStr">
        <is>
          <t>701+</t>
        </is>
      </c>
      <c r="AT826" t="inlineStr">
        <is>
          <t>44.3</t>
        </is>
      </c>
      <c r="AU826" t="inlineStr">
        <is>
          <t>326</t>
        </is>
      </c>
      <c r="AV826" t="inlineStr">
        <is>
          <t>1.6</t>
        </is>
      </c>
      <c r="AW826" t="inlineStr">
        <is>
          <t>701+</t>
        </is>
      </c>
      <c r="AX826" t="inlineStr">
        <is>
          <t>24.1</t>
        </is>
      </c>
      <c r="AY826" t="inlineStr">
        <is>
          <t>350</t>
        </is>
      </c>
      <c r="AZ826" t="inlineStr">
        <is>
          <t>2.7</t>
        </is>
      </c>
      <c r="BA826" t="inlineStr">
        <is>
          <t>701+</t>
        </is>
      </c>
    </row>
    <row r="827">
      <c r="A827" t="inlineStr">
        <is>
          <t>Rheinisch-Westfälische Technische Hochschule Aachen</t>
        </is>
      </c>
      <c r="B827" t="inlineStr">
        <is>
          <t>Germany</t>
        </is>
      </c>
      <c r="C827" t="inlineStr"/>
      <c r="D827" t="inlineStr">
        <is>
          <t>Europe</t>
        </is>
      </c>
      <c r="E827" t="inlineStr">
        <is>
          <t>L</t>
        </is>
      </c>
      <c r="F827" t="inlineStr">
        <is>
          <t>FC</t>
        </is>
      </c>
      <c r="G827" t="inlineStr">
        <is>
          <t>VH</t>
        </is>
      </c>
      <c r="H827" t="inlineStr"/>
      <c r="I827" t="inlineStr">
        <is>
          <t>Public</t>
        </is>
      </c>
      <c r="J827" t="inlineStr">
        <is>
          <t>105</t>
        </is>
      </c>
      <c r="K827" t="inlineStr">
        <is>
          <t>99</t>
        </is>
      </c>
      <c r="L827" t="inlineStr"/>
      <c r="M827" t="inlineStr"/>
      <c r="N827" t="inlineStr">
        <is>
          <t>67.6</t>
        </is>
      </c>
      <c r="O827" t="inlineStr"/>
      <c r="P827" t="n">
        <v>57.7</v>
      </c>
      <c r="Q827" t="inlineStr">
        <is>
          <t>187</t>
        </is>
      </c>
      <c r="R827" t="n">
        <v>95.7</v>
      </c>
      <c r="S827" t="inlineStr">
        <is>
          <t>46</t>
        </is>
      </c>
      <c r="T827" t="n">
        <v>10.7</v>
      </c>
      <c r="U827" t="inlineStr">
        <is>
          <t>801+</t>
        </is>
      </c>
      <c r="V827" t="n">
        <v>79.7</v>
      </c>
      <c r="W827" t="inlineStr">
        <is>
          <t>157</t>
        </is>
      </c>
      <c r="X827" t="n">
        <v>59.6</v>
      </c>
      <c r="Y827" t="inlineStr">
        <is>
          <t>393</t>
        </is>
      </c>
      <c r="Z827" t="n">
        <v>93</v>
      </c>
      <c r="AA827" t="inlineStr">
        <is>
          <t>146</t>
        </is>
      </c>
      <c r="AB827" t="n">
        <v>93.5</v>
      </c>
      <c r="AC827" t="inlineStr">
        <is>
          <t>122</t>
        </is>
      </c>
      <c r="AD827" t="n">
        <v>86</v>
      </c>
      <c r="AE827" t="inlineStr">
        <is>
          <t>237</t>
        </is>
      </c>
      <c r="AF827" t="n">
        <v>55.9</v>
      </c>
      <c r="AG827" t="inlineStr">
        <is>
          <t>298</t>
        </is>
      </c>
      <c r="AH827" t="n">
        <v>82.90000000000001</v>
      </c>
      <c r="AI827" t="inlineStr">
        <is>
          <t>135=</t>
        </is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</row>
    <row r="828">
      <c r="A828" t="inlineStr">
        <is>
          <t>Rheinische Friedrich-Wilhelms-Universität Bonn</t>
        </is>
      </c>
      <c r="B828" t="inlineStr">
        <is>
          <t>Germany</t>
        </is>
      </c>
      <c r="C828" t="inlineStr">
        <is>
          <t>DE</t>
        </is>
      </c>
      <c r="D828" t="inlineStr">
        <is>
          <t>Europe</t>
        </is>
      </c>
      <c r="E828" t="inlineStr">
        <is>
          <t>L</t>
        </is>
      </c>
      <c r="F828" t="inlineStr">
        <is>
          <t>FC</t>
        </is>
      </c>
      <c r="G828" t="inlineStr">
        <is>
          <t>VH</t>
        </is>
      </c>
      <c r="H828" t="inlineStr">
        <is>
          <t>5</t>
        </is>
      </c>
      <c r="I828" t="inlineStr">
        <is>
          <t>Public</t>
        </is>
      </c>
      <c r="J828" t="inlineStr">
        <is>
          <t>207</t>
        </is>
      </c>
      <c r="K828" t="inlineStr">
        <is>
          <t>227</t>
        </is>
      </c>
      <c r="L828">
        <f>239</f>
        <v/>
      </c>
      <c r="M828" t="inlineStr">
        <is>
          <t>201</t>
        </is>
      </c>
      <c r="N828" t="inlineStr">
        <is>
          <t>54.9</t>
        </is>
      </c>
      <c r="O828" t="inlineStr">
        <is>
          <t>40.6</t>
        </is>
      </c>
      <c r="P828" t="n">
        <v>67.7</v>
      </c>
      <c r="Q828" t="inlineStr">
        <is>
          <t>144</t>
        </is>
      </c>
      <c r="R828" t="n">
        <v>35.5</v>
      </c>
      <c r="S828" t="inlineStr">
        <is>
          <t>407</t>
        </is>
      </c>
      <c r="T828" t="n">
        <v>76.5</v>
      </c>
      <c r="U828" t="inlineStr">
        <is>
          <t>188</t>
        </is>
      </c>
      <c r="V828" t="n">
        <v>24.9</v>
      </c>
      <c r="W828" t="inlineStr">
        <is>
          <t>640</t>
        </is>
      </c>
      <c r="X828" t="n">
        <v>51.4</v>
      </c>
      <c r="Y828" t="inlineStr">
        <is>
          <t>432</t>
        </is>
      </c>
      <c r="Z828" t="n">
        <v>56.4</v>
      </c>
      <c r="AA828" t="inlineStr">
        <is>
          <t>369</t>
        </is>
      </c>
      <c r="AB828" t="n">
        <v>60.6</v>
      </c>
      <c r="AC828" t="inlineStr">
        <is>
          <t>337</t>
        </is>
      </c>
      <c r="AD828" t="n">
        <v>96.2</v>
      </c>
      <c r="AE828" t="inlineStr">
        <is>
          <t>56</t>
        </is>
      </c>
      <c r="AF828" t="n">
        <v>50</v>
      </c>
      <c r="AG828" t="inlineStr">
        <is>
          <t>343</t>
        </is>
      </c>
      <c r="AH828" t="n">
        <v>86.40000000000001</v>
      </c>
      <c r="AI828" t="inlineStr">
        <is>
          <t>95</t>
        </is>
      </c>
      <c r="AJ828" t="inlineStr">
        <is>
          <t>52.4</t>
        </is>
      </c>
      <c r="AK828" t="inlineStr">
        <is>
          <t>151</t>
        </is>
      </c>
      <c r="AL828" t="inlineStr">
        <is>
          <t>19.8</t>
        </is>
      </c>
      <c r="AM828" t="inlineStr">
        <is>
          <t>458</t>
        </is>
      </c>
      <c r="AN828" t="inlineStr">
        <is>
          <t>58.0</t>
        </is>
      </c>
      <c r="AO828" t="inlineStr">
        <is>
          <t>247</t>
        </is>
      </c>
      <c r="AP828" t="inlineStr">
        <is>
          <t>22.1</t>
        </is>
      </c>
      <c r="AQ828" t="inlineStr">
        <is>
          <t>526</t>
        </is>
      </c>
      <c r="AR828" t="inlineStr">
        <is>
          <t>41.5</t>
        </is>
      </c>
      <c r="AS828" t="inlineStr">
        <is>
          <t>397</t>
        </is>
      </c>
      <c r="AT828" t="inlineStr">
        <is>
          <t>37.5</t>
        </is>
      </c>
      <c r="AU828" t="inlineStr">
        <is>
          <t>365</t>
        </is>
      </c>
      <c r="AV828" t="inlineStr">
        <is>
          <t>90.7</t>
        </is>
      </c>
      <c r="AW828" t="inlineStr">
        <is>
          <t>79</t>
        </is>
      </c>
      <c r="AX828" t="inlineStr">
        <is>
          <t>25.9</t>
        </is>
      </c>
      <c r="AY828" t="inlineStr">
        <is>
          <t>319</t>
        </is>
      </c>
      <c r="AZ828" t="inlineStr">
        <is>
          <t>35.2</t>
        </is>
      </c>
      <c r="BA828" t="inlineStr">
        <is>
          <t>399</t>
        </is>
      </c>
    </row>
    <row r="829">
      <c r="A829" t="inlineStr">
        <is>
          <t>Rhodes University</t>
        </is>
      </c>
      <c r="B829" t="inlineStr">
        <is>
          <t>South Africa</t>
        </is>
      </c>
      <c r="C829" t="inlineStr">
        <is>
          <t>ZA</t>
        </is>
      </c>
      <c r="D829" t="inlineStr">
        <is>
          <t>Africa</t>
        </is>
      </c>
      <c r="E829" t="inlineStr">
        <is>
          <t>M</t>
        </is>
      </c>
      <c r="F829" t="inlineStr">
        <is>
          <t>FO</t>
        </is>
      </c>
      <c r="G829" t="inlineStr">
        <is>
          <t>VH</t>
        </is>
      </c>
      <c r="H829" t="inlineStr">
        <is>
          <t>5</t>
        </is>
      </c>
      <c r="I829" t="inlineStr">
        <is>
          <t>Public</t>
        </is>
      </c>
      <c r="J829" t="inlineStr">
        <is>
          <t>1001-1200</t>
        </is>
      </c>
      <c r="K829" t="inlineStr">
        <is>
          <t>951-1000</t>
        </is>
      </c>
      <c r="L829" t="inlineStr">
        <is>
          <t>901-950</t>
        </is>
      </c>
      <c r="M829" t="inlineStr">
        <is>
          <t>801-1000</t>
        </is>
      </c>
      <c r="N829" t="inlineStr">
        <is>
          <t>-</t>
        </is>
      </c>
      <c r="O829" t="inlineStr">
        <is>
          <t>-</t>
        </is>
      </c>
      <c r="P829" t="n">
        <v>8</v>
      </c>
      <c r="Q829" t="inlineStr">
        <is>
          <t>701+</t>
        </is>
      </c>
      <c r="R829" t="n">
        <v>9.1</v>
      </c>
      <c r="S829" t="inlineStr">
        <is>
          <t>701+</t>
        </is>
      </c>
      <c r="T829" t="n">
        <v>17.2</v>
      </c>
      <c r="U829" t="inlineStr">
        <is>
          <t>801+</t>
        </is>
      </c>
      <c r="V829" t="n">
        <v>18.9</v>
      </c>
      <c r="W829" t="inlineStr">
        <is>
          <t>733</t>
        </is>
      </c>
      <c r="X829" t="inlineStr"/>
      <c r="Y829" t="inlineStr"/>
      <c r="Z829" t="n">
        <v>46.4</v>
      </c>
      <c r="AA829" t="inlineStr">
        <is>
          <t>434</t>
        </is>
      </c>
      <c r="AB829" t="n">
        <v>34.6</v>
      </c>
      <c r="AC829" t="inlineStr">
        <is>
          <t>554</t>
        </is>
      </c>
      <c r="AD829" t="n">
        <v>56.5</v>
      </c>
      <c r="AE829" t="inlineStr">
        <is>
          <t>745</t>
        </is>
      </c>
      <c r="AF829" t="n">
        <v>42.9</v>
      </c>
      <c r="AG829" t="inlineStr">
        <is>
          <t>408</t>
        </is>
      </c>
      <c r="AH829" t="n">
        <v>42.2</v>
      </c>
      <c r="AI829" t="inlineStr">
        <is>
          <t>801+</t>
        </is>
      </c>
      <c r="AJ829" t="inlineStr">
        <is>
          <t>6.7</t>
        </is>
      </c>
      <c r="AK829" t="inlineStr">
        <is>
          <t>601+</t>
        </is>
      </c>
      <c r="AL829" t="inlineStr">
        <is>
          <t>9.5</t>
        </is>
      </c>
      <c r="AM829" t="inlineStr">
        <is>
          <t>601+</t>
        </is>
      </c>
      <c r="AN829" t="inlineStr">
        <is>
          <t>13.6</t>
        </is>
      </c>
      <c r="AO829" t="inlineStr">
        <is>
          <t>701+</t>
        </is>
      </c>
      <c r="AP829" t="inlineStr">
        <is>
          <t>16.5</t>
        </is>
      </c>
      <c r="AQ829" t="inlineStr">
        <is>
          <t>607</t>
        </is>
      </c>
      <c r="AR829" t="inlineStr"/>
      <c r="AS829" t="inlineStr"/>
      <c r="AT829" t="inlineStr">
        <is>
          <t>35.8</t>
        </is>
      </c>
      <c r="AU829" t="inlineStr">
        <is>
          <t>375</t>
        </is>
      </c>
      <c r="AV829" t="inlineStr">
        <is>
          <t>11.6</t>
        </is>
      </c>
      <c r="AW829" t="inlineStr">
        <is>
          <t>641</t>
        </is>
      </c>
      <c r="AX829" t="inlineStr">
        <is>
          <t>19.6</t>
        </is>
      </c>
      <c r="AY829" t="inlineStr">
        <is>
          <t>429</t>
        </is>
      </c>
      <c r="AZ829" t="inlineStr">
        <is>
          <t>6.5</t>
        </is>
      </c>
      <c r="BA829" t="inlineStr">
        <is>
          <t>701+</t>
        </is>
      </c>
    </row>
    <row r="830">
      <c r="A830" t="inlineStr">
        <is>
          <t>Rice University</t>
        </is>
      </c>
      <c r="B830" t="inlineStr">
        <is>
          <t>United States</t>
        </is>
      </c>
      <c r="C830" t="inlineStr">
        <is>
          <t>US</t>
        </is>
      </c>
      <c r="D830" t="inlineStr">
        <is>
          <t>Americas</t>
        </is>
      </c>
      <c r="E830" t="inlineStr">
        <is>
          <t>M</t>
        </is>
      </c>
      <c r="F830" t="inlineStr">
        <is>
          <t>CO</t>
        </is>
      </c>
      <c r="G830" t="inlineStr">
        <is>
          <t>VH</t>
        </is>
      </c>
      <c r="H830" t="inlineStr">
        <is>
          <t>5</t>
        </is>
      </c>
      <c r="I830" t="inlineStr">
        <is>
          <t>Private not for Profit</t>
        </is>
      </c>
      <c r="J830" t="inlineStr">
        <is>
          <t>119</t>
        </is>
      </c>
      <c r="K830" t="inlineStr">
        <is>
          <t>141</t>
        </is>
      </c>
      <c r="L830">
        <f>145</f>
        <v/>
      </c>
      <c r="M830" t="inlineStr">
        <is>
          <t>100</t>
        </is>
      </c>
      <c r="N830" t="inlineStr">
        <is>
          <t>65.7</t>
        </is>
      </c>
      <c r="O830" t="inlineStr">
        <is>
          <t>51.9</t>
        </is>
      </c>
      <c r="P830" t="n">
        <v>50.6</v>
      </c>
      <c r="Q830" t="inlineStr">
        <is>
          <t>221</t>
        </is>
      </c>
      <c r="R830" t="n">
        <v>51</v>
      </c>
      <c r="S830" t="inlineStr">
        <is>
          <t>245</t>
        </is>
      </c>
      <c r="T830" t="n">
        <v>74.90000000000001</v>
      </c>
      <c r="U830" t="inlineStr">
        <is>
          <t>196</t>
        </is>
      </c>
      <c r="V830" t="n">
        <v>81.59999999999999</v>
      </c>
      <c r="W830" t="inlineStr">
        <is>
          <t>148</t>
        </is>
      </c>
      <c r="X830" t="n">
        <v>91.3</v>
      </c>
      <c r="Y830" t="inlineStr">
        <is>
          <t>215</t>
        </is>
      </c>
      <c r="Z830" t="n">
        <v>96.59999999999999</v>
      </c>
      <c r="AA830" t="inlineStr">
        <is>
          <t>104</t>
        </is>
      </c>
      <c r="AB830" t="n">
        <v>96.8</v>
      </c>
      <c r="AC830" t="inlineStr">
        <is>
          <t>91</t>
        </is>
      </c>
      <c r="AD830" t="n">
        <v>66.3</v>
      </c>
      <c r="AE830" t="inlineStr">
        <is>
          <t>605</t>
        </is>
      </c>
      <c r="AF830" t="n">
        <v>45.7</v>
      </c>
      <c r="AG830" t="inlineStr">
        <is>
          <t>381</t>
        </is>
      </c>
      <c r="AH830" t="n">
        <v>81.5</v>
      </c>
      <c r="AI830" t="inlineStr">
        <is>
          <t>156</t>
        </is>
      </c>
      <c r="AJ830" t="inlineStr">
        <is>
          <t>38.7</t>
        </is>
      </c>
      <c r="AK830" t="inlineStr">
        <is>
          <t>222</t>
        </is>
      </c>
      <c r="AL830" t="inlineStr">
        <is>
          <t>22.9</t>
        </is>
      </c>
      <c r="AM830" t="inlineStr">
        <is>
          <t>415</t>
        </is>
      </c>
      <c r="AN830" t="inlineStr">
        <is>
          <t>65.9</t>
        </is>
      </c>
      <c r="AO830" t="inlineStr">
        <is>
          <t>205</t>
        </is>
      </c>
      <c r="AP830" t="inlineStr">
        <is>
          <t>82.5</t>
        </is>
      </c>
      <c r="AQ830" t="inlineStr">
        <is>
          <t>101</t>
        </is>
      </c>
      <c r="AR830" t="inlineStr">
        <is>
          <t>91.0</t>
        </is>
      </c>
      <c r="AS830" t="inlineStr">
        <is>
          <t>176</t>
        </is>
      </c>
      <c r="AT830" t="inlineStr">
        <is>
          <t>94.8</t>
        </is>
      </c>
      <c r="AU830" t="inlineStr">
        <is>
          <t>89</t>
        </is>
      </c>
      <c r="AV830" t="inlineStr">
        <is>
          <t>9.8</t>
        </is>
      </c>
      <c r="AW830" t="inlineStr">
        <is>
          <t>671</t>
        </is>
      </c>
      <c r="AX830" t="inlineStr">
        <is>
          <t>30</t>
        </is>
      </c>
      <c r="AY830" t="inlineStr">
        <is>
          <t>262</t>
        </is>
      </c>
      <c r="AZ830" t="inlineStr">
        <is>
          <t>42.6</t>
        </is>
      </c>
      <c r="BA830" t="inlineStr">
        <is>
          <t>345=</t>
        </is>
      </c>
    </row>
    <row r="831">
      <c r="A831" t="inlineStr">
        <is>
          <t>Riga Stradins University</t>
        </is>
      </c>
      <c r="B831" t="inlineStr">
        <is>
          <t>Latvia</t>
        </is>
      </c>
      <c r="C831" t="inlineStr">
        <is>
          <t>LV</t>
        </is>
      </c>
      <c r="D831" t="inlineStr">
        <is>
          <t>Europe</t>
        </is>
      </c>
      <c r="E831" t="inlineStr">
        <is>
          <t>M</t>
        </is>
      </c>
      <c r="F831" t="inlineStr">
        <is>
          <t>SP</t>
        </is>
      </c>
      <c r="G831" t="inlineStr">
        <is>
          <t>HI</t>
        </is>
      </c>
      <c r="H831" t="inlineStr">
        <is>
          <t>4</t>
        </is>
      </c>
      <c r="I831" t="inlineStr">
        <is>
          <t>Public</t>
        </is>
      </c>
      <c r="J831" t="inlineStr">
        <is>
          <t>1001-1200</t>
        </is>
      </c>
      <c r="K831" t="inlineStr">
        <is>
          <t>951-1000</t>
        </is>
      </c>
      <c r="L831" t="inlineStr">
        <is>
          <t>901-950</t>
        </is>
      </c>
      <c r="M831" t="inlineStr">
        <is>
          <t>801-1000</t>
        </is>
      </c>
      <c r="N831" t="inlineStr">
        <is>
          <t>-</t>
        </is>
      </c>
      <c r="O831" t="inlineStr">
        <is>
          <t>-</t>
        </is>
      </c>
      <c r="P831" t="n">
        <v>7.4</v>
      </c>
      <c r="Q831" t="inlineStr">
        <is>
          <t>701+</t>
        </is>
      </c>
      <c r="R831" t="n">
        <v>16.2</v>
      </c>
      <c r="S831" t="inlineStr">
        <is>
          <t>701+</t>
        </is>
      </c>
      <c r="T831" t="n">
        <v>16.3</v>
      </c>
      <c r="U831" t="inlineStr">
        <is>
          <t>801+</t>
        </is>
      </c>
      <c r="V831" t="n">
        <v>3.4</v>
      </c>
      <c r="W831" t="inlineStr">
        <is>
          <t>801+</t>
        </is>
      </c>
      <c r="X831" t="n">
        <v>30.9</v>
      </c>
      <c r="Y831" t="inlineStr">
        <is>
          <t>580</t>
        </is>
      </c>
      <c r="Z831" t="n">
        <v>96.09999999999999</v>
      </c>
      <c r="AA831" t="inlineStr">
        <is>
          <t>111</t>
        </is>
      </c>
      <c r="AB831" t="n">
        <v>95.90000000000001</v>
      </c>
      <c r="AC831" t="inlineStr">
        <is>
          <t>102</t>
        </is>
      </c>
      <c r="AD831" t="n">
        <v>15.9</v>
      </c>
      <c r="AE831" t="inlineStr">
        <is>
          <t>801+</t>
        </is>
      </c>
      <c r="AF831" t="n">
        <v>14.8</v>
      </c>
      <c r="AG831" t="inlineStr">
        <is>
          <t>801+</t>
        </is>
      </c>
      <c r="AH831" t="n">
        <v>29.5</v>
      </c>
      <c r="AI831" t="inlineStr">
        <is>
          <t>801+</t>
        </is>
      </c>
      <c r="AJ831" t="inlineStr">
        <is>
          <t>6.7</t>
        </is>
      </c>
      <c r="AK831" t="inlineStr">
        <is>
          <t>601+</t>
        </is>
      </c>
      <c r="AL831" t="inlineStr">
        <is>
          <t>14.1</t>
        </is>
      </c>
      <c r="AM831" t="inlineStr">
        <is>
          <t>578</t>
        </is>
      </c>
      <c r="AN831" t="inlineStr">
        <is>
          <t>14.4</t>
        </is>
      </c>
      <c r="AO831" t="inlineStr">
        <is>
          <t>701+</t>
        </is>
      </c>
      <c r="AP831" t="inlineStr">
        <is>
          <t>1.8</t>
        </is>
      </c>
      <c r="AQ831" t="inlineStr">
        <is>
          <t>701+</t>
        </is>
      </c>
      <c r="AR831" t="inlineStr">
        <is>
          <t>16.9</t>
        </is>
      </c>
      <c r="AS831" t="inlineStr">
        <is>
          <t>633</t>
        </is>
      </c>
      <c r="AT831" t="inlineStr">
        <is>
          <t>86.4</t>
        </is>
      </c>
      <c r="AU831" t="inlineStr">
        <is>
          <t>138</t>
        </is>
      </c>
      <c r="AV831" t="inlineStr">
        <is>
          <t>1.0</t>
        </is>
      </c>
      <c r="AW831" t="inlineStr">
        <is>
          <t>701+</t>
        </is>
      </c>
      <c r="AX831" t="inlineStr">
        <is>
          <t>11.7</t>
        </is>
      </c>
      <c r="AY831" t="inlineStr">
        <is>
          <t>701+</t>
        </is>
      </c>
      <c r="AZ831" t="inlineStr">
        <is>
          <t>4.1</t>
        </is>
      </c>
      <c r="BA831" t="inlineStr">
        <is>
          <t>701+</t>
        </is>
      </c>
    </row>
    <row r="832">
      <c r="A832" t="inlineStr">
        <is>
          <t>Riga Technical University</t>
        </is>
      </c>
      <c r="B832" t="inlineStr">
        <is>
          <t>Latvia</t>
        </is>
      </c>
      <c r="C832" t="inlineStr">
        <is>
          <t>LV</t>
        </is>
      </c>
      <c r="D832" t="inlineStr">
        <is>
          <t>Europe</t>
        </is>
      </c>
      <c r="E832" t="inlineStr">
        <is>
          <t>M</t>
        </is>
      </c>
      <c r="F832" t="inlineStr">
        <is>
          <t>CO</t>
        </is>
      </c>
      <c r="G832" t="inlineStr">
        <is>
          <t>VH</t>
        </is>
      </c>
      <c r="H832" t="inlineStr">
        <is>
          <t>5</t>
        </is>
      </c>
      <c r="I832" t="inlineStr">
        <is>
          <t>Public</t>
        </is>
      </c>
      <c r="J832" t="inlineStr">
        <is>
          <t>761-770</t>
        </is>
      </c>
      <c r="K832" t="inlineStr">
        <is>
          <t>721-730</t>
        </is>
      </c>
      <c r="L832" t="inlineStr">
        <is>
          <t>751-760</t>
        </is>
      </c>
      <c r="M832" t="inlineStr">
        <is>
          <t>751-800</t>
        </is>
      </c>
      <c r="N832" t="inlineStr">
        <is>
          <t>-</t>
        </is>
      </c>
      <c r="O832" t="inlineStr">
        <is>
          <t>-</t>
        </is>
      </c>
      <c r="P832" t="n">
        <v>12.6</v>
      </c>
      <c r="Q832" t="inlineStr">
        <is>
          <t>701+</t>
        </is>
      </c>
      <c r="R832" t="n">
        <v>31.9</v>
      </c>
      <c r="S832" t="inlineStr">
        <is>
          <t>449</t>
        </is>
      </c>
      <c r="T832" t="n">
        <v>31.7</v>
      </c>
      <c r="U832" t="inlineStr">
        <is>
          <t>606</t>
        </is>
      </c>
      <c r="V832" t="n">
        <v>6</v>
      </c>
      <c r="W832" t="inlineStr">
        <is>
          <t>801+</t>
        </is>
      </c>
      <c r="X832" t="n">
        <v>22.1</v>
      </c>
      <c r="Y832" t="inlineStr">
        <is>
          <t>686</t>
        </is>
      </c>
      <c r="Z832" t="n">
        <v>84.90000000000001</v>
      </c>
      <c r="AA832" t="inlineStr">
        <is>
          <t>195</t>
        </is>
      </c>
      <c r="AB832" t="n">
        <v>86.3</v>
      </c>
      <c r="AC832" t="inlineStr">
        <is>
          <t>165</t>
        </is>
      </c>
      <c r="AD832" t="n">
        <v>38.2</v>
      </c>
      <c r="AE832" t="inlineStr">
        <is>
          <t>801+</t>
        </is>
      </c>
      <c r="AF832" t="n">
        <v>40.5</v>
      </c>
      <c r="AG832" t="inlineStr">
        <is>
          <t>432</t>
        </is>
      </c>
      <c r="AH832" t="n">
        <v>47.6</v>
      </c>
      <c r="AI832" t="inlineStr">
        <is>
          <t>770=</t>
        </is>
      </c>
      <c r="AJ832" t="inlineStr">
        <is>
          <t>11.4</t>
        </is>
      </c>
      <c r="AK832" t="inlineStr">
        <is>
          <t>601+</t>
        </is>
      </c>
      <c r="AL832" t="inlineStr">
        <is>
          <t>28.2</t>
        </is>
      </c>
      <c r="AM832" t="inlineStr">
        <is>
          <t>343</t>
        </is>
      </c>
      <c r="AN832" t="inlineStr">
        <is>
          <t>19.7</t>
        </is>
      </c>
      <c r="AO832" t="inlineStr">
        <is>
          <t>673</t>
        </is>
      </c>
      <c r="AP832" t="inlineStr">
        <is>
          <t>2.9</t>
        </is>
      </c>
      <c r="AQ832" t="inlineStr">
        <is>
          <t>701+</t>
        </is>
      </c>
      <c r="AR832" t="inlineStr">
        <is>
          <t>16.4</t>
        </is>
      </c>
      <c r="AS832" t="inlineStr">
        <is>
          <t>644</t>
        </is>
      </c>
      <c r="AT832" t="inlineStr">
        <is>
          <t>59.9</t>
        </is>
      </c>
      <c r="AU832" t="inlineStr">
        <is>
          <t>248</t>
        </is>
      </c>
      <c r="AV832" t="inlineStr">
        <is>
          <t>1.4</t>
        </is>
      </c>
      <c r="AW832" t="inlineStr">
        <is>
          <t>701+</t>
        </is>
      </c>
      <c r="AX832" t="inlineStr">
        <is>
          <t>18.5</t>
        </is>
      </c>
      <c r="AY832" t="inlineStr">
        <is>
          <t>452</t>
        </is>
      </c>
      <c r="AZ832" t="inlineStr">
        <is>
          <t>15.2</t>
        </is>
      </c>
      <c r="BA832" t="inlineStr">
        <is>
          <t>608=</t>
        </is>
      </c>
    </row>
    <row r="833">
      <c r="A833" t="inlineStr">
        <is>
          <t>Rikkyo University</t>
        </is>
      </c>
      <c r="B833" t="inlineStr">
        <is>
          <t>Japan</t>
        </is>
      </c>
      <c r="C833" t="inlineStr">
        <is>
          <t>JP</t>
        </is>
      </c>
      <c r="D833" t="inlineStr">
        <is>
          <t>Asia</t>
        </is>
      </c>
      <c r="E833" t="inlineStr">
        <is>
          <t>L</t>
        </is>
      </c>
      <c r="F833" t="inlineStr">
        <is>
          <t>FO</t>
        </is>
      </c>
      <c r="G833" t="inlineStr">
        <is>
          <t>HI</t>
        </is>
      </c>
      <c r="H833" t="inlineStr">
        <is>
          <t>5</t>
        </is>
      </c>
      <c r="I833" t="inlineStr">
        <is>
          <t>Private for Profit</t>
        </is>
      </c>
      <c r="J833" t="inlineStr">
        <is>
          <t>1401+</t>
        </is>
      </c>
      <c r="K833" t="inlineStr">
        <is>
          <t>1201-1400</t>
        </is>
      </c>
      <c r="L833" t="inlineStr">
        <is>
          <t>1201-1400</t>
        </is>
      </c>
      <c r="M833" t="inlineStr">
        <is>
          <t>1201-1400</t>
        </is>
      </c>
      <c r="N833" t="inlineStr">
        <is>
          <t>-</t>
        </is>
      </c>
      <c r="O833" t="inlineStr">
        <is>
          <t>-</t>
        </is>
      </c>
      <c r="P833" t="n">
        <v>5.5</v>
      </c>
      <c r="Q833" t="inlineStr">
        <is>
          <t>701+</t>
        </is>
      </c>
      <c r="R833" t="n">
        <v>14.3</v>
      </c>
      <c r="S833" t="inlineStr">
        <is>
          <t>701+</t>
        </is>
      </c>
      <c r="T833" t="n">
        <v>9.9</v>
      </c>
      <c r="U833" t="inlineStr">
        <is>
          <t>801+</t>
        </is>
      </c>
      <c r="V833" t="n">
        <v>3</v>
      </c>
      <c r="W833" t="inlineStr">
        <is>
          <t>801+</t>
        </is>
      </c>
      <c r="X833" t="n">
        <v>32.8</v>
      </c>
      <c r="Y833" t="inlineStr">
        <is>
          <t>556</t>
        </is>
      </c>
      <c r="Z833" t="n">
        <v>10.6</v>
      </c>
      <c r="AA833" t="inlineStr">
        <is>
          <t>801+</t>
        </is>
      </c>
      <c r="AB833" t="n">
        <v>14.2</v>
      </c>
      <c r="AC833" t="inlineStr">
        <is>
          <t>801+</t>
        </is>
      </c>
      <c r="AD833" t="n">
        <v>12.3</v>
      </c>
      <c r="AE833" t="inlineStr">
        <is>
          <t>801+</t>
        </is>
      </c>
      <c r="AF833" t="n">
        <v>10</v>
      </c>
      <c r="AG833" t="inlineStr">
        <is>
          <t>801+</t>
        </is>
      </c>
      <c r="AH833" t="n">
        <v>30</v>
      </c>
      <c r="AI833" t="inlineStr">
        <is>
          <t>801+</t>
        </is>
      </c>
      <c r="AJ833" t="inlineStr">
        <is>
          <t>4.1</t>
        </is>
      </c>
      <c r="AK833" t="inlineStr">
        <is>
          <t>601+</t>
        </is>
      </c>
      <c r="AL833" t="inlineStr">
        <is>
          <t>12.0</t>
        </is>
      </c>
      <c r="AM833" t="inlineStr">
        <is>
          <t>601+</t>
        </is>
      </c>
      <c r="AN833" t="inlineStr">
        <is>
          <t>10.1</t>
        </is>
      </c>
      <c r="AO833" t="inlineStr">
        <is>
          <t>701+</t>
        </is>
      </c>
      <c r="AP833" t="inlineStr">
        <is>
          <t>2.6</t>
        </is>
      </c>
      <c r="AQ833" t="inlineStr">
        <is>
          <t>701+</t>
        </is>
      </c>
      <c r="AR833" t="inlineStr">
        <is>
          <t>24.9</t>
        </is>
      </c>
      <c r="AS833" t="inlineStr">
        <is>
          <t>537</t>
        </is>
      </c>
      <c r="AT833" t="inlineStr">
        <is>
          <t>6.2</t>
        </is>
      </c>
      <c r="AU833" t="inlineStr">
        <is>
          <t>701+</t>
        </is>
      </c>
      <c r="AV833" t="inlineStr">
        <is>
          <t>1.0</t>
        </is>
      </c>
      <c r="AW833" t="inlineStr">
        <is>
          <t>701+</t>
        </is>
      </c>
      <c r="AX833" t="inlineStr">
        <is>
          <t>8.6</t>
        </is>
      </c>
      <c r="AY833" t="inlineStr">
        <is>
          <t>701+</t>
        </is>
      </c>
      <c r="AZ833" t="inlineStr">
        <is>
          <t>1</t>
        </is>
      </c>
      <c r="BA833" t="inlineStr">
        <is>
          <t>701+</t>
        </is>
      </c>
    </row>
    <row r="834">
      <c r="A834" t="inlineStr">
        <is>
          <t>Riphah International University</t>
        </is>
      </c>
      <c r="B834" t="inlineStr">
        <is>
          <t>Pakistan</t>
        </is>
      </c>
      <c r="C834" t="inlineStr"/>
      <c r="D834" t="inlineStr">
        <is>
          <t>Asia</t>
        </is>
      </c>
      <c r="E834" t="inlineStr">
        <is>
          <t>L</t>
        </is>
      </c>
      <c r="F834" t="inlineStr">
        <is>
          <t>CO</t>
        </is>
      </c>
      <c r="G834" t="inlineStr">
        <is>
          <t>HI</t>
        </is>
      </c>
      <c r="H834" t="inlineStr"/>
      <c r="I834" t="inlineStr">
        <is>
          <t>Private not for Profit</t>
        </is>
      </c>
      <c r="J834" t="inlineStr">
        <is>
          <t>1201-1400</t>
        </is>
      </c>
      <c r="K834" t="inlineStr"/>
      <c r="L834" t="inlineStr"/>
      <c r="M834" t="inlineStr"/>
      <c r="N834" t="inlineStr">
        <is>
          <t>-</t>
        </is>
      </c>
      <c r="O834" t="inlineStr"/>
      <c r="P834" t="n">
        <v>13.8</v>
      </c>
      <c r="Q834" t="inlineStr">
        <is>
          <t>701+</t>
        </is>
      </c>
      <c r="R834" t="n">
        <v>8.199999999999999</v>
      </c>
      <c r="S834" t="inlineStr">
        <is>
          <t>701+</t>
        </is>
      </c>
      <c r="T834" t="n">
        <v>26.2</v>
      </c>
      <c r="U834" t="inlineStr">
        <is>
          <t>712</t>
        </is>
      </c>
      <c r="V834" t="n">
        <v>6.4</v>
      </c>
      <c r="W834" t="inlineStr">
        <is>
          <t>801+</t>
        </is>
      </c>
      <c r="X834" t="n">
        <v>2.2</v>
      </c>
      <c r="Y834" t="inlineStr">
        <is>
          <t>801+</t>
        </is>
      </c>
      <c r="Z834" t="n">
        <v>1.5</v>
      </c>
      <c r="AA834" t="inlineStr">
        <is>
          <t>801+</t>
        </is>
      </c>
      <c r="AB834" t="n">
        <v>5.9</v>
      </c>
      <c r="AC834" t="inlineStr">
        <is>
          <t>801+</t>
        </is>
      </c>
      <c r="AD834" t="n">
        <v>51.8</v>
      </c>
      <c r="AE834" t="inlineStr">
        <is>
          <t>801+</t>
        </is>
      </c>
      <c r="AF834" t="n">
        <v>3.2</v>
      </c>
      <c r="AG834" t="inlineStr">
        <is>
          <t>801+</t>
        </is>
      </c>
      <c r="AH834" t="n">
        <v>32.3</v>
      </c>
      <c r="AI834" t="inlineStr">
        <is>
          <t>801+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</row>
    <row r="835">
      <c r="A835" t="inlineStr">
        <is>
          <t>Ritsumeikan Asia Pacific University</t>
        </is>
      </c>
      <c r="B835" t="inlineStr">
        <is>
          <t>Japan</t>
        </is>
      </c>
      <c r="C835" t="inlineStr">
        <is>
          <t>JP</t>
        </is>
      </c>
      <c r="D835" t="inlineStr">
        <is>
          <t>Asia</t>
        </is>
      </c>
      <c r="E835" t="inlineStr">
        <is>
          <t>M</t>
        </is>
      </c>
      <c r="F835" t="inlineStr">
        <is>
          <t>SP</t>
        </is>
      </c>
      <c r="G835" t="inlineStr">
        <is>
          <t>LO</t>
        </is>
      </c>
      <c r="H835" t="inlineStr">
        <is>
          <t>2</t>
        </is>
      </c>
      <c r="I835" t="inlineStr">
        <is>
          <t>Private for Profit</t>
        </is>
      </c>
      <c r="J835" t="inlineStr">
        <is>
          <t>1001-1200</t>
        </is>
      </c>
      <c r="K835" t="inlineStr">
        <is>
          <t>901-950</t>
        </is>
      </c>
      <c r="L835" t="inlineStr">
        <is>
          <t>801-850</t>
        </is>
      </c>
      <c r="M835" t="inlineStr">
        <is>
          <t>801-1000</t>
        </is>
      </c>
      <c r="N835" t="inlineStr">
        <is>
          <t>-</t>
        </is>
      </c>
      <c r="O835" t="inlineStr">
        <is>
          <t>-</t>
        </is>
      </c>
      <c r="P835" t="n">
        <v>8.300000000000001</v>
      </c>
      <c r="Q835" t="inlineStr">
        <is>
          <t>701+</t>
        </is>
      </c>
      <c r="R835" t="n">
        <v>11.8</v>
      </c>
      <c r="S835" t="inlineStr">
        <is>
          <t>701+</t>
        </is>
      </c>
      <c r="T835" t="n">
        <v>4.3</v>
      </c>
      <c r="U835" t="inlineStr">
        <is>
          <t>801+</t>
        </is>
      </c>
      <c r="V835" t="n">
        <v>4.1</v>
      </c>
      <c r="W835" t="inlineStr">
        <is>
          <t>801+</t>
        </is>
      </c>
      <c r="X835" t="n">
        <v>99.5</v>
      </c>
      <c r="Y835" t="inlineStr">
        <is>
          <t>110</t>
        </is>
      </c>
      <c r="Z835" t="n">
        <v>99.7</v>
      </c>
      <c r="AA835" t="inlineStr">
        <is>
          <t>51</t>
        </is>
      </c>
      <c r="AB835" t="n">
        <v>99.7</v>
      </c>
      <c r="AC835" t="inlineStr">
        <is>
          <t>41</t>
        </is>
      </c>
      <c r="AD835" t="n">
        <v>4.7</v>
      </c>
      <c r="AE835" t="inlineStr">
        <is>
          <t>801+</t>
        </is>
      </c>
      <c r="AF835" t="n">
        <v>1.7</v>
      </c>
      <c r="AG835" t="inlineStr">
        <is>
          <t>801+</t>
        </is>
      </c>
      <c r="AH835" t="n">
        <v>14.4</v>
      </c>
      <c r="AI835" t="inlineStr">
        <is>
          <t>801+</t>
        </is>
      </c>
      <c r="AJ835" t="inlineStr">
        <is>
          <t>5.1</t>
        </is>
      </c>
      <c r="AK835" t="inlineStr">
        <is>
          <t>601+</t>
        </is>
      </c>
      <c r="AL835" t="inlineStr">
        <is>
          <t>9.4</t>
        </is>
      </c>
      <c r="AM835" t="inlineStr">
        <is>
          <t>601+</t>
        </is>
      </c>
      <c r="AN835" t="inlineStr">
        <is>
          <t>2.4</t>
        </is>
      </c>
      <c r="AO835" t="inlineStr">
        <is>
          <t>701+</t>
        </is>
      </c>
      <c r="AP835" t="inlineStr">
        <is>
          <t>2.6</t>
        </is>
      </c>
      <c r="AQ835" t="inlineStr">
        <is>
          <t>701+</t>
        </is>
      </c>
      <c r="AR835" t="inlineStr">
        <is>
          <t>99.6</t>
        </is>
      </c>
      <c r="AS835" t="inlineStr">
        <is>
          <t>87</t>
        </is>
      </c>
      <c r="AT835" t="inlineStr">
        <is>
          <t>99.6</t>
        </is>
      </c>
      <c r="AU835" t="inlineStr">
        <is>
          <t>37</t>
        </is>
      </c>
      <c r="AV835" t="inlineStr">
        <is>
          <t>1.0</t>
        </is>
      </c>
      <c r="AW835" t="inlineStr">
        <is>
          <t>701+</t>
        </is>
      </c>
      <c r="AX835" t="inlineStr">
        <is>
          <t>7.8</t>
        </is>
      </c>
      <c r="AY835" t="inlineStr">
        <is>
          <t>701+</t>
        </is>
      </c>
      <c r="AZ835" t="inlineStr">
        <is>
          <t>1</t>
        </is>
      </c>
      <c r="BA835" t="inlineStr">
        <is>
          <t>701+</t>
        </is>
      </c>
    </row>
    <row r="836">
      <c r="A836" t="inlineStr">
        <is>
          <t>Ritsumeikan University</t>
        </is>
      </c>
      <c r="B836" t="inlineStr">
        <is>
          <t>Japan</t>
        </is>
      </c>
      <c r="C836" t="inlineStr">
        <is>
          <t>JP</t>
        </is>
      </c>
      <c r="D836" t="inlineStr">
        <is>
          <t>Asia</t>
        </is>
      </c>
      <c r="E836" t="inlineStr">
        <is>
          <t>XL</t>
        </is>
      </c>
      <c r="F836" t="inlineStr">
        <is>
          <t>CO</t>
        </is>
      </c>
      <c r="G836" t="inlineStr">
        <is>
          <t>HI</t>
        </is>
      </c>
      <c r="H836" t="inlineStr">
        <is>
          <t>5</t>
        </is>
      </c>
      <c r="I836" t="inlineStr">
        <is>
          <t>Private not for Profit</t>
        </is>
      </c>
      <c r="J836" t="inlineStr">
        <is>
          <t>680</t>
        </is>
      </c>
      <c r="K836" t="inlineStr">
        <is>
          <t>641-650</t>
        </is>
      </c>
      <c r="L836" t="inlineStr">
        <is>
          <t>631-640</t>
        </is>
      </c>
      <c r="M836" t="inlineStr">
        <is>
          <t>701-750</t>
        </is>
      </c>
      <c r="N836" t="inlineStr">
        <is>
          <t>25.9</t>
        </is>
      </c>
      <c r="O836" t="inlineStr">
        <is>
          <t>-</t>
        </is>
      </c>
      <c r="P836" t="n">
        <v>25.7</v>
      </c>
      <c r="Q836" t="inlineStr">
        <is>
          <t>493</t>
        </is>
      </c>
      <c r="R836" t="n">
        <v>61.5</v>
      </c>
      <c r="S836" t="inlineStr">
        <is>
          <t>187</t>
        </is>
      </c>
      <c r="T836" t="n">
        <v>10.3</v>
      </c>
      <c r="U836" t="inlineStr">
        <is>
          <t>801+</t>
        </is>
      </c>
      <c r="V836" t="n">
        <v>5</v>
      </c>
      <c r="W836" t="inlineStr">
        <is>
          <t>801+</t>
        </is>
      </c>
      <c r="X836" t="n">
        <v>36.5</v>
      </c>
      <c r="Y836" t="inlineStr">
        <is>
          <t>525</t>
        </is>
      </c>
      <c r="Z836" t="n">
        <v>17.8</v>
      </c>
      <c r="AA836" t="inlineStr">
        <is>
          <t>766</t>
        </is>
      </c>
      <c r="AB836" t="n">
        <v>23.9</v>
      </c>
      <c r="AC836" t="inlineStr">
        <is>
          <t>704</t>
        </is>
      </c>
      <c r="AD836" t="n">
        <v>41.1</v>
      </c>
      <c r="AE836" t="inlineStr">
        <is>
          <t>801+</t>
        </is>
      </c>
      <c r="AF836" t="n">
        <v>4.8</v>
      </c>
      <c r="AG836" t="inlineStr">
        <is>
          <t>801+</t>
        </is>
      </c>
      <c r="AH836" t="n">
        <v>64.40000000000001</v>
      </c>
      <c r="AI836" t="inlineStr">
        <is>
          <t>413=</t>
        </is>
      </c>
      <c r="AJ836" t="inlineStr">
        <is>
          <t>15.2</t>
        </is>
      </c>
      <c r="AK836" t="inlineStr">
        <is>
          <t>572</t>
        </is>
      </c>
      <c r="AL836" t="inlineStr">
        <is>
          <t>68.4</t>
        </is>
      </c>
      <c r="AM836" t="inlineStr">
        <is>
          <t>108</t>
        </is>
      </c>
      <c r="AN836" t="inlineStr">
        <is>
          <t>8.1</t>
        </is>
      </c>
      <c r="AO836" t="inlineStr">
        <is>
          <t>701+</t>
        </is>
      </c>
      <c r="AP836" t="inlineStr">
        <is>
          <t>3.8</t>
        </is>
      </c>
      <c r="AQ836" t="inlineStr">
        <is>
          <t>701+</t>
        </is>
      </c>
      <c r="AR836" t="inlineStr">
        <is>
          <t>24.7</t>
        </is>
      </c>
      <c r="AS836" t="inlineStr">
        <is>
          <t>540</t>
        </is>
      </c>
      <c r="AT836" t="inlineStr">
        <is>
          <t>10.2</t>
        </is>
      </c>
      <c r="AU836" t="inlineStr">
        <is>
          <t>701+</t>
        </is>
      </c>
      <c r="AV836" t="inlineStr">
        <is>
          <t>2.0</t>
        </is>
      </c>
      <c r="AW836" t="inlineStr">
        <is>
          <t>701+</t>
        </is>
      </c>
      <c r="AX836" t="inlineStr">
        <is>
          <t>8.7</t>
        </is>
      </c>
      <c r="AY836" t="inlineStr">
        <is>
          <t>701+</t>
        </is>
      </c>
      <c r="AZ836" t="inlineStr">
        <is>
          <t>2.2</t>
        </is>
      </c>
      <c r="BA836" t="inlineStr">
        <is>
          <t>701+</t>
        </is>
      </c>
    </row>
    <row r="837">
      <c r="A837" t="inlineStr">
        <is>
          <t>RMIT University</t>
        </is>
      </c>
      <c r="B837" t="inlineStr">
        <is>
          <t>Australia</t>
        </is>
      </c>
      <c r="C837" t="inlineStr">
        <is>
          <t>AU</t>
        </is>
      </c>
      <c r="D837" t="inlineStr">
        <is>
          <t>Oceania</t>
        </is>
      </c>
      <c r="E837" t="inlineStr">
        <is>
          <t>XL</t>
        </is>
      </c>
      <c r="F837" t="inlineStr">
        <is>
          <t>CO</t>
        </is>
      </c>
      <c r="G837" t="inlineStr">
        <is>
          <t>VH</t>
        </is>
      </c>
      <c r="H837" t="inlineStr">
        <is>
          <t>3</t>
        </is>
      </c>
      <c r="I837" t="inlineStr">
        <is>
          <t>Public</t>
        </is>
      </c>
      <c r="J837" t="inlineStr">
        <is>
          <t>125</t>
        </is>
      </c>
      <c r="K837" t="inlineStr">
        <is>
          <t>123</t>
        </is>
      </c>
      <c r="L837" t="inlineStr">
        <is>
          <t>140</t>
        </is>
      </c>
      <c r="M837" t="inlineStr">
        <is>
          <t>190=</t>
        </is>
      </c>
      <c r="N837" t="inlineStr">
        <is>
          <t>65.3</t>
        </is>
      </c>
      <c r="O837" t="inlineStr">
        <is>
          <t>52.4</t>
        </is>
      </c>
      <c r="P837" t="n">
        <v>55.1</v>
      </c>
      <c r="Q837" t="inlineStr">
        <is>
          <t>202</t>
        </is>
      </c>
      <c r="R837" t="n">
        <v>60.3</v>
      </c>
      <c r="S837" t="inlineStr">
        <is>
          <t>191</t>
        </is>
      </c>
      <c r="T837" t="n">
        <v>7.2</v>
      </c>
      <c r="U837" t="inlineStr">
        <is>
          <t>801+</t>
        </is>
      </c>
      <c r="V837" t="n">
        <v>91.3</v>
      </c>
      <c r="W837" t="inlineStr">
        <is>
          <t>96</t>
        </is>
      </c>
      <c r="X837" t="n">
        <v>100</v>
      </c>
      <c r="Y837" t="inlineStr">
        <is>
          <t>45</t>
        </is>
      </c>
      <c r="Z837" t="n">
        <v>95.2</v>
      </c>
      <c r="AA837" t="inlineStr">
        <is>
          <t>125</t>
        </is>
      </c>
      <c r="AB837" t="n">
        <v>95.5</v>
      </c>
      <c r="AC837" t="inlineStr">
        <is>
          <t>106</t>
        </is>
      </c>
      <c r="AD837" t="n">
        <v>83.09999999999999</v>
      </c>
      <c r="AE837" t="inlineStr">
        <is>
          <t>292</t>
        </is>
      </c>
      <c r="AF837" t="n">
        <v>49.9</v>
      </c>
      <c r="AG837" t="inlineStr">
        <is>
          <t>345</t>
        </is>
      </c>
      <c r="AH837" t="n">
        <v>87.90000000000001</v>
      </c>
      <c r="AI837" t="inlineStr">
        <is>
          <t>80=</t>
        </is>
      </c>
      <c r="AJ837" t="inlineStr">
        <is>
          <t>38.6</t>
        </is>
      </c>
      <c r="AK837" t="inlineStr">
        <is>
          <t>223</t>
        </is>
      </c>
      <c r="AL837" t="inlineStr">
        <is>
          <t>49.6</t>
        </is>
      </c>
      <c r="AM837" t="inlineStr">
        <is>
          <t>173</t>
        </is>
      </c>
      <c r="AN837" t="inlineStr">
        <is>
          <t>5.4</t>
        </is>
      </c>
      <c r="AO837" t="inlineStr">
        <is>
          <t>701+</t>
        </is>
      </c>
      <c r="AP837" t="inlineStr">
        <is>
          <t>68.6</t>
        </is>
      </c>
      <c r="AQ837" t="inlineStr">
        <is>
          <t>151</t>
        </is>
      </c>
      <c r="AR837" t="inlineStr">
        <is>
          <t>100.0</t>
        </is>
      </c>
      <c r="AS837" t="inlineStr">
        <is>
          <t>37</t>
        </is>
      </c>
      <c r="AT837" t="inlineStr">
        <is>
          <t>92.8</t>
        </is>
      </c>
      <c r="AU837" t="inlineStr">
        <is>
          <t>102</t>
        </is>
      </c>
      <c r="AV837" t="inlineStr">
        <is>
          <t>57.3</t>
        </is>
      </c>
      <c r="AW837" t="inlineStr">
        <is>
          <t>267</t>
        </is>
      </c>
      <c r="AX837" t="inlineStr">
        <is>
          <t>28.8</t>
        </is>
      </c>
      <c r="AY837" t="inlineStr">
        <is>
          <t>277</t>
        </is>
      </c>
      <c r="AZ837" t="inlineStr">
        <is>
          <t>96.2</t>
        </is>
      </c>
      <c r="BA837" t="inlineStr">
        <is>
          <t>43</t>
        </is>
      </c>
    </row>
    <row r="838">
      <c r="A838" t="inlineStr">
        <is>
          <t>Robert Gordon University</t>
        </is>
      </c>
      <c r="B838" t="inlineStr">
        <is>
          <t>United Kingdom</t>
        </is>
      </c>
      <c r="C838" t="inlineStr">
        <is>
          <t>UK</t>
        </is>
      </c>
      <c r="D838" t="inlineStr"/>
      <c r="E838" t="inlineStr">
        <is>
          <t>M</t>
        </is>
      </c>
      <c r="F838" t="inlineStr">
        <is>
          <t>CO</t>
        </is>
      </c>
      <c r="G838" t="inlineStr">
        <is>
          <t>HI</t>
        </is>
      </c>
      <c r="H838" t="inlineStr">
        <is>
          <t>3</t>
        </is>
      </c>
      <c r="I838" t="inlineStr">
        <is>
          <t>A</t>
        </is>
      </c>
      <c r="J838" t="inlineStr"/>
      <c r="K838" t="inlineStr"/>
      <c r="L838" t="inlineStr">
        <is>
          <t>901-950</t>
        </is>
      </c>
      <c r="M838" t="inlineStr">
        <is>
          <t>801-1000</t>
        </is>
      </c>
      <c r="N838" t="inlineStr"/>
      <c r="O838" t="inlineStr">
        <is>
          <t>-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3.5</t>
        </is>
      </c>
      <c r="AK838" t="inlineStr">
        <is>
          <t>601+</t>
        </is>
      </c>
      <c r="AL838" t="inlineStr">
        <is>
          <t>11.7</t>
        </is>
      </c>
      <c r="AM838" t="inlineStr">
        <is>
          <t>601+</t>
        </is>
      </c>
      <c r="AN838" t="inlineStr">
        <is>
          <t>5.4</t>
        </is>
      </c>
      <c r="AO838" t="inlineStr">
        <is>
          <t>701+</t>
        </is>
      </c>
      <c r="AP838" t="inlineStr">
        <is>
          <t>4.9</t>
        </is>
      </c>
      <c r="AQ838" t="inlineStr">
        <is>
          <t>701+</t>
        </is>
      </c>
      <c r="AR838" t="inlineStr">
        <is>
          <t>63.9</t>
        </is>
      </c>
      <c r="AS838" t="inlineStr">
        <is>
          <t>300</t>
        </is>
      </c>
      <c r="AT838" t="inlineStr">
        <is>
          <t>76.7</t>
        </is>
      </c>
      <c r="AU838" t="inlineStr">
        <is>
          <t>175</t>
        </is>
      </c>
      <c r="AV838" t="inlineStr">
        <is>
          <t>1.5</t>
        </is>
      </c>
      <c r="AW838" t="inlineStr">
        <is>
          <t>701+</t>
        </is>
      </c>
      <c r="AX838" t="inlineStr">
        <is>
          <t>9.8</t>
        </is>
      </c>
      <c r="AY838" t="inlineStr">
        <is>
          <t>701+</t>
        </is>
      </c>
      <c r="AZ838" t="inlineStr">
        <is>
          <t>1.2</t>
        </is>
      </c>
      <c r="BA838" t="inlineStr">
        <is>
          <t>701+</t>
        </is>
      </c>
    </row>
    <row r="839">
      <c r="A839" t="inlineStr">
        <is>
          <t>Rochester Institute of Technology (RIT)</t>
        </is>
      </c>
      <c r="B839" t="inlineStr">
        <is>
          <t>United States</t>
        </is>
      </c>
      <c r="C839" t="inlineStr">
        <is>
          <t>US</t>
        </is>
      </c>
      <c r="D839" t="inlineStr">
        <is>
          <t>Americas</t>
        </is>
      </c>
      <c r="E839" t="inlineStr">
        <is>
          <t>L</t>
        </is>
      </c>
      <c r="F839" t="inlineStr">
        <is>
          <t>CO</t>
        </is>
      </c>
      <c r="G839" t="inlineStr">
        <is>
          <t>VH</t>
        </is>
      </c>
      <c r="H839" t="inlineStr">
        <is>
          <t>5</t>
        </is>
      </c>
      <c r="I839" t="inlineStr">
        <is>
          <t>Private not for Profit</t>
        </is>
      </c>
      <c r="J839" t="inlineStr">
        <is>
          <t>951-1000</t>
        </is>
      </c>
      <c r="K839" t="inlineStr">
        <is>
          <t>1001-1200</t>
        </is>
      </c>
      <c r="L839" t="inlineStr">
        <is>
          <t>1001-1200</t>
        </is>
      </c>
      <c r="M839" t="inlineStr">
        <is>
          <t>1001-1200</t>
        </is>
      </c>
      <c r="N839" t="inlineStr">
        <is>
          <t>-</t>
        </is>
      </c>
      <c r="O839" t="inlineStr">
        <is>
          <t>-</t>
        </is>
      </c>
      <c r="P839" t="n">
        <v>10</v>
      </c>
      <c r="Q839" t="inlineStr">
        <is>
          <t>701+</t>
        </is>
      </c>
      <c r="R839" t="n">
        <v>28.4</v>
      </c>
      <c r="S839" t="inlineStr">
        <is>
          <t>491</t>
        </is>
      </c>
      <c r="T839" t="n">
        <v>24.6</v>
      </c>
      <c r="U839" t="inlineStr">
        <is>
          <t>741</t>
        </is>
      </c>
      <c r="V839" t="n">
        <v>11.5</v>
      </c>
      <c r="W839" t="inlineStr">
        <is>
          <t>801+</t>
        </is>
      </c>
      <c r="X839" t="n">
        <v>8.699999999999999</v>
      </c>
      <c r="Y839" t="inlineStr">
        <is>
          <t>801+</t>
        </is>
      </c>
      <c r="Z839" t="n">
        <v>26.9</v>
      </c>
      <c r="AA839" t="inlineStr">
        <is>
          <t>631</t>
        </is>
      </c>
      <c r="AB839" t="n">
        <v>33</v>
      </c>
      <c r="AC839" t="inlineStr">
        <is>
          <t>576</t>
        </is>
      </c>
      <c r="AD839" t="n">
        <v>41.2</v>
      </c>
      <c r="AE839" t="inlineStr">
        <is>
          <t>801+</t>
        </is>
      </c>
      <c r="AF839" t="n">
        <v>13.7</v>
      </c>
      <c r="AG839" t="inlineStr">
        <is>
          <t>801+</t>
        </is>
      </c>
      <c r="AH839" t="n">
        <v>55.1</v>
      </c>
      <c r="AI839" t="inlineStr">
        <is>
          <t>602=</t>
        </is>
      </c>
      <c r="AJ839" t="inlineStr">
        <is>
          <t>6.2</t>
        </is>
      </c>
      <c r="AK839" t="inlineStr">
        <is>
          <t>601+</t>
        </is>
      </c>
      <c r="AL839" t="inlineStr">
        <is>
          <t>9.4</t>
        </is>
      </c>
      <c r="AM839" t="inlineStr">
        <is>
          <t>601+</t>
        </is>
      </c>
      <c r="AN839" t="inlineStr">
        <is>
          <t>19.8</t>
        </is>
      </c>
      <c r="AO839" t="inlineStr">
        <is>
          <t>672</t>
        </is>
      </c>
      <c r="AP839" t="inlineStr">
        <is>
          <t>7.6</t>
        </is>
      </c>
      <c r="AQ839" t="inlineStr">
        <is>
          <t>701+</t>
        </is>
      </c>
      <c r="AR839" t="inlineStr">
        <is>
          <t>5.0</t>
        </is>
      </c>
      <c r="AS839" t="inlineStr">
        <is>
          <t>701+</t>
        </is>
      </c>
      <c r="AT839" t="inlineStr">
        <is>
          <t>17.7</t>
        </is>
      </c>
      <c r="AU839" t="inlineStr">
        <is>
          <t>579</t>
        </is>
      </c>
      <c r="AV839" t="inlineStr">
        <is>
          <t>7.8</t>
        </is>
      </c>
      <c r="AW839" t="inlineStr">
        <is>
          <t>701+</t>
        </is>
      </c>
      <c r="AX839" t="inlineStr">
        <is>
          <t>17.3</t>
        </is>
      </c>
      <c r="AY839" t="inlineStr">
        <is>
          <t>482</t>
        </is>
      </c>
      <c r="AZ839" t="inlineStr">
        <is>
          <t>1.9</t>
        </is>
      </c>
      <c r="BA839" t="inlineStr">
        <is>
          <t>701+</t>
        </is>
      </c>
    </row>
    <row r="840">
      <c r="A840" t="inlineStr">
        <is>
          <t>Rovira i Virgili University</t>
        </is>
      </c>
      <c r="B840" t="inlineStr">
        <is>
          <t>Spain</t>
        </is>
      </c>
      <c r="C840" t="inlineStr"/>
      <c r="D840" t="inlineStr">
        <is>
          <t>Europe</t>
        </is>
      </c>
      <c r="E840" t="inlineStr">
        <is>
          <t>L</t>
        </is>
      </c>
      <c r="F840" t="inlineStr">
        <is>
          <t>FC</t>
        </is>
      </c>
      <c r="G840" t="inlineStr">
        <is>
          <t>VH</t>
        </is>
      </c>
      <c r="H840" t="inlineStr"/>
      <c r="I840" t="inlineStr">
        <is>
          <t>Public</t>
        </is>
      </c>
      <c r="J840" t="inlineStr">
        <is>
          <t>771-780</t>
        </is>
      </c>
      <c r="K840" t="inlineStr">
        <is>
          <t>731-740</t>
        </is>
      </c>
      <c r="L840" t="inlineStr"/>
      <c r="M840" t="inlineStr"/>
      <c r="N840" t="inlineStr">
        <is>
          <t>-</t>
        </is>
      </c>
      <c r="O840" t="inlineStr"/>
      <c r="P840" t="n">
        <v>9.5</v>
      </c>
      <c r="Q840" t="inlineStr">
        <is>
          <t>701+</t>
        </is>
      </c>
      <c r="R840" t="n">
        <v>4.5</v>
      </c>
      <c r="S840" t="inlineStr">
        <is>
          <t>701+</t>
        </is>
      </c>
      <c r="T840" t="n">
        <v>19.9</v>
      </c>
      <c r="U840" t="inlineStr">
        <is>
          <t>801+</t>
        </is>
      </c>
      <c r="V840" t="n">
        <v>48</v>
      </c>
      <c r="W840" t="inlineStr">
        <is>
          <t>388</t>
        </is>
      </c>
      <c r="X840" t="n">
        <v>9.800000000000001</v>
      </c>
      <c r="Y840" t="inlineStr">
        <is>
          <t>801+</t>
        </is>
      </c>
      <c r="Z840" t="n">
        <v>28.4</v>
      </c>
      <c r="AA840" t="inlineStr">
        <is>
          <t>610</t>
        </is>
      </c>
      <c r="AB840" t="n">
        <v>34.4</v>
      </c>
      <c r="AC840" t="inlineStr">
        <is>
          <t>559</t>
        </is>
      </c>
      <c r="AD840" t="n">
        <v>82.2</v>
      </c>
      <c r="AE840" t="inlineStr">
        <is>
          <t>309</t>
        </is>
      </c>
      <c r="AF840" t="n">
        <v>1.8</v>
      </c>
      <c r="AG840" t="inlineStr">
        <is>
          <t>801+</t>
        </is>
      </c>
      <c r="AH840" t="n">
        <v>65</v>
      </c>
      <c r="AI840" t="inlineStr">
        <is>
          <t>398=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</row>
    <row r="841">
      <c r="A841" t="inlineStr">
        <is>
          <t>Royal Holloway University of London</t>
        </is>
      </c>
      <c r="B841" t="inlineStr">
        <is>
          <t>United Kingdom</t>
        </is>
      </c>
      <c r="C841" t="inlineStr">
        <is>
          <t>UK</t>
        </is>
      </c>
      <c r="D841" t="inlineStr">
        <is>
          <t>Europe</t>
        </is>
      </c>
      <c r="E841" t="inlineStr">
        <is>
          <t>L</t>
        </is>
      </c>
      <c r="F841" t="inlineStr">
        <is>
          <t>CO</t>
        </is>
      </c>
      <c r="G841" t="inlineStr">
        <is>
          <t>VH</t>
        </is>
      </c>
      <c r="H841" t="inlineStr">
        <is>
          <t>5</t>
        </is>
      </c>
      <c r="I841" t="inlineStr">
        <is>
          <t>Public</t>
        </is>
      </c>
      <c r="J841" t="inlineStr">
        <is>
          <t>461</t>
        </is>
      </c>
      <c r="K841" t="inlineStr">
        <is>
          <t>477</t>
        </is>
      </c>
      <c r="L841">
        <f>413</f>
        <v/>
      </c>
      <c r="M841" t="inlineStr">
        <is>
          <t>402=</t>
        </is>
      </c>
      <c r="N841" t="inlineStr">
        <is>
          <t>33.9</t>
        </is>
      </c>
      <c r="O841" t="inlineStr">
        <is>
          <t>27.1</t>
        </is>
      </c>
      <c r="P841" t="n">
        <v>22.8</v>
      </c>
      <c r="Q841" t="inlineStr">
        <is>
          <t>548</t>
        </is>
      </c>
      <c r="R841" t="n">
        <v>11.8</v>
      </c>
      <c r="S841" t="inlineStr">
        <is>
          <t>701+</t>
        </is>
      </c>
      <c r="T841" t="n">
        <v>15.1</v>
      </c>
      <c r="U841" t="inlineStr">
        <is>
          <t>801+</t>
        </is>
      </c>
      <c r="V841" t="n">
        <v>41</v>
      </c>
      <c r="W841" t="inlineStr">
        <is>
          <t>460</t>
        </is>
      </c>
      <c r="X841" t="n">
        <v>96.3</v>
      </c>
      <c r="Y841" t="inlineStr">
        <is>
          <t>164</t>
        </is>
      </c>
      <c r="Z841" t="n">
        <v>88.90000000000001</v>
      </c>
      <c r="AA841" t="inlineStr">
        <is>
          <t>177</t>
        </is>
      </c>
      <c r="AB841" t="n">
        <v>89.90000000000001</v>
      </c>
      <c r="AC841" t="inlineStr">
        <is>
          <t>151</t>
        </is>
      </c>
      <c r="AD841" t="n">
        <v>73</v>
      </c>
      <c r="AE841" t="inlineStr">
        <is>
          <t>487</t>
        </is>
      </c>
      <c r="AF841" t="n">
        <v>12.3</v>
      </c>
      <c r="AG841" t="inlineStr">
        <is>
          <t>801+</t>
        </is>
      </c>
      <c r="AH841" t="n">
        <v>61.7</v>
      </c>
      <c r="AI841" t="inlineStr">
        <is>
          <t>464=</t>
        </is>
      </c>
      <c r="AJ841" t="inlineStr">
        <is>
          <t>16.0</t>
        </is>
      </c>
      <c r="AK841" t="inlineStr">
        <is>
          <t>546</t>
        </is>
      </c>
      <c r="AL841" t="inlineStr">
        <is>
          <t>5.7</t>
        </is>
      </c>
      <c r="AM841" t="inlineStr">
        <is>
          <t>601+</t>
        </is>
      </c>
      <c r="AN841" t="inlineStr">
        <is>
          <t>13.7</t>
        </is>
      </c>
      <c r="AO841" t="inlineStr">
        <is>
          <t>701+</t>
        </is>
      </c>
      <c r="AP841" t="inlineStr">
        <is>
          <t>36.3</t>
        </is>
      </c>
      <c r="AQ841" t="inlineStr">
        <is>
          <t>384</t>
        </is>
      </c>
      <c r="AR841" t="inlineStr">
        <is>
          <t>94.4</t>
        </is>
      </c>
      <c r="AS841" t="inlineStr">
        <is>
          <t>155</t>
        </is>
      </c>
      <c r="AT841" t="inlineStr">
        <is>
          <t>88.7</t>
        </is>
      </c>
      <c r="AU841" t="inlineStr">
        <is>
          <t>125</t>
        </is>
      </c>
      <c r="AV841" t="inlineStr">
        <is>
          <t>23.7</t>
        </is>
      </c>
      <c r="AW841" t="inlineStr">
        <is>
          <t>511</t>
        </is>
      </c>
      <c r="AX841" t="inlineStr">
        <is>
          <t>11.1</t>
        </is>
      </c>
      <c r="AY841" t="inlineStr">
        <is>
          <t>701+</t>
        </is>
      </c>
      <c r="AZ841" t="inlineStr">
        <is>
          <t>38.1</t>
        </is>
      </c>
      <c r="BA841" t="inlineStr">
        <is>
          <t>377=</t>
        </is>
      </c>
    </row>
    <row r="842">
      <c r="A842" t="inlineStr">
        <is>
          <t>RUDN University</t>
        </is>
      </c>
      <c r="B842" t="inlineStr">
        <is>
          <t>Russia</t>
        </is>
      </c>
      <c r="C842" t="inlineStr">
        <is>
          <t>RU</t>
        </is>
      </c>
      <c r="D842" t="inlineStr">
        <is>
          <t>Europe</t>
        </is>
      </c>
      <c r="E842" t="inlineStr">
        <is>
          <t>XL</t>
        </is>
      </c>
      <c r="F842" t="inlineStr">
        <is>
          <t>FC</t>
        </is>
      </c>
      <c r="G842" t="inlineStr">
        <is>
          <t>VH</t>
        </is>
      </c>
      <c r="H842" t="inlineStr">
        <is>
          <t>4</t>
        </is>
      </c>
      <c r="I842" t="inlineStr">
        <is>
          <t>Public</t>
        </is>
      </c>
      <c r="J842" t="inlineStr">
        <is>
          <t>367</t>
        </is>
      </c>
      <c r="K842" t="inlineStr">
        <is>
          <t>316</t>
        </is>
      </c>
      <c r="L842" t="inlineStr">
        <is>
          <t>342</t>
        </is>
      </c>
      <c r="M842" t="inlineStr">
        <is>
          <t>295</t>
        </is>
      </c>
      <c r="N842" t="inlineStr">
        <is>
          <t>40.5</t>
        </is>
      </c>
      <c r="O842" t="inlineStr">
        <is>
          <t>32.0</t>
        </is>
      </c>
      <c r="P842" t="n">
        <v>28.4</v>
      </c>
      <c r="Q842" t="inlineStr">
        <is>
          <t>443</t>
        </is>
      </c>
      <c r="R842" t="n">
        <v>61.2</v>
      </c>
      <c r="S842" t="inlineStr">
        <is>
          <t>189</t>
        </is>
      </c>
      <c r="T842" t="n">
        <v>94</v>
      </c>
      <c r="U842" t="inlineStr">
        <is>
          <t>84</t>
        </is>
      </c>
      <c r="V842" t="n">
        <v>3.9</v>
      </c>
      <c r="W842" t="inlineStr">
        <is>
          <t>801+</t>
        </is>
      </c>
      <c r="X842" t="n">
        <v>10.9</v>
      </c>
      <c r="Y842" t="inlineStr">
        <is>
          <t>801+</t>
        </is>
      </c>
      <c r="Z842" t="n">
        <v>95.3</v>
      </c>
      <c r="AA842" t="inlineStr">
        <is>
          <t>123</t>
        </is>
      </c>
      <c r="AB842" t="n">
        <v>95.59999999999999</v>
      </c>
      <c r="AC842" t="inlineStr">
        <is>
          <t>105</t>
        </is>
      </c>
      <c r="AD842" t="n">
        <v>88.3</v>
      </c>
      <c r="AE842" t="inlineStr">
        <is>
          <t>199</t>
        </is>
      </c>
      <c r="AF842" t="n">
        <v>14.3</v>
      </c>
      <c r="AG842" t="inlineStr">
        <is>
          <t>801+</t>
        </is>
      </c>
      <c r="AH842" t="n">
        <v>58.9</v>
      </c>
      <c r="AI842" t="inlineStr">
        <is>
          <t>521=</t>
        </is>
      </c>
      <c r="AJ842" t="inlineStr">
        <is>
          <t>22.4</t>
        </is>
      </c>
      <c r="AK842" t="inlineStr">
        <is>
          <t>395</t>
        </is>
      </c>
      <c r="AL842" t="inlineStr">
        <is>
          <t>45.0</t>
        </is>
      </c>
      <c r="AM842" t="inlineStr">
        <is>
          <t>192</t>
        </is>
      </c>
      <c r="AN842" t="inlineStr">
        <is>
          <t>92.2</t>
        </is>
      </c>
      <c r="AO842" t="inlineStr">
        <is>
          <t>74</t>
        </is>
      </c>
      <c r="AP842" t="inlineStr">
        <is>
          <t>2.0</t>
        </is>
      </c>
      <c r="AQ842" t="inlineStr">
        <is>
          <t>701+</t>
        </is>
      </c>
      <c r="AR842" t="inlineStr">
        <is>
          <t>8.2</t>
        </is>
      </c>
      <c r="AS842" t="inlineStr">
        <is>
          <t>701+</t>
        </is>
      </c>
      <c r="AT842" t="inlineStr">
        <is>
          <t>92.7</t>
        </is>
      </c>
      <c r="AU842" t="inlineStr">
        <is>
          <t>103</t>
        </is>
      </c>
      <c r="AV842" t="inlineStr">
        <is>
          <t>60.1</t>
        </is>
      </c>
      <c r="AW842" t="inlineStr">
        <is>
          <t>242</t>
        </is>
      </c>
      <c r="AX842" t="inlineStr">
        <is>
          <t>12.2</t>
        </is>
      </c>
      <c r="AY842" t="inlineStr">
        <is>
          <t>701+</t>
        </is>
      </c>
      <c r="AZ842" t="inlineStr">
        <is>
          <t>4.4</t>
        </is>
      </c>
      <c r="BA842" t="inlineStr">
        <is>
          <t>701+</t>
        </is>
      </c>
    </row>
    <row r="843">
      <c r="A843" t="inlineStr">
        <is>
          <t>Ruhr-Universität Bochum</t>
        </is>
      </c>
      <c r="B843" t="inlineStr">
        <is>
          <t>Germany</t>
        </is>
      </c>
      <c r="C843" t="inlineStr">
        <is>
          <t>DE</t>
        </is>
      </c>
      <c r="D843" t="inlineStr">
        <is>
          <t>Europe</t>
        </is>
      </c>
      <c r="E843" t="inlineStr">
        <is>
          <t>XL</t>
        </is>
      </c>
      <c r="F843" t="inlineStr">
        <is>
          <t>FC</t>
        </is>
      </c>
      <c r="G843" t="inlineStr">
        <is>
          <t>VH</t>
        </is>
      </c>
      <c r="H843" t="inlineStr">
        <is>
          <t>4</t>
        </is>
      </c>
      <c r="I843" t="inlineStr">
        <is>
          <t>Public</t>
        </is>
      </c>
      <c r="J843" t="inlineStr">
        <is>
          <t>395</t>
        </is>
      </c>
      <c r="K843" t="inlineStr">
        <is>
          <t>396</t>
        </is>
      </c>
      <c r="L843">
        <f>375</f>
        <v/>
      </c>
      <c r="M843" t="inlineStr">
        <is>
          <t>416=</t>
        </is>
      </c>
      <c r="N843" t="inlineStr">
        <is>
          <t>38.1</t>
        </is>
      </c>
      <c r="O843" t="inlineStr">
        <is>
          <t>29.5</t>
        </is>
      </c>
      <c r="P843" t="n">
        <v>29.1</v>
      </c>
      <c r="Q843" t="inlineStr">
        <is>
          <t>427</t>
        </is>
      </c>
      <c r="R843" t="n">
        <v>11.8</v>
      </c>
      <c r="S843" t="inlineStr">
        <is>
          <t>701+</t>
        </is>
      </c>
      <c r="T843" t="n">
        <v>3.9</v>
      </c>
      <c r="U843" t="inlineStr">
        <is>
          <t>801+</t>
        </is>
      </c>
      <c r="V843" t="n">
        <v>65.8</v>
      </c>
      <c r="W843" t="inlineStr">
        <is>
          <t>243</t>
        </is>
      </c>
      <c r="X843" t="n">
        <v>59.3</v>
      </c>
      <c r="Y843" t="inlineStr">
        <is>
          <t>394</t>
        </is>
      </c>
      <c r="Z843" t="n">
        <v>55.6</v>
      </c>
      <c r="AA843" t="inlineStr">
        <is>
          <t>376</t>
        </is>
      </c>
      <c r="AB843" t="n">
        <v>59.9</v>
      </c>
      <c r="AC843" t="inlineStr">
        <is>
          <t>343</t>
        </is>
      </c>
      <c r="AD843" t="n">
        <v>90</v>
      </c>
      <c r="AE843" t="inlineStr">
        <is>
          <t>174</t>
        </is>
      </c>
      <c r="AF843" t="n">
        <v>21.4</v>
      </c>
      <c r="AG843" t="inlineStr">
        <is>
          <t>701</t>
        </is>
      </c>
      <c r="AH843" t="n">
        <v>72.5</v>
      </c>
      <c r="AI843" t="inlineStr">
        <is>
          <t>281=</t>
        </is>
      </c>
      <c r="AJ843" t="inlineStr">
        <is>
          <t>21.2</t>
        </is>
      </c>
      <c r="AK843" t="inlineStr">
        <is>
          <t>411</t>
        </is>
      </c>
      <c r="AL843" t="inlineStr">
        <is>
          <t>11.0</t>
        </is>
      </c>
      <c r="AM843" t="inlineStr">
        <is>
          <t>601+</t>
        </is>
      </c>
      <c r="AN843" t="inlineStr">
        <is>
          <t>2.3</t>
        </is>
      </c>
      <c r="AO843" t="inlineStr">
        <is>
          <t>701+</t>
        </is>
      </c>
      <c r="AP843" t="inlineStr">
        <is>
          <t>59.7</t>
        </is>
      </c>
      <c r="AQ843" t="inlineStr">
        <is>
          <t>208</t>
        </is>
      </c>
      <c r="AR843" t="inlineStr">
        <is>
          <t>61.1</t>
        </is>
      </c>
      <c r="AS843" t="inlineStr">
        <is>
          <t>314</t>
        </is>
      </c>
      <c r="AT843" t="inlineStr">
        <is>
          <t>29.6</t>
        </is>
      </c>
      <c r="AU843" t="inlineStr">
        <is>
          <t>425</t>
        </is>
      </c>
      <c r="AV843" t="inlineStr">
        <is>
          <t>62.3</t>
        </is>
      </c>
      <c r="AW843" t="inlineStr">
        <is>
          <t>231</t>
        </is>
      </c>
      <c r="AX843" t="inlineStr">
        <is>
          <t>14.7</t>
        </is>
      </c>
      <c r="AY843" t="inlineStr">
        <is>
          <t>570</t>
        </is>
      </c>
      <c r="AZ843" t="inlineStr">
        <is>
          <t>18</t>
        </is>
      </c>
      <c r="BA843" t="inlineStr">
        <is>
          <t>567=</t>
        </is>
      </c>
    </row>
    <row r="844">
      <c r="A844" t="inlineStr">
        <is>
          <t>Ruprecht-Karls-Universität Heidelberg</t>
        </is>
      </c>
      <c r="B844" t="inlineStr">
        <is>
          <t>Germany</t>
        </is>
      </c>
      <c r="C844" t="inlineStr">
        <is>
          <t>DE</t>
        </is>
      </c>
      <c r="D844" t="inlineStr">
        <is>
          <t>Europe</t>
        </is>
      </c>
      <c r="E844" t="inlineStr">
        <is>
          <t>L</t>
        </is>
      </c>
      <c r="F844" t="inlineStr">
        <is>
          <t>FO</t>
        </is>
      </c>
      <c r="G844" t="inlineStr">
        <is>
          <t>VH</t>
        </is>
      </c>
      <c r="H844" t="inlineStr">
        <is>
          <t>5</t>
        </is>
      </c>
      <c r="I844" t="inlineStr">
        <is>
          <t>Public</t>
        </is>
      </c>
      <c r="J844" t="inlineStr">
        <is>
          <t>80</t>
        </is>
      </c>
      <c r="K844" t="inlineStr">
        <is>
          <t>84</t>
        </is>
      </c>
      <c r="L844">
        <f>87</f>
        <v/>
      </c>
      <c r="M844" t="inlineStr">
        <is>
          <t>65=</t>
        </is>
      </c>
      <c r="N844" t="inlineStr">
        <is>
          <t>73</t>
        </is>
      </c>
      <c r="O844" t="inlineStr">
        <is>
          <t>62.2</t>
        </is>
      </c>
      <c r="P844" t="n">
        <v>87.09999999999999</v>
      </c>
      <c r="Q844" t="inlineStr">
        <is>
          <t>74</t>
        </is>
      </c>
      <c r="R844" t="n">
        <v>72.2</v>
      </c>
      <c r="S844" t="inlineStr">
        <is>
          <t>138</t>
        </is>
      </c>
      <c r="T844" t="n">
        <v>99.8</v>
      </c>
      <c r="U844" t="inlineStr">
        <is>
          <t>32</t>
        </is>
      </c>
      <c r="V844" t="n">
        <v>41.4</v>
      </c>
      <c r="W844" t="inlineStr">
        <is>
          <t>456</t>
        </is>
      </c>
      <c r="X844" t="n">
        <v>66.2</v>
      </c>
      <c r="Y844" t="inlineStr">
        <is>
          <t>352</t>
        </is>
      </c>
      <c r="Z844" t="n">
        <v>71.40000000000001</v>
      </c>
      <c r="AA844" t="inlineStr">
        <is>
          <t>265</t>
        </is>
      </c>
      <c r="AB844" t="n">
        <v>74.09999999999999</v>
      </c>
      <c r="AC844" t="inlineStr">
        <is>
          <t>240</t>
        </is>
      </c>
      <c r="AD844" t="n">
        <v>94.7</v>
      </c>
      <c r="AE844" t="inlineStr">
        <is>
          <t>88</t>
        </is>
      </c>
      <c r="AF844" t="n">
        <v>34.6</v>
      </c>
      <c r="AG844" t="inlineStr">
        <is>
          <t>494</t>
        </is>
      </c>
      <c r="AH844" t="n">
        <v>85.5</v>
      </c>
      <c r="AI844" t="inlineStr">
        <is>
          <t>106</t>
        </is>
      </c>
      <c r="AJ844" t="inlineStr">
        <is>
          <t>78.3</t>
        </is>
      </c>
      <c r="AK844" t="inlineStr">
        <is>
          <t>75</t>
        </is>
      </c>
      <c r="AL844" t="inlineStr">
        <is>
          <t>52.0</t>
        </is>
      </c>
      <c r="AM844" t="inlineStr">
        <is>
          <t>156</t>
        </is>
      </c>
      <c r="AN844" t="inlineStr">
        <is>
          <t>99.7</t>
        </is>
      </c>
      <c r="AO844" t="inlineStr">
        <is>
          <t>29</t>
        </is>
      </c>
      <c r="AP844" t="inlineStr">
        <is>
          <t>38.2</t>
        </is>
      </c>
      <c r="AQ844" t="inlineStr">
        <is>
          <t>365</t>
        </is>
      </c>
      <c r="AR844" t="inlineStr">
        <is>
          <t>52.5</t>
        </is>
      </c>
      <c r="AS844" t="inlineStr">
        <is>
          <t>349</t>
        </is>
      </c>
      <c r="AT844" t="inlineStr">
        <is>
          <t>50.4</t>
        </is>
      </c>
      <c r="AU844" t="inlineStr">
        <is>
          <t>290</t>
        </is>
      </c>
      <c r="AV844" t="inlineStr">
        <is>
          <t>89.7</t>
        </is>
      </c>
      <c r="AW844" t="inlineStr">
        <is>
          <t>88</t>
        </is>
      </c>
      <c r="AX844" t="inlineStr">
        <is>
          <t>19.8</t>
        </is>
      </c>
      <c r="AY844" t="inlineStr">
        <is>
          <t>423</t>
        </is>
      </c>
      <c r="AZ844" t="inlineStr">
        <is>
          <t>42.6</t>
        </is>
      </c>
      <c r="BA844" t="inlineStr">
        <is>
          <t>345=</t>
        </is>
      </c>
    </row>
    <row r="845">
      <c r="A845" t="inlineStr">
        <is>
          <t>Russian Presidential Academy of National Economy and Public Administration</t>
        </is>
      </c>
      <c r="B845" t="inlineStr">
        <is>
          <t>Russia</t>
        </is>
      </c>
      <c r="C845" t="inlineStr">
        <is>
          <t>RU</t>
        </is>
      </c>
      <c r="D845" t="inlineStr"/>
      <c r="E845" t="inlineStr">
        <is>
          <t>XL</t>
        </is>
      </c>
      <c r="F845" t="inlineStr">
        <is>
          <t>FO</t>
        </is>
      </c>
      <c r="G845" t="inlineStr">
        <is>
          <t>HI</t>
        </is>
      </c>
      <c r="H845" t="inlineStr">
        <is>
          <t>3</t>
        </is>
      </c>
      <c r="I845" t="inlineStr">
        <is>
          <t>A</t>
        </is>
      </c>
      <c r="J845" t="inlineStr"/>
      <c r="K845" t="inlineStr"/>
      <c r="L845" t="inlineStr">
        <is>
          <t>1001-1200</t>
        </is>
      </c>
      <c r="M845" t="inlineStr">
        <is>
          <t>801-1000</t>
        </is>
      </c>
      <c r="N845" t="inlineStr"/>
      <c r="O845" t="inlineStr">
        <is>
          <t>-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5.2</t>
        </is>
      </c>
      <c r="AK845" t="inlineStr">
        <is>
          <t>601+</t>
        </is>
      </c>
      <c r="AL845" t="inlineStr">
        <is>
          <t>6.8</t>
        </is>
      </c>
      <c r="AM845" t="inlineStr">
        <is>
          <t>601+</t>
        </is>
      </c>
      <c r="AN845" t="inlineStr">
        <is>
          <t>49.0</t>
        </is>
      </c>
      <c r="AO845" t="inlineStr">
        <is>
          <t>320</t>
        </is>
      </c>
      <c r="AP845" t="inlineStr">
        <is>
          <t>1.1</t>
        </is>
      </c>
      <c r="AQ845" t="inlineStr">
        <is>
          <t>701+</t>
        </is>
      </c>
      <c r="AR845" t="inlineStr">
        <is>
          <t>2.0</t>
        </is>
      </c>
      <c r="AS845" t="inlineStr">
        <is>
          <t>701+</t>
        </is>
      </c>
      <c r="AT845" t="inlineStr">
        <is>
          <t>3.0</t>
        </is>
      </c>
      <c r="AU845" t="inlineStr">
        <is>
          <t>701+</t>
        </is>
      </c>
      <c r="AV845" t="inlineStr">
        <is>
          <t>1.1</t>
        </is>
      </c>
      <c r="AW845" t="inlineStr">
        <is>
          <t>701+</t>
        </is>
      </c>
      <c r="AX845" t="inlineStr">
        <is>
          <t>26</t>
        </is>
      </c>
      <c r="AY845" t="inlineStr">
        <is>
          <t>315</t>
        </is>
      </c>
      <c r="AZ845" t="inlineStr">
        <is>
          <t>1.1</t>
        </is>
      </c>
      <c r="BA845" t="inlineStr">
        <is>
          <t>701+</t>
        </is>
      </c>
    </row>
    <row r="846">
      <c r="A846" t="inlineStr">
        <is>
          <t>Russian State Agrarian University - Moscow Timiryazev Agricultural Academy</t>
        </is>
      </c>
      <c r="B846" t="inlineStr">
        <is>
          <t>Russia</t>
        </is>
      </c>
      <c r="C846" t="inlineStr">
        <is>
          <t>RU</t>
        </is>
      </c>
      <c r="D846" t="inlineStr"/>
      <c r="E846" t="inlineStr">
        <is>
          <t>L</t>
        </is>
      </c>
      <c r="F846" t="inlineStr">
        <is>
          <t>FO</t>
        </is>
      </c>
      <c r="G846" t="inlineStr">
        <is>
          <t>HI</t>
        </is>
      </c>
      <c r="H846" t="inlineStr">
        <is>
          <t>5</t>
        </is>
      </c>
      <c r="I846" t="inlineStr">
        <is>
          <t>A</t>
        </is>
      </c>
      <c r="J846" t="inlineStr"/>
      <c r="K846" t="inlineStr"/>
      <c r="L846" t="inlineStr">
        <is>
          <t>1201-1400</t>
        </is>
      </c>
      <c r="M846" t="inlineStr">
        <is>
          <t>1201-1400</t>
        </is>
      </c>
      <c r="N846" t="inlineStr"/>
      <c r="O846" t="inlineStr">
        <is>
          <t>-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7.1</t>
        </is>
      </c>
      <c r="AK846" t="inlineStr">
        <is>
          <t>601+</t>
        </is>
      </c>
      <c r="AL846" t="inlineStr">
        <is>
          <t>3.5</t>
        </is>
      </c>
      <c r="AM846" t="inlineStr">
        <is>
          <t>601+</t>
        </is>
      </c>
      <c r="AN846" t="inlineStr">
        <is>
          <t>7.7</t>
        </is>
      </c>
      <c r="AO846" t="inlineStr">
        <is>
          <t>701+</t>
        </is>
      </c>
      <c r="AP846" t="inlineStr">
        <is>
          <t>1.3</t>
        </is>
      </c>
      <c r="AQ846" t="inlineStr">
        <is>
          <t>701+</t>
        </is>
      </c>
      <c r="AR846" t="inlineStr">
        <is>
          <t>2.0</t>
        </is>
      </c>
      <c r="AS846" t="inlineStr">
        <is>
          <t>701+</t>
        </is>
      </c>
      <c r="AT846" t="inlineStr">
        <is>
          <t>4.8</t>
        </is>
      </c>
      <c r="AU846" t="inlineStr">
        <is>
          <t>701+</t>
        </is>
      </c>
      <c r="AV846" t="inlineStr">
        <is>
          <t>1.0</t>
        </is>
      </c>
      <c r="AW846" t="inlineStr">
        <is>
          <t>701+</t>
        </is>
      </c>
      <c r="AX846" t="inlineStr">
        <is>
          <t>9.9</t>
        </is>
      </c>
      <c r="AY846" t="inlineStr">
        <is>
          <t>701+</t>
        </is>
      </c>
      <c r="AZ846" t="inlineStr">
        <is>
          <t>5.3</t>
        </is>
      </c>
      <c r="BA846" t="inlineStr">
        <is>
          <t>701+</t>
        </is>
      </c>
    </row>
    <row r="847">
      <c r="A847" t="inlineStr">
        <is>
          <t xml:space="preserve">Russian State University for the Humanities </t>
        </is>
      </c>
      <c r="B847" t="inlineStr">
        <is>
          <t>Russia</t>
        </is>
      </c>
      <c r="C847" t="inlineStr">
        <is>
          <t>RU</t>
        </is>
      </c>
      <c r="D847" t="inlineStr"/>
      <c r="E847" t="inlineStr">
        <is>
          <t>M</t>
        </is>
      </c>
      <c r="F847" t="inlineStr">
        <is>
          <t>FO</t>
        </is>
      </c>
      <c r="G847" t="inlineStr">
        <is>
          <t>VH</t>
        </is>
      </c>
      <c r="H847" t="inlineStr">
        <is>
          <t>3</t>
        </is>
      </c>
      <c r="I847" t="inlineStr">
        <is>
          <t>A</t>
        </is>
      </c>
      <c r="J847" t="inlineStr"/>
      <c r="K847" t="inlineStr"/>
      <c r="L847" t="inlineStr">
        <is>
          <t>1201-1400</t>
        </is>
      </c>
      <c r="M847" t="inlineStr">
        <is>
          <t>1201-1400</t>
        </is>
      </c>
      <c r="N847" t="inlineStr"/>
      <c r="O847" t="inlineStr">
        <is>
          <t>-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5.4</t>
        </is>
      </c>
      <c r="AK847" t="inlineStr">
        <is>
          <t>601+</t>
        </is>
      </c>
      <c r="AL847" t="inlineStr">
        <is>
          <t>2.6</t>
        </is>
      </c>
      <c r="AM847" t="inlineStr">
        <is>
          <t>601+</t>
        </is>
      </c>
      <c r="AN847" t="inlineStr">
        <is>
          <t>17.5</t>
        </is>
      </c>
      <c r="AO847" t="inlineStr">
        <is>
          <t>701+</t>
        </is>
      </c>
      <c r="AP847" t="inlineStr">
        <is>
          <t>1.3</t>
        </is>
      </c>
      <c r="AQ847" t="inlineStr">
        <is>
          <t>701+</t>
        </is>
      </c>
      <c r="AR847" t="inlineStr">
        <is>
          <t>1.7</t>
        </is>
      </c>
      <c r="AS847" t="inlineStr">
        <is>
          <t>701+</t>
        </is>
      </c>
      <c r="AT847" t="inlineStr">
        <is>
          <t>4.1</t>
        </is>
      </c>
      <c r="AU847" t="inlineStr">
        <is>
          <t>701+</t>
        </is>
      </c>
      <c r="AV847" t="inlineStr">
        <is>
          <t>1.0</t>
        </is>
      </c>
      <c r="AW847" t="inlineStr">
        <is>
          <t>701+</t>
        </is>
      </c>
      <c r="AX847" t="inlineStr">
        <is>
          <t>8.6</t>
        </is>
      </c>
      <c r="AY847" t="inlineStr">
        <is>
          <t>701+</t>
        </is>
      </c>
      <c r="AZ847" t="inlineStr">
        <is>
          <t>1</t>
        </is>
      </c>
      <c r="BA847" t="inlineStr">
        <is>
          <t>701+</t>
        </is>
      </c>
    </row>
    <row r="848">
      <c r="A848" t="inlineStr">
        <is>
          <t>Rutgers, The State University of New Jersey, Camden</t>
        </is>
      </c>
      <c r="B848" t="inlineStr">
        <is>
          <t>United States</t>
        </is>
      </c>
      <c r="C848" t="inlineStr">
        <is>
          <t>US</t>
        </is>
      </c>
      <c r="D848" t="inlineStr"/>
      <c r="E848" t="inlineStr">
        <is>
          <t>M</t>
        </is>
      </c>
      <c r="F848" t="inlineStr">
        <is>
          <t>FO</t>
        </is>
      </c>
      <c r="G848" t="inlineStr">
        <is>
          <t>HI</t>
        </is>
      </c>
      <c r="H848" t="inlineStr"/>
      <c r="I848" t="inlineStr"/>
      <c r="J848" t="inlineStr"/>
      <c r="K848" t="inlineStr"/>
      <c r="L848" t="inlineStr">
        <is>
          <t>1201-1400</t>
        </is>
      </c>
      <c r="M848" t="inlineStr">
        <is>
          <t>1201-1400</t>
        </is>
      </c>
      <c r="N848" t="inlineStr"/>
      <c r="O848" t="inlineStr">
        <is>
          <t>-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3.9</t>
        </is>
      </c>
      <c r="AK848" t="inlineStr">
        <is>
          <t>601+</t>
        </is>
      </c>
      <c r="AL848" t="inlineStr">
        <is>
          <t>3.0</t>
        </is>
      </c>
      <c r="AM848" t="inlineStr">
        <is>
          <t>601+</t>
        </is>
      </c>
      <c r="AN848" t="inlineStr">
        <is>
          <t>17.6</t>
        </is>
      </c>
      <c r="AO848" t="inlineStr">
        <is>
          <t>701+</t>
        </is>
      </c>
      <c r="AP848" t="inlineStr">
        <is>
          <t>4.3</t>
        </is>
      </c>
      <c r="AQ848" t="inlineStr">
        <is>
          <t>701+</t>
        </is>
      </c>
      <c r="AR848" t="inlineStr">
        <is>
          <t>22.2</t>
        </is>
      </c>
      <c r="AS848" t="inlineStr">
        <is>
          <t>572</t>
        </is>
      </c>
      <c r="AT848" t="inlineStr">
        <is>
          <t>3.0</t>
        </is>
      </c>
      <c r="AU848" t="inlineStr">
        <is>
          <t>701+</t>
        </is>
      </c>
      <c r="AV848" t="inlineStr">
        <is>
          <t>1.0</t>
        </is>
      </c>
      <c r="AW848" t="inlineStr">
        <is>
          <t>701+</t>
        </is>
      </c>
      <c r="AX848" t="inlineStr">
        <is>
          <t>6.9</t>
        </is>
      </c>
      <c r="AY848" t="inlineStr">
        <is>
          <t>701+</t>
        </is>
      </c>
      <c r="AZ848" t="inlineStr"/>
      <c r="BA848" t="inlineStr"/>
    </row>
    <row r="849">
      <c r="A849" t="inlineStr">
        <is>
          <t>Rutgers University – New Brunswick</t>
        </is>
      </c>
      <c r="B849" t="inlineStr">
        <is>
          <t>United States</t>
        </is>
      </c>
      <c r="C849" t="inlineStr">
        <is>
          <t>US</t>
        </is>
      </c>
      <c r="D849" t="inlineStr">
        <is>
          <t>Americas</t>
        </is>
      </c>
      <c r="E849" t="inlineStr">
        <is>
          <t>XL</t>
        </is>
      </c>
      <c r="F849" t="inlineStr">
        <is>
          <t>CO</t>
        </is>
      </c>
      <c r="G849" t="inlineStr">
        <is>
          <t>VH</t>
        </is>
      </c>
      <c r="H849" t="inlineStr">
        <is>
          <t>5</t>
        </is>
      </c>
      <c r="I849" t="inlineStr">
        <is>
          <t>Public</t>
        </is>
      </c>
      <c r="J849" t="inlineStr">
        <is>
          <t>328</t>
        </is>
      </c>
      <c r="K849" t="inlineStr">
        <is>
          <t>328</t>
        </is>
      </c>
      <c r="L849" t="inlineStr">
        <is>
          <t>299</t>
        </is>
      </c>
      <c r="M849" t="inlineStr">
        <is>
          <t>267=</t>
        </is>
      </c>
      <c r="N849" t="inlineStr">
        <is>
          <t>42.6</t>
        </is>
      </c>
      <c r="O849" t="inlineStr">
        <is>
          <t>34.8</t>
        </is>
      </c>
      <c r="P849" t="n">
        <v>47.7</v>
      </c>
      <c r="Q849" t="inlineStr">
        <is>
          <t>243</t>
        </is>
      </c>
      <c r="R849" t="n">
        <v>45.8</v>
      </c>
      <c r="S849" t="inlineStr">
        <is>
          <t>295</t>
        </is>
      </c>
      <c r="T849" t="n">
        <v>53.4</v>
      </c>
      <c r="U849" t="inlineStr">
        <is>
          <t>351</t>
        </is>
      </c>
      <c r="V849" t="n">
        <v>16.5</v>
      </c>
      <c r="W849" t="inlineStr">
        <is>
          <t>774</t>
        </is>
      </c>
      <c r="X849" t="n">
        <v>24.1</v>
      </c>
      <c r="Y849" t="inlineStr">
        <is>
          <t>661</t>
        </is>
      </c>
      <c r="Z849" t="n">
        <v>38.8</v>
      </c>
      <c r="AA849" t="inlineStr">
        <is>
          <t>508</t>
        </is>
      </c>
      <c r="AB849" t="n">
        <v>44.3</v>
      </c>
      <c r="AC849" t="inlineStr">
        <is>
          <t>471</t>
        </is>
      </c>
      <c r="AD849" t="n">
        <v>75.3</v>
      </c>
      <c r="AE849" t="inlineStr">
        <is>
          <t>437</t>
        </is>
      </c>
      <c r="AF849" t="n">
        <v>44.6</v>
      </c>
      <c r="AG849" t="inlineStr">
        <is>
          <t>393</t>
        </is>
      </c>
      <c r="AH849" t="n">
        <v>87.5</v>
      </c>
      <c r="AI849" t="inlineStr">
        <is>
          <t>87</t>
        </is>
      </c>
      <c r="AJ849" t="inlineStr">
        <is>
          <t>36.9</t>
        </is>
      </c>
      <c r="AK849" t="inlineStr">
        <is>
          <t>234</t>
        </is>
      </c>
      <c r="AL849" t="inlineStr">
        <is>
          <t>24.7</t>
        </is>
      </c>
      <c r="AM849" t="inlineStr">
        <is>
          <t>386</t>
        </is>
      </c>
      <c r="AN849" t="inlineStr">
        <is>
          <t>48.7</t>
        </is>
      </c>
      <c r="AO849" t="inlineStr">
        <is>
          <t>324</t>
        </is>
      </c>
      <c r="AP849" t="inlineStr">
        <is>
          <t>18.1</t>
        </is>
      </c>
      <c r="AQ849" t="inlineStr">
        <is>
          <t>583</t>
        </is>
      </c>
      <c r="AR849" t="inlineStr">
        <is>
          <t>18.9</t>
        </is>
      </c>
      <c r="AS849" t="inlineStr">
        <is>
          <t>602</t>
        </is>
      </c>
      <c r="AT849" t="inlineStr">
        <is>
          <t>32.8</t>
        </is>
      </c>
      <c r="AU849" t="inlineStr">
        <is>
          <t>395</t>
        </is>
      </c>
      <c r="AV849" t="inlineStr">
        <is>
          <t>59.7</t>
        </is>
      </c>
      <c r="AW849" t="inlineStr">
        <is>
          <t>245</t>
        </is>
      </c>
      <c r="AX849" t="inlineStr">
        <is>
          <t>20.7</t>
        </is>
      </c>
      <c r="AY849" t="inlineStr">
        <is>
          <t>403</t>
        </is>
      </c>
      <c r="AZ849" t="inlineStr">
        <is>
          <t>95.9</t>
        </is>
      </c>
      <c r="BA849" t="inlineStr">
        <is>
          <t>47</t>
        </is>
      </c>
    </row>
    <row r="850">
      <c r="A850" t="inlineStr">
        <is>
          <t>Rutgers University - Newark</t>
        </is>
      </c>
      <c r="B850" t="inlineStr">
        <is>
          <t>United States</t>
        </is>
      </c>
      <c r="C850" t="inlineStr">
        <is>
          <t>US</t>
        </is>
      </c>
      <c r="D850" t="inlineStr">
        <is>
          <t>Americas</t>
        </is>
      </c>
      <c r="E850" t="inlineStr">
        <is>
          <t>M</t>
        </is>
      </c>
      <c r="F850" t="inlineStr">
        <is>
          <t>CO</t>
        </is>
      </c>
      <c r="G850" t="inlineStr">
        <is>
          <t>VH</t>
        </is>
      </c>
      <c r="H850" t="inlineStr">
        <is>
          <t>4</t>
        </is>
      </c>
      <c r="I850" t="inlineStr">
        <is>
          <t>Public</t>
        </is>
      </c>
      <c r="J850" t="inlineStr">
        <is>
          <t>771-780</t>
        </is>
      </c>
      <c r="K850" t="inlineStr">
        <is>
          <t>801-850</t>
        </is>
      </c>
      <c r="L850" t="inlineStr">
        <is>
          <t>771-780</t>
        </is>
      </c>
      <c r="M850" t="inlineStr">
        <is>
          <t>801-1000</t>
        </is>
      </c>
      <c r="N850" t="inlineStr">
        <is>
          <t>-</t>
        </is>
      </c>
      <c r="O850" t="inlineStr">
        <is>
          <t>-</t>
        </is>
      </c>
      <c r="P850" t="n">
        <v>13.7</v>
      </c>
      <c r="Q850" t="inlineStr">
        <is>
          <t>701+</t>
        </is>
      </c>
      <c r="R850" t="n">
        <v>14.2</v>
      </c>
      <c r="S850" t="inlineStr">
        <is>
          <t>701+</t>
        </is>
      </c>
      <c r="T850" t="n">
        <v>26.1</v>
      </c>
      <c r="U850" t="inlineStr">
        <is>
          <t>718</t>
        </is>
      </c>
      <c r="V850" t="n">
        <v>26</v>
      </c>
      <c r="W850" t="inlineStr">
        <is>
          <t>623</t>
        </is>
      </c>
      <c r="X850" t="n">
        <v>31.2</v>
      </c>
      <c r="Y850" t="inlineStr">
        <is>
          <t>575</t>
        </is>
      </c>
      <c r="Z850" t="n">
        <v>44.8</v>
      </c>
      <c r="AA850" t="inlineStr">
        <is>
          <t>450</t>
        </is>
      </c>
      <c r="AB850" t="n">
        <v>49.1</v>
      </c>
      <c r="AC850" t="inlineStr">
        <is>
          <t>423</t>
        </is>
      </c>
      <c r="AD850" t="n">
        <v>26.9</v>
      </c>
      <c r="AE850" t="inlineStr">
        <is>
          <t>801+</t>
        </is>
      </c>
      <c r="AF850" t="n">
        <v>44.6</v>
      </c>
      <c r="AG850" t="inlineStr">
        <is>
          <t>394</t>
        </is>
      </c>
      <c r="AH850" t="n">
        <v>61.2</v>
      </c>
      <c r="AI850" t="inlineStr">
        <is>
          <t>474=</t>
        </is>
      </c>
      <c r="AJ850" t="inlineStr">
        <is>
          <t>11.1</t>
        </is>
      </c>
      <c r="AK850" t="inlineStr">
        <is>
          <t>601+</t>
        </is>
      </c>
      <c r="AL850" t="inlineStr">
        <is>
          <t>5.2</t>
        </is>
      </c>
      <c r="AM850" t="inlineStr">
        <is>
          <t>601+</t>
        </is>
      </c>
      <c r="AN850" t="inlineStr">
        <is>
          <t>15.5</t>
        </is>
      </c>
      <c r="AO850" t="inlineStr">
        <is>
          <t>701+</t>
        </is>
      </c>
      <c r="AP850" t="inlineStr">
        <is>
          <t>19.3</t>
        </is>
      </c>
      <c r="AQ850" t="inlineStr">
        <is>
          <t>564</t>
        </is>
      </c>
      <c r="AR850" t="inlineStr">
        <is>
          <t>26.3</t>
        </is>
      </c>
      <c r="AS850" t="inlineStr">
        <is>
          <t>519</t>
        </is>
      </c>
      <c r="AT850" t="inlineStr">
        <is>
          <t>46.8</t>
        </is>
      </c>
      <c r="AU850" t="inlineStr">
        <is>
          <t>311</t>
        </is>
      </c>
      <c r="AV850" t="inlineStr">
        <is>
          <t>2.2</t>
        </is>
      </c>
      <c r="AW850" t="inlineStr">
        <is>
          <t>701+</t>
        </is>
      </c>
      <c r="AX850" t="inlineStr">
        <is>
          <t>28.6</t>
        </is>
      </c>
      <c r="AY850" t="inlineStr">
        <is>
          <t>280</t>
        </is>
      </c>
      <c r="AZ850" t="inlineStr">
        <is>
          <t>15.4</t>
        </is>
      </c>
      <c r="BA850" t="inlineStr">
        <is>
          <t>603=</t>
        </is>
      </c>
    </row>
    <row r="851">
      <c r="A851" t="inlineStr">
        <is>
          <t>RWTH Aachen University</t>
        </is>
      </c>
      <c r="B851" t="inlineStr">
        <is>
          <t>Germany</t>
        </is>
      </c>
      <c r="C851" t="inlineStr">
        <is>
          <t>DE</t>
        </is>
      </c>
      <c r="D851" t="inlineStr"/>
      <c r="E851" t="inlineStr">
        <is>
          <t>XL</t>
        </is>
      </c>
      <c r="F851" t="inlineStr">
        <is>
          <t>FC</t>
        </is>
      </c>
      <c r="G851" t="inlineStr">
        <is>
          <t>VH</t>
        </is>
      </c>
      <c r="H851" t="inlineStr">
        <is>
          <t>5</t>
        </is>
      </c>
      <c r="I851" t="inlineStr">
        <is>
          <t>A</t>
        </is>
      </c>
      <c r="J851" t="inlineStr"/>
      <c r="K851" t="inlineStr"/>
      <c r="L851" t="inlineStr">
        <is>
          <t>106</t>
        </is>
      </c>
      <c r="M851" t="inlineStr">
        <is>
          <t>147=</t>
        </is>
      </c>
      <c r="N851" t="inlineStr"/>
      <c r="O851" t="inlineStr">
        <is>
          <t>59.3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49.7</t>
        </is>
      </c>
      <c r="AK851" t="inlineStr">
        <is>
          <t>163</t>
        </is>
      </c>
      <c r="AL851" t="inlineStr">
        <is>
          <t>93.0</t>
        </is>
      </c>
      <c r="AM851" t="inlineStr">
        <is>
          <t>44</t>
        </is>
      </c>
      <c r="AN851" t="inlineStr">
        <is>
          <t>5.5</t>
        </is>
      </c>
      <c r="AO851" t="inlineStr">
        <is>
          <t>701+</t>
        </is>
      </c>
      <c r="AP851" t="inlineStr">
        <is>
          <t>78.7</t>
        </is>
      </c>
      <c r="AQ851" t="inlineStr">
        <is>
          <t>120</t>
        </is>
      </c>
      <c r="AR851" t="inlineStr">
        <is>
          <t>49.0</t>
        </is>
      </c>
      <c r="AS851" t="inlineStr">
        <is>
          <t>362</t>
        </is>
      </c>
      <c r="AT851" t="inlineStr">
        <is>
          <t>83.0</t>
        </is>
      </c>
      <c r="AU851" t="inlineStr">
        <is>
          <t>151</t>
        </is>
      </c>
      <c r="AV851" t="inlineStr">
        <is>
          <t>63.5</t>
        </is>
      </c>
      <c r="AW851" t="inlineStr">
        <is>
          <t>223</t>
        </is>
      </c>
      <c r="AX851" t="inlineStr">
        <is>
          <t>23.9</t>
        </is>
      </c>
      <c r="AY851" t="inlineStr">
        <is>
          <t>354</t>
        </is>
      </c>
      <c r="AZ851" t="inlineStr">
        <is>
          <t>53.4</t>
        </is>
      </c>
      <c r="BA851" t="inlineStr">
        <is>
          <t>288=</t>
        </is>
      </c>
    </row>
    <row r="852">
      <c r="A852" t="inlineStr">
        <is>
          <t>Ryerson University</t>
        </is>
      </c>
      <c r="B852" t="inlineStr">
        <is>
          <t>Canada</t>
        </is>
      </c>
      <c r="C852" t="inlineStr">
        <is>
          <t>CA</t>
        </is>
      </c>
      <c r="D852" t="inlineStr"/>
      <c r="E852" t="inlineStr">
        <is>
          <t>XL</t>
        </is>
      </c>
      <c r="F852" t="inlineStr">
        <is>
          <t>CO</t>
        </is>
      </c>
      <c r="G852" t="inlineStr">
        <is>
          <t>VH</t>
        </is>
      </c>
      <c r="H852" t="inlineStr">
        <is>
          <t>4</t>
        </is>
      </c>
      <c r="I852" t="inlineStr">
        <is>
          <t>A</t>
        </is>
      </c>
      <c r="J852" t="inlineStr"/>
      <c r="K852" t="inlineStr"/>
      <c r="L852" t="inlineStr">
        <is>
          <t>851-900</t>
        </is>
      </c>
      <c r="M852" t="inlineStr">
        <is>
          <t>801-1000</t>
        </is>
      </c>
      <c r="N852" t="inlineStr"/>
      <c r="O852" t="inlineStr">
        <is>
          <t>-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7.0</t>
        </is>
      </c>
      <c r="AK852" t="inlineStr">
        <is>
          <t>601+</t>
        </is>
      </c>
      <c r="AL852" t="inlineStr">
        <is>
          <t>14.4</t>
        </is>
      </c>
      <c r="AM852" t="inlineStr">
        <is>
          <t>565</t>
        </is>
      </c>
      <c r="AN852" t="inlineStr">
        <is>
          <t>1.7</t>
        </is>
      </c>
      <c r="AO852" t="inlineStr">
        <is>
          <t>701+</t>
        </is>
      </c>
      <c r="AP852" t="inlineStr">
        <is>
          <t>30.7</t>
        </is>
      </c>
      <c r="AQ852" t="inlineStr">
        <is>
          <t>431</t>
        </is>
      </c>
      <c r="AR852" t="inlineStr"/>
      <c r="AS852" t="inlineStr"/>
      <c r="AT852" t="inlineStr">
        <is>
          <t>3.6</t>
        </is>
      </c>
      <c r="AU852" t="inlineStr">
        <is>
          <t>701+</t>
        </is>
      </c>
      <c r="AV852" t="inlineStr">
        <is>
          <t>14.6</t>
        </is>
      </c>
      <c r="AW852" t="inlineStr">
        <is>
          <t>600</t>
        </is>
      </c>
      <c r="AX852" t="inlineStr">
        <is>
          <t>12.7</t>
        </is>
      </c>
      <c r="AY852" t="inlineStr">
        <is>
          <t>683</t>
        </is>
      </c>
      <c r="AZ852" t="inlineStr">
        <is>
          <t>8</t>
        </is>
      </c>
      <c r="BA852" t="inlineStr">
        <is>
          <t>701+</t>
        </is>
      </c>
    </row>
    <row r="853">
      <c r="A853" t="inlineStr">
        <is>
          <t>S.D. Asfendiyarov Kazakh National Medical University</t>
        </is>
      </c>
      <c r="B853" t="inlineStr">
        <is>
          <t>Kazakhstan</t>
        </is>
      </c>
      <c r="C853" t="inlineStr">
        <is>
          <t>KZ</t>
        </is>
      </c>
      <c r="D853" t="inlineStr"/>
      <c r="E853" t="inlineStr">
        <is>
          <t>M</t>
        </is>
      </c>
      <c r="F853" t="inlineStr">
        <is>
          <t>SP</t>
        </is>
      </c>
      <c r="G853" t="inlineStr"/>
      <c r="H853" t="inlineStr">
        <is>
          <t>2</t>
        </is>
      </c>
      <c r="I853" t="inlineStr">
        <is>
          <t>A</t>
        </is>
      </c>
      <c r="J853" t="inlineStr"/>
      <c r="K853" t="inlineStr"/>
      <c r="L853" t="inlineStr">
        <is>
          <t>901-950</t>
        </is>
      </c>
      <c r="M853" t="inlineStr">
        <is>
          <t>651-700</t>
        </is>
      </c>
      <c r="N853" t="inlineStr"/>
      <c r="O853" t="inlineStr">
        <is>
          <t>-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5.5</t>
        </is>
      </c>
      <c r="AK853" t="inlineStr">
        <is>
          <t>601+</t>
        </is>
      </c>
      <c r="AL853" t="inlineStr">
        <is>
          <t>3.8</t>
        </is>
      </c>
      <c r="AM853" t="inlineStr">
        <is>
          <t>601+</t>
        </is>
      </c>
      <c r="AN853" t="inlineStr">
        <is>
          <t>59.3</t>
        </is>
      </c>
      <c r="AO853" t="inlineStr">
        <is>
          <t>240</t>
        </is>
      </c>
      <c r="AP853" t="inlineStr">
        <is>
          <t>1.1</t>
        </is>
      </c>
      <c r="AQ853" t="inlineStr">
        <is>
          <t>701+</t>
        </is>
      </c>
      <c r="AR853" t="inlineStr">
        <is>
          <t>9.6</t>
        </is>
      </c>
      <c r="AS853" t="inlineStr">
        <is>
          <t>701+</t>
        </is>
      </c>
      <c r="AT853" t="inlineStr">
        <is>
          <t>55.6</t>
        </is>
      </c>
      <c r="AU853" t="inlineStr">
        <is>
          <t>266</t>
        </is>
      </c>
      <c r="AV853" t="inlineStr">
        <is>
          <t>1.0</t>
        </is>
      </c>
      <c r="AW853" t="inlineStr">
        <is>
          <t>701+</t>
        </is>
      </c>
      <c r="AX853" t="inlineStr">
        <is>
          <t>12.5</t>
        </is>
      </c>
      <c r="AY853" t="inlineStr">
        <is>
          <t>695</t>
        </is>
      </c>
      <c r="AZ853" t="inlineStr">
        <is>
          <t>1</t>
        </is>
      </c>
      <c r="BA853" t="inlineStr">
        <is>
          <t>701+</t>
        </is>
      </c>
    </row>
    <row r="854">
      <c r="A854" t="inlineStr">
        <is>
          <t>Sabanci University</t>
        </is>
      </c>
      <c r="B854" t="inlineStr">
        <is>
          <t>Turkey</t>
        </is>
      </c>
      <c r="C854" t="inlineStr">
        <is>
          <t>TR</t>
        </is>
      </c>
      <c r="D854" t="inlineStr">
        <is>
          <t>Asia</t>
        </is>
      </c>
      <c r="E854" t="inlineStr">
        <is>
          <t>S</t>
        </is>
      </c>
      <c r="F854" t="inlineStr">
        <is>
          <t>CO</t>
        </is>
      </c>
      <c r="G854" t="inlineStr">
        <is>
          <t>VH</t>
        </is>
      </c>
      <c r="H854" t="inlineStr">
        <is>
          <t>3</t>
        </is>
      </c>
      <c r="I854" t="inlineStr">
        <is>
          <t>Private not for Profit</t>
        </is>
      </c>
      <c r="J854" t="inlineStr">
        <is>
          <t>404</t>
        </is>
      </c>
      <c r="K854" t="inlineStr">
        <is>
          <t>516</t>
        </is>
      </c>
      <c r="L854">
        <f>526</f>
        <v/>
      </c>
      <c r="M854" t="inlineStr">
        <is>
          <t>531-540</t>
        </is>
      </c>
      <c r="N854" t="inlineStr">
        <is>
          <t>37.2</t>
        </is>
      </c>
      <c r="O854" t="inlineStr">
        <is>
          <t>22.3</t>
        </is>
      </c>
      <c r="P854" t="n">
        <v>26.5</v>
      </c>
      <c r="Q854" t="inlineStr">
        <is>
          <t>477</t>
        </is>
      </c>
      <c r="R854" t="n">
        <v>62.6</v>
      </c>
      <c r="S854" t="inlineStr">
        <is>
          <t>177</t>
        </is>
      </c>
      <c r="T854" t="n">
        <v>40</v>
      </c>
      <c r="U854" t="inlineStr">
        <is>
          <t>505</t>
        </is>
      </c>
      <c r="V854" t="n">
        <v>39.2</v>
      </c>
      <c r="W854" t="inlineStr">
        <is>
          <t>483</t>
        </is>
      </c>
      <c r="X854" t="n">
        <v>51.2</v>
      </c>
      <c r="Y854" t="inlineStr">
        <is>
          <t>434</t>
        </is>
      </c>
      <c r="Z854" t="n">
        <v>28</v>
      </c>
      <c r="AA854" t="inlineStr">
        <is>
          <t>614</t>
        </is>
      </c>
      <c r="AB854" t="n">
        <v>30.9</v>
      </c>
      <c r="AC854" t="inlineStr">
        <is>
          <t>606</t>
        </is>
      </c>
      <c r="AD854" t="n">
        <v>35.5</v>
      </c>
      <c r="AE854" t="inlineStr">
        <is>
          <t>801+</t>
        </is>
      </c>
      <c r="AF854" t="n">
        <v>12.8</v>
      </c>
      <c r="AG854" t="inlineStr">
        <is>
          <t>801+</t>
        </is>
      </c>
      <c r="AH854" t="n">
        <v>50.1</v>
      </c>
      <c r="AI854" t="inlineStr">
        <is>
          <t>701=</t>
        </is>
      </c>
      <c r="AJ854" t="inlineStr">
        <is>
          <t>18.1</t>
        </is>
      </c>
      <c r="AK854" t="inlineStr">
        <is>
          <t>496</t>
        </is>
      </c>
      <c r="AL854" t="inlineStr">
        <is>
          <t>37.5</t>
        </is>
      </c>
      <c r="AM854" t="inlineStr">
        <is>
          <t>262</t>
        </is>
      </c>
      <c r="AN854" t="inlineStr">
        <is>
          <t>34.5</t>
        </is>
      </c>
      <c r="AO854" t="inlineStr">
        <is>
          <t>465</t>
        </is>
      </c>
      <c r="AP854" t="inlineStr">
        <is>
          <t>19.2</t>
        </is>
      </c>
      <c r="AQ854" t="inlineStr">
        <is>
          <t>567</t>
        </is>
      </c>
      <c r="AR854" t="inlineStr">
        <is>
          <t>37.0</t>
        </is>
      </c>
      <c r="AS854" t="inlineStr">
        <is>
          <t>437</t>
        </is>
      </c>
      <c r="AT854" t="inlineStr">
        <is>
          <t>15.0</t>
        </is>
      </c>
      <c r="AU854" t="inlineStr">
        <is>
          <t>620</t>
        </is>
      </c>
      <c r="AV854" t="inlineStr">
        <is>
          <t>1.8</t>
        </is>
      </c>
      <c r="AW854" t="inlineStr">
        <is>
          <t>701+</t>
        </is>
      </c>
      <c r="AX854" t="inlineStr">
        <is>
          <t>11.2</t>
        </is>
      </c>
      <c r="AY854" t="inlineStr">
        <is>
          <t>701+</t>
        </is>
      </c>
      <c r="AZ854" t="inlineStr">
        <is>
          <t>15.4</t>
        </is>
      </c>
      <c r="BA854" t="inlineStr">
        <is>
          <t>603=</t>
        </is>
      </c>
    </row>
    <row r="855">
      <c r="A855" t="inlineStr">
        <is>
          <t>Saint Joseph University of Beirut (USJ)</t>
        </is>
      </c>
      <c r="B855" t="inlineStr">
        <is>
          <t>Lebanon</t>
        </is>
      </c>
      <c r="C855" t="inlineStr">
        <is>
          <t>LB</t>
        </is>
      </c>
      <c r="D855" t="inlineStr">
        <is>
          <t>Asia</t>
        </is>
      </c>
      <c r="E855" t="inlineStr">
        <is>
          <t>M</t>
        </is>
      </c>
      <c r="F855" t="inlineStr">
        <is>
          <t>FC</t>
        </is>
      </c>
      <c r="G855" t="inlineStr">
        <is>
          <t>HI</t>
        </is>
      </c>
      <c r="H855" t="inlineStr">
        <is>
          <t>5</t>
        </is>
      </c>
      <c r="I855" t="inlineStr">
        <is>
          <t>Private not for Profit</t>
        </is>
      </c>
      <c r="J855" t="inlineStr">
        <is>
          <t>618</t>
        </is>
      </c>
      <c r="K855" t="inlineStr">
        <is>
          <t>711-720</t>
        </is>
      </c>
      <c r="L855" t="inlineStr">
        <is>
          <t>631-640</t>
        </is>
      </c>
      <c r="M855" t="inlineStr">
        <is>
          <t>531-540</t>
        </is>
      </c>
      <c r="N855" t="inlineStr">
        <is>
          <t>27.7</t>
        </is>
      </c>
      <c r="O855" t="inlineStr">
        <is>
          <t>-</t>
        </is>
      </c>
      <c r="P855" t="n">
        <v>13.4</v>
      </c>
      <c r="Q855" t="inlineStr">
        <is>
          <t>701+</t>
        </is>
      </c>
      <c r="R855" t="n">
        <v>38.2</v>
      </c>
      <c r="S855" t="inlineStr">
        <is>
          <t>366</t>
        </is>
      </c>
      <c r="T855" t="n">
        <v>62.3</v>
      </c>
      <c r="U855" t="inlineStr">
        <is>
          <t>285</t>
        </is>
      </c>
      <c r="V855" t="n">
        <v>4.2</v>
      </c>
      <c r="W855" t="inlineStr">
        <is>
          <t>801+</t>
        </is>
      </c>
      <c r="X855" t="n">
        <v>94.3</v>
      </c>
      <c r="Y855" t="inlineStr">
        <is>
          <t>186</t>
        </is>
      </c>
      <c r="Z855" t="n">
        <v>40.7</v>
      </c>
      <c r="AA855" t="inlineStr">
        <is>
          <t>485</t>
        </is>
      </c>
      <c r="AB855" t="n">
        <v>46.1</v>
      </c>
      <c r="AC855" t="inlineStr">
        <is>
          <t>453</t>
        </is>
      </c>
      <c r="AD855" t="n">
        <v>30.2</v>
      </c>
      <c r="AE855" t="inlineStr">
        <is>
          <t>801+</t>
        </is>
      </c>
      <c r="AF855" t="n">
        <v>40.8</v>
      </c>
      <c r="AG855" t="inlineStr">
        <is>
          <t>431</t>
        </is>
      </c>
      <c r="AH855" t="n">
        <v>35</v>
      </c>
      <c r="AI855" t="inlineStr">
        <is>
          <t>801+</t>
        </is>
      </c>
      <c r="AJ855" t="inlineStr">
        <is>
          <t>9.2</t>
        </is>
      </c>
      <c r="AK855" t="inlineStr">
        <is>
          <t>601+</t>
        </is>
      </c>
      <c r="AL855" t="inlineStr">
        <is>
          <t>27.6</t>
        </is>
      </c>
      <c r="AM855" t="inlineStr">
        <is>
          <t>354</t>
        </is>
      </c>
      <c r="AN855" t="inlineStr">
        <is>
          <t>46.8</t>
        </is>
      </c>
      <c r="AO855" t="inlineStr">
        <is>
          <t>334</t>
        </is>
      </c>
      <c r="AP855" t="inlineStr">
        <is>
          <t>2.5</t>
        </is>
      </c>
      <c r="AQ855" t="inlineStr">
        <is>
          <t>701+</t>
        </is>
      </c>
      <c r="AR855" t="inlineStr">
        <is>
          <t>90.8</t>
        </is>
      </c>
      <c r="AS855" t="inlineStr">
        <is>
          <t>178</t>
        </is>
      </c>
      <c r="AT855" t="inlineStr">
        <is>
          <t>19.7</t>
        </is>
      </c>
      <c r="AU855" t="inlineStr">
        <is>
          <t>552</t>
        </is>
      </c>
      <c r="AV855" t="inlineStr">
        <is>
          <t>1.0</t>
        </is>
      </c>
      <c r="AW855" t="inlineStr">
        <is>
          <t>701+</t>
        </is>
      </c>
      <c r="AX855" t="inlineStr">
        <is>
          <t>13</t>
        </is>
      </c>
      <c r="AY855" t="inlineStr">
        <is>
          <t>664</t>
        </is>
      </c>
      <c r="AZ855" t="inlineStr">
        <is>
          <t>9.7</t>
        </is>
      </c>
      <c r="BA855" t="inlineStr">
        <is>
          <t>673=</t>
        </is>
      </c>
    </row>
    <row r="856">
      <c r="A856" t="inlineStr">
        <is>
          <t>Saint Louis University</t>
        </is>
      </c>
      <c r="B856" t="inlineStr">
        <is>
          <t>United States</t>
        </is>
      </c>
      <c r="C856" t="inlineStr"/>
      <c r="D856" t="inlineStr">
        <is>
          <t>Americas</t>
        </is>
      </c>
      <c r="E856" t="inlineStr">
        <is>
          <t>L</t>
        </is>
      </c>
      <c r="F856" t="inlineStr">
        <is>
          <t>CO</t>
        </is>
      </c>
      <c r="G856" t="inlineStr">
        <is>
          <t>VH</t>
        </is>
      </c>
      <c r="H856" t="inlineStr"/>
      <c r="I856" t="inlineStr">
        <is>
          <t>Private not for Profit</t>
        </is>
      </c>
      <c r="J856" t="inlineStr">
        <is>
          <t>951-1000</t>
        </is>
      </c>
      <c r="K856" t="inlineStr">
        <is>
          <t>951-1000</t>
        </is>
      </c>
      <c r="L856" t="inlineStr"/>
      <c r="M856" t="inlineStr"/>
      <c r="N856" t="inlineStr">
        <is>
          <t>-</t>
        </is>
      </c>
      <c r="O856" t="inlineStr"/>
      <c r="P856" t="n">
        <v>5.7</v>
      </c>
      <c r="Q856" t="inlineStr">
        <is>
          <t>701+</t>
        </is>
      </c>
      <c r="R856" t="n">
        <v>4.2</v>
      </c>
      <c r="S856" t="inlineStr">
        <is>
          <t>701+</t>
        </is>
      </c>
      <c r="T856" t="n">
        <v>50.8</v>
      </c>
      <c r="U856" t="inlineStr">
        <is>
          <t>373</t>
        </is>
      </c>
      <c r="V856" t="n">
        <v>23.8</v>
      </c>
      <c r="W856" t="inlineStr">
        <is>
          <t>660</t>
        </is>
      </c>
      <c r="X856" t="n">
        <v>20.6</v>
      </c>
      <c r="Y856" t="inlineStr">
        <is>
          <t>701</t>
        </is>
      </c>
      <c r="Z856" t="n">
        <v>42.2</v>
      </c>
      <c r="AA856" t="inlineStr">
        <is>
          <t>473</t>
        </is>
      </c>
      <c r="AB856" t="n">
        <v>31.5</v>
      </c>
      <c r="AC856" t="inlineStr">
        <is>
          <t>596</t>
        </is>
      </c>
      <c r="AD856" t="n">
        <v>23.5</v>
      </c>
      <c r="AE856" t="inlineStr">
        <is>
          <t>801+</t>
        </is>
      </c>
      <c r="AF856" t="n">
        <v>18.5</v>
      </c>
      <c r="AG856" t="inlineStr">
        <is>
          <t>748</t>
        </is>
      </c>
      <c r="AH856" t="n">
        <v>35.9</v>
      </c>
      <c r="AI856" t="inlineStr">
        <is>
          <t>801+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</row>
    <row r="857">
      <c r="A857" t="inlineStr">
        <is>
          <t>Saint Petersburg Electrotechnical University ETU-LETI</t>
        </is>
      </c>
      <c r="B857" t="inlineStr">
        <is>
          <t>Russia</t>
        </is>
      </c>
      <c r="C857" t="inlineStr">
        <is>
          <t>RU</t>
        </is>
      </c>
      <c r="D857" t="inlineStr"/>
      <c r="E857" t="inlineStr">
        <is>
          <t>M</t>
        </is>
      </c>
      <c r="F857" t="inlineStr">
        <is>
          <t>FO</t>
        </is>
      </c>
      <c r="G857" t="inlineStr">
        <is>
          <t>VH</t>
        </is>
      </c>
      <c r="H857" t="inlineStr">
        <is>
          <t>5</t>
        </is>
      </c>
      <c r="I857" t="inlineStr">
        <is>
          <t>A</t>
        </is>
      </c>
      <c r="J857" t="inlineStr"/>
      <c r="K857" t="inlineStr"/>
      <c r="L857" t="inlineStr">
        <is>
          <t>951-1000</t>
        </is>
      </c>
      <c r="M857" t="inlineStr">
        <is>
          <t>751-800</t>
        </is>
      </c>
      <c r="N857" t="inlineStr"/>
      <c r="O857" t="inlineStr">
        <is>
          <t>-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5.7</t>
        </is>
      </c>
      <c r="AK857" t="inlineStr">
        <is>
          <t>601+</t>
        </is>
      </c>
      <c r="AL857" t="inlineStr">
        <is>
          <t>3.5</t>
        </is>
      </c>
      <c r="AM857" t="inlineStr">
        <is>
          <t>601+</t>
        </is>
      </c>
      <c r="AN857" t="inlineStr">
        <is>
          <t>49.4</t>
        </is>
      </c>
      <c r="AO857" t="inlineStr">
        <is>
          <t>315</t>
        </is>
      </c>
      <c r="AP857" t="inlineStr">
        <is>
          <t>1.8</t>
        </is>
      </c>
      <c r="AQ857" t="inlineStr">
        <is>
          <t>701+</t>
        </is>
      </c>
      <c r="AR857" t="inlineStr">
        <is>
          <t>4.6</t>
        </is>
      </c>
      <c r="AS857" t="inlineStr">
        <is>
          <t>701+</t>
        </is>
      </c>
      <c r="AT857" t="inlineStr">
        <is>
          <t>49.2</t>
        </is>
      </c>
      <c r="AU857" t="inlineStr">
        <is>
          <t>302</t>
        </is>
      </c>
      <c r="AV857" t="inlineStr">
        <is>
          <t>1.1</t>
        </is>
      </c>
      <c r="AW857" t="inlineStr">
        <is>
          <t>701+</t>
        </is>
      </c>
      <c r="AX857" t="inlineStr">
        <is>
          <t>9.4</t>
        </is>
      </c>
      <c r="AY857" t="inlineStr">
        <is>
          <t>701+</t>
        </is>
      </c>
      <c r="AZ857" t="inlineStr">
        <is>
          <t>1.2</t>
        </is>
      </c>
      <c r="BA857" t="inlineStr">
        <is>
          <t>701+</t>
        </is>
      </c>
    </row>
    <row r="858">
      <c r="A858" t="inlineStr">
        <is>
          <t>Saint-Petersburg Electrotechnical University LETI</t>
        </is>
      </c>
      <c r="B858" t="inlineStr">
        <is>
          <t>Russia</t>
        </is>
      </c>
      <c r="C858" t="inlineStr"/>
      <c r="D858" t="inlineStr">
        <is>
          <t>Europe</t>
        </is>
      </c>
      <c r="E858" t="inlineStr">
        <is>
          <t>M</t>
        </is>
      </c>
      <c r="F858" t="inlineStr">
        <is>
          <t>FO</t>
        </is>
      </c>
      <c r="G858" t="inlineStr">
        <is>
          <t>VH</t>
        </is>
      </c>
      <c r="H858" t="inlineStr"/>
      <c r="I858" t="inlineStr">
        <is>
          <t>Public</t>
        </is>
      </c>
      <c r="J858" t="inlineStr">
        <is>
          <t>1201-1400</t>
        </is>
      </c>
      <c r="K858" t="inlineStr">
        <is>
          <t>1001-1200</t>
        </is>
      </c>
      <c r="L858" t="inlineStr"/>
      <c r="M858" t="inlineStr"/>
      <c r="N858" t="inlineStr">
        <is>
          <t>-</t>
        </is>
      </c>
      <c r="O858" t="inlineStr"/>
      <c r="P858" t="n">
        <v>4.8</v>
      </c>
      <c r="Q858" t="inlineStr">
        <is>
          <t>701+</t>
        </is>
      </c>
      <c r="R858" t="n">
        <v>6.3</v>
      </c>
      <c r="S858" t="inlineStr">
        <is>
          <t>701+</t>
        </is>
      </c>
      <c r="T858" t="n">
        <v>51.9</v>
      </c>
      <c r="U858" t="inlineStr">
        <is>
          <t>363</t>
        </is>
      </c>
      <c r="V858" t="n">
        <v>3</v>
      </c>
      <c r="W858" t="inlineStr">
        <is>
          <t>801+</t>
        </is>
      </c>
      <c r="X858" t="n">
        <v>5.6</v>
      </c>
      <c r="Y858" t="inlineStr">
        <is>
          <t>801+</t>
        </is>
      </c>
      <c r="Z858" t="n">
        <v>56.2</v>
      </c>
      <c r="AA858" t="inlineStr">
        <is>
          <t>371</t>
        </is>
      </c>
      <c r="AB858" t="n">
        <v>58.5</v>
      </c>
      <c r="AC858" t="inlineStr">
        <is>
          <t>349</t>
        </is>
      </c>
      <c r="AD858" t="n">
        <v>15.9</v>
      </c>
      <c r="AE858" t="inlineStr">
        <is>
          <t>801+</t>
        </is>
      </c>
      <c r="AF858" t="n">
        <v>7.3</v>
      </c>
      <c r="AG858" t="inlineStr">
        <is>
          <t>801+</t>
        </is>
      </c>
      <c r="AH858" t="n">
        <v>26.4</v>
      </c>
      <c r="AI858" t="inlineStr">
        <is>
          <t>801+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</row>
    <row r="859">
      <c r="A859" t="inlineStr">
        <is>
          <t>Saint-Petersburg Mining University</t>
        </is>
      </c>
      <c r="B859" t="inlineStr">
        <is>
          <t>Russia</t>
        </is>
      </c>
      <c r="C859" t="inlineStr">
        <is>
          <t>RU</t>
        </is>
      </c>
      <c r="D859" t="inlineStr">
        <is>
          <t>Europe</t>
        </is>
      </c>
      <c r="E859" t="inlineStr">
        <is>
          <t>M</t>
        </is>
      </c>
      <c r="F859" t="inlineStr">
        <is>
          <t>FO</t>
        </is>
      </c>
      <c r="G859" t="inlineStr">
        <is>
          <t>VH</t>
        </is>
      </c>
      <c r="H859" t="inlineStr">
        <is>
          <t>5</t>
        </is>
      </c>
      <c r="I859" t="inlineStr">
        <is>
          <t>Public</t>
        </is>
      </c>
      <c r="J859" t="inlineStr">
        <is>
          <t>1001-1200</t>
        </is>
      </c>
      <c r="K859" t="inlineStr">
        <is>
          <t>1001-1200</t>
        </is>
      </c>
      <c r="L859" t="inlineStr">
        <is>
          <t>1001-1200</t>
        </is>
      </c>
      <c r="M859" t="inlineStr">
        <is>
          <t>801-1000</t>
        </is>
      </c>
      <c r="N859" t="inlineStr">
        <is>
          <t>-</t>
        </is>
      </c>
      <c r="O859" t="inlineStr">
        <is>
          <t>-</t>
        </is>
      </c>
      <c r="P859" t="n">
        <v>3.1</v>
      </c>
      <c r="Q859" t="inlineStr">
        <is>
          <t>701+</t>
        </is>
      </c>
      <c r="R859" t="n">
        <v>5.9</v>
      </c>
      <c r="S859" t="inlineStr">
        <is>
          <t>701+</t>
        </is>
      </c>
      <c r="T859" t="n">
        <v>79.09999999999999</v>
      </c>
      <c r="U859" t="inlineStr">
        <is>
          <t>173</t>
        </is>
      </c>
      <c r="V859" t="n">
        <v>3.7</v>
      </c>
      <c r="W859" t="inlineStr">
        <is>
          <t>801+</t>
        </is>
      </c>
      <c r="X859" t="n">
        <v>28.1</v>
      </c>
      <c r="Y859" t="inlineStr">
        <is>
          <t>606</t>
        </is>
      </c>
      <c r="Z859" t="n">
        <v>44.4</v>
      </c>
      <c r="AA859" t="inlineStr">
        <is>
          <t>454</t>
        </is>
      </c>
      <c r="AB859" t="n">
        <v>49.6</v>
      </c>
      <c r="AC859" t="inlineStr">
        <is>
          <t>419</t>
        </is>
      </c>
      <c r="AD859" t="n">
        <v>9.6</v>
      </c>
      <c r="AE859" t="inlineStr">
        <is>
          <t>801+</t>
        </is>
      </c>
      <c r="AF859" t="n">
        <v>13.2</v>
      </c>
      <c r="AG859" t="inlineStr">
        <is>
          <t>801+</t>
        </is>
      </c>
      <c r="AH859" t="n">
        <v>28.3</v>
      </c>
      <c r="AI859" t="inlineStr">
        <is>
          <t>801+</t>
        </is>
      </c>
      <c r="AJ859" t="inlineStr">
        <is>
          <t>3.7</t>
        </is>
      </c>
      <c r="AK859" t="inlineStr">
        <is>
          <t>601+</t>
        </is>
      </c>
      <c r="AL859" t="inlineStr">
        <is>
          <t>3.1</t>
        </is>
      </c>
      <c r="AM859" t="inlineStr">
        <is>
          <t>601+</t>
        </is>
      </c>
      <c r="AN859" t="inlineStr">
        <is>
          <t>53.9</t>
        </is>
      </c>
      <c r="AO859" t="inlineStr">
        <is>
          <t>285</t>
        </is>
      </c>
      <c r="AP859" t="inlineStr">
        <is>
          <t>2.2</t>
        </is>
      </c>
      <c r="AQ859" t="inlineStr">
        <is>
          <t>701+</t>
        </is>
      </c>
      <c r="AR859" t="inlineStr">
        <is>
          <t>19.7</t>
        </is>
      </c>
      <c r="AS859" t="inlineStr">
        <is>
          <t>592</t>
        </is>
      </c>
      <c r="AT859" t="inlineStr">
        <is>
          <t>20.6</t>
        </is>
      </c>
      <c r="AU859" t="inlineStr">
        <is>
          <t>539</t>
        </is>
      </c>
      <c r="AV859" t="inlineStr">
        <is>
          <t>1.0</t>
        </is>
      </c>
      <c r="AW859" t="inlineStr">
        <is>
          <t>701+</t>
        </is>
      </c>
      <c r="AX859" t="inlineStr">
        <is>
          <t>12</t>
        </is>
      </c>
      <c r="AY859" t="inlineStr">
        <is>
          <t>701+</t>
        </is>
      </c>
      <c r="AZ859" t="inlineStr">
        <is>
          <t>4.1</t>
        </is>
      </c>
      <c r="BA859" t="inlineStr">
        <is>
          <t>701+</t>
        </is>
      </c>
    </row>
    <row r="860">
      <c r="A860" t="inlineStr">
        <is>
          <t>Saint Petersburg State University</t>
        </is>
      </c>
      <c r="B860" t="inlineStr">
        <is>
          <t>Russia</t>
        </is>
      </c>
      <c r="C860" t="inlineStr">
        <is>
          <t>RU</t>
        </is>
      </c>
      <c r="D860" t="inlineStr">
        <is>
          <t>Europe</t>
        </is>
      </c>
      <c r="E860" t="inlineStr">
        <is>
          <t>L</t>
        </is>
      </c>
      <c r="F860" t="inlineStr">
        <is>
          <t>FC</t>
        </is>
      </c>
      <c r="G860" t="inlineStr">
        <is>
          <t>VH</t>
        </is>
      </c>
      <c r="H860" t="inlineStr">
        <is>
          <t>5</t>
        </is>
      </c>
      <c r="I860" t="inlineStr">
        <is>
          <t>Public</t>
        </is>
      </c>
      <c r="J860" t="inlineStr">
        <is>
          <t>375</t>
        </is>
      </c>
      <c r="K860" t="inlineStr">
        <is>
          <t>365</t>
        </is>
      </c>
      <c r="L860">
        <f>315</f>
        <v/>
      </c>
      <c r="M860" t="inlineStr">
        <is>
          <t>270=</t>
        </is>
      </c>
      <c r="N860" t="inlineStr">
        <is>
          <t>39.9</t>
        </is>
      </c>
      <c r="O860" t="inlineStr">
        <is>
          <t>33.4</t>
        </is>
      </c>
      <c r="P860" t="n">
        <v>42.2</v>
      </c>
      <c r="Q860" t="inlineStr">
        <is>
          <t>283</t>
        </is>
      </c>
      <c r="R860" t="n">
        <v>43.6</v>
      </c>
      <c r="S860" t="inlineStr">
        <is>
          <t>305</t>
        </is>
      </c>
      <c r="T860" t="n">
        <v>65.8</v>
      </c>
      <c r="U860" t="inlineStr">
        <is>
          <t>263</t>
        </is>
      </c>
      <c r="V860" t="n">
        <v>7.9</v>
      </c>
      <c r="W860" t="inlineStr">
        <is>
          <t>801+</t>
        </is>
      </c>
      <c r="X860" t="n">
        <v>6.7</v>
      </c>
      <c r="Y860" t="inlineStr">
        <is>
          <t>801+</t>
        </is>
      </c>
      <c r="Z860" t="n">
        <v>52.2</v>
      </c>
      <c r="AA860" t="inlineStr">
        <is>
          <t>396</t>
        </is>
      </c>
      <c r="AB860" t="n">
        <v>56.8</v>
      </c>
      <c r="AC860" t="inlineStr">
        <is>
          <t>361</t>
        </is>
      </c>
      <c r="AD860" t="n">
        <v>83.7</v>
      </c>
      <c r="AE860" t="inlineStr">
        <is>
          <t>280</t>
        </is>
      </c>
      <c r="AF860" t="n">
        <v>80.09999999999999</v>
      </c>
      <c r="AG860" t="inlineStr">
        <is>
          <t>158</t>
        </is>
      </c>
      <c r="AH860" t="n">
        <v>44.6</v>
      </c>
      <c r="AI860" t="inlineStr">
        <is>
          <t>801+</t>
        </is>
      </c>
      <c r="AJ860" t="inlineStr">
        <is>
          <t>40.8</t>
        </is>
      </c>
      <c r="AK860" t="inlineStr">
        <is>
          <t>207</t>
        </is>
      </c>
      <c r="AL860" t="inlineStr">
        <is>
          <t>24.0</t>
        </is>
      </c>
      <c r="AM860" t="inlineStr">
        <is>
          <t>403</t>
        </is>
      </c>
      <c r="AN860" t="inlineStr">
        <is>
          <t>61.6</t>
        </is>
      </c>
      <c r="AO860" t="inlineStr">
        <is>
          <t>228</t>
        </is>
      </c>
      <c r="AP860" t="inlineStr">
        <is>
          <t>5.1</t>
        </is>
      </c>
      <c r="AQ860" t="inlineStr">
        <is>
          <t>701+</t>
        </is>
      </c>
      <c r="AR860" t="inlineStr">
        <is>
          <t>5.2</t>
        </is>
      </c>
      <c r="AS860" t="inlineStr">
        <is>
          <t>701+</t>
        </is>
      </c>
      <c r="AT860" t="inlineStr">
        <is>
          <t>41.7</t>
        </is>
      </c>
      <c r="AU860" t="inlineStr">
        <is>
          <t>335</t>
        </is>
      </c>
      <c r="AV860" t="inlineStr">
        <is>
          <t>69.5</t>
        </is>
      </c>
      <c r="AW860" t="inlineStr">
        <is>
          <t>198</t>
        </is>
      </c>
      <c r="AX860" t="inlineStr">
        <is>
          <t>52.8</t>
        </is>
      </c>
      <c r="AY860" t="inlineStr">
        <is>
          <t>120</t>
        </is>
      </c>
      <c r="AZ860" t="inlineStr">
        <is>
          <t>36.1</t>
        </is>
      </c>
      <c r="BA860" t="inlineStr">
        <is>
          <t>391=</t>
        </is>
      </c>
    </row>
    <row r="861">
      <c r="A861" t="inlineStr">
        <is>
          <t>Saitama University</t>
        </is>
      </c>
      <c r="B861" t="inlineStr">
        <is>
          <t>Japan</t>
        </is>
      </c>
      <c r="C861" t="inlineStr">
        <is>
          <t>JP</t>
        </is>
      </c>
      <c r="D861" t="inlineStr"/>
      <c r="E861" t="inlineStr">
        <is>
          <t>M</t>
        </is>
      </c>
      <c r="F861" t="inlineStr">
        <is>
          <t>CO</t>
        </is>
      </c>
      <c r="G861" t="inlineStr">
        <is>
          <t>VH</t>
        </is>
      </c>
      <c r="H861" t="inlineStr">
        <is>
          <t>4</t>
        </is>
      </c>
      <c r="I861" t="inlineStr">
        <is>
          <t>A</t>
        </is>
      </c>
      <c r="J861" t="inlineStr"/>
      <c r="K861" t="inlineStr"/>
      <c r="L861" t="inlineStr">
        <is>
          <t>1201-1400</t>
        </is>
      </c>
      <c r="M861" t="inlineStr">
        <is>
          <t>1001-1200</t>
        </is>
      </c>
      <c r="N861" t="inlineStr"/>
      <c r="O861" t="inlineStr">
        <is>
          <t>-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4.5</t>
        </is>
      </c>
      <c r="AK861" t="inlineStr">
        <is>
          <t>601+</t>
        </is>
      </c>
      <c r="AL861" t="inlineStr">
        <is>
          <t>1.8</t>
        </is>
      </c>
      <c r="AM861" t="inlineStr">
        <is>
          <t>601+</t>
        </is>
      </c>
      <c r="AN861" t="inlineStr">
        <is>
          <t>14.1</t>
        </is>
      </c>
      <c r="AO861" t="inlineStr">
        <is>
          <t>701+</t>
        </is>
      </c>
      <c r="AP861" t="inlineStr">
        <is>
          <t>9.2</t>
        </is>
      </c>
      <c r="AQ861" t="inlineStr">
        <is>
          <t>701+</t>
        </is>
      </c>
      <c r="AR861" t="inlineStr">
        <is>
          <t>10.5</t>
        </is>
      </c>
      <c r="AS861" t="inlineStr">
        <is>
          <t>701+</t>
        </is>
      </c>
      <c r="AT861" t="inlineStr">
        <is>
          <t>6.2</t>
        </is>
      </c>
      <c r="AU861" t="inlineStr">
        <is>
          <t>701+</t>
        </is>
      </c>
      <c r="AV861" t="inlineStr">
        <is>
          <t>1.2</t>
        </is>
      </c>
      <c r="AW861" t="inlineStr">
        <is>
          <t>701+</t>
        </is>
      </c>
      <c r="AX861" t="inlineStr">
        <is>
          <t>7.9</t>
        </is>
      </c>
      <c r="AY861" t="inlineStr">
        <is>
          <t>701+</t>
        </is>
      </c>
      <c r="AZ861" t="inlineStr">
        <is>
          <t>2.2</t>
        </is>
      </c>
      <c r="BA861" t="inlineStr">
        <is>
          <t>701+</t>
        </is>
      </c>
    </row>
    <row r="862">
      <c r="A862" t="inlineStr">
        <is>
          <t>Sakarya University</t>
        </is>
      </c>
      <c r="B862" t="inlineStr">
        <is>
          <t>Turkey</t>
        </is>
      </c>
      <c r="C862" t="inlineStr">
        <is>
          <t>TR</t>
        </is>
      </c>
      <c r="D862" t="inlineStr">
        <is>
          <t>Asia</t>
        </is>
      </c>
      <c r="E862" t="inlineStr">
        <is>
          <t>XL</t>
        </is>
      </c>
      <c r="F862" t="inlineStr">
        <is>
          <t>FC</t>
        </is>
      </c>
      <c r="G862" t="inlineStr">
        <is>
          <t>HI</t>
        </is>
      </c>
      <c r="H862" t="inlineStr">
        <is>
          <t>3</t>
        </is>
      </c>
      <c r="I862" t="inlineStr">
        <is>
          <t>Public</t>
        </is>
      </c>
      <c r="J862" t="inlineStr">
        <is>
          <t>1401+</t>
        </is>
      </c>
      <c r="K862" t="inlineStr">
        <is>
          <t>1401+</t>
        </is>
      </c>
      <c r="L862" t="inlineStr">
        <is>
          <t>1401+</t>
        </is>
      </c>
      <c r="M862" t="inlineStr">
        <is>
          <t>1401+</t>
        </is>
      </c>
      <c r="N862" t="inlineStr">
        <is>
          <t>-</t>
        </is>
      </c>
      <c r="O862" t="inlineStr">
        <is>
          <t>-</t>
        </is>
      </c>
      <c r="P862" t="n">
        <v>5.9</v>
      </c>
      <c r="Q862" t="inlineStr">
        <is>
          <t>701+</t>
        </is>
      </c>
      <c r="R862" t="n">
        <v>7.6</v>
      </c>
      <c r="S862" t="inlineStr">
        <is>
          <t>701+</t>
        </is>
      </c>
      <c r="T862" t="n">
        <v>4.9</v>
      </c>
      <c r="U862" t="inlineStr">
        <is>
          <t>801+</t>
        </is>
      </c>
      <c r="V862" t="n">
        <v>6.6</v>
      </c>
      <c r="W862" t="inlineStr">
        <is>
          <t>801+</t>
        </is>
      </c>
      <c r="X862" t="n">
        <v>2.6</v>
      </c>
      <c r="Y862" t="inlineStr">
        <is>
          <t>801+</t>
        </is>
      </c>
      <c r="Z862" t="n">
        <v>21.8</v>
      </c>
      <c r="AA862" t="inlineStr">
        <is>
          <t>701</t>
        </is>
      </c>
      <c r="AB862" t="n">
        <v>27.9</v>
      </c>
      <c r="AC862" t="inlineStr">
        <is>
          <t>639</t>
        </is>
      </c>
      <c r="AD862" t="n">
        <v>26.1</v>
      </c>
      <c r="AE862" t="inlineStr">
        <is>
          <t>801+</t>
        </is>
      </c>
      <c r="AF862" t="n">
        <v>2.3</v>
      </c>
      <c r="AG862" t="inlineStr">
        <is>
          <t>801+</t>
        </is>
      </c>
      <c r="AH862" t="n">
        <v>49.5</v>
      </c>
      <c r="AI862" t="inlineStr">
        <is>
          <t>715=</t>
        </is>
      </c>
      <c r="AJ862" t="inlineStr">
        <is>
          <t>3.7</t>
        </is>
      </c>
      <c r="AK862" t="inlineStr">
        <is>
          <t>601+</t>
        </is>
      </c>
      <c r="AL862" t="inlineStr">
        <is>
          <t>3.0</t>
        </is>
      </c>
      <c r="AM862" t="inlineStr">
        <is>
          <t>601+</t>
        </is>
      </c>
      <c r="AN862" t="inlineStr">
        <is>
          <t>2.8</t>
        </is>
      </c>
      <c r="AO862" t="inlineStr">
        <is>
          <t>701+</t>
        </is>
      </c>
      <c r="AP862" t="inlineStr">
        <is>
          <t>3.1</t>
        </is>
      </c>
      <c r="AQ862" t="inlineStr">
        <is>
          <t>701+</t>
        </is>
      </c>
      <c r="AR862" t="inlineStr">
        <is>
          <t>1.7</t>
        </is>
      </c>
      <c r="AS862" t="inlineStr">
        <is>
          <t>701+</t>
        </is>
      </c>
      <c r="AT862" t="inlineStr">
        <is>
          <t>12.6</t>
        </is>
      </c>
      <c r="AU862" t="inlineStr">
        <is>
          <t>669</t>
        </is>
      </c>
      <c r="AV862" t="inlineStr">
        <is>
          <t>1.3</t>
        </is>
      </c>
      <c r="AW862" t="inlineStr">
        <is>
          <t>701+</t>
        </is>
      </c>
      <c r="AX862" t="inlineStr">
        <is>
          <t>7.5</t>
        </is>
      </c>
      <c r="AY862" t="inlineStr">
        <is>
          <t>701+</t>
        </is>
      </c>
      <c r="AZ862" t="inlineStr">
        <is>
          <t>1</t>
        </is>
      </c>
      <c r="BA862" t="inlineStr">
        <is>
          <t>701+</t>
        </is>
      </c>
    </row>
    <row r="863">
      <c r="A863" t="inlineStr">
        <is>
          <t>Saken Seifullin Kazakh Agrotechnical University</t>
        </is>
      </c>
      <c r="B863" t="inlineStr">
        <is>
          <t>Kazakhstan</t>
        </is>
      </c>
      <c r="C863" t="inlineStr">
        <is>
          <t>KZ</t>
        </is>
      </c>
      <c r="D863" t="inlineStr">
        <is>
          <t>Asia</t>
        </is>
      </c>
      <c r="E863" t="inlineStr">
        <is>
          <t>M</t>
        </is>
      </c>
      <c r="F863" t="inlineStr">
        <is>
          <t>FO</t>
        </is>
      </c>
      <c r="G863" t="inlineStr">
        <is>
          <t>HI</t>
        </is>
      </c>
      <c r="H863" t="inlineStr">
        <is>
          <t>4</t>
        </is>
      </c>
      <c r="I863" t="inlineStr">
        <is>
          <t>Private not for Profit</t>
        </is>
      </c>
      <c r="J863" t="inlineStr">
        <is>
          <t>1201-1400</t>
        </is>
      </c>
      <c r="K863" t="inlineStr">
        <is>
          <t>1201-1400</t>
        </is>
      </c>
      <c r="L863" t="inlineStr">
        <is>
          <t>1201-1400</t>
        </is>
      </c>
      <c r="M863" t="inlineStr">
        <is>
          <t>1201-1400</t>
        </is>
      </c>
      <c r="N863" t="inlineStr">
        <is>
          <t>-</t>
        </is>
      </c>
      <c r="O863" t="inlineStr">
        <is>
          <t>-</t>
        </is>
      </c>
      <c r="P863" t="n">
        <v>10.2</v>
      </c>
      <c r="Q863" t="inlineStr">
        <is>
          <t>701+</t>
        </is>
      </c>
      <c r="R863" t="n">
        <v>18</v>
      </c>
      <c r="S863" t="inlineStr">
        <is>
          <t>701+</t>
        </is>
      </c>
      <c r="T863" t="n">
        <v>42.2</v>
      </c>
      <c r="U863" t="inlineStr">
        <is>
          <t>475</t>
        </is>
      </c>
      <c r="V863" t="n">
        <v>1.5</v>
      </c>
      <c r="W863" t="inlineStr">
        <is>
          <t>801+</t>
        </is>
      </c>
      <c r="X863" t="n">
        <v>23.5</v>
      </c>
      <c r="Y863" t="inlineStr">
        <is>
          <t>669</t>
        </is>
      </c>
      <c r="Z863" t="n">
        <v>9.4</v>
      </c>
      <c r="AA863" t="inlineStr">
        <is>
          <t>801+</t>
        </is>
      </c>
      <c r="AB863" t="n">
        <v>12.5</v>
      </c>
      <c r="AC863" t="inlineStr">
        <is>
          <t>801+</t>
        </is>
      </c>
      <c r="AD863" t="n">
        <v>3.6</v>
      </c>
      <c r="AE863" t="inlineStr">
        <is>
          <t>801+</t>
        </is>
      </c>
      <c r="AF863" t="n">
        <v>4.2</v>
      </c>
      <c r="AG863" t="inlineStr">
        <is>
          <t>801+</t>
        </is>
      </c>
      <c r="AH863" t="n">
        <v>36.7</v>
      </c>
      <c r="AI863" t="inlineStr">
        <is>
          <t>801+</t>
        </is>
      </c>
      <c r="AJ863" t="inlineStr">
        <is>
          <t>8.3</t>
        </is>
      </c>
      <c r="AK863" t="inlineStr">
        <is>
          <t>601+</t>
        </is>
      </c>
      <c r="AL863" t="inlineStr">
        <is>
          <t>6.8</t>
        </is>
      </c>
      <c r="AM863" t="inlineStr">
        <is>
          <t>601+</t>
        </is>
      </c>
      <c r="AN863" t="inlineStr">
        <is>
          <t>22.2</t>
        </is>
      </c>
      <c r="AO863" t="inlineStr">
        <is>
          <t>627</t>
        </is>
      </c>
      <c r="AP863" t="inlineStr">
        <is>
          <t>1.1</t>
        </is>
      </c>
      <c r="AQ863" t="inlineStr">
        <is>
          <t>701+</t>
        </is>
      </c>
      <c r="AR863" t="inlineStr">
        <is>
          <t>8.5</t>
        </is>
      </c>
      <c r="AS863" t="inlineStr">
        <is>
          <t>701+</t>
        </is>
      </c>
      <c r="AT863" t="inlineStr">
        <is>
          <t>4.1</t>
        </is>
      </c>
      <c r="AU863" t="inlineStr">
        <is>
          <t>701+</t>
        </is>
      </c>
      <c r="AV863" t="inlineStr">
        <is>
          <t>1.0</t>
        </is>
      </c>
      <c r="AW863" t="inlineStr">
        <is>
          <t>701+</t>
        </is>
      </c>
      <c r="AX863" t="inlineStr">
        <is>
          <t>12.4</t>
        </is>
      </c>
      <c r="AY863" t="inlineStr">
        <is>
          <t>701+</t>
        </is>
      </c>
      <c r="AZ863" t="inlineStr">
        <is>
          <t>1</t>
        </is>
      </c>
      <c r="BA863" t="inlineStr">
        <is>
          <t>701+</t>
        </is>
      </c>
    </row>
    <row r="864">
      <c r="A864" t="inlineStr">
        <is>
          <t>Samara National Research University (Samara University)</t>
        </is>
      </c>
      <c r="B864" t="inlineStr">
        <is>
          <t>Russia</t>
        </is>
      </c>
      <c r="C864" t="inlineStr">
        <is>
          <t>RU</t>
        </is>
      </c>
      <c r="D864" t="inlineStr">
        <is>
          <t>Europe</t>
        </is>
      </c>
      <c r="E864" t="inlineStr">
        <is>
          <t>M</t>
        </is>
      </c>
      <c r="F864" t="inlineStr">
        <is>
          <t>CO</t>
        </is>
      </c>
      <c r="G864" t="inlineStr">
        <is>
          <t>VH</t>
        </is>
      </c>
      <c r="H864" t="inlineStr">
        <is>
          <t>4</t>
        </is>
      </c>
      <c r="I864" t="inlineStr">
        <is>
          <t>Public</t>
        </is>
      </c>
      <c r="J864" t="inlineStr">
        <is>
          <t>1201-1400</t>
        </is>
      </c>
      <c r="K864" t="inlineStr">
        <is>
          <t>1001-1200</t>
        </is>
      </c>
      <c r="L864" t="inlineStr">
        <is>
          <t>901-950</t>
        </is>
      </c>
      <c r="M864" t="inlineStr">
        <is>
          <t>601-650</t>
        </is>
      </c>
      <c r="N864" t="inlineStr">
        <is>
          <t>-</t>
        </is>
      </c>
      <c r="O864" t="inlineStr">
        <is>
          <t>-</t>
        </is>
      </c>
      <c r="P864" t="n">
        <v>4</v>
      </c>
      <c r="Q864" t="inlineStr">
        <is>
          <t>701+</t>
        </is>
      </c>
      <c r="R864" t="n">
        <v>3.7</v>
      </c>
      <c r="S864" t="inlineStr">
        <is>
          <t>701+</t>
        </is>
      </c>
      <c r="T864" t="n">
        <v>74.59999999999999</v>
      </c>
      <c r="U864" t="inlineStr">
        <is>
          <t>199</t>
        </is>
      </c>
      <c r="V864" t="n">
        <v>3.2</v>
      </c>
      <c r="W864" t="inlineStr">
        <is>
          <t>801+</t>
        </is>
      </c>
      <c r="X864" t="n">
        <v>2.9</v>
      </c>
      <c r="Y864" t="inlineStr">
        <is>
          <t>801+</t>
        </is>
      </c>
      <c r="Z864" t="n">
        <v>22.3</v>
      </c>
      <c r="AA864" t="inlineStr">
        <is>
          <t>696</t>
        </is>
      </c>
      <c r="AB864" t="n">
        <v>27.1</v>
      </c>
      <c r="AC864" t="inlineStr">
        <is>
          <t>652</t>
        </is>
      </c>
      <c r="AD864" t="n">
        <v>19.5</v>
      </c>
      <c r="AE864" t="inlineStr">
        <is>
          <t>801+</t>
        </is>
      </c>
      <c r="AF864" t="n">
        <v>13.2</v>
      </c>
      <c r="AG864" t="inlineStr">
        <is>
          <t>801+</t>
        </is>
      </c>
      <c r="AH864" t="n">
        <v>30.6</v>
      </c>
      <c r="AI864" t="inlineStr">
        <is>
          <t>801+</t>
        </is>
      </c>
      <c r="AJ864" t="inlineStr">
        <is>
          <t>4.6</t>
        </is>
      </c>
      <c r="AK864" t="inlineStr">
        <is>
          <t>601+</t>
        </is>
      </c>
      <c r="AL864" t="inlineStr">
        <is>
          <t>2.2</t>
        </is>
      </c>
      <c r="AM864" t="inlineStr">
        <is>
          <t>601+</t>
        </is>
      </c>
      <c r="AN864" t="inlineStr">
        <is>
          <t>81.8</t>
        </is>
      </c>
      <c r="AO864" t="inlineStr">
        <is>
          <t>130</t>
        </is>
      </c>
      <c r="AP864" t="inlineStr">
        <is>
          <t>2.3</t>
        </is>
      </c>
      <c r="AQ864" t="inlineStr">
        <is>
          <t>701+</t>
        </is>
      </c>
      <c r="AR864" t="inlineStr">
        <is>
          <t>2.8</t>
        </is>
      </c>
      <c r="AS864" t="inlineStr">
        <is>
          <t>701+</t>
        </is>
      </c>
      <c r="AT864" t="inlineStr">
        <is>
          <t>14.3</t>
        </is>
      </c>
      <c r="AU864" t="inlineStr">
        <is>
          <t>637</t>
        </is>
      </c>
      <c r="AV864" t="inlineStr">
        <is>
          <t>1.1</t>
        </is>
      </c>
      <c r="AW864" t="inlineStr">
        <is>
          <t>701+</t>
        </is>
      </c>
      <c r="AX864" t="inlineStr">
        <is>
          <t>10.6</t>
        </is>
      </c>
      <c r="AY864" t="inlineStr">
        <is>
          <t>701+</t>
        </is>
      </c>
      <c r="AZ864" t="inlineStr">
        <is>
          <t>3.3</t>
        </is>
      </c>
      <c r="BA864" t="inlineStr">
        <is>
          <t>701+</t>
        </is>
      </c>
    </row>
    <row r="865">
      <c r="A865" t="inlineStr">
        <is>
          <t>Samarkand State University</t>
        </is>
      </c>
      <c r="B865" t="inlineStr">
        <is>
          <t>Uzbekistan</t>
        </is>
      </c>
      <c r="C865" t="inlineStr"/>
      <c r="D865" t="inlineStr">
        <is>
          <t>Asia</t>
        </is>
      </c>
      <c r="E865" t="inlineStr">
        <is>
          <t>L</t>
        </is>
      </c>
      <c r="F865" t="inlineStr">
        <is>
          <t>CO</t>
        </is>
      </c>
      <c r="G865" t="inlineStr">
        <is>
          <t>MD</t>
        </is>
      </c>
      <c r="H865" t="inlineStr"/>
      <c r="I865" t="inlineStr">
        <is>
          <t>Public</t>
        </is>
      </c>
      <c r="J865" t="inlineStr">
        <is>
          <t>1001-1200</t>
        </is>
      </c>
      <c r="K865" t="inlineStr"/>
      <c r="L865" t="inlineStr"/>
      <c r="M865" t="inlineStr"/>
      <c r="N865" t="inlineStr">
        <is>
          <t>-</t>
        </is>
      </c>
      <c r="O865" t="inlineStr"/>
      <c r="P865" t="n">
        <v>23.7</v>
      </c>
      <c r="Q865" t="inlineStr">
        <is>
          <t>534</t>
        </is>
      </c>
      <c r="R865" t="n">
        <v>18</v>
      </c>
      <c r="S865" t="inlineStr">
        <is>
          <t>701+</t>
        </is>
      </c>
      <c r="T865" t="n">
        <v>41</v>
      </c>
      <c r="U865" t="inlineStr">
        <is>
          <t>494</t>
        </is>
      </c>
      <c r="V865" t="n">
        <v>1.3</v>
      </c>
      <c r="W865" t="inlineStr">
        <is>
          <t>801+</t>
        </is>
      </c>
      <c r="X865" t="n">
        <v>25.1</v>
      </c>
      <c r="Y865" t="inlineStr">
        <is>
          <t>651</t>
        </is>
      </c>
      <c r="Z865" t="n">
        <v>6.5</v>
      </c>
      <c r="AA865" t="inlineStr">
        <is>
          <t>801+</t>
        </is>
      </c>
      <c r="AB865" t="n">
        <v>10.4</v>
      </c>
      <c r="AC865" t="inlineStr">
        <is>
          <t>801+</t>
        </is>
      </c>
      <c r="AD865" t="n">
        <v>7.3</v>
      </c>
      <c r="AE865" t="inlineStr">
        <is>
          <t>801+</t>
        </is>
      </c>
      <c r="AF865" t="n">
        <v>9.5</v>
      </c>
      <c r="AG865" t="inlineStr">
        <is>
          <t>801+</t>
        </is>
      </c>
      <c r="AH865" t="n">
        <v>11.6</v>
      </c>
      <c r="AI865" t="inlineStr">
        <is>
          <t>801+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</row>
    <row r="866">
      <c r="A866" t="inlineStr">
        <is>
          <t>San Diego State University</t>
        </is>
      </c>
      <c r="B866" t="inlineStr">
        <is>
          <t>United States</t>
        </is>
      </c>
      <c r="C866" t="inlineStr">
        <is>
          <t>US</t>
        </is>
      </c>
      <c r="D866" t="inlineStr">
        <is>
          <t>Americas</t>
        </is>
      </c>
      <c r="E866" t="inlineStr">
        <is>
          <t>XL</t>
        </is>
      </c>
      <c r="F866" t="inlineStr">
        <is>
          <t>CO</t>
        </is>
      </c>
      <c r="G866" t="inlineStr">
        <is>
          <t>VH</t>
        </is>
      </c>
      <c r="H866" t="inlineStr">
        <is>
          <t>5</t>
        </is>
      </c>
      <c r="I866" t="inlineStr">
        <is>
          <t>Public</t>
        </is>
      </c>
      <c r="J866" t="inlineStr">
        <is>
          <t>1001-1200</t>
        </is>
      </c>
      <c r="K866" t="inlineStr">
        <is>
          <t>1001-1200</t>
        </is>
      </c>
      <c r="L866" t="inlineStr">
        <is>
          <t>1001-1200</t>
        </is>
      </c>
      <c r="M866" t="inlineStr">
        <is>
          <t>1001-1200</t>
        </is>
      </c>
      <c r="N866" t="inlineStr">
        <is>
          <t>-</t>
        </is>
      </c>
      <c r="O866" t="inlineStr">
        <is>
          <t>-</t>
        </is>
      </c>
      <c r="P866" t="n">
        <v>7.9</v>
      </c>
      <c r="Q866" t="inlineStr">
        <is>
          <t>701+</t>
        </is>
      </c>
      <c r="R866" t="n">
        <v>8.699999999999999</v>
      </c>
      <c r="S866" t="inlineStr">
        <is>
          <t>701+</t>
        </is>
      </c>
      <c r="T866" t="n">
        <v>4.5</v>
      </c>
      <c r="U866" t="inlineStr">
        <is>
          <t>801+</t>
        </is>
      </c>
      <c r="V866" t="n">
        <v>22.8</v>
      </c>
      <c r="W866" t="inlineStr">
        <is>
          <t>670</t>
        </is>
      </c>
      <c r="X866" t="n">
        <v>7.9</v>
      </c>
      <c r="Y866" t="inlineStr">
        <is>
          <t>801+</t>
        </is>
      </c>
      <c r="Z866" t="n">
        <v>4.6</v>
      </c>
      <c r="AA866" t="inlineStr">
        <is>
          <t>801+</t>
        </is>
      </c>
      <c r="AB866" t="n">
        <v>3.7</v>
      </c>
      <c r="AC866" t="inlineStr">
        <is>
          <t>801+</t>
        </is>
      </c>
      <c r="AD866" t="n">
        <v>70.59999999999999</v>
      </c>
      <c r="AE866" t="inlineStr">
        <is>
          <t>515</t>
        </is>
      </c>
      <c r="AF866" t="n">
        <v>32.1</v>
      </c>
      <c r="AG866" t="inlineStr">
        <is>
          <t>526</t>
        </is>
      </c>
      <c r="AH866" t="n">
        <v>46.5</v>
      </c>
      <c r="AI866" t="inlineStr">
        <is>
          <t>801+</t>
        </is>
      </c>
      <c r="AJ866" t="inlineStr">
        <is>
          <t>5.2</t>
        </is>
      </c>
      <c r="AK866" t="inlineStr">
        <is>
          <t>601+</t>
        </is>
      </c>
      <c r="AL866" t="inlineStr">
        <is>
          <t>3.0</t>
        </is>
      </c>
      <c r="AM866" t="inlineStr">
        <is>
          <t>601+</t>
        </is>
      </c>
      <c r="AN866" t="inlineStr">
        <is>
          <t>3.2</t>
        </is>
      </c>
      <c r="AO866" t="inlineStr">
        <is>
          <t>701+</t>
        </is>
      </c>
      <c r="AP866" t="inlineStr">
        <is>
          <t>17.1</t>
        </is>
      </c>
      <c r="AQ866" t="inlineStr">
        <is>
          <t>598</t>
        </is>
      </c>
      <c r="AR866" t="inlineStr">
        <is>
          <t>6.5</t>
        </is>
      </c>
      <c r="AS866" t="inlineStr">
        <is>
          <t>701+</t>
        </is>
      </c>
      <c r="AT866" t="inlineStr">
        <is>
          <t>4.4</t>
        </is>
      </c>
      <c r="AU866" t="inlineStr">
        <is>
          <t>701+</t>
        </is>
      </c>
      <c r="AV866" t="inlineStr">
        <is>
          <t>27.1</t>
        </is>
      </c>
      <c r="AW866" t="inlineStr">
        <is>
          <t>479</t>
        </is>
      </c>
      <c r="AX866" t="inlineStr">
        <is>
          <t>17.8</t>
        </is>
      </c>
      <c r="AY866" t="inlineStr">
        <is>
          <t>467</t>
        </is>
      </c>
      <c r="AZ866" t="inlineStr">
        <is>
          <t>23.7</t>
        </is>
      </c>
      <c r="BA866" t="inlineStr">
        <is>
          <t>506=</t>
        </is>
      </c>
    </row>
    <row r="867">
      <c r="A867" t="inlineStr">
        <is>
          <t>San Francisco State University</t>
        </is>
      </c>
      <c r="B867" t="inlineStr">
        <is>
          <t>United States</t>
        </is>
      </c>
      <c r="C867" t="inlineStr">
        <is>
          <t>US</t>
        </is>
      </c>
      <c r="D867" t="inlineStr">
        <is>
          <t>Americas</t>
        </is>
      </c>
      <c r="E867" t="inlineStr">
        <is>
          <t>L</t>
        </is>
      </c>
      <c r="F867" t="inlineStr">
        <is>
          <t>CO</t>
        </is>
      </c>
      <c r="G867" t="inlineStr">
        <is>
          <t>HI</t>
        </is>
      </c>
      <c r="H867" t="inlineStr">
        <is>
          <t>5</t>
        </is>
      </c>
      <c r="I867" t="inlineStr"/>
      <c r="J867" t="inlineStr">
        <is>
          <t>1401+</t>
        </is>
      </c>
      <c r="K867" t="inlineStr">
        <is>
          <t>1201-1400</t>
        </is>
      </c>
      <c r="L867" t="inlineStr">
        <is>
          <t>1201-1400</t>
        </is>
      </c>
      <c r="M867" t="inlineStr">
        <is>
          <t>1201-1400</t>
        </is>
      </c>
      <c r="N867" t="inlineStr">
        <is>
          <t>-</t>
        </is>
      </c>
      <c r="O867" t="inlineStr">
        <is>
          <t>-</t>
        </is>
      </c>
      <c r="P867" t="n">
        <v>5.2</v>
      </c>
      <c r="Q867" t="inlineStr">
        <is>
          <t>701+</t>
        </is>
      </c>
      <c r="R867" t="n">
        <v>7.1</v>
      </c>
      <c r="S867" t="inlineStr">
        <is>
          <t>701+</t>
        </is>
      </c>
      <c r="T867" t="n">
        <v>8.300000000000001</v>
      </c>
      <c r="U867" t="inlineStr">
        <is>
          <t>801+</t>
        </is>
      </c>
      <c r="V867" t="n">
        <v>6.7</v>
      </c>
      <c r="W867" t="inlineStr">
        <is>
          <t>801+</t>
        </is>
      </c>
      <c r="X867" t="n">
        <v>4.9</v>
      </c>
      <c r="Y867" t="inlineStr">
        <is>
          <t>801+</t>
        </is>
      </c>
      <c r="Z867" t="n">
        <v>7.7</v>
      </c>
      <c r="AA867" t="inlineStr">
        <is>
          <t>801+</t>
        </is>
      </c>
      <c r="AB867" t="n">
        <v>6</v>
      </c>
      <c r="AC867" t="inlineStr">
        <is>
          <t>801+</t>
        </is>
      </c>
      <c r="AD867" t="n">
        <v>32.4</v>
      </c>
      <c r="AE867" t="inlineStr">
        <is>
          <t>801+</t>
        </is>
      </c>
      <c r="AF867" t="n">
        <v>16.4</v>
      </c>
      <c r="AG867" t="inlineStr">
        <is>
          <t>800</t>
        </is>
      </c>
      <c r="AH867" t="n">
        <v>36.1</v>
      </c>
      <c r="AI867" t="inlineStr">
        <is>
          <t>801+</t>
        </is>
      </c>
      <c r="AJ867" t="inlineStr">
        <is>
          <t>4.9</t>
        </is>
      </c>
      <c r="AK867" t="inlineStr">
        <is>
          <t>601+</t>
        </is>
      </c>
      <c r="AL867" t="inlineStr">
        <is>
          <t>2.4</t>
        </is>
      </c>
      <c r="AM867" t="inlineStr">
        <is>
          <t>601+</t>
        </is>
      </c>
      <c r="AN867" t="inlineStr">
        <is>
          <t>5.2</t>
        </is>
      </c>
      <c r="AO867" t="inlineStr">
        <is>
          <t>701+</t>
        </is>
      </c>
      <c r="AP867" t="inlineStr">
        <is>
          <t>4.8</t>
        </is>
      </c>
      <c r="AQ867" t="inlineStr">
        <is>
          <t>701+</t>
        </is>
      </c>
      <c r="AR867" t="inlineStr">
        <is>
          <t>4.5</t>
        </is>
      </c>
      <c r="AS867" t="inlineStr">
        <is>
          <t>701+</t>
        </is>
      </c>
      <c r="AT867" t="inlineStr">
        <is>
          <t>6.8</t>
        </is>
      </c>
      <c r="AU867" t="inlineStr">
        <is>
          <t>701+</t>
        </is>
      </c>
      <c r="AV867" t="inlineStr">
        <is>
          <t>1.5</t>
        </is>
      </c>
      <c r="AW867" t="inlineStr">
        <is>
          <t>701+</t>
        </is>
      </c>
      <c r="AX867" t="inlineStr">
        <is>
          <t>10.9</t>
        </is>
      </c>
      <c r="AY867" t="inlineStr">
        <is>
          <t>701+</t>
        </is>
      </c>
      <c r="AZ867" t="inlineStr"/>
      <c r="BA867" t="inlineStr"/>
    </row>
    <row r="868">
      <c r="A868" t="inlineStr">
        <is>
          <t>Sapienza University of Rome</t>
        </is>
      </c>
      <c r="B868" t="inlineStr">
        <is>
          <t>Italy</t>
        </is>
      </c>
      <c r="C868" t="inlineStr">
        <is>
          <t>IT</t>
        </is>
      </c>
      <c r="D868" t="inlineStr">
        <is>
          <t>Europe</t>
        </is>
      </c>
      <c r="E868" t="inlineStr">
        <is>
          <t>XL</t>
        </is>
      </c>
      <c r="F868" t="inlineStr">
        <is>
          <t>FC</t>
        </is>
      </c>
      <c r="G868" t="inlineStr">
        <is>
          <t>VH</t>
        </is>
      </c>
      <c r="H868" t="inlineStr">
        <is>
          <t>5</t>
        </is>
      </c>
      <c r="I868" t="inlineStr">
        <is>
          <t>Public</t>
        </is>
      </c>
      <c r="J868" t="inlineStr">
        <is>
          <t>128</t>
        </is>
      </c>
      <c r="K868" t="inlineStr">
        <is>
          <t>132</t>
        </is>
      </c>
      <c r="L868">
        <f>134</f>
        <v/>
      </c>
      <c r="M868" t="inlineStr">
        <is>
          <t>171</t>
        </is>
      </c>
      <c r="N868" t="inlineStr">
        <is>
          <t>64.9</t>
        </is>
      </c>
      <c r="O868" t="inlineStr">
        <is>
          <t>52.9</t>
        </is>
      </c>
      <c r="P868" t="n">
        <v>90.7</v>
      </c>
      <c r="Q868" t="inlineStr">
        <is>
          <t>65</t>
        </is>
      </c>
      <c r="R868" t="n">
        <v>66.40000000000001</v>
      </c>
      <c r="S868" t="inlineStr">
        <is>
          <t>161</t>
        </is>
      </c>
      <c r="T868" t="n">
        <v>7.8</v>
      </c>
      <c r="U868" t="inlineStr">
        <is>
          <t>801+</t>
        </is>
      </c>
      <c r="V868" t="n">
        <v>62.9</v>
      </c>
      <c r="W868" t="inlineStr">
        <is>
          <t>261</t>
        </is>
      </c>
      <c r="X868" t="n">
        <v>4</v>
      </c>
      <c r="Y868" t="inlineStr">
        <is>
          <t>801+</t>
        </is>
      </c>
      <c r="Z868" t="n">
        <v>14.8</v>
      </c>
      <c r="AA868" t="inlineStr">
        <is>
          <t>801+</t>
        </is>
      </c>
      <c r="AB868" t="n">
        <v>20.9</v>
      </c>
      <c r="AC868" t="inlineStr">
        <is>
          <t>749</t>
        </is>
      </c>
      <c r="AD868" t="n">
        <v>95.90000000000001</v>
      </c>
      <c r="AE868" t="inlineStr">
        <is>
          <t>61</t>
        </is>
      </c>
      <c r="AF868" t="n">
        <v>91.5</v>
      </c>
      <c r="AG868" t="inlineStr">
        <is>
          <t>92</t>
        </is>
      </c>
      <c r="AH868" t="n">
        <v>81.90000000000001</v>
      </c>
      <c r="AI868" t="inlineStr">
        <is>
          <t>151=</t>
        </is>
      </c>
      <c r="AJ868" t="inlineStr">
        <is>
          <t>79.2</t>
        </is>
      </c>
      <c r="AK868" t="inlineStr">
        <is>
          <t>74</t>
        </is>
      </c>
      <c r="AL868" t="inlineStr">
        <is>
          <t>41.0</t>
        </is>
      </c>
      <c r="AM868" t="inlineStr">
        <is>
          <t>229</t>
        </is>
      </c>
      <c r="AN868" t="inlineStr">
        <is>
          <t>4.6</t>
        </is>
      </c>
      <c r="AO868" t="inlineStr">
        <is>
          <t>701+</t>
        </is>
      </c>
      <c r="AP868" t="inlineStr">
        <is>
          <t>44.9</t>
        </is>
      </c>
      <c r="AQ868" t="inlineStr">
        <is>
          <t>301</t>
        </is>
      </c>
      <c r="AR868" t="inlineStr">
        <is>
          <t>3.0</t>
        </is>
      </c>
      <c r="AS868" t="inlineStr">
        <is>
          <t>701+</t>
        </is>
      </c>
      <c r="AT868" t="inlineStr">
        <is>
          <t>10.8</t>
        </is>
      </c>
      <c r="AU868" t="inlineStr">
        <is>
          <t>697</t>
        </is>
      </c>
      <c r="AV868" t="inlineStr">
        <is>
          <t>96.9</t>
        </is>
      </c>
      <c r="AW868" t="inlineStr">
        <is>
          <t>33</t>
        </is>
      </c>
      <c r="AX868" t="inlineStr">
        <is>
          <t>59.8</t>
        </is>
      </c>
      <c r="AY868" t="inlineStr">
        <is>
          <t>101</t>
        </is>
      </c>
      <c r="AZ868" t="inlineStr">
        <is>
          <t>92</t>
        </is>
      </c>
      <c r="BA868" t="inlineStr">
        <is>
          <t>79</t>
        </is>
      </c>
    </row>
    <row r="869">
      <c r="A869" t="inlineStr">
        <is>
          <t>Satbayev University</t>
        </is>
      </c>
      <c r="B869" t="inlineStr">
        <is>
          <t>Kazakhstan</t>
        </is>
      </c>
      <c r="C869" t="inlineStr">
        <is>
          <t>KZ</t>
        </is>
      </c>
      <c r="D869" t="inlineStr"/>
      <c r="E869" t="inlineStr">
        <is>
          <t>M</t>
        </is>
      </c>
      <c r="F869" t="inlineStr">
        <is>
          <t>FO</t>
        </is>
      </c>
      <c r="G869" t="inlineStr">
        <is>
          <t>VH</t>
        </is>
      </c>
      <c r="H869" t="inlineStr">
        <is>
          <t>4</t>
        </is>
      </c>
      <c r="I869" t="inlineStr">
        <is>
          <t>A</t>
        </is>
      </c>
      <c r="J869" t="inlineStr"/>
      <c r="K869" t="inlineStr"/>
      <c r="L869">
        <f>481</f>
        <v/>
      </c>
      <c r="M869" t="inlineStr">
        <is>
          <t>405</t>
        </is>
      </c>
      <c r="N869" t="inlineStr"/>
      <c r="O869" t="inlineStr">
        <is>
          <t>23.9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23.3</t>
        </is>
      </c>
      <c r="AK869" t="inlineStr">
        <is>
          <t>370</t>
        </is>
      </c>
      <c r="AL869" t="inlineStr">
        <is>
          <t>36.0</t>
        </is>
      </c>
      <c r="AM869" t="inlineStr">
        <is>
          <t>272</t>
        </is>
      </c>
      <c r="AN869" t="inlineStr">
        <is>
          <t>84.3</t>
        </is>
      </c>
      <c r="AO869" t="inlineStr">
        <is>
          <t>111</t>
        </is>
      </c>
      <c r="AP869" t="inlineStr">
        <is>
          <t>1.2</t>
        </is>
      </c>
      <c r="AQ869" t="inlineStr">
        <is>
          <t>701+</t>
        </is>
      </c>
      <c r="AR869" t="inlineStr">
        <is>
          <t>40.5</t>
        </is>
      </c>
      <c r="AS869" t="inlineStr">
        <is>
          <t>407</t>
        </is>
      </c>
      <c r="AT869" t="inlineStr">
        <is>
          <t>4.2</t>
        </is>
      </c>
      <c r="AU869" t="inlineStr">
        <is>
          <t>701+</t>
        </is>
      </c>
      <c r="AV869" t="inlineStr">
        <is>
          <t>1.0</t>
        </is>
      </c>
      <c r="AW869" t="inlineStr">
        <is>
          <t>701+</t>
        </is>
      </c>
      <c r="AX869" t="inlineStr">
        <is>
          <t>10.5</t>
        </is>
      </c>
      <c r="AY869" t="inlineStr">
        <is>
          <t>701+</t>
        </is>
      </c>
      <c r="AZ869" t="inlineStr">
        <is>
          <t>1.3</t>
        </is>
      </c>
      <c r="BA869" t="inlineStr">
        <is>
          <t>701+</t>
        </is>
      </c>
    </row>
    <row r="870">
      <c r="A870" t="inlineStr">
        <is>
          <t>Satbayev University (previously Kazakh Technical University named after K.I. Satpaev)</t>
        </is>
      </c>
      <c r="B870" t="inlineStr">
        <is>
          <t>Kazakhstan</t>
        </is>
      </c>
      <c r="C870" t="inlineStr"/>
      <c r="D870" t="inlineStr">
        <is>
          <t>Asia</t>
        </is>
      </c>
      <c r="E870" t="inlineStr">
        <is>
          <t>M</t>
        </is>
      </c>
      <c r="F870" t="inlineStr">
        <is>
          <t>FO</t>
        </is>
      </c>
      <c r="G870" t="inlineStr">
        <is>
          <t>VH</t>
        </is>
      </c>
      <c r="H870" t="inlineStr"/>
      <c r="I870" t="inlineStr">
        <is>
          <t>Public</t>
        </is>
      </c>
      <c r="J870" t="inlineStr">
        <is>
          <t>331</t>
        </is>
      </c>
      <c r="K870" t="inlineStr">
        <is>
          <t>405</t>
        </is>
      </c>
      <c r="L870" t="inlineStr"/>
      <c r="M870" t="inlineStr"/>
      <c r="N870" t="inlineStr">
        <is>
          <t>42.5</t>
        </is>
      </c>
      <c r="O870" t="inlineStr"/>
      <c r="P870" t="n">
        <v>40.6</v>
      </c>
      <c r="Q870" t="inlineStr">
        <is>
          <t>295</t>
        </is>
      </c>
      <c r="R870" t="n">
        <v>58.8</v>
      </c>
      <c r="S870" t="inlineStr">
        <is>
          <t>196</t>
        </is>
      </c>
      <c r="T870" t="n">
        <v>94.2</v>
      </c>
      <c r="U870" t="inlineStr">
        <is>
          <t>81</t>
        </is>
      </c>
      <c r="V870" t="n">
        <v>1.7</v>
      </c>
      <c r="W870" t="inlineStr">
        <is>
          <t>801+</t>
        </is>
      </c>
      <c r="X870" t="n">
        <v>89.2</v>
      </c>
      <c r="Y870" t="inlineStr">
        <is>
          <t>229</t>
        </is>
      </c>
      <c r="Z870" t="n">
        <v>53.7</v>
      </c>
      <c r="AA870" t="inlineStr">
        <is>
          <t>383</t>
        </is>
      </c>
      <c r="AB870" t="n">
        <v>48.5</v>
      </c>
      <c r="AC870" t="inlineStr">
        <is>
          <t>427</t>
        </is>
      </c>
      <c r="AD870" t="n">
        <v>25.7</v>
      </c>
      <c r="AE870" t="inlineStr">
        <is>
          <t>801+</t>
        </is>
      </c>
      <c r="AF870" t="n">
        <v>33</v>
      </c>
      <c r="AG870" t="inlineStr">
        <is>
          <t>515</t>
        </is>
      </c>
      <c r="AH870" t="n">
        <v>48.7</v>
      </c>
      <c r="AI870" t="inlineStr">
        <is>
          <t>737=</t>
        </is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</row>
    <row r="871">
      <c r="A871" t="inlineStr">
        <is>
          <t>Sathyabama Institute of Science and Technology</t>
        </is>
      </c>
      <c r="B871" t="inlineStr">
        <is>
          <t>India</t>
        </is>
      </c>
      <c r="C871" t="inlineStr"/>
      <c r="D871" t="inlineStr">
        <is>
          <t>Asia</t>
        </is>
      </c>
      <c r="E871" t="inlineStr">
        <is>
          <t>L</t>
        </is>
      </c>
      <c r="F871" t="inlineStr">
        <is>
          <t>CO</t>
        </is>
      </c>
      <c r="G871" t="inlineStr">
        <is>
          <t>VH</t>
        </is>
      </c>
      <c r="H871" t="inlineStr"/>
      <c r="I871" t="inlineStr">
        <is>
          <t>Private not for Profit</t>
        </is>
      </c>
      <c r="J871" t="inlineStr">
        <is>
          <t>1201-1400</t>
        </is>
      </c>
      <c r="K871" t="inlineStr">
        <is>
          <t>1201-1400</t>
        </is>
      </c>
      <c r="L871" t="inlineStr"/>
      <c r="M871" t="inlineStr"/>
      <c r="N871" t="inlineStr">
        <is>
          <t>-</t>
        </is>
      </c>
      <c r="O871" t="inlineStr"/>
      <c r="P871" t="n">
        <v>11</v>
      </c>
      <c r="Q871" t="inlineStr">
        <is>
          <t>701+</t>
        </is>
      </c>
      <c r="R871" t="n">
        <v>10.4</v>
      </c>
      <c r="S871" t="inlineStr">
        <is>
          <t>701+</t>
        </is>
      </c>
      <c r="T871" t="n">
        <v>27</v>
      </c>
      <c r="U871" t="inlineStr">
        <is>
          <t>698</t>
        </is>
      </c>
      <c r="V871" t="n">
        <v>9.4</v>
      </c>
      <c r="W871" t="inlineStr">
        <is>
          <t>801+</t>
        </is>
      </c>
      <c r="X871" t="n">
        <v>7.5</v>
      </c>
      <c r="Y871" t="inlineStr">
        <is>
          <t>801+</t>
        </is>
      </c>
      <c r="Z871" t="n">
        <v>6.1</v>
      </c>
      <c r="AA871" t="inlineStr">
        <is>
          <t>801+</t>
        </is>
      </c>
      <c r="AB871" t="n">
        <v>10.6</v>
      </c>
      <c r="AC871" t="inlineStr">
        <is>
          <t>801+</t>
        </is>
      </c>
      <c r="AD871" t="n">
        <v>29.5</v>
      </c>
      <c r="AE871" t="inlineStr">
        <is>
          <t>801+</t>
        </is>
      </c>
      <c r="AF871" t="n">
        <v>1.7</v>
      </c>
      <c r="AG871" t="inlineStr">
        <is>
          <t>801+</t>
        </is>
      </c>
      <c r="AH871" t="n">
        <v>51</v>
      </c>
      <c r="AI871" t="inlineStr">
        <is>
          <t>680=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</row>
    <row r="872">
      <c r="A872" t="inlineStr">
        <is>
          <t>Sathyabama Institute of Science and Technology (deemed to be university)</t>
        </is>
      </c>
      <c r="B872" t="inlineStr">
        <is>
          <t>India</t>
        </is>
      </c>
      <c r="C872" t="inlineStr">
        <is>
          <t>IN</t>
        </is>
      </c>
      <c r="D872" t="inlineStr"/>
      <c r="E872" t="inlineStr">
        <is>
          <t>L</t>
        </is>
      </c>
      <c r="F872" t="inlineStr">
        <is>
          <t>CO</t>
        </is>
      </c>
      <c r="G872" t="inlineStr">
        <is>
          <t>VH</t>
        </is>
      </c>
      <c r="H872" t="inlineStr">
        <is>
          <t>3</t>
        </is>
      </c>
      <c r="I872" t="inlineStr">
        <is>
          <t>B</t>
        </is>
      </c>
      <c r="J872" t="inlineStr"/>
      <c r="K872" t="inlineStr"/>
      <c r="L872" t="inlineStr">
        <is>
          <t>1001-1200</t>
        </is>
      </c>
      <c r="M872" t="inlineStr">
        <is>
          <t>1001-1200</t>
        </is>
      </c>
      <c r="N872" t="inlineStr"/>
      <c r="O872" t="inlineStr">
        <is>
          <t>-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5.0</t>
        </is>
      </c>
      <c r="AK872" t="inlineStr">
        <is>
          <t>601+</t>
        </is>
      </c>
      <c r="AL872" t="inlineStr">
        <is>
          <t>6.3</t>
        </is>
      </c>
      <c r="AM872" t="inlineStr">
        <is>
          <t>601+</t>
        </is>
      </c>
      <c r="AN872" t="inlineStr">
        <is>
          <t>29.1</t>
        </is>
      </c>
      <c r="AO872" t="inlineStr">
        <is>
          <t>530</t>
        </is>
      </c>
      <c r="AP872" t="inlineStr">
        <is>
          <t>3.9</t>
        </is>
      </c>
      <c r="AQ872" t="inlineStr">
        <is>
          <t>701+</t>
        </is>
      </c>
      <c r="AR872" t="inlineStr">
        <is>
          <t>5.9</t>
        </is>
      </c>
      <c r="AS872" t="inlineStr">
        <is>
          <t>701+</t>
        </is>
      </c>
      <c r="AT872" t="inlineStr">
        <is>
          <t>4.1</t>
        </is>
      </c>
      <c r="AU872" t="inlineStr">
        <is>
          <t>701+</t>
        </is>
      </c>
      <c r="AV872" t="inlineStr">
        <is>
          <t>1.1</t>
        </is>
      </c>
      <c r="AW872" t="inlineStr">
        <is>
          <t>701+</t>
        </is>
      </c>
      <c r="AX872" t="inlineStr">
        <is>
          <t>8.7</t>
        </is>
      </c>
      <c r="AY872" t="inlineStr">
        <is>
          <t>701+</t>
        </is>
      </c>
      <c r="AZ872" t="inlineStr">
        <is>
          <t>7.5</t>
        </is>
      </c>
      <c r="BA872" t="inlineStr">
        <is>
          <t>701+</t>
        </is>
      </c>
    </row>
    <row r="873">
      <c r="A873" t="inlineStr">
        <is>
          <t>Saveetha Institute of Medical And Technical Sciences (SIMATS)</t>
        </is>
      </c>
      <c r="B873" t="inlineStr">
        <is>
          <t>India</t>
        </is>
      </c>
      <c r="C873" t="inlineStr"/>
      <c r="D873" t="inlineStr">
        <is>
          <t>Asia</t>
        </is>
      </c>
      <c r="E873" t="inlineStr">
        <is>
          <t>L</t>
        </is>
      </c>
      <c r="F873" t="inlineStr">
        <is>
          <t>FO</t>
        </is>
      </c>
      <c r="G873" t="inlineStr">
        <is>
          <t>VH</t>
        </is>
      </c>
      <c r="H873" t="inlineStr"/>
      <c r="I873" t="inlineStr">
        <is>
          <t>Private not for Profit</t>
        </is>
      </c>
      <c r="J873" t="inlineStr">
        <is>
          <t>901-950</t>
        </is>
      </c>
      <c r="K873" t="inlineStr">
        <is>
          <t>951-1000</t>
        </is>
      </c>
      <c r="L873" t="inlineStr"/>
      <c r="M873" t="inlineStr"/>
      <c r="N873" t="inlineStr">
        <is>
          <t>-</t>
        </is>
      </c>
      <c r="O873" t="inlineStr"/>
      <c r="P873" t="n">
        <v>8.9</v>
      </c>
      <c r="Q873" t="inlineStr">
        <is>
          <t>701+</t>
        </is>
      </c>
      <c r="R873" t="n">
        <v>2.9</v>
      </c>
      <c r="S873" t="inlineStr">
        <is>
          <t>701+</t>
        </is>
      </c>
      <c r="T873" t="n">
        <v>26.2</v>
      </c>
      <c r="U873" t="inlineStr">
        <is>
          <t>713</t>
        </is>
      </c>
      <c r="V873" t="n">
        <v>20.3</v>
      </c>
      <c r="W873" t="inlineStr">
        <is>
          <t>708</t>
        </is>
      </c>
      <c r="X873" t="n">
        <v>84</v>
      </c>
      <c r="Y873" t="inlineStr">
        <is>
          <t>263</t>
        </is>
      </c>
      <c r="Z873" t="n">
        <v>10.7</v>
      </c>
      <c r="AA873" t="inlineStr">
        <is>
          <t>801+</t>
        </is>
      </c>
      <c r="AB873" t="n">
        <v>15.4</v>
      </c>
      <c r="AC873" t="inlineStr">
        <is>
          <t>801+</t>
        </is>
      </c>
      <c r="AD873" t="n">
        <v>83</v>
      </c>
      <c r="AE873" t="inlineStr">
        <is>
          <t>293</t>
        </is>
      </c>
      <c r="AF873" t="n">
        <v>1.7</v>
      </c>
      <c r="AG873" t="inlineStr">
        <is>
          <t>801+</t>
        </is>
      </c>
      <c r="AH873" t="n">
        <v>48.2</v>
      </c>
      <c r="AI873" t="inlineStr">
        <is>
          <t>751=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</row>
    <row r="874">
      <c r="A874" t="inlineStr">
        <is>
          <t>Savitribai Phule Pune University</t>
        </is>
      </c>
      <c r="B874" t="inlineStr">
        <is>
          <t>India</t>
        </is>
      </c>
      <c r="C874" t="inlineStr">
        <is>
          <t>IN</t>
        </is>
      </c>
      <c r="D874" t="inlineStr">
        <is>
          <t>Asia</t>
        </is>
      </c>
      <c r="E874" t="inlineStr">
        <is>
          <t>M</t>
        </is>
      </c>
      <c r="F874" t="inlineStr">
        <is>
          <t>CO</t>
        </is>
      </c>
      <c r="G874" t="inlineStr">
        <is>
          <t>VH</t>
        </is>
      </c>
      <c r="H874" t="inlineStr">
        <is>
          <t>4</t>
        </is>
      </c>
      <c r="I874" t="inlineStr">
        <is>
          <t>Public</t>
        </is>
      </c>
      <c r="J874" t="inlineStr">
        <is>
          <t>566</t>
        </is>
      </c>
      <c r="K874" t="inlineStr">
        <is>
          <t>631-640</t>
        </is>
      </c>
      <c r="L874" t="inlineStr">
        <is>
          <t>711-720</t>
        </is>
      </c>
      <c r="M874" t="inlineStr">
        <is>
          <t>541-550</t>
        </is>
      </c>
      <c r="N874" t="inlineStr">
        <is>
          <t>29.3</t>
        </is>
      </c>
      <c r="O874" t="inlineStr">
        <is>
          <t>-</t>
        </is>
      </c>
      <c r="P874" t="n">
        <v>11.1</v>
      </c>
      <c r="Q874" t="inlineStr">
        <is>
          <t>701+</t>
        </is>
      </c>
      <c r="R874" t="n">
        <v>20.3</v>
      </c>
      <c r="S874" t="inlineStr">
        <is>
          <t>647</t>
        </is>
      </c>
      <c r="T874" t="n">
        <v>47.1</v>
      </c>
      <c r="U874" t="inlineStr">
        <is>
          <t>420</t>
        </is>
      </c>
      <c r="V874" t="n">
        <v>63.8</v>
      </c>
      <c r="W874" t="inlineStr">
        <is>
          <t>257</t>
        </is>
      </c>
      <c r="X874" t="inlineStr"/>
      <c r="Y874" t="inlineStr"/>
      <c r="Z874" t="n">
        <v>3.3</v>
      </c>
      <c r="AA874" t="inlineStr">
        <is>
          <t>801+</t>
        </is>
      </c>
      <c r="AB874" t="n">
        <v>7.5</v>
      </c>
      <c r="AC874" t="inlineStr">
        <is>
          <t>801+</t>
        </is>
      </c>
      <c r="AD874" t="n">
        <v>54.7</v>
      </c>
      <c r="AE874" t="inlineStr">
        <is>
          <t>773</t>
        </is>
      </c>
      <c r="AF874" t="n">
        <v>30.4</v>
      </c>
      <c r="AG874" t="inlineStr">
        <is>
          <t>547</t>
        </is>
      </c>
      <c r="AH874" t="n">
        <v>43</v>
      </c>
      <c r="AI874" t="inlineStr">
        <is>
          <t>801+</t>
        </is>
      </c>
      <c r="AJ874" t="inlineStr">
        <is>
          <t>7.8</t>
        </is>
      </c>
      <c r="AK874" t="inlineStr">
        <is>
          <t>601+</t>
        </is>
      </c>
      <c r="AL874" t="inlineStr">
        <is>
          <t>11.3</t>
        </is>
      </c>
      <c r="AM874" t="inlineStr">
        <is>
          <t>601+</t>
        </is>
      </c>
      <c r="AN874" t="inlineStr">
        <is>
          <t>55.1</t>
        </is>
      </c>
      <c r="AO874" t="inlineStr">
        <is>
          <t>276</t>
        </is>
      </c>
      <c r="AP874" t="inlineStr">
        <is>
          <t>30.4</t>
        </is>
      </c>
      <c r="AQ874" t="inlineStr">
        <is>
          <t>432</t>
        </is>
      </c>
      <c r="AR874" t="inlineStr">
        <is>
          <t>1.2</t>
        </is>
      </c>
      <c r="AS874" t="inlineStr">
        <is>
          <t>701+</t>
        </is>
      </c>
      <c r="AT874" t="inlineStr">
        <is>
          <t>3.3</t>
        </is>
      </c>
      <c r="AU874" t="inlineStr">
        <is>
          <t>701+</t>
        </is>
      </c>
      <c r="AV874" t="inlineStr">
        <is>
          <t>3.0</t>
        </is>
      </c>
      <c r="AW874" t="inlineStr">
        <is>
          <t>701+</t>
        </is>
      </c>
      <c r="AX874" t="inlineStr">
        <is>
          <t>7.2</t>
        </is>
      </c>
      <c r="AY874" t="inlineStr">
        <is>
          <t>701+</t>
        </is>
      </c>
      <c r="AZ874" t="inlineStr">
        <is>
          <t>4.9</t>
        </is>
      </c>
      <c r="BA874" t="inlineStr">
        <is>
          <t>701+</t>
        </is>
      </c>
    </row>
    <row r="875">
      <c r="A875" t="inlineStr">
        <is>
          <t xml:space="preserve">Sciences Po </t>
        </is>
      </c>
      <c r="B875" t="inlineStr">
        <is>
          <t>France</t>
        </is>
      </c>
      <c r="C875" t="inlineStr">
        <is>
          <t>FR</t>
        </is>
      </c>
      <c r="D875" t="inlineStr"/>
      <c r="E875" t="inlineStr">
        <is>
          <t>L</t>
        </is>
      </c>
      <c r="F875" t="inlineStr">
        <is>
          <t>SP</t>
        </is>
      </c>
      <c r="G875" t="inlineStr"/>
      <c r="H875" t="inlineStr">
        <is>
          <t>5</t>
        </is>
      </c>
      <c r="I875" t="inlineStr">
        <is>
          <t>A</t>
        </is>
      </c>
      <c r="J875" t="inlineStr"/>
      <c r="K875" t="inlineStr"/>
      <c r="L875">
        <f>319</f>
        <v/>
      </c>
      <c r="M875" t="inlineStr">
        <is>
          <t>259</t>
        </is>
      </c>
      <c r="N875" t="inlineStr"/>
      <c r="O875" t="inlineStr">
        <is>
          <t>33.2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17.7</t>
        </is>
      </c>
      <c r="AK875" t="inlineStr">
        <is>
          <t>502</t>
        </is>
      </c>
      <c r="AL875" t="inlineStr">
        <is>
          <t>27.6</t>
        </is>
      </c>
      <c r="AM875" t="inlineStr">
        <is>
          <t>353</t>
        </is>
      </c>
      <c r="AN875" t="inlineStr">
        <is>
          <t>88.0</t>
        </is>
      </c>
      <c r="AO875" t="inlineStr">
        <is>
          <t>94</t>
        </is>
      </c>
      <c r="AP875" t="inlineStr">
        <is>
          <t>3.2</t>
        </is>
      </c>
      <c r="AQ875" t="inlineStr">
        <is>
          <t>701+</t>
        </is>
      </c>
      <c r="AR875" t="inlineStr">
        <is>
          <t>54.9</t>
        </is>
      </c>
      <c r="AS875" t="inlineStr">
        <is>
          <t>337</t>
        </is>
      </c>
      <c r="AT875" t="inlineStr">
        <is>
          <t>97.1</t>
        </is>
      </c>
      <c r="AU875" t="inlineStr">
        <is>
          <t>73</t>
        </is>
      </c>
      <c r="AV875" t="inlineStr">
        <is>
          <t>1.4</t>
        </is>
      </c>
      <c r="AW875" t="inlineStr">
        <is>
          <t>701+</t>
        </is>
      </c>
      <c r="AX875" t="inlineStr">
        <is>
          <t>76.3</t>
        </is>
      </c>
      <c r="AY875" t="inlineStr">
        <is>
          <t>55</t>
        </is>
      </c>
      <c r="AZ875" t="inlineStr">
        <is>
          <t>54.6</t>
        </is>
      </c>
      <c r="BA875" t="inlineStr">
        <is>
          <t>279=</t>
        </is>
      </c>
    </row>
    <row r="876">
      <c r="A876" t="inlineStr">
        <is>
          <t>Sciences Po Paris</t>
        </is>
      </c>
      <c r="B876" t="inlineStr">
        <is>
          <t>France</t>
        </is>
      </c>
      <c r="C876" t="inlineStr"/>
      <c r="D876" t="inlineStr">
        <is>
          <t>Europe</t>
        </is>
      </c>
      <c r="E876" t="inlineStr">
        <is>
          <t>L</t>
        </is>
      </c>
      <c r="F876" t="inlineStr">
        <is>
          <t>SP</t>
        </is>
      </c>
      <c r="G876" t="inlineStr">
        <is>
          <t>VH</t>
        </is>
      </c>
      <c r="H876" t="inlineStr"/>
      <c r="I876" t="inlineStr">
        <is>
          <t>Public</t>
        </is>
      </c>
      <c r="J876" t="inlineStr">
        <is>
          <t>367</t>
        </is>
      </c>
      <c r="K876" t="inlineStr">
        <is>
          <t>350</t>
        </is>
      </c>
      <c r="L876" t="inlineStr"/>
      <c r="M876" t="inlineStr"/>
      <c r="N876" t="inlineStr">
        <is>
          <t>40.5</t>
        </is>
      </c>
      <c r="O876" t="inlineStr"/>
      <c r="P876" t="n">
        <v>24.6</v>
      </c>
      <c r="Q876" t="inlineStr">
        <is>
          <t>520</t>
        </is>
      </c>
      <c r="R876" t="n">
        <v>51.5</v>
      </c>
      <c r="S876" t="inlineStr">
        <is>
          <t>240</t>
        </is>
      </c>
      <c r="T876" t="n">
        <v>81.09999999999999</v>
      </c>
      <c r="U876" t="inlineStr">
        <is>
          <t>163</t>
        </is>
      </c>
      <c r="V876" t="n">
        <v>4.7</v>
      </c>
      <c r="W876" t="inlineStr">
        <is>
          <t>801+</t>
        </is>
      </c>
      <c r="X876" t="n">
        <v>61.8</v>
      </c>
      <c r="Y876" t="inlineStr">
        <is>
          <t>377</t>
        </is>
      </c>
      <c r="Z876" t="n">
        <v>98.2</v>
      </c>
      <c r="AA876" t="inlineStr">
        <is>
          <t>85</t>
        </is>
      </c>
      <c r="AB876" t="n">
        <v>98.3</v>
      </c>
      <c r="AC876" t="inlineStr">
        <is>
          <t>72</t>
        </is>
      </c>
      <c r="AD876" t="n">
        <v>29.6</v>
      </c>
      <c r="AE876" t="inlineStr">
        <is>
          <t>801+</t>
        </is>
      </c>
      <c r="AF876" t="n">
        <v>98</v>
      </c>
      <c r="AG876" t="inlineStr">
        <is>
          <t>44</t>
        </is>
      </c>
      <c r="AH876" t="n">
        <v>54.5</v>
      </c>
      <c r="AI876" t="inlineStr">
        <is>
          <t>610=</t>
        </is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</row>
    <row r="877">
      <c r="A877" t="inlineStr">
        <is>
          <t>Seattle University</t>
        </is>
      </c>
      <c r="B877" t="inlineStr">
        <is>
          <t>United States</t>
        </is>
      </c>
      <c r="C877" t="inlineStr">
        <is>
          <t>US</t>
        </is>
      </c>
      <c r="D877" t="inlineStr">
        <is>
          <t>Americas</t>
        </is>
      </c>
      <c r="E877" t="inlineStr">
        <is>
          <t>M</t>
        </is>
      </c>
      <c r="F877" t="inlineStr">
        <is>
          <t>CO</t>
        </is>
      </c>
      <c r="G877" t="inlineStr">
        <is>
          <t>HI</t>
        </is>
      </c>
      <c r="H877" t="inlineStr">
        <is>
          <t>4</t>
        </is>
      </c>
      <c r="I877" t="inlineStr">
        <is>
          <t>Private not for Profit</t>
        </is>
      </c>
      <c r="J877" t="inlineStr">
        <is>
          <t>1201-1400</t>
        </is>
      </c>
      <c r="K877" t="inlineStr">
        <is>
          <t>1201-1400</t>
        </is>
      </c>
      <c r="L877" t="inlineStr">
        <is>
          <t>1201-1400</t>
        </is>
      </c>
      <c r="M877" t="inlineStr">
        <is>
          <t>1001-1200</t>
        </is>
      </c>
      <c r="N877" t="inlineStr">
        <is>
          <t>-</t>
        </is>
      </c>
      <c r="O877" t="inlineStr">
        <is>
          <t>-</t>
        </is>
      </c>
      <c r="P877" t="n">
        <v>6.6</v>
      </c>
      <c r="Q877" t="inlineStr">
        <is>
          <t>701+</t>
        </is>
      </c>
      <c r="R877" t="n">
        <v>14</v>
      </c>
      <c r="S877" t="inlineStr">
        <is>
          <t>701+</t>
        </is>
      </c>
      <c r="T877" t="n">
        <v>40.5</v>
      </c>
      <c r="U877" t="inlineStr">
        <is>
          <t>498</t>
        </is>
      </c>
      <c r="V877" t="n">
        <v>3.2</v>
      </c>
      <c r="W877" t="inlineStr">
        <is>
          <t>801+</t>
        </is>
      </c>
      <c r="X877" t="n">
        <v>1.7</v>
      </c>
      <c r="Y877" t="inlineStr">
        <is>
          <t>801+</t>
        </is>
      </c>
      <c r="Z877" t="n">
        <v>22.1</v>
      </c>
      <c r="AA877" t="inlineStr">
        <is>
          <t>698</t>
        </is>
      </c>
      <c r="AB877" t="n">
        <v>28.3</v>
      </c>
      <c r="AC877" t="inlineStr">
        <is>
          <t>636</t>
        </is>
      </c>
      <c r="AD877" t="n">
        <v>6</v>
      </c>
      <c r="AE877" t="inlineStr">
        <is>
          <t>801+</t>
        </is>
      </c>
      <c r="AF877" t="n">
        <v>15.3</v>
      </c>
      <c r="AG877" t="inlineStr">
        <is>
          <t>801+</t>
        </is>
      </c>
      <c r="AH877" t="n">
        <v>42.5</v>
      </c>
      <c r="AI877" t="inlineStr">
        <is>
          <t>801+</t>
        </is>
      </c>
      <c r="AJ877" t="inlineStr">
        <is>
          <t>5.4</t>
        </is>
      </c>
      <c r="AK877" t="inlineStr">
        <is>
          <t>601+</t>
        </is>
      </c>
      <c r="AL877" t="inlineStr">
        <is>
          <t>4.2</t>
        </is>
      </c>
      <c r="AM877" t="inlineStr">
        <is>
          <t>601+</t>
        </is>
      </c>
      <c r="AN877" t="inlineStr">
        <is>
          <t>29.3</t>
        </is>
      </c>
      <c r="AO877" t="inlineStr">
        <is>
          <t>529</t>
        </is>
      </c>
      <c r="AP877" t="inlineStr">
        <is>
          <t>2.4</t>
        </is>
      </c>
      <c r="AQ877" t="inlineStr">
        <is>
          <t>701+</t>
        </is>
      </c>
      <c r="AR877" t="inlineStr">
        <is>
          <t>1.5</t>
        </is>
      </c>
      <c r="AS877" t="inlineStr">
        <is>
          <t>701+</t>
        </is>
      </c>
      <c r="AT877" t="inlineStr">
        <is>
          <t>13.9</t>
        </is>
      </c>
      <c r="AU877" t="inlineStr">
        <is>
          <t>644</t>
        </is>
      </c>
      <c r="AV877" t="inlineStr">
        <is>
          <t>1.0</t>
        </is>
      </c>
      <c r="AW877" t="inlineStr">
        <is>
          <t>701+</t>
        </is>
      </c>
      <c r="AX877" t="inlineStr">
        <is>
          <t>13.6</t>
        </is>
      </c>
      <c r="AY877" t="inlineStr">
        <is>
          <t>633</t>
        </is>
      </c>
      <c r="AZ877" t="inlineStr">
        <is>
          <t>1</t>
        </is>
      </c>
      <c r="BA877" t="inlineStr">
        <is>
          <t>701+</t>
        </is>
      </c>
    </row>
    <row r="878">
      <c r="A878" t="inlineStr">
        <is>
          <t>Sebelas Maret University</t>
        </is>
      </c>
      <c r="B878" t="inlineStr">
        <is>
          <t>Indonesia</t>
        </is>
      </c>
      <c r="C878" t="inlineStr"/>
      <c r="D878" t="inlineStr">
        <is>
          <t>Asia</t>
        </is>
      </c>
      <c r="E878" t="inlineStr">
        <is>
          <t>XL</t>
        </is>
      </c>
      <c r="F878" t="inlineStr">
        <is>
          <t>FC</t>
        </is>
      </c>
      <c r="G878" t="inlineStr">
        <is>
          <t>HI</t>
        </is>
      </c>
      <c r="H878" t="inlineStr"/>
      <c r="I878" t="inlineStr">
        <is>
          <t>Public</t>
        </is>
      </c>
      <c r="J878" t="inlineStr">
        <is>
          <t>1001-1200</t>
        </is>
      </c>
      <c r="K878" t="inlineStr">
        <is>
          <t>1001-1200</t>
        </is>
      </c>
      <c r="L878" t="inlineStr"/>
      <c r="M878" t="inlineStr"/>
      <c r="N878" t="inlineStr">
        <is>
          <t>-</t>
        </is>
      </c>
      <c r="O878" t="inlineStr"/>
      <c r="P878" t="n">
        <v>21.2</v>
      </c>
      <c r="Q878" t="inlineStr">
        <is>
          <t>586</t>
        </is>
      </c>
      <c r="R878" t="n">
        <v>21.4</v>
      </c>
      <c r="S878" t="inlineStr">
        <is>
          <t>616</t>
        </is>
      </c>
      <c r="T878" t="n">
        <v>25.2</v>
      </c>
      <c r="U878" t="inlineStr">
        <is>
          <t>730</t>
        </is>
      </c>
      <c r="V878" t="n">
        <v>2.5</v>
      </c>
      <c r="W878" t="inlineStr">
        <is>
          <t>801+</t>
        </is>
      </c>
      <c r="X878" t="n">
        <v>33.3</v>
      </c>
      <c r="Y878" t="inlineStr">
        <is>
          <t>550</t>
        </is>
      </c>
      <c r="Z878" t="n">
        <v>11.2</v>
      </c>
      <c r="AA878" t="inlineStr">
        <is>
          <t>801+</t>
        </is>
      </c>
      <c r="AB878" t="n">
        <v>16.9</v>
      </c>
      <c r="AC878" t="inlineStr">
        <is>
          <t>801+</t>
        </is>
      </c>
      <c r="AD878" t="n">
        <v>20.5</v>
      </c>
      <c r="AE878" t="inlineStr">
        <is>
          <t>801+</t>
        </is>
      </c>
      <c r="AF878" t="n">
        <v>2.8</v>
      </c>
      <c r="AG878" t="inlineStr">
        <is>
          <t>801+</t>
        </is>
      </c>
      <c r="AH878" t="n">
        <v>50.8</v>
      </c>
      <c r="AI878" t="inlineStr">
        <is>
          <t>688=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</row>
    <row r="879">
      <c r="A879" t="inlineStr">
        <is>
          <t>Sechenov University</t>
        </is>
      </c>
      <c r="B879" t="inlineStr">
        <is>
          <t>Russia</t>
        </is>
      </c>
      <c r="C879" t="inlineStr">
        <is>
          <t>RU</t>
        </is>
      </c>
      <c r="D879" t="inlineStr"/>
      <c r="E879" t="inlineStr">
        <is>
          <t>L</t>
        </is>
      </c>
      <c r="F879" t="inlineStr">
        <is>
          <t>SP</t>
        </is>
      </c>
      <c r="G879" t="inlineStr"/>
      <c r="H879" t="inlineStr">
        <is>
          <t>4</t>
        </is>
      </c>
      <c r="I879" t="inlineStr">
        <is>
          <t>A</t>
        </is>
      </c>
      <c r="J879" t="inlineStr"/>
      <c r="K879" t="inlineStr"/>
      <c r="L879" t="inlineStr">
        <is>
          <t>771-780</t>
        </is>
      </c>
      <c r="M879" t="inlineStr">
        <is>
          <t>651-700</t>
        </is>
      </c>
      <c r="N879" t="inlineStr"/>
      <c r="O879" t="inlineStr">
        <is>
          <t>-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5.8</t>
        </is>
      </c>
      <c r="AK879" t="inlineStr">
        <is>
          <t>601+</t>
        </is>
      </c>
      <c r="AL879" t="inlineStr">
        <is>
          <t>4.4</t>
        </is>
      </c>
      <c r="AM879" t="inlineStr">
        <is>
          <t>601+</t>
        </is>
      </c>
      <c r="AN879" t="inlineStr">
        <is>
          <t>59.7</t>
        </is>
      </c>
      <c r="AO879" t="inlineStr">
        <is>
          <t>239</t>
        </is>
      </c>
      <c r="AP879" t="inlineStr">
        <is>
          <t>3.4</t>
        </is>
      </c>
      <c r="AQ879" t="inlineStr">
        <is>
          <t>701+</t>
        </is>
      </c>
      <c r="AR879" t="inlineStr">
        <is>
          <t>9.6</t>
        </is>
      </c>
      <c r="AS879" t="inlineStr">
        <is>
          <t>701+</t>
        </is>
      </c>
      <c r="AT879" t="inlineStr">
        <is>
          <t>66.0</t>
        </is>
      </c>
      <c r="AU879" t="inlineStr">
        <is>
          <t>228</t>
        </is>
      </c>
      <c r="AV879" t="inlineStr">
        <is>
          <t>46.5</t>
        </is>
      </c>
      <c r="AW879" t="inlineStr">
        <is>
          <t>334</t>
        </is>
      </c>
      <c r="AX879" t="inlineStr">
        <is>
          <t>4.7</t>
        </is>
      </c>
      <c r="AY879" t="inlineStr">
        <is>
          <t>701+</t>
        </is>
      </c>
      <c r="AZ879" t="inlineStr">
        <is>
          <t>1.1</t>
        </is>
      </c>
      <c r="BA879" t="inlineStr">
        <is>
          <t>701+</t>
        </is>
      </c>
    </row>
    <row r="880">
      <c r="A880" t="inlineStr">
        <is>
          <t>SEGi University</t>
        </is>
      </c>
      <c r="B880" t="inlineStr">
        <is>
          <t>Malaysia</t>
        </is>
      </c>
      <c r="C880" t="inlineStr"/>
      <c r="D880" t="inlineStr">
        <is>
          <t>Asia</t>
        </is>
      </c>
      <c r="E880" t="inlineStr">
        <is>
          <t>M</t>
        </is>
      </c>
      <c r="F880" t="inlineStr">
        <is>
          <t>FO</t>
        </is>
      </c>
      <c r="G880" t="inlineStr">
        <is>
          <t>HI</t>
        </is>
      </c>
      <c r="H880" t="inlineStr"/>
      <c r="I880" t="inlineStr">
        <is>
          <t>Private for Profit</t>
        </is>
      </c>
      <c r="J880" t="inlineStr">
        <is>
          <t>731-740</t>
        </is>
      </c>
      <c r="K880" t="inlineStr"/>
      <c r="L880" t="inlineStr"/>
      <c r="M880" t="inlineStr"/>
      <c r="N880" t="inlineStr">
        <is>
          <t>-</t>
        </is>
      </c>
      <c r="O880" t="inlineStr"/>
      <c r="P880" t="n">
        <v>6.7</v>
      </c>
      <c r="Q880" t="inlineStr">
        <is>
          <t>701+</t>
        </is>
      </c>
      <c r="R880" t="n">
        <v>12.6</v>
      </c>
      <c r="S880" t="inlineStr">
        <is>
          <t>701+</t>
        </is>
      </c>
      <c r="T880" t="n">
        <v>91.2</v>
      </c>
      <c r="U880" t="inlineStr">
        <is>
          <t>100</t>
        </is>
      </c>
      <c r="V880" t="n">
        <v>2.1</v>
      </c>
      <c r="W880" t="inlineStr">
        <is>
          <t>801+</t>
        </is>
      </c>
      <c r="X880" t="n">
        <v>94.90000000000001</v>
      </c>
      <c r="Y880" t="inlineStr">
        <is>
          <t>179</t>
        </is>
      </c>
      <c r="Z880" t="n">
        <v>100</v>
      </c>
      <c r="AA880" t="inlineStr">
        <is>
          <t>13</t>
        </is>
      </c>
      <c r="AB880" t="n">
        <v>100</v>
      </c>
      <c r="AC880" t="inlineStr">
        <is>
          <t>8</t>
        </is>
      </c>
      <c r="AD880" t="n">
        <v>6.6</v>
      </c>
      <c r="AE880" t="inlineStr">
        <is>
          <t>801+</t>
        </is>
      </c>
      <c r="AF880" t="n">
        <v>9.4</v>
      </c>
      <c r="AG880" t="inlineStr">
        <is>
          <t>801+</t>
        </is>
      </c>
      <c r="AH880" t="n">
        <v>30.7</v>
      </c>
      <c r="AI880" t="inlineStr">
        <is>
          <t>801+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</row>
    <row r="881">
      <c r="A881" t="inlineStr">
        <is>
          <t>Sejong University</t>
        </is>
      </c>
      <c r="B881" t="inlineStr">
        <is>
          <t>Republic of Korea</t>
        </is>
      </c>
      <c r="C881" t="inlineStr"/>
      <c r="D881" t="inlineStr">
        <is>
          <t>Asia</t>
        </is>
      </c>
      <c r="E881" t="inlineStr">
        <is>
          <t>L</t>
        </is>
      </c>
      <c r="F881" t="inlineStr">
        <is>
          <t>CO</t>
        </is>
      </c>
      <c r="G881" t="inlineStr">
        <is>
          <t>VH</t>
        </is>
      </c>
      <c r="H881" t="inlineStr"/>
      <c r="I881" t="inlineStr">
        <is>
          <t>Private not for Profit</t>
        </is>
      </c>
      <c r="J881" t="inlineStr">
        <is>
          <t>392</t>
        </is>
      </c>
      <c r="K881" t="inlineStr">
        <is>
          <t>396</t>
        </is>
      </c>
      <c r="L881" t="inlineStr"/>
      <c r="M881" t="inlineStr"/>
      <c r="N881" t="inlineStr">
        <is>
          <t>38.2</t>
        </is>
      </c>
      <c r="O881" t="inlineStr"/>
      <c r="P881" t="n">
        <v>16.3</v>
      </c>
      <c r="Q881" t="inlineStr">
        <is>
          <t>701+</t>
        </is>
      </c>
      <c r="R881" t="n">
        <v>19.4</v>
      </c>
      <c r="S881" t="inlineStr">
        <is>
          <t>672</t>
        </is>
      </c>
      <c r="T881" t="n">
        <v>16.3</v>
      </c>
      <c r="U881" t="inlineStr">
        <is>
          <t>801+</t>
        </is>
      </c>
      <c r="V881" t="n">
        <v>92.2</v>
      </c>
      <c r="W881" t="inlineStr">
        <is>
          <t>92</t>
        </is>
      </c>
      <c r="X881" t="n">
        <v>32.4</v>
      </c>
      <c r="Y881" t="inlineStr">
        <is>
          <t>558</t>
        </is>
      </c>
      <c r="Z881" t="n">
        <v>50.7</v>
      </c>
      <c r="AA881" t="inlineStr">
        <is>
          <t>407</t>
        </is>
      </c>
      <c r="AB881" t="n">
        <v>37.8</v>
      </c>
      <c r="AC881" t="inlineStr">
        <is>
          <t>516</t>
        </is>
      </c>
      <c r="AD881" t="n">
        <v>77.8</v>
      </c>
      <c r="AE881" t="inlineStr">
        <is>
          <t>388</t>
        </is>
      </c>
      <c r="AF881" t="n">
        <v>1.8</v>
      </c>
      <c r="AG881" t="inlineStr">
        <is>
          <t>801+</t>
        </is>
      </c>
      <c r="AH881" t="n">
        <v>61.3</v>
      </c>
      <c r="AI881" t="inlineStr">
        <is>
          <t>471=</t>
        </is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</row>
    <row r="882">
      <c r="A882" t="inlineStr">
        <is>
          <t xml:space="preserve">Sejong University </t>
        </is>
      </c>
      <c r="B882" t="inlineStr">
        <is>
          <t>South Korea</t>
        </is>
      </c>
      <c r="C882" t="inlineStr">
        <is>
          <t>KR</t>
        </is>
      </c>
      <c r="D882" t="inlineStr"/>
      <c r="E882" t="inlineStr">
        <is>
          <t>L</t>
        </is>
      </c>
      <c r="F882" t="inlineStr">
        <is>
          <t>CO</t>
        </is>
      </c>
      <c r="G882" t="inlineStr">
        <is>
          <t>VH</t>
        </is>
      </c>
      <c r="H882" t="inlineStr">
        <is>
          <t>3</t>
        </is>
      </c>
      <c r="I882" t="inlineStr">
        <is>
          <t>B</t>
        </is>
      </c>
      <c r="J882" t="inlineStr"/>
      <c r="K882" t="inlineStr"/>
      <c r="L882">
        <f>436</f>
        <v/>
      </c>
      <c r="M882" t="inlineStr">
        <is>
          <t>551-560</t>
        </is>
      </c>
      <c r="N882" t="inlineStr"/>
      <c r="O882" t="inlineStr">
        <is>
          <t>26.0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13.8</t>
        </is>
      </c>
      <c r="AK882" t="inlineStr">
        <is>
          <t>601+</t>
        </is>
      </c>
      <c r="AL882" t="inlineStr">
        <is>
          <t>17.3</t>
        </is>
      </c>
      <c r="AM882" t="inlineStr">
        <is>
          <t>504</t>
        </is>
      </c>
      <c r="AN882" t="inlineStr">
        <is>
          <t>14.7</t>
        </is>
      </c>
      <c r="AO882" t="inlineStr">
        <is>
          <t>701+</t>
        </is>
      </c>
      <c r="AP882" t="inlineStr">
        <is>
          <t>65.5</t>
        </is>
      </c>
      <c r="AQ882" t="inlineStr">
        <is>
          <t>169</t>
        </is>
      </c>
      <c r="AR882" t="inlineStr">
        <is>
          <t>24.6</t>
        </is>
      </c>
      <c r="AS882" t="inlineStr">
        <is>
          <t>542</t>
        </is>
      </c>
      <c r="AT882" t="inlineStr">
        <is>
          <t>26.7</t>
        </is>
      </c>
      <c r="AU882" t="inlineStr">
        <is>
          <t>451</t>
        </is>
      </c>
      <c r="AV882" t="inlineStr">
        <is>
          <t>29.2</t>
        </is>
      </c>
      <c r="AW882" t="inlineStr">
        <is>
          <t>462</t>
        </is>
      </c>
      <c r="AX882" t="inlineStr">
        <is>
          <t>5.7</t>
        </is>
      </c>
      <c r="AY882" t="inlineStr">
        <is>
          <t>701+</t>
        </is>
      </c>
      <c r="AZ882" t="inlineStr">
        <is>
          <t>8.7</t>
        </is>
      </c>
      <c r="BA882" t="inlineStr">
        <is>
          <t>691=</t>
        </is>
      </c>
    </row>
    <row r="883">
      <c r="A883" t="inlineStr">
        <is>
          <t>Selcuk University</t>
        </is>
      </c>
      <c r="B883" t="inlineStr">
        <is>
          <t>Turkey</t>
        </is>
      </c>
      <c r="C883" t="inlineStr"/>
      <c r="D883" t="inlineStr">
        <is>
          <t>Asia</t>
        </is>
      </c>
      <c r="E883" t="inlineStr">
        <is>
          <t>L</t>
        </is>
      </c>
      <c r="F883" t="inlineStr">
        <is>
          <t>CO</t>
        </is>
      </c>
      <c r="G883" t="inlineStr">
        <is>
          <t>VH</t>
        </is>
      </c>
      <c r="H883" t="inlineStr"/>
      <c r="I883" t="inlineStr">
        <is>
          <t>Public</t>
        </is>
      </c>
      <c r="J883" t="inlineStr">
        <is>
          <t>1201-1400</t>
        </is>
      </c>
      <c r="K883" t="inlineStr"/>
      <c r="L883" t="inlineStr"/>
      <c r="M883" t="inlineStr"/>
      <c r="N883" t="inlineStr">
        <is>
          <t>-</t>
        </is>
      </c>
      <c r="O883" t="inlineStr"/>
      <c r="P883" t="n">
        <v>7.5</v>
      </c>
      <c r="Q883" t="inlineStr">
        <is>
          <t>701+</t>
        </is>
      </c>
      <c r="R883" t="n">
        <v>3.7</v>
      </c>
      <c r="S883" t="inlineStr">
        <is>
          <t>701+</t>
        </is>
      </c>
      <c r="T883" t="n">
        <v>23.7</v>
      </c>
      <c r="U883" t="inlineStr">
        <is>
          <t>757</t>
        </is>
      </c>
      <c r="V883" t="n">
        <v>7.3</v>
      </c>
      <c r="W883" t="inlineStr">
        <is>
          <t>801+</t>
        </is>
      </c>
      <c r="X883" t="n">
        <v>2.4</v>
      </c>
      <c r="Y883" t="inlineStr">
        <is>
          <t>801+</t>
        </is>
      </c>
      <c r="Z883" t="n">
        <v>23.6</v>
      </c>
      <c r="AA883" t="inlineStr">
        <is>
          <t>682</t>
        </is>
      </c>
      <c r="AB883" t="n">
        <v>29.7</v>
      </c>
      <c r="AC883" t="inlineStr">
        <is>
          <t>619</t>
        </is>
      </c>
      <c r="AD883" t="n">
        <v>53.8</v>
      </c>
      <c r="AE883" t="inlineStr">
        <is>
          <t>786</t>
        </is>
      </c>
      <c r="AF883" t="n">
        <v>13.6</v>
      </c>
      <c r="AG883" t="inlineStr">
        <is>
          <t>801+</t>
        </is>
      </c>
      <c r="AH883" t="n">
        <v>45.7</v>
      </c>
      <c r="AI883" t="inlineStr">
        <is>
          <t>801+</t>
        </is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</row>
    <row r="884">
      <c r="A884" t="inlineStr">
        <is>
          <t>Seoul National University</t>
        </is>
      </c>
      <c r="B884" t="inlineStr">
        <is>
          <t>Republic of Korea</t>
        </is>
      </c>
      <c r="C884" t="inlineStr"/>
      <c r="D884" t="inlineStr">
        <is>
          <t>Asia</t>
        </is>
      </c>
      <c r="E884" t="inlineStr">
        <is>
          <t>L</t>
        </is>
      </c>
      <c r="F884" t="inlineStr">
        <is>
          <t>FC</t>
        </is>
      </c>
      <c r="G884" t="inlineStr">
        <is>
          <t>VH</t>
        </is>
      </c>
      <c r="H884" t="inlineStr"/>
      <c r="I884" t="inlineStr">
        <is>
          <t>Public</t>
        </is>
      </c>
      <c r="J884" t="inlineStr">
        <is>
          <t>38</t>
        </is>
      </c>
      <c r="K884" t="inlineStr">
        <is>
          <t>31</t>
        </is>
      </c>
      <c r="L884" t="inlineStr"/>
      <c r="M884" t="inlineStr"/>
      <c r="N884" t="inlineStr">
        <is>
          <t>85.6</t>
        </is>
      </c>
      <c r="O884" t="inlineStr"/>
      <c r="P884" t="n">
        <v>99.7</v>
      </c>
      <c r="Q884" t="inlineStr">
        <is>
          <t>20</t>
        </is>
      </c>
      <c r="R884" t="n">
        <v>99.09999999999999</v>
      </c>
      <c r="S884" t="inlineStr">
        <is>
          <t>24</t>
        </is>
      </c>
      <c r="T884" t="n">
        <v>85.59999999999999</v>
      </c>
      <c r="U884" t="inlineStr">
        <is>
          <t>130</t>
        </is>
      </c>
      <c r="V884" t="n">
        <v>81.2</v>
      </c>
      <c r="W884" t="inlineStr">
        <is>
          <t>150</t>
        </is>
      </c>
      <c r="X884" t="n">
        <v>13.2</v>
      </c>
      <c r="Y884" t="inlineStr">
        <is>
          <t>801+</t>
        </is>
      </c>
      <c r="Z884" t="n">
        <v>27.5</v>
      </c>
      <c r="AA884" t="inlineStr">
        <is>
          <t>622</t>
        </is>
      </c>
      <c r="AB884" t="n">
        <v>33.5</v>
      </c>
      <c r="AC884" t="inlineStr">
        <is>
          <t>571</t>
        </is>
      </c>
      <c r="AD884" t="n">
        <v>77.59999999999999</v>
      </c>
      <c r="AE884" t="inlineStr">
        <is>
          <t>391</t>
        </is>
      </c>
      <c r="AF884" t="n">
        <v>100</v>
      </c>
      <c r="AG884" t="inlineStr">
        <is>
          <t>6</t>
        </is>
      </c>
      <c r="AH884" t="n">
        <v>90.8</v>
      </c>
      <c r="AI884" t="inlineStr">
        <is>
          <t>57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</row>
    <row r="885">
      <c r="A885" t="inlineStr">
        <is>
          <t>Seoul National University</t>
        </is>
      </c>
      <c r="B885" t="inlineStr">
        <is>
          <t>South Korea</t>
        </is>
      </c>
      <c r="C885" t="inlineStr">
        <is>
          <t>KR</t>
        </is>
      </c>
      <c r="D885" t="inlineStr"/>
      <c r="E885" t="inlineStr">
        <is>
          <t>L</t>
        </is>
      </c>
      <c r="F885" t="inlineStr">
        <is>
          <t>FC</t>
        </is>
      </c>
      <c r="G885" t="inlineStr">
        <is>
          <t>VH</t>
        </is>
      </c>
      <c r="H885" t="inlineStr">
        <is>
          <t>4</t>
        </is>
      </c>
      <c r="I885" t="inlineStr">
        <is>
          <t>A</t>
        </is>
      </c>
      <c r="J885" t="inlineStr"/>
      <c r="K885" t="inlineStr"/>
      <c r="L885" t="inlineStr">
        <is>
          <t>41</t>
        </is>
      </c>
      <c r="M885" t="inlineStr">
        <is>
          <t>29</t>
        </is>
      </c>
      <c r="N885" t="inlineStr"/>
      <c r="O885" t="inlineStr">
        <is>
          <t>78.5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99.0</t>
        </is>
      </c>
      <c r="AK885" t="inlineStr">
        <is>
          <t>18</t>
        </is>
      </c>
      <c r="AL885" t="inlineStr">
        <is>
          <t>98.2</t>
        </is>
      </c>
      <c r="AM885" t="inlineStr">
        <is>
          <t>17</t>
        </is>
      </c>
      <c r="AN885" t="inlineStr">
        <is>
          <t>85.1</t>
        </is>
      </c>
      <c r="AO885" t="inlineStr">
        <is>
          <t>105</t>
        </is>
      </c>
      <c r="AP885" t="inlineStr">
        <is>
          <t>64.9</t>
        </is>
      </c>
      <c r="AQ885" t="inlineStr">
        <is>
          <t>175</t>
        </is>
      </c>
      <c r="AR885" t="inlineStr">
        <is>
          <t>11.5</t>
        </is>
      </c>
      <c r="AS885" t="inlineStr">
        <is>
          <t>701+</t>
        </is>
      </c>
      <c r="AT885" t="inlineStr">
        <is>
          <t>14.5</t>
        </is>
      </c>
      <c r="AU885" t="inlineStr">
        <is>
          <t>631</t>
        </is>
      </c>
      <c r="AV885" t="inlineStr">
        <is>
          <t>36.9</t>
        </is>
      </c>
      <c r="AW885" t="inlineStr">
        <is>
          <t>401</t>
        </is>
      </c>
      <c r="AX885" t="inlineStr">
        <is>
          <t>100</t>
        </is>
      </c>
      <c r="AY885" t="inlineStr">
        <is>
          <t>8</t>
        </is>
      </c>
      <c r="AZ885" t="inlineStr">
        <is>
          <t>73.8</t>
        </is>
      </c>
      <c r="BA885" t="inlineStr">
        <is>
          <t>181</t>
        </is>
      </c>
    </row>
    <row r="886">
      <c r="A886" t="inlineStr">
        <is>
          <t>Seoul National University of Science and Technology</t>
        </is>
      </c>
      <c r="B886" t="inlineStr">
        <is>
          <t>Republic of Korea</t>
        </is>
      </c>
      <c r="C886" t="inlineStr"/>
      <c r="D886" t="inlineStr">
        <is>
          <t>Asia</t>
        </is>
      </c>
      <c r="E886" t="inlineStr">
        <is>
          <t>M</t>
        </is>
      </c>
      <c r="F886" t="inlineStr">
        <is>
          <t>FO</t>
        </is>
      </c>
      <c r="G886" t="inlineStr">
        <is>
          <t>VH</t>
        </is>
      </c>
      <c r="H886" t="inlineStr"/>
      <c r="I886" t="inlineStr">
        <is>
          <t>Public</t>
        </is>
      </c>
      <c r="J886" t="inlineStr">
        <is>
          <t>1001-1200</t>
        </is>
      </c>
      <c r="K886" t="inlineStr">
        <is>
          <t>1201-1400</t>
        </is>
      </c>
      <c r="L886" t="inlineStr"/>
      <c r="M886" t="inlineStr"/>
      <c r="N886" t="inlineStr">
        <is>
          <t>-</t>
        </is>
      </c>
      <c r="O886" t="inlineStr"/>
      <c r="P886" t="n">
        <v>10.5</v>
      </c>
      <c r="Q886" t="inlineStr">
        <is>
          <t>701+</t>
        </is>
      </c>
      <c r="R886" t="n">
        <v>7.9</v>
      </c>
      <c r="S886" t="inlineStr">
        <is>
          <t>701+</t>
        </is>
      </c>
      <c r="T886" t="n">
        <v>20.5</v>
      </c>
      <c r="U886" t="inlineStr">
        <is>
          <t>801+</t>
        </is>
      </c>
      <c r="V886" t="n">
        <v>18.9</v>
      </c>
      <c r="W886" t="inlineStr">
        <is>
          <t>734</t>
        </is>
      </c>
      <c r="X886" t="n">
        <v>12</v>
      </c>
      <c r="Y886" t="inlineStr">
        <is>
          <t>801+</t>
        </is>
      </c>
      <c r="Z886" t="n">
        <v>32.2</v>
      </c>
      <c r="AA886" t="inlineStr">
        <is>
          <t>565</t>
        </is>
      </c>
      <c r="AB886" t="n">
        <v>28.6</v>
      </c>
      <c r="AC886" t="inlineStr">
        <is>
          <t>633</t>
        </is>
      </c>
      <c r="AD886" t="n">
        <v>28.6</v>
      </c>
      <c r="AE886" t="inlineStr">
        <is>
          <t>801+</t>
        </is>
      </c>
      <c r="AF886" t="n">
        <v>1.9</v>
      </c>
      <c r="AG886" t="inlineStr">
        <is>
          <t>801+</t>
        </is>
      </c>
      <c r="AH886" t="n">
        <v>49.7</v>
      </c>
      <c r="AI886" t="inlineStr">
        <is>
          <t>708=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</row>
    <row r="887">
      <c r="A887" t="inlineStr">
        <is>
          <t>Seoul National University of Science and Technology</t>
        </is>
      </c>
      <c r="B887" t="inlineStr">
        <is>
          <t>South Korea</t>
        </is>
      </c>
      <c r="C887" t="inlineStr">
        <is>
          <t>KR</t>
        </is>
      </c>
      <c r="D887" t="inlineStr"/>
      <c r="E887" t="inlineStr">
        <is>
          <t>M</t>
        </is>
      </c>
      <c r="F887" t="inlineStr">
        <is>
          <t>FO</t>
        </is>
      </c>
      <c r="G887" t="inlineStr">
        <is>
          <t>VH</t>
        </is>
      </c>
      <c r="H887" t="inlineStr">
        <is>
          <t>3</t>
        </is>
      </c>
      <c r="I887" t="inlineStr">
        <is>
          <t>A</t>
        </is>
      </c>
      <c r="J887" t="inlineStr"/>
      <c r="K887" t="inlineStr"/>
      <c r="L887" t="inlineStr">
        <is>
          <t>1001-1200</t>
        </is>
      </c>
      <c r="M887" t="inlineStr">
        <is>
          <t>1001-1200</t>
        </is>
      </c>
      <c r="N887" t="inlineStr"/>
      <c r="O887" t="inlineStr">
        <is>
          <t>-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7.4</t>
        </is>
      </c>
      <c r="AK887" t="inlineStr">
        <is>
          <t>601+</t>
        </is>
      </c>
      <c r="AL887" t="inlineStr">
        <is>
          <t>3.8</t>
        </is>
      </c>
      <c r="AM887" t="inlineStr">
        <is>
          <t>601+</t>
        </is>
      </c>
      <c r="AN887" t="inlineStr">
        <is>
          <t>10.8</t>
        </is>
      </c>
      <c r="AO887" t="inlineStr">
        <is>
          <t>701+</t>
        </is>
      </c>
      <c r="AP887" t="inlineStr">
        <is>
          <t>10.0</t>
        </is>
      </c>
      <c r="AQ887" t="inlineStr">
        <is>
          <t>701+</t>
        </is>
      </c>
      <c r="AR887" t="inlineStr">
        <is>
          <t>11.1</t>
        </is>
      </c>
      <c r="AS887" t="inlineStr">
        <is>
          <t>701+</t>
        </is>
      </c>
      <c r="AT887" t="inlineStr">
        <is>
          <t>11.9</t>
        </is>
      </c>
      <c r="AU887" t="inlineStr">
        <is>
          <t>680</t>
        </is>
      </c>
      <c r="AV887" t="inlineStr">
        <is>
          <t>1.0</t>
        </is>
      </c>
      <c r="AW887" t="inlineStr">
        <is>
          <t>701+</t>
        </is>
      </c>
      <c r="AX887" t="inlineStr">
        <is>
          <t>7.6</t>
        </is>
      </c>
      <c r="AY887" t="inlineStr">
        <is>
          <t>701+</t>
        </is>
      </c>
      <c r="AZ887" t="inlineStr">
        <is>
          <t>1</t>
        </is>
      </c>
      <c r="BA887" t="inlineStr">
        <is>
          <t>701+</t>
        </is>
      </c>
    </row>
    <row r="888">
      <c r="A888" t="inlineStr">
        <is>
          <t>Shahid Beheshti University (SBU)</t>
        </is>
      </c>
      <c r="B888" t="inlineStr">
        <is>
          <t>Iran (Islamic Republic of)</t>
        </is>
      </c>
      <c r="C888" t="inlineStr"/>
      <c r="D888" t="inlineStr">
        <is>
          <t>Asia</t>
        </is>
      </c>
      <c r="E888" t="inlineStr">
        <is>
          <t>L</t>
        </is>
      </c>
      <c r="F888" t="inlineStr">
        <is>
          <t>FO</t>
        </is>
      </c>
      <c r="G888" t="inlineStr">
        <is>
          <t>VH</t>
        </is>
      </c>
      <c r="H888" t="inlineStr"/>
      <c r="I888" t="inlineStr">
        <is>
          <t>Public</t>
        </is>
      </c>
      <c r="J888" t="inlineStr">
        <is>
          <t>741-750</t>
        </is>
      </c>
      <c r="K888" t="inlineStr">
        <is>
          <t>851-900</t>
        </is>
      </c>
      <c r="L888" t="inlineStr"/>
      <c r="M888" t="inlineStr"/>
      <c r="N888" t="inlineStr">
        <is>
          <t>-</t>
        </is>
      </c>
      <c r="O888" t="inlineStr"/>
      <c r="P888" t="n">
        <v>11.8</v>
      </c>
      <c r="Q888" t="inlineStr">
        <is>
          <t>701+</t>
        </is>
      </c>
      <c r="R888" t="n">
        <v>22.5</v>
      </c>
      <c r="S888" t="inlineStr">
        <is>
          <t>590</t>
        </is>
      </c>
      <c r="T888" t="n">
        <v>6</v>
      </c>
      <c r="U888" t="inlineStr">
        <is>
          <t>801+</t>
        </is>
      </c>
      <c r="V888" t="n">
        <v>49.4</v>
      </c>
      <c r="W888" t="inlineStr">
        <is>
          <t>377</t>
        </is>
      </c>
      <c r="X888" t="n">
        <v>5.2</v>
      </c>
      <c r="Y888" t="inlineStr">
        <is>
          <t>801+</t>
        </is>
      </c>
      <c r="Z888" t="n">
        <v>24.7</v>
      </c>
      <c r="AA888" t="inlineStr">
        <is>
          <t>668</t>
        </is>
      </c>
      <c r="AB888" t="n">
        <v>25.1</v>
      </c>
      <c r="AC888" t="inlineStr">
        <is>
          <t>683</t>
        </is>
      </c>
      <c r="AD888" t="n">
        <v>68</v>
      </c>
      <c r="AE888" t="inlineStr">
        <is>
          <t>567</t>
        </is>
      </c>
      <c r="AF888" t="n">
        <v>24.2</v>
      </c>
      <c r="AG888" t="inlineStr">
        <is>
          <t>654</t>
        </is>
      </c>
      <c r="AH888" t="n">
        <v>33.6</v>
      </c>
      <c r="AI888" t="inlineStr">
        <is>
          <t>801+</t>
        </is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</row>
    <row r="889">
      <c r="A889" t="inlineStr">
        <is>
          <t>Shahid Beheshti University (SBU)</t>
        </is>
      </c>
      <c r="B889" t="inlineStr">
        <is>
          <t>Iran, Islamic Republic of</t>
        </is>
      </c>
      <c r="C889" t="inlineStr">
        <is>
          <t>IR</t>
        </is>
      </c>
      <c r="D889" t="inlineStr"/>
      <c r="E889" t="inlineStr">
        <is>
          <t>L</t>
        </is>
      </c>
      <c r="F889" t="inlineStr">
        <is>
          <t>FO</t>
        </is>
      </c>
      <c r="G889" t="inlineStr">
        <is>
          <t>VH</t>
        </is>
      </c>
      <c r="H889" t="inlineStr">
        <is>
          <t>4</t>
        </is>
      </c>
      <c r="I889" t="inlineStr">
        <is>
          <t>A</t>
        </is>
      </c>
      <c r="J889" t="inlineStr"/>
      <c r="K889" t="inlineStr"/>
      <c r="L889" t="inlineStr">
        <is>
          <t>951-1000</t>
        </is>
      </c>
      <c r="M889" t="inlineStr">
        <is>
          <t>1001-1200</t>
        </is>
      </c>
      <c r="N889" t="inlineStr"/>
      <c r="O889" t="inlineStr">
        <is>
          <t>-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6.7</t>
        </is>
      </c>
      <c r="AK889" t="inlineStr">
        <is>
          <t>601+</t>
        </is>
      </c>
      <c r="AL889" t="inlineStr">
        <is>
          <t>12.3</t>
        </is>
      </c>
      <c r="AM889" t="inlineStr">
        <is>
          <t>601+</t>
        </is>
      </c>
      <c r="AN889" t="inlineStr">
        <is>
          <t>4.0</t>
        </is>
      </c>
      <c r="AO889" t="inlineStr">
        <is>
          <t>701+</t>
        </is>
      </c>
      <c r="AP889" t="inlineStr">
        <is>
          <t>29.1</t>
        </is>
      </c>
      <c r="AQ889" t="inlineStr">
        <is>
          <t>442</t>
        </is>
      </c>
      <c r="AR889" t="inlineStr">
        <is>
          <t>1.6</t>
        </is>
      </c>
      <c r="AS889" t="inlineStr">
        <is>
          <t>701+</t>
        </is>
      </c>
      <c r="AT889" t="inlineStr">
        <is>
          <t>1.7</t>
        </is>
      </c>
      <c r="AU889" t="inlineStr">
        <is>
          <t>701+</t>
        </is>
      </c>
      <c r="AV889" t="inlineStr">
        <is>
          <t>8.5</t>
        </is>
      </c>
      <c r="AW889" t="inlineStr">
        <is>
          <t>701+</t>
        </is>
      </c>
      <c r="AX889" t="inlineStr">
        <is>
          <t>6.9</t>
        </is>
      </c>
      <c r="AY889" t="inlineStr">
        <is>
          <t>701+</t>
        </is>
      </c>
      <c r="AZ889" t="inlineStr">
        <is>
          <t>1.9</t>
        </is>
      </c>
      <c r="BA889" t="inlineStr">
        <is>
          <t>701+</t>
        </is>
      </c>
    </row>
    <row r="890">
      <c r="A890" t="inlineStr">
        <is>
          <t>Shahjalal University of Science and Technology</t>
        </is>
      </c>
      <c r="B890" t="inlineStr">
        <is>
          <t>Bangladesh</t>
        </is>
      </c>
      <c r="C890" t="inlineStr">
        <is>
          <t>BD</t>
        </is>
      </c>
      <c r="D890" t="inlineStr"/>
      <c r="E890" t="inlineStr"/>
      <c r="F890" t="inlineStr">
        <is>
          <t>FO</t>
        </is>
      </c>
      <c r="G890" t="inlineStr"/>
      <c r="H890" t="inlineStr">
        <is>
          <t>3</t>
        </is>
      </c>
      <c r="I890" t="inlineStr"/>
      <c r="J890" t="inlineStr"/>
      <c r="K890" t="inlineStr"/>
      <c r="L890" t="inlineStr">
        <is>
          <t>1401+</t>
        </is>
      </c>
      <c r="M890" t="inlineStr"/>
      <c r="N890" t="inlineStr"/>
      <c r="O890" t="inlineStr">
        <is>
          <t>-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6.8</t>
        </is>
      </c>
      <c r="AK890" t="inlineStr">
        <is>
          <t>601+</t>
        </is>
      </c>
      <c r="AL890" t="inlineStr">
        <is>
          <t>8.9</t>
        </is>
      </c>
      <c r="AM890" t="inlineStr">
        <is>
          <t>601+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>
        <is>
          <t>1.0</t>
        </is>
      </c>
      <c r="AW890" t="inlineStr">
        <is>
          <t>701+</t>
        </is>
      </c>
      <c r="AX890" t="inlineStr"/>
      <c r="AY890" t="inlineStr"/>
      <c r="AZ890" t="inlineStr"/>
      <c r="BA890" t="inlineStr"/>
    </row>
    <row r="891">
      <c r="A891" t="inlineStr">
        <is>
          <t>Shakarim University of the City of Semey, Kazakhstan</t>
        </is>
      </c>
      <c r="B891" t="inlineStr">
        <is>
          <t>Kazakhstan</t>
        </is>
      </c>
      <c r="C891" t="inlineStr"/>
      <c r="D891" t="inlineStr">
        <is>
          <t>Asia</t>
        </is>
      </c>
      <c r="E891" t="inlineStr">
        <is>
          <t>M</t>
        </is>
      </c>
      <c r="F891" t="inlineStr">
        <is>
          <t>CO</t>
        </is>
      </c>
      <c r="G891" t="inlineStr">
        <is>
          <t>MD</t>
        </is>
      </c>
      <c r="H891" t="inlineStr"/>
      <c r="I891" t="inlineStr">
        <is>
          <t>Public</t>
        </is>
      </c>
      <c r="J891" t="inlineStr">
        <is>
          <t>1401+</t>
        </is>
      </c>
      <c r="K891" t="inlineStr"/>
      <c r="L891" t="inlineStr"/>
      <c r="M891" t="inlineStr"/>
      <c r="N891" t="inlineStr">
        <is>
          <t>-</t>
        </is>
      </c>
      <c r="O891" t="inlineStr"/>
      <c r="P891" t="n">
        <v>10.4</v>
      </c>
      <c r="Q891" t="inlineStr">
        <is>
          <t>701+</t>
        </is>
      </c>
      <c r="R891" t="n">
        <v>10.2</v>
      </c>
      <c r="S891" t="inlineStr">
        <is>
          <t>701+</t>
        </is>
      </c>
      <c r="T891" t="n">
        <v>16.4</v>
      </c>
      <c r="U891" t="inlineStr">
        <is>
          <t>801+</t>
        </is>
      </c>
      <c r="V891" t="n">
        <v>1.7</v>
      </c>
      <c r="W891" t="inlineStr">
        <is>
          <t>801+</t>
        </is>
      </c>
      <c r="X891" t="n">
        <v>27.7</v>
      </c>
      <c r="Y891" t="inlineStr">
        <is>
          <t>615</t>
        </is>
      </c>
      <c r="Z891" t="n">
        <v>3.3</v>
      </c>
      <c r="AA891" t="inlineStr">
        <is>
          <t>801+</t>
        </is>
      </c>
      <c r="AB891" t="n">
        <v>7.2</v>
      </c>
      <c r="AC891" t="inlineStr">
        <is>
          <t>801+</t>
        </is>
      </c>
      <c r="AD891" t="n">
        <v>2.4</v>
      </c>
      <c r="AE891" t="inlineStr">
        <is>
          <t>801+</t>
        </is>
      </c>
      <c r="AF891" t="n">
        <v>4.2</v>
      </c>
      <c r="AG891" t="inlineStr">
        <is>
          <t>801+</t>
        </is>
      </c>
      <c r="AH891" t="n">
        <v>31.3</v>
      </c>
      <c r="AI891" t="inlineStr">
        <is>
          <t>801+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</row>
    <row r="892">
      <c r="A892" t="inlineStr">
        <is>
          <t>Shandong University</t>
        </is>
      </c>
      <c r="B892" t="inlineStr">
        <is>
          <t>China (Mainland)</t>
        </is>
      </c>
      <c r="C892" t="inlineStr">
        <is>
          <t>CN</t>
        </is>
      </c>
      <c r="D892" t="inlineStr">
        <is>
          <t>Asia</t>
        </is>
      </c>
      <c r="E892" t="inlineStr">
        <is>
          <t>XL</t>
        </is>
      </c>
      <c r="F892" t="inlineStr">
        <is>
          <t>FC</t>
        </is>
      </c>
      <c r="G892" t="inlineStr">
        <is>
          <t>VH</t>
        </is>
      </c>
      <c r="H892" t="inlineStr">
        <is>
          <t>4</t>
        </is>
      </c>
      <c r="I892" t="inlineStr">
        <is>
          <t>Public</t>
        </is>
      </c>
      <c r="J892" t="inlineStr">
        <is>
          <t>339</t>
        </is>
      </c>
      <c r="K892" t="inlineStr">
        <is>
          <t>316</t>
        </is>
      </c>
      <c r="L892">
        <f>360</f>
        <v/>
      </c>
      <c r="M892" t="inlineStr">
        <is>
          <t>396=</t>
        </is>
      </c>
      <c r="N892" t="inlineStr">
        <is>
          <t>42.2</t>
        </is>
      </c>
      <c r="O892" t="inlineStr">
        <is>
          <t>30.7</t>
        </is>
      </c>
      <c r="P892" t="n">
        <v>22.8</v>
      </c>
      <c r="Q892" t="inlineStr">
        <is>
          <t>549</t>
        </is>
      </c>
      <c r="R892" t="n">
        <v>39</v>
      </c>
      <c r="S892" t="inlineStr">
        <is>
          <t>352</t>
        </is>
      </c>
      <c r="T892" t="n">
        <v>21.8</v>
      </c>
      <c r="U892" t="inlineStr">
        <is>
          <t>799</t>
        </is>
      </c>
      <c r="V892" t="n">
        <v>97.09999999999999</v>
      </c>
      <c r="W892" t="inlineStr">
        <is>
          <t>54</t>
        </is>
      </c>
      <c r="X892" t="n">
        <v>11.2</v>
      </c>
      <c r="Y892" t="inlineStr">
        <is>
          <t>801+</t>
        </is>
      </c>
      <c r="Z892" t="n">
        <v>5.7</v>
      </c>
      <c r="AA892" t="inlineStr">
        <is>
          <t>801+</t>
        </is>
      </c>
      <c r="AB892" t="n">
        <v>4.5</v>
      </c>
      <c r="AC892" t="inlineStr">
        <is>
          <t>801+</t>
        </is>
      </c>
      <c r="AD892" t="n">
        <v>72.8</v>
      </c>
      <c r="AE892" t="inlineStr">
        <is>
          <t>490</t>
        </is>
      </c>
      <c r="AF892" t="n">
        <v>26.8</v>
      </c>
      <c r="AG892" t="inlineStr">
        <is>
          <t>610</t>
        </is>
      </c>
      <c r="AH892" t="n">
        <v>57.5</v>
      </c>
      <c r="AI892" t="inlineStr">
        <is>
          <t>550=</t>
        </is>
      </c>
      <c r="AJ892" t="inlineStr">
        <is>
          <t>15.6</t>
        </is>
      </c>
      <c r="AK892" t="inlineStr">
        <is>
          <t>558</t>
        </is>
      </c>
      <c r="AL892" t="inlineStr">
        <is>
          <t>31.8</t>
        </is>
      </c>
      <c r="AM892" t="inlineStr">
        <is>
          <t>310</t>
        </is>
      </c>
      <c r="AN892" t="inlineStr">
        <is>
          <t>17.6</t>
        </is>
      </c>
      <c r="AO892" t="inlineStr">
        <is>
          <t>701+</t>
        </is>
      </c>
      <c r="AP892" t="inlineStr">
        <is>
          <t>78.7</t>
        </is>
      </c>
      <c r="AQ892" t="inlineStr">
        <is>
          <t>118</t>
        </is>
      </c>
      <c r="AR892" t="inlineStr">
        <is>
          <t>8.8</t>
        </is>
      </c>
      <c r="AS892" t="inlineStr">
        <is>
          <t>701+</t>
        </is>
      </c>
      <c r="AT892" t="inlineStr">
        <is>
          <t>3.4</t>
        </is>
      </c>
      <c r="AU892" t="inlineStr">
        <is>
          <t>701+</t>
        </is>
      </c>
      <c r="AV892" t="inlineStr">
        <is>
          <t>16.3</t>
        </is>
      </c>
      <c r="AW892" t="inlineStr">
        <is>
          <t>580</t>
        </is>
      </c>
      <c r="AX892" t="inlineStr">
        <is>
          <t>17.4</t>
        </is>
      </c>
      <c r="AY892" t="inlineStr">
        <is>
          <t>480</t>
        </is>
      </c>
      <c r="AZ892" t="inlineStr">
        <is>
          <t>28.4</t>
        </is>
      </c>
      <c r="BA892" t="inlineStr">
        <is>
          <t>463=</t>
        </is>
      </c>
    </row>
    <row r="893">
      <c r="A893" t="inlineStr">
        <is>
          <t>Shanghai International Studies University</t>
        </is>
      </c>
      <c r="B893" t="inlineStr">
        <is>
          <t>China (Mainland)</t>
        </is>
      </c>
      <c r="C893" t="inlineStr">
        <is>
          <t>CN</t>
        </is>
      </c>
      <c r="D893" t="inlineStr">
        <is>
          <t>Asia</t>
        </is>
      </c>
      <c r="E893" t="inlineStr">
        <is>
          <t>L</t>
        </is>
      </c>
      <c r="F893" t="inlineStr">
        <is>
          <t>SP</t>
        </is>
      </c>
      <c r="G893" t="inlineStr">
        <is>
          <t>VH</t>
        </is>
      </c>
      <c r="H893" t="inlineStr">
        <is>
          <t>3</t>
        </is>
      </c>
      <c r="I893" t="inlineStr">
        <is>
          <t>Public</t>
        </is>
      </c>
      <c r="J893" t="inlineStr">
        <is>
          <t>1201-1400</t>
        </is>
      </c>
      <c r="K893" t="inlineStr">
        <is>
          <t>1201-1400</t>
        </is>
      </c>
      <c r="L893" t="inlineStr">
        <is>
          <t>1001-1200</t>
        </is>
      </c>
      <c r="M893" t="inlineStr">
        <is>
          <t>1001-1200</t>
        </is>
      </c>
      <c r="N893" t="inlineStr">
        <is>
          <t>-</t>
        </is>
      </c>
      <c r="O893" t="inlineStr">
        <is>
          <t>-</t>
        </is>
      </c>
      <c r="P893" t="n">
        <v>7.2</v>
      </c>
      <c r="Q893" t="inlineStr">
        <is>
          <t>701+</t>
        </is>
      </c>
      <c r="R893" t="n">
        <v>6.4</v>
      </c>
      <c r="S893" t="inlineStr">
        <is>
          <t>701+</t>
        </is>
      </c>
      <c r="T893" t="n">
        <v>21.7</v>
      </c>
      <c r="U893" t="inlineStr">
        <is>
          <t>801+</t>
        </is>
      </c>
      <c r="V893" t="n">
        <v>3.3</v>
      </c>
      <c r="W893" t="inlineStr">
        <is>
          <t>801+</t>
        </is>
      </c>
      <c r="X893" t="n">
        <v>33.8</v>
      </c>
      <c r="Y893" t="inlineStr">
        <is>
          <t>546</t>
        </is>
      </c>
      <c r="Z893" t="n">
        <v>40</v>
      </c>
      <c r="AA893" t="inlineStr">
        <is>
          <t>491</t>
        </is>
      </c>
      <c r="AB893" t="n">
        <v>29.9</v>
      </c>
      <c r="AC893" t="inlineStr">
        <is>
          <t>618</t>
        </is>
      </c>
      <c r="AD893" t="n">
        <v>10.8</v>
      </c>
      <c r="AE893" t="inlineStr">
        <is>
          <t>801+</t>
        </is>
      </c>
      <c r="AF893" t="n">
        <v>9.300000000000001</v>
      </c>
      <c r="AG893" t="inlineStr">
        <is>
          <t>801+</t>
        </is>
      </c>
      <c r="AH893" t="n">
        <v>9.4</v>
      </c>
      <c r="AI893" t="inlineStr">
        <is>
          <t>801+</t>
        </is>
      </c>
      <c r="AJ893" t="inlineStr">
        <is>
          <t>5.3</t>
        </is>
      </c>
      <c r="AK893" t="inlineStr">
        <is>
          <t>601+</t>
        </is>
      </c>
      <c r="AL893" t="inlineStr">
        <is>
          <t>2.5</t>
        </is>
      </c>
      <c r="AM893" t="inlineStr">
        <is>
          <t>601+</t>
        </is>
      </c>
      <c r="AN893" t="inlineStr">
        <is>
          <t>17.6</t>
        </is>
      </c>
      <c r="AO893" t="inlineStr">
        <is>
          <t>701+</t>
        </is>
      </c>
      <c r="AP893" t="inlineStr">
        <is>
          <t>1.7</t>
        </is>
      </c>
      <c r="AQ893" t="inlineStr">
        <is>
          <t>701+</t>
        </is>
      </c>
      <c r="AR893" t="inlineStr">
        <is>
          <t>28.2</t>
        </is>
      </c>
      <c r="AS893" t="inlineStr">
        <is>
          <t>500</t>
        </is>
      </c>
      <c r="AT893" t="inlineStr">
        <is>
          <t>29.6</t>
        </is>
      </c>
      <c r="AU893" t="inlineStr">
        <is>
          <t>424</t>
        </is>
      </c>
      <c r="AV893" t="inlineStr">
        <is>
          <t>1.0</t>
        </is>
      </c>
      <c r="AW893" t="inlineStr">
        <is>
          <t>701+</t>
        </is>
      </c>
      <c r="AX893" t="inlineStr">
        <is>
          <t>6.8</t>
        </is>
      </c>
      <c r="AY893" t="inlineStr">
        <is>
          <t>701+</t>
        </is>
      </c>
      <c r="AZ893" t="inlineStr">
        <is>
          <t>1</t>
        </is>
      </c>
      <c r="BA893" t="inlineStr">
        <is>
          <t>701+</t>
        </is>
      </c>
    </row>
    <row r="894">
      <c r="A894" t="inlineStr">
        <is>
          <t>Shanghai Jiao Tong University</t>
        </is>
      </c>
      <c r="B894" t="inlineStr">
        <is>
          <t>China (Mainland)</t>
        </is>
      </c>
      <c r="C894" t="inlineStr">
        <is>
          <t>CN</t>
        </is>
      </c>
      <c r="D894" t="inlineStr">
        <is>
          <t>Asia</t>
        </is>
      </c>
      <c r="E894" t="inlineStr">
        <is>
          <t>XL</t>
        </is>
      </c>
      <c r="F894" t="inlineStr">
        <is>
          <t>FC</t>
        </is>
      </c>
      <c r="G894" t="inlineStr">
        <is>
          <t>VH</t>
        </is>
      </c>
      <c r="H894" t="inlineStr">
        <is>
          <t>4</t>
        </is>
      </c>
      <c r="I894" t="inlineStr">
        <is>
          <t>Public</t>
        </is>
      </c>
      <c r="J894" t="inlineStr">
        <is>
          <t>47</t>
        </is>
      </c>
      <c r="K894" t="inlineStr">
        <is>
          <t>45</t>
        </is>
      </c>
      <c r="L894" t="inlineStr">
        <is>
          <t>51</t>
        </is>
      </c>
      <c r="M894" t="inlineStr">
        <is>
          <t>46</t>
        </is>
      </c>
      <c r="N894" t="inlineStr">
        <is>
          <t>84.3</t>
        </is>
      </c>
      <c r="O894" t="inlineStr">
        <is>
          <t>74.3</t>
        </is>
      </c>
      <c r="P894" t="n">
        <v>92.7</v>
      </c>
      <c r="Q894" t="inlineStr">
        <is>
          <t>56</t>
        </is>
      </c>
      <c r="R894" t="n">
        <v>93.8</v>
      </c>
      <c r="S894" t="inlineStr">
        <is>
          <t>56</t>
        </is>
      </c>
      <c r="T894" t="n">
        <v>64.5</v>
      </c>
      <c r="U894" t="inlineStr">
        <is>
          <t>275</t>
        </is>
      </c>
      <c r="V894" t="n">
        <v>100</v>
      </c>
      <c r="W894" t="inlineStr">
        <is>
          <t>13</t>
        </is>
      </c>
      <c r="X894" t="n">
        <v>40.9</v>
      </c>
      <c r="Y894" t="inlineStr">
        <is>
          <t>490</t>
        </is>
      </c>
      <c r="Z894" t="n">
        <v>19.1</v>
      </c>
      <c r="AA894" t="inlineStr">
        <is>
          <t>741</t>
        </is>
      </c>
      <c r="AB894" t="n">
        <v>14.4</v>
      </c>
      <c r="AC894" t="inlineStr">
        <is>
          <t>801+</t>
        </is>
      </c>
      <c r="AD894" t="n">
        <v>77.7</v>
      </c>
      <c r="AE894" t="inlineStr">
        <is>
          <t>389</t>
        </is>
      </c>
      <c r="AF894" t="n">
        <v>88.2</v>
      </c>
      <c r="AG894" t="inlineStr">
        <is>
          <t>119</t>
        </is>
      </c>
      <c r="AH894" t="n">
        <v>82.5</v>
      </c>
      <c r="AI894" t="inlineStr">
        <is>
          <t>141=</t>
        </is>
      </c>
      <c r="AJ894" t="inlineStr">
        <is>
          <t>83.7</t>
        </is>
      </c>
      <c r="AK894" t="inlineStr">
        <is>
          <t>61</t>
        </is>
      </c>
      <c r="AL894" t="inlineStr">
        <is>
          <t>83.3</t>
        </is>
      </c>
      <c r="AM894" t="inlineStr">
        <is>
          <t>64</t>
        </is>
      </c>
      <c r="AN894" t="inlineStr">
        <is>
          <t>54.7</t>
        </is>
      </c>
      <c r="AO894" t="inlineStr">
        <is>
          <t>279</t>
        </is>
      </c>
      <c r="AP894" t="inlineStr">
        <is>
          <t>99.4</t>
        </is>
      </c>
      <c r="AQ894" t="inlineStr">
        <is>
          <t>15</t>
        </is>
      </c>
      <c r="AR894" t="inlineStr">
        <is>
          <t>39.2</t>
        </is>
      </c>
      <c r="AS894" t="inlineStr">
        <is>
          <t>415</t>
        </is>
      </c>
      <c r="AT894" t="inlineStr">
        <is>
          <t>35.5</t>
        </is>
      </c>
      <c r="AU894" t="inlineStr">
        <is>
          <t>377</t>
        </is>
      </c>
      <c r="AV894" t="inlineStr">
        <is>
          <t>38.3</t>
        </is>
      </c>
      <c r="AW894" t="inlineStr">
        <is>
          <t>390</t>
        </is>
      </c>
      <c r="AX894" t="inlineStr">
        <is>
          <t>55.5</t>
        </is>
      </c>
      <c r="AY894" t="inlineStr">
        <is>
          <t>113</t>
        </is>
      </c>
      <c r="AZ894" t="inlineStr">
        <is>
          <t>44.1</t>
        </is>
      </c>
      <c r="BA894" t="inlineStr">
        <is>
          <t>339=</t>
        </is>
      </c>
    </row>
    <row r="895">
      <c r="A895" t="inlineStr">
        <is>
          <t>Shanghai Normal University</t>
        </is>
      </c>
      <c r="B895" t="inlineStr">
        <is>
          <t>China (Mainland)</t>
        </is>
      </c>
      <c r="C895" t="inlineStr">
        <is>
          <t>CN</t>
        </is>
      </c>
      <c r="D895" t="inlineStr">
        <is>
          <t>Asia</t>
        </is>
      </c>
      <c r="E895" t="inlineStr">
        <is>
          <t>XL</t>
        </is>
      </c>
      <c r="F895" t="inlineStr">
        <is>
          <t>CO</t>
        </is>
      </c>
      <c r="G895" t="inlineStr">
        <is>
          <t>HI</t>
        </is>
      </c>
      <c r="H895" t="inlineStr">
        <is>
          <t>3</t>
        </is>
      </c>
      <c r="I895" t="inlineStr">
        <is>
          <t>Public</t>
        </is>
      </c>
      <c r="J895" t="inlineStr">
        <is>
          <t>1401+</t>
        </is>
      </c>
      <c r="K895" t="inlineStr">
        <is>
          <t>1401+</t>
        </is>
      </c>
      <c r="L895" t="inlineStr">
        <is>
          <t>1201-1400</t>
        </is>
      </c>
      <c r="M895" t="inlineStr">
        <is>
          <t>1201-1400</t>
        </is>
      </c>
      <c r="N895" t="inlineStr">
        <is>
          <t>-</t>
        </is>
      </c>
      <c r="O895" t="inlineStr">
        <is>
          <t>-</t>
        </is>
      </c>
      <c r="P895" t="n">
        <v>4.4</v>
      </c>
      <c r="Q895" t="inlineStr">
        <is>
          <t>701+</t>
        </is>
      </c>
      <c r="R895" t="n">
        <v>3.4</v>
      </c>
      <c r="S895" t="inlineStr">
        <is>
          <t>701+</t>
        </is>
      </c>
      <c r="T895" t="n">
        <v>17</v>
      </c>
      <c r="U895" t="inlineStr">
        <is>
          <t>801+</t>
        </is>
      </c>
      <c r="V895" t="n">
        <v>9.5</v>
      </c>
      <c r="W895" t="inlineStr">
        <is>
          <t>801+</t>
        </is>
      </c>
      <c r="X895" t="n">
        <v>6.8</v>
      </c>
      <c r="Y895" t="inlineStr">
        <is>
          <t>801+</t>
        </is>
      </c>
      <c r="Z895" t="n">
        <v>4.9</v>
      </c>
      <c r="AA895" t="inlineStr">
        <is>
          <t>801+</t>
        </is>
      </c>
      <c r="AB895" t="n">
        <v>10</v>
      </c>
      <c r="AC895" t="inlineStr">
        <is>
          <t>801+</t>
        </is>
      </c>
      <c r="AD895" t="n">
        <v>24.9</v>
      </c>
      <c r="AE895" t="inlineStr">
        <is>
          <t>801+</t>
        </is>
      </c>
      <c r="AF895" t="n">
        <v>1.4</v>
      </c>
      <c r="AG895" t="inlineStr">
        <is>
          <t>801+</t>
        </is>
      </c>
      <c r="AH895" t="n">
        <v>32.2</v>
      </c>
      <c r="AI895" t="inlineStr">
        <is>
          <t>801+</t>
        </is>
      </c>
      <c r="AJ895" t="inlineStr">
        <is>
          <t>4.3</t>
        </is>
      </c>
      <c r="AK895" t="inlineStr">
        <is>
          <t>601+</t>
        </is>
      </c>
      <c r="AL895" t="inlineStr">
        <is>
          <t>1.4</t>
        </is>
      </c>
      <c r="AM895" t="inlineStr">
        <is>
          <t>601+</t>
        </is>
      </c>
      <c r="AN895" t="inlineStr">
        <is>
          <t>13.4</t>
        </is>
      </c>
      <c r="AO895" t="inlineStr">
        <is>
          <t>701+</t>
        </is>
      </c>
      <c r="AP895" t="inlineStr">
        <is>
          <t>3.8</t>
        </is>
      </c>
      <c r="AQ895" t="inlineStr">
        <is>
          <t>701+</t>
        </is>
      </c>
      <c r="AR895" t="inlineStr">
        <is>
          <t>4.4</t>
        </is>
      </c>
      <c r="AS895" t="inlineStr">
        <is>
          <t>701+</t>
        </is>
      </c>
      <c r="AT895" t="inlineStr">
        <is>
          <t>2.9</t>
        </is>
      </c>
      <c r="AU895" t="inlineStr">
        <is>
          <t>701+</t>
        </is>
      </c>
      <c r="AV895" t="inlineStr">
        <is>
          <t>1.1</t>
        </is>
      </c>
      <c r="AW895" t="inlineStr">
        <is>
          <t>701+</t>
        </is>
      </c>
      <c r="AX895" t="inlineStr">
        <is>
          <t>7.4</t>
        </is>
      </c>
      <c r="AY895" t="inlineStr">
        <is>
          <t>701+</t>
        </is>
      </c>
      <c r="AZ895" t="inlineStr">
        <is>
          <t>1.1</t>
        </is>
      </c>
      <c r="BA895" t="inlineStr">
        <is>
          <t>701+</t>
        </is>
      </c>
    </row>
    <row r="896">
      <c r="A896" t="inlineStr">
        <is>
          <t>Shanghai University</t>
        </is>
      </c>
      <c r="B896" t="inlineStr">
        <is>
          <t>China (Mainland)</t>
        </is>
      </c>
      <c r="C896" t="inlineStr">
        <is>
          <t>CN</t>
        </is>
      </c>
      <c r="D896" t="inlineStr">
        <is>
          <t>Asia</t>
        </is>
      </c>
      <c r="E896" t="inlineStr">
        <is>
          <t>XL</t>
        </is>
      </c>
      <c r="F896" t="inlineStr">
        <is>
          <t>FO</t>
        </is>
      </c>
      <c r="G896" t="inlineStr">
        <is>
          <t>VH</t>
        </is>
      </c>
      <c r="H896" t="inlineStr">
        <is>
          <t>3</t>
        </is>
      </c>
      <c r="I896" t="inlineStr">
        <is>
          <t>Public</t>
        </is>
      </c>
      <c r="J896" t="inlineStr">
        <is>
          <t>465</t>
        </is>
      </c>
      <c r="K896" t="inlineStr">
        <is>
          <t>489</t>
        </is>
      </c>
      <c r="L896">
        <f>514</f>
        <v/>
      </c>
      <c r="M896" t="inlineStr">
        <is>
          <t>422=</t>
        </is>
      </c>
      <c r="N896" t="inlineStr">
        <is>
          <t>33.8</t>
        </is>
      </c>
      <c r="O896" t="inlineStr">
        <is>
          <t>22.7</t>
        </is>
      </c>
      <c r="P896" t="n">
        <v>29.8</v>
      </c>
      <c r="Q896" t="inlineStr">
        <is>
          <t>410</t>
        </is>
      </c>
      <c r="R896" t="n">
        <v>21.4</v>
      </c>
      <c r="S896" t="inlineStr">
        <is>
          <t>615</t>
        </is>
      </c>
      <c r="T896" t="n">
        <v>51.1</v>
      </c>
      <c r="U896" t="inlineStr">
        <is>
          <t>369</t>
        </is>
      </c>
      <c r="V896" t="n">
        <v>48.5</v>
      </c>
      <c r="W896" t="inlineStr">
        <is>
          <t>385</t>
        </is>
      </c>
      <c r="X896" t="n">
        <v>29.6</v>
      </c>
      <c r="Y896" t="inlineStr">
        <is>
          <t>589</t>
        </is>
      </c>
      <c r="Z896" t="n">
        <v>10.2</v>
      </c>
      <c r="AA896" t="inlineStr">
        <is>
          <t>801+</t>
        </is>
      </c>
      <c r="AB896" t="n">
        <v>7.8</v>
      </c>
      <c r="AC896" t="inlineStr">
        <is>
          <t>801+</t>
        </is>
      </c>
      <c r="AD896" t="n">
        <v>62.5</v>
      </c>
      <c r="AE896" t="inlineStr">
        <is>
          <t>657</t>
        </is>
      </c>
      <c r="AF896" t="n">
        <v>12.5</v>
      </c>
      <c r="AG896" t="inlineStr">
        <is>
          <t>801+</t>
        </is>
      </c>
      <c r="AH896" t="n">
        <v>42.9</v>
      </c>
      <c r="AI896" t="inlineStr">
        <is>
          <t>801+</t>
        </is>
      </c>
      <c r="AJ896" t="inlineStr">
        <is>
          <t>22.2</t>
        </is>
      </c>
      <c r="AK896" t="inlineStr">
        <is>
          <t>397</t>
        </is>
      </c>
      <c r="AL896" t="inlineStr">
        <is>
          <t>9.0</t>
        </is>
      </c>
      <c r="AM896" t="inlineStr">
        <is>
          <t>601+</t>
        </is>
      </c>
      <c r="AN896" t="inlineStr">
        <is>
          <t>53.3</t>
        </is>
      </c>
      <c r="AO896" t="inlineStr">
        <is>
          <t>291</t>
        </is>
      </c>
      <c r="AP896" t="inlineStr">
        <is>
          <t>25.4</t>
        </is>
      </c>
      <c r="AQ896" t="inlineStr">
        <is>
          <t>476</t>
        </is>
      </c>
      <c r="AR896" t="inlineStr">
        <is>
          <t>43.8</t>
        </is>
      </c>
      <c r="AS896" t="inlineStr">
        <is>
          <t>383</t>
        </is>
      </c>
      <c r="AT896" t="inlineStr">
        <is>
          <t>5.9</t>
        </is>
      </c>
      <c r="AU896" t="inlineStr">
        <is>
          <t>701+</t>
        </is>
      </c>
      <c r="AV896" t="inlineStr">
        <is>
          <t>11.5</t>
        </is>
      </c>
      <c r="AW896" t="inlineStr">
        <is>
          <t>643</t>
        </is>
      </c>
      <c r="AX896" t="inlineStr">
        <is>
          <t>11.1</t>
        </is>
      </c>
      <c r="AY896" t="inlineStr">
        <is>
          <t>701+</t>
        </is>
      </c>
      <c r="AZ896" t="inlineStr">
        <is>
          <t>15.8</t>
        </is>
      </c>
      <c r="BA896" t="inlineStr">
        <is>
          <t>598=</t>
        </is>
      </c>
    </row>
    <row r="897">
      <c r="A897" t="inlineStr">
        <is>
          <t>Shanghai University of Finance and Economics</t>
        </is>
      </c>
      <c r="B897" t="inlineStr">
        <is>
          <t>China (Mainland)</t>
        </is>
      </c>
      <c r="C897" t="inlineStr">
        <is>
          <t>CN</t>
        </is>
      </c>
      <c r="D897" t="inlineStr">
        <is>
          <t>Asia</t>
        </is>
      </c>
      <c r="E897" t="inlineStr">
        <is>
          <t>L</t>
        </is>
      </c>
      <c r="F897" t="inlineStr">
        <is>
          <t>SP</t>
        </is>
      </c>
      <c r="G897" t="inlineStr">
        <is>
          <t>VH</t>
        </is>
      </c>
      <c r="H897" t="inlineStr">
        <is>
          <t>4</t>
        </is>
      </c>
      <c r="I897" t="inlineStr">
        <is>
          <t>Public</t>
        </is>
      </c>
      <c r="J897" t="inlineStr">
        <is>
          <t>1201-1400</t>
        </is>
      </c>
      <c r="K897" t="inlineStr">
        <is>
          <t>1201-1400</t>
        </is>
      </c>
      <c r="L897" t="inlineStr">
        <is>
          <t>1201-1400</t>
        </is>
      </c>
      <c r="M897" t="inlineStr">
        <is>
          <t>1201-1400</t>
        </is>
      </c>
      <c r="N897" t="inlineStr">
        <is>
          <t>-</t>
        </is>
      </c>
      <c r="O897" t="inlineStr">
        <is>
          <t>-</t>
        </is>
      </c>
      <c r="P897" t="n">
        <v>5.8</v>
      </c>
      <c r="Q897" t="inlineStr">
        <is>
          <t>701+</t>
        </is>
      </c>
      <c r="R897" t="n">
        <v>15.1</v>
      </c>
      <c r="S897" t="inlineStr">
        <is>
          <t>701+</t>
        </is>
      </c>
      <c r="T897" t="n">
        <v>12.2</v>
      </c>
      <c r="U897" t="inlineStr">
        <is>
          <t>801+</t>
        </is>
      </c>
      <c r="V897" t="n">
        <v>9.9</v>
      </c>
      <c r="W897" t="inlineStr">
        <is>
          <t>801+</t>
        </is>
      </c>
      <c r="X897" t="n">
        <v>20.4</v>
      </c>
      <c r="Y897" t="inlineStr">
        <is>
          <t>706</t>
        </is>
      </c>
      <c r="Z897" t="n">
        <v>3.6</v>
      </c>
      <c r="AA897" t="inlineStr">
        <is>
          <t>801+</t>
        </is>
      </c>
      <c r="AB897" t="n">
        <v>8.699999999999999</v>
      </c>
      <c r="AC897" t="inlineStr">
        <is>
          <t>801+</t>
        </is>
      </c>
      <c r="AD897" t="n">
        <v>14.1</v>
      </c>
      <c r="AE897" t="inlineStr">
        <is>
          <t>801+</t>
        </is>
      </c>
      <c r="AF897" t="n">
        <v>48</v>
      </c>
      <c r="AG897" t="inlineStr">
        <is>
          <t>360</t>
        </is>
      </c>
      <c r="AH897" t="n">
        <v>32</v>
      </c>
      <c r="AI897" t="inlineStr">
        <is>
          <t>801+</t>
        </is>
      </c>
      <c r="AJ897" t="inlineStr">
        <is>
          <t>5.2</t>
        </is>
      </c>
      <c r="AK897" t="inlineStr">
        <is>
          <t>601+</t>
        </is>
      </c>
      <c r="AL897" t="inlineStr">
        <is>
          <t>4.4</t>
        </is>
      </c>
      <c r="AM897" t="inlineStr">
        <is>
          <t>601+</t>
        </is>
      </c>
      <c r="AN897" t="inlineStr">
        <is>
          <t>9.3</t>
        </is>
      </c>
      <c r="AO897" t="inlineStr">
        <is>
          <t>701+</t>
        </is>
      </c>
      <c r="AP897" t="inlineStr">
        <is>
          <t>3.3</t>
        </is>
      </c>
      <c r="AQ897" t="inlineStr">
        <is>
          <t>701+</t>
        </is>
      </c>
      <c r="AR897" t="inlineStr">
        <is>
          <t>16.4</t>
        </is>
      </c>
      <c r="AS897" t="inlineStr">
        <is>
          <t>643</t>
        </is>
      </c>
      <c r="AT897" t="inlineStr">
        <is>
          <t>2.3</t>
        </is>
      </c>
      <c r="AU897" t="inlineStr">
        <is>
          <t>701+</t>
        </is>
      </c>
      <c r="AV897" t="inlineStr">
        <is>
          <t>1.0</t>
        </is>
      </c>
      <c r="AW897" t="inlineStr">
        <is>
          <t>701+</t>
        </is>
      </c>
      <c r="AX897" t="inlineStr">
        <is>
          <t>20.2</t>
        </is>
      </c>
      <c r="AY897" t="inlineStr">
        <is>
          <t>415</t>
        </is>
      </c>
      <c r="AZ897" t="inlineStr">
        <is>
          <t>1.2</t>
        </is>
      </c>
      <c r="BA897" t="inlineStr">
        <is>
          <t>701+</t>
        </is>
      </c>
    </row>
    <row r="898">
      <c r="A898" t="inlineStr">
        <is>
          <t>Sharif University of Technology</t>
        </is>
      </c>
      <c r="B898" t="inlineStr">
        <is>
          <t>Iran (Islamic Republic of)</t>
        </is>
      </c>
      <c r="C898" t="inlineStr"/>
      <c r="D898" t="inlineStr">
        <is>
          <t>Asia</t>
        </is>
      </c>
      <c r="E898" t="inlineStr">
        <is>
          <t>M</t>
        </is>
      </c>
      <c r="F898" t="inlineStr">
        <is>
          <t>FO</t>
        </is>
      </c>
      <c r="G898" t="inlineStr">
        <is>
          <t>VH</t>
        </is>
      </c>
      <c r="H898" t="inlineStr"/>
      <c r="I898" t="inlineStr">
        <is>
          <t>Public</t>
        </is>
      </c>
      <c r="J898" t="inlineStr">
        <is>
          <t>375</t>
        </is>
      </c>
      <c r="K898" t="inlineStr">
        <is>
          <t>342</t>
        </is>
      </c>
      <c r="L898" t="inlineStr"/>
      <c r="M898" t="inlineStr"/>
      <c r="N898" t="inlineStr">
        <is>
          <t>39.9</t>
        </is>
      </c>
      <c r="O898" t="inlineStr"/>
      <c r="P898" t="n">
        <v>17.8</v>
      </c>
      <c r="Q898" t="inlineStr">
        <is>
          <t>686</t>
        </is>
      </c>
      <c r="R898" t="n">
        <v>48.2</v>
      </c>
      <c r="S898" t="inlineStr">
        <is>
          <t>267</t>
        </is>
      </c>
      <c r="T898" t="n">
        <v>8.199999999999999</v>
      </c>
      <c r="U898" t="inlineStr">
        <is>
          <t>801+</t>
        </is>
      </c>
      <c r="V898" t="n">
        <v>99.2</v>
      </c>
      <c r="W898" t="inlineStr">
        <is>
          <t>36</t>
        </is>
      </c>
      <c r="X898" t="n">
        <v>2.6</v>
      </c>
      <c r="Y898" t="inlineStr">
        <is>
          <t>801+</t>
        </is>
      </c>
      <c r="Z898" t="n">
        <v>1.6</v>
      </c>
      <c r="AA898" t="inlineStr">
        <is>
          <t>801+</t>
        </is>
      </c>
      <c r="AB898" t="n">
        <v>5.9</v>
      </c>
      <c r="AC898" t="inlineStr">
        <is>
          <t>801+</t>
        </is>
      </c>
      <c r="AD898" t="n">
        <v>68.40000000000001</v>
      </c>
      <c r="AE898" t="inlineStr">
        <is>
          <t>560</t>
        </is>
      </c>
      <c r="AF898" t="n">
        <v>38.7</v>
      </c>
      <c r="AG898" t="inlineStr">
        <is>
          <t>448</t>
        </is>
      </c>
      <c r="AH898" t="n">
        <v>38.7</v>
      </c>
      <c r="AI898" t="inlineStr">
        <is>
          <t>801+</t>
        </is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</row>
    <row r="899">
      <c r="A899" t="inlineStr">
        <is>
          <t>Sharif University of Technology</t>
        </is>
      </c>
      <c r="B899" t="inlineStr">
        <is>
          <t>Iran, Islamic Republic of</t>
        </is>
      </c>
      <c r="C899" t="inlineStr">
        <is>
          <t>IR</t>
        </is>
      </c>
      <c r="D899" t="inlineStr"/>
      <c r="E899" t="inlineStr">
        <is>
          <t>M</t>
        </is>
      </c>
      <c r="F899" t="inlineStr">
        <is>
          <t>FO</t>
        </is>
      </c>
      <c r="G899" t="inlineStr">
        <is>
          <t>VH</t>
        </is>
      </c>
      <c r="H899" t="inlineStr">
        <is>
          <t>4</t>
        </is>
      </c>
      <c r="I899" t="inlineStr">
        <is>
          <t>A</t>
        </is>
      </c>
      <c r="J899" t="inlineStr"/>
      <c r="K899" t="inlineStr"/>
      <c r="L899" t="inlineStr">
        <is>
          <t>334</t>
        </is>
      </c>
      <c r="M899" t="inlineStr">
        <is>
          <t>380=</t>
        </is>
      </c>
      <c r="N899" t="inlineStr"/>
      <c r="O899" t="inlineStr">
        <is>
          <t>32.4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10.1</t>
        </is>
      </c>
      <c r="AK899" t="inlineStr">
        <is>
          <t>601+</t>
        </is>
      </c>
      <c r="AL899" t="inlineStr">
        <is>
          <t>43.8</t>
        </is>
      </c>
      <c r="AM899" t="inlineStr">
        <is>
          <t>207</t>
        </is>
      </c>
      <c r="AN899" t="inlineStr">
        <is>
          <t>6.1</t>
        </is>
      </c>
      <c r="AO899" t="inlineStr">
        <is>
          <t>701+</t>
        </is>
      </c>
      <c r="AP899" t="inlineStr">
        <is>
          <t>99.1</t>
        </is>
      </c>
      <c r="AQ899" t="inlineStr">
        <is>
          <t>19</t>
        </is>
      </c>
      <c r="AR899" t="inlineStr">
        <is>
          <t>7.3</t>
        </is>
      </c>
      <c r="AS899" t="inlineStr">
        <is>
          <t>701+</t>
        </is>
      </c>
      <c r="AT899" t="inlineStr">
        <is>
          <t>1.3</t>
        </is>
      </c>
      <c r="AU899" t="inlineStr">
        <is>
          <t>701+</t>
        </is>
      </c>
      <c r="AV899" t="inlineStr">
        <is>
          <t>9.7</t>
        </is>
      </c>
      <c r="AW899" t="inlineStr">
        <is>
          <t>675</t>
        </is>
      </c>
      <c r="AX899" t="inlineStr">
        <is>
          <t>25.7</t>
        </is>
      </c>
      <c r="AY899" t="inlineStr">
        <is>
          <t>321</t>
        </is>
      </c>
      <c r="AZ899" t="inlineStr">
        <is>
          <t>1.9</t>
        </is>
      </c>
      <c r="BA899" t="inlineStr">
        <is>
          <t>701+</t>
        </is>
      </c>
    </row>
    <row r="900">
      <c r="A900" t="inlineStr">
        <is>
          <t>Sheffield Hallam University</t>
        </is>
      </c>
      <c r="B900" t="inlineStr">
        <is>
          <t>United Kingdom</t>
        </is>
      </c>
      <c r="C900" t="inlineStr">
        <is>
          <t>UK</t>
        </is>
      </c>
      <c r="D900" t="inlineStr">
        <is>
          <t>Europe</t>
        </is>
      </c>
      <c r="E900" t="inlineStr">
        <is>
          <t>XL</t>
        </is>
      </c>
      <c r="F900" t="inlineStr">
        <is>
          <t>CO</t>
        </is>
      </c>
      <c r="G900" t="inlineStr">
        <is>
          <t>HI</t>
        </is>
      </c>
      <c r="H900" t="inlineStr">
        <is>
          <t>3</t>
        </is>
      </c>
      <c r="I900" t="inlineStr">
        <is>
          <t>Public</t>
        </is>
      </c>
      <c r="J900" t="inlineStr">
        <is>
          <t>1001-1200</t>
        </is>
      </c>
      <c r="K900" t="inlineStr">
        <is>
          <t>1001-1200</t>
        </is>
      </c>
      <c r="L900" t="inlineStr">
        <is>
          <t>1001-1200</t>
        </is>
      </c>
      <c r="M900" t="inlineStr">
        <is>
          <t>1001-1200</t>
        </is>
      </c>
      <c r="N900" t="inlineStr">
        <is>
          <t>-</t>
        </is>
      </c>
      <c r="O900" t="inlineStr">
        <is>
          <t>-</t>
        </is>
      </c>
      <c r="P900" t="n">
        <v>9.800000000000001</v>
      </c>
      <c r="Q900" t="inlineStr">
        <is>
          <t>701+</t>
        </is>
      </c>
      <c r="R900" t="n">
        <v>13.4</v>
      </c>
      <c r="S900" t="inlineStr">
        <is>
          <t>701+</t>
        </is>
      </c>
      <c r="T900" t="n">
        <v>10.9</v>
      </c>
      <c r="U900" t="inlineStr">
        <is>
          <t>801+</t>
        </is>
      </c>
      <c r="V900" t="n">
        <v>7.1</v>
      </c>
      <c r="W900" t="inlineStr">
        <is>
          <t>801+</t>
        </is>
      </c>
      <c r="X900" t="n">
        <v>42.6</v>
      </c>
      <c r="Y900" t="inlineStr">
        <is>
          <t>480</t>
        </is>
      </c>
      <c r="Z900" t="n">
        <v>42.7</v>
      </c>
      <c r="AA900" t="inlineStr">
        <is>
          <t>469</t>
        </is>
      </c>
      <c r="AB900" t="n">
        <v>48</v>
      </c>
      <c r="AC900" t="inlineStr">
        <is>
          <t>434</t>
        </is>
      </c>
      <c r="AD900" t="n">
        <v>60.6</v>
      </c>
      <c r="AE900" t="inlineStr">
        <is>
          <t>682</t>
        </is>
      </c>
      <c r="AF900" t="n">
        <v>12.3</v>
      </c>
      <c r="AG900" t="inlineStr">
        <is>
          <t>801+</t>
        </is>
      </c>
      <c r="AH900" t="n">
        <v>40.6</v>
      </c>
      <c r="AI900" t="inlineStr">
        <is>
          <t>801+</t>
        </is>
      </c>
      <c r="AJ900" t="inlineStr">
        <is>
          <t>6.5</t>
        </is>
      </c>
      <c r="AK900" t="inlineStr">
        <is>
          <t>601+</t>
        </is>
      </c>
      <c r="AL900" t="inlineStr">
        <is>
          <t>12.1</t>
        </is>
      </c>
      <c r="AM900" t="inlineStr">
        <is>
          <t>601+</t>
        </is>
      </c>
      <c r="AN900" t="inlineStr">
        <is>
          <t>10.0</t>
        </is>
      </c>
      <c r="AO900" t="inlineStr">
        <is>
          <t>701+</t>
        </is>
      </c>
      <c r="AP900" t="inlineStr">
        <is>
          <t>4.9</t>
        </is>
      </c>
      <c r="AQ900" t="inlineStr">
        <is>
          <t>701+</t>
        </is>
      </c>
      <c r="AR900" t="inlineStr">
        <is>
          <t>35.0</t>
        </is>
      </c>
      <c r="AS900" t="inlineStr">
        <is>
          <t>455</t>
        </is>
      </c>
      <c r="AT900" t="inlineStr">
        <is>
          <t>30.9</t>
        </is>
      </c>
      <c r="AU900" t="inlineStr">
        <is>
          <t>412</t>
        </is>
      </c>
      <c r="AV900" t="inlineStr">
        <is>
          <t>6.7</t>
        </is>
      </c>
      <c r="AW900" t="inlineStr">
        <is>
          <t>701+</t>
        </is>
      </c>
      <c r="AX900" t="inlineStr">
        <is>
          <t>11.9</t>
        </is>
      </c>
      <c r="AY900" t="inlineStr">
        <is>
          <t>701+</t>
        </is>
      </c>
      <c r="AZ900" t="inlineStr">
        <is>
          <t>2.5</t>
        </is>
      </c>
      <c r="BA900" t="inlineStr">
        <is>
          <t>701+</t>
        </is>
      </c>
    </row>
    <row r="901">
      <c r="A901" t="inlineStr">
        <is>
          <t>Shenzhen University</t>
        </is>
      </c>
      <c r="B901" t="inlineStr">
        <is>
          <t>China (Mainland)</t>
        </is>
      </c>
      <c r="C901" t="inlineStr">
        <is>
          <t>CN</t>
        </is>
      </c>
      <c r="D901" t="inlineStr">
        <is>
          <t>Asia</t>
        </is>
      </c>
      <c r="E901" t="inlineStr">
        <is>
          <t>XL</t>
        </is>
      </c>
      <c r="F901" t="inlineStr">
        <is>
          <t>CO</t>
        </is>
      </c>
      <c r="G901" t="inlineStr">
        <is>
          <t>VH</t>
        </is>
      </c>
      <c r="H901" t="inlineStr">
        <is>
          <t>3</t>
        </is>
      </c>
      <c r="I901" t="inlineStr">
        <is>
          <t>Public</t>
        </is>
      </c>
      <c r="J901" t="inlineStr">
        <is>
          <t>452</t>
        </is>
      </c>
      <c r="K901" t="inlineStr">
        <is>
          <t>508</t>
        </is>
      </c>
      <c r="L901">
        <f>595</f>
        <v/>
      </c>
      <c r="M901" t="inlineStr">
        <is>
          <t>581-590</t>
        </is>
      </c>
      <c r="N901" t="inlineStr">
        <is>
          <t>34.2</t>
        </is>
      </c>
      <c r="O901" t="inlineStr">
        <is>
          <t>19.9</t>
        </is>
      </c>
      <c r="P901" t="n">
        <v>11.9</v>
      </c>
      <c r="Q901" t="inlineStr">
        <is>
          <t>701+</t>
        </is>
      </c>
      <c r="R901" t="n">
        <v>8.699999999999999</v>
      </c>
      <c r="S901" t="inlineStr">
        <is>
          <t>701+</t>
        </is>
      </c>
      <c r="T901" t="n">
        <v>40.1</v>
      </c>
      <c r="U901" t="inlineStr">
        <is>
          <t>501</t>
        </is>
      </c>
      <c r="V901" t="n">
        <v>90.90000000000001</v>
      </c>
      <c r="W901" t="inlineStr">
        <is>
          <t>100</t>
        </is>
      </c>
      <c r="X901" t="n">
        <v>15.9</v>
      </c>
      <c r="Y901" t="inlineStr">
        <is>
          <t>780</t>
        </is>
      </c>
      <c r="Z901" t="n">
        <v>2.7</v>
      </c>
      <c r="AA901" t="inlineStr">
        <is>
          <t>801+</t>
        </is>
      </c>
      <c r="AB901" t="n">
        <v>7.5</v>
      </c>
      <c r="AC901" t="inlineStr">
        <is>
          <t>801+</t>
        </is>
      </c>
      <c r="AD901" t="n">
        <v>69</v>
      </c>
      <c r="AE901" t="inlineStr">
        <is>
          <t>547</t>
        </is>
      </c>
      <c r="AF901" t="n">
        <v>26</v>
      </c>
      <c r="AG901" t="inlineStr">
        <is>
          <t>623</t>
        </is>
      </c>
      <c r="AH901" t="n">
        <v>48.2</v>
      </c>
      <c r="AI901" t="inlineStr">
        <is>
          <t>751=</t>
        </is>
      </c>
      <c r="AJ901" t="inlineStr">
        <is>
          <t>8.4</t>
        </is>
      </c>
      <c r="AK901" t="inlineStr">
        <is>
          <t>601+</t>
        </is>
      </c>
      <c r="AL901" t="inlineStr">
        <is>
          <t>2.3</t>
        </is>
      </c>
      <c r="AM901" t="inlineStr">
        <is>
          <t>601+</t>
        </is>
      </c>
      <c r="AN901" t="inlineStr">
        <is>
          <t>55.2</t>
        </is>
      </c>
      <c r="AO901" t="inlineStr">
        <is>
          <t>275</t>
        </is>
      </c>
      <c r="AP901" t="inlineStr">
        <is>
          <t>42.6</t>
        </is>
      </c>
      <c r="AQ901" t="inlineStr">
        <is>
          <t>314</t>
        </is>
      </c>
      <c r="AR901" t="inlineStr">
        <is>
          <t>13.2</t>
        </is>
      </c>
      <c r="AS901" t="inlineStr">
        <is>
          <t>698</t>
        </is>
      </c>
      <c r="AT901" t="inlineStr">
        <is>
          <t>1.4</t>
        </is>
      </c>
      <c r="AU901" t="inlineStr">
        <is>
          <t>701+</t>
        </is>
      </c>
      <c r="AV901" t="inlineStr">
        <is>
          <t>14.3</t>
        </is>
      </c>
      <c r="AW901" t="inlineStr">
        <is>
          <t>609</t>
        </is>
      </c>
      <c r="AX901" t="inlineStr">
        <is>
          <t>17.6</t>
        </is>
      </c>
      <c r="AY901" t="inlineStr">
        <is>
          <t>472</t>
        </is>
      </c>
      <c r="AZ901" t="inlineStr">
        <is>
          <t>15.8</t>
        </is>
      </c>
      <c r="BA901" t="inlineStr">
        <is>
          <t>598=</t>
        </is>
      </c>
    </row>
    <row r="902">
      <c r="A902" t="inlineStr">
        <is>
          <t>Shibaura Institute of Technology</t>
        </is>
      </c>
      <c r="B902" t="inlineStr">
        <is>
          <t>Japan</t>
        </is>
      </c>
      <c r="C902" t="inlineStr">
        <is>
          <t>JP</t>
        </is>
      </c>
      <c r="D902" t="inlineStr"/>
      <c r="E902" t="inlineStr">
        <is>
          <t>M</t>
        </is>
      </c>
      <c r="F902" t="inlineStr">
        <is>
          <t>FO</t>
        </is>
      </c>
      <c r="G902" t="inlineStr">
        <is>
          <t>VH</t>
        </is>
      </c>
      <c r="H902" t="inlineStr">
        <is>
          <t>4</t>
        </is>
      </c>
      <c r="I902" t="inlineStr">
        <is>
          <t>B</t>
        </is>
      </c>
      <c r="J902" t="inlineStr"/>
      <c r="K902" t="inlineStr"/>
      <c r="L902" t="inlineStr">
        <is>
          <t>1201-1400</t>
        </is>
      </c>
      <c r="M902" t="inlineStr">
        <is>
          <t>1201-1400</t>
        </is>
      </c>
      <c r="N902" t="inlineStr"/>
      <c r="O902" t="inlineStr">
        <is>
          <t>-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3.7</t>
        </is>
      </c>
      <c r="AK902" t="inlineStr">
        <is>
          <t>601+</t>
        </is>
      </c>
      <c r="AL902" t="inlineStr">
        <is>
          <t>2.3</t>
        </is>
      </c>
      <c r="AM902" t="inlineStr">
        <is>
          <t>601+</t>
        </is>
      </c>
      <c r="AN902" t="inlineStr">
        <is>
          <t>2.8</t>
        </is>
      </c>
      <c r="AO902" t="inlineStr">
        <is>
          <t>701+</t>
        </is>
      </c>
      <c r="AP902" t="inlineStr">
        <is>
          <t>4.8</t>
        </is>
      </c>
      <c r="AQ902" t="inlineStr">
        <is>
          <t>701+</t>
        </is>
      </c>
      <c r="AR902" t="inlineStr">
        <is>
          <t>13.8</t>
        </is>
      </c>
      <c r="AS902" t="inlineStr">
        <is>
          <t>689</t>
        </is>
      </c>
      <c r="AT902" t="inlineStr">
        <is>
          <t>9.8</t>
        </is>
      </c>
      <c r="AU902" t="inlineStr">
        <is>
          <t>701+</t>
        </is>
      </c>
      <c r="AV902" t="inlineStr">
        <is>
          <t>1.1</t>
        </is>
      </c>
      <c r="AW902" t="inlineStr">
        <is>
          <t>701+</t>
        </is>
      </c>
      <c r="AX902" t="inlineStr">
        <is>
          <t>7.9</t>
        </is>
      </c>
      <c r="AY902" t="inlineStr">
        <is>
          <t>701+</t>
        </is>
      </c>
      <c r="AZ902" t="inlineStr">
        <is>
          <t>1.1</t>
        </is>
      </c>
      <c r="BA902" t="inlineStr">
        <is>
          <t>701+</t>
        </is>
      </c>
    </row>
    <row r="903">
      <c r="A903" t="inlineStr">
        <is>
          <t>Shinshu University</t>
        </is>
      </c>
      <c r="B903" t="inlineStr">
        <is>
          <t>Japan</t>
        </is>
      </c>
      <c r="C903" t="inlineStr">
        <is>
          <t>JP</t>
        </is>
      </c>
      <c r="D903" t="inlineStr">
        <is>
          <t>Asia</t>
        </is>
      </c>
      <c r="E903" t="inlineStr">
        <is>
          <t>M</t>
        </is>
      </c>
      <c r="F903" t="inlineStr">
        <is>
          <t>FC</t>
        </is>
      </c>
      <c r="G903" t="inlineStr">
        <is>
          <t>VH</t>
        </is>
      </c>
      <c r="H903" t="inlineStr">
        <is>
          <t>4</t>
        </is>
      </c>
      <c r="I903" t="inlineStr">
        <is>
          <t>Public</t>
        </is>
      </c>
      <c r="J903" t="inlineStr">
        <is>
          <t>1201-1400</t>
        </is>
      </c>
      <c r="K903" t="inlineStr">
        <is>
          <t>1001-1200</t>
        </is>
      </c>
      <c r="L903" t="inlineStr">
        <is>
          <t>1001-1200</t>
        </is>
      </c>
      <c r="M903" t="inlineStr">
        <is>
          <t>801-1000</t>
        </is>
      </c>
      <c r="N903" t="inlineStr">
        <is>
          <t>-</t>
        </is>
      </c>
      <c r="O903" t="inlineStr">
        <is>
          <t>-</t>
        </is>
      </c>
      <c r="P903" t="n">
        <v>4.7</v>
      </c>
      <c r="Q903" t="inlineStr">
        <is>
          <t>701+</t>
        </is>
      </c>
      <c r="R903" t="n">
        <v>4.9</v>
      </c>
      <c r="S903" t="inlineStr">
        <is>
          <t>701+</t>
        </is>
      </c>
      <c r="T903" t="n">
        <v>39.9</v>
      </c>
      <c r="U903" t="inlineStr">
        <is>
          <t>507</t>
        </is>
      </c>
      <c r="V903" t="n">
        <v>20.2</v>
      </c>
      <c r="W903" t="inlineStr">
        <is>
          <t>709</t>
        </is>
      </c>
      <c r="X903" t="n">
        <v>6.8</v>
      </c>
      <c r="Y903" t="inlineStr">
        <is>
          <t>801+</t>
        </is>
      </c>
      <c r="Z903" t="n">
        <v>4.7</v>
      </c>
      <c r="AA903" t="inlineStr">
        <is>
          <t>801+</t>
        </is>
      </c>
      <c r="AB903" t="n">
        <v>8.800000000000001</v>
      </c>
      <c r="AC903" t="inlineStr">
        <is>
          <t>801+</t>
        </is>
      </c>
      <c r="AD903" t="n">
        <v>25.2</v>
      </c>
      <c r="AE903" t="inlineStr">
        <is>
          <t>801+</t>
        </is>
      </c>
      <c r="AF903" t="n">
        <v>3.4</v>
      </c>
      <c r="AG903" t="inlineStr">
        <is>
          <t>801+</t>
        </is>
      </c>
      <c r="AH903" t="n">
        <v>24.6</v>
      </c>
      <c r="AI903" t="inlineStr">
        <is>
          <t>801+</t>
        </is>
      </c>
      <c r="AJ903" t="inlineStr">
        <is>
          <t>3.4</t>
        </is>
      </c>
      <c r="AK903" t="inlineStr">
        <is>
          <t>601+</t>
        </is>
      </c>
      <c r="AL903" t="inlineStr">
        <is>
          <t>3.4</t>
        </is>
      </c>
      <c r="AM903" t="inlineStr">
        <is>
          <t>601+</t>
        </is>
      </c>
      <c r="AN903" t="inlineStr">
        <is>
          <t>35.1</t>
        </is>
      </c>
      <c r="AO903" t="inlineStr">
        <is>
          <t>450</t>
        </is>
      </c>
      <c r="AP903" t="inlineStr">
        <is>
          <t>12.0</t>
        </is>
      </c>
      <c r="AQ903" t="inlineStr">
        <is>
          <t>699</t>
        </is>
      </c>
      <c r="AR903" t="inlineStr">
        <is>
          <t>10.7</t>
        </is>
      </c>
      <c r="AS903" t="inlineStr">
        <is>
          <t>701+</t>
        </is>
      </c>
      <c r="AT903" t="inlineStr">
        <is>
          <t>2.9</t>
        </is>
      </c>
      <c r="AU903" t="inlineStr">
        <is>
          <t>701+</t>
        </is>
      </c>
      <c r="AV903" t="inlineStr">
        <is>
          <t>1.3</t>
        </is>
      </c>
      <c r="AW903" t="inlineStr">
        <is>
          <t>701+</t>
        </is>
      </c>
      <c r="AX903" t="inlineStr">
        <is>
          <t>7.8</t>
        </is>
      </c>
      <c r="AY903" t="inlineStr">
        <is>
          <t>701+</t>
        </is>
      </c>
      <c r="AZ903" t="inlineStr">
        <is>
          <t>1.1</t>
        </is>
      </c>
      <c r="BA903" t="inlineStr">
        <is>
          <t>701+</t>
        </is>
      </c>
    </row>
    <row r="904">
      <c r="A904" t="inlineStr">
        <is>
          <t>Shiraz University</t>
        </is>
      </c>
      <c r="B904" t="inlineStr">
        <is>
          <t>Iran (Islamic Republic of)</t>
        </is>
      </c>
      <c r="C904" t="inlineStr"/>
      <c r="D904" t="inlineStr">
        <is>
          <t>Asia</t>
        </is>
      </c>
      <c r="E904" t="inlineStr">
        <is>
          <t>L</t>
        </is>
      </c>
      <c r="F904" t="inlineStr">
        <is>
          <t>CO</t>
        </is>
      </c>
      <c r="G904" t="inlineStr">
        <is>
          <t>VH</t>
        </is>
      </c>
      <c r="H904" t="inlineStr"/>
      <c r="I904" t="inlineStr">
        <is>
          <t>Public</t>
        </is>
      </c>
      <c r="J904" t="inlineStr">
        <is>
          <t>701-710</t>
        </is>
      </c>
      <c r="K904" t="inlineStr">
        <is>
          <t>691-700</t>
        </is>
      </c>
      <c r="L904" t="inlineStr"/>
      <c r="M904" t="inlineStr"/>
      <c r="N904" t="inlineStr">
        <is>
          <t>-</t>
        </is>
      </c>
      <c r="O904" t="inlineStr"/>
      <c r="P904" t="n">
        <v>10.2</v>
      </c>
      <c r="Q904" t="inlineStr">
        <is>
          <t>701+</t>
        </is>
      </c>
      <c r="R904" t="n">
        <v>10.9</v>
      </c>
      <c r="S904" t="inlineStr">
        <is>
          <t>701+</t>
        </is>
      </c>
      <c r="T904" t="n">
        <v>6</v>
      </c>
      <c r="U904" t="inlineStr">
        <is>
          <t>801+</t>
        </is>
      </c>
      <c r="V904" t="n">
        <v>68.3</v>
      </c>
      <c r="W904" t="inlineStr">
        <is>
          <t>228</t>
        </is>
      </c>
      <c r="X904" t="n">
        <v>1.2</v>
      </c>
      <c r="Y904" t="inlineStr">
        <is>
          <t>801+</t>
        </is>
      </c>
      <c r="Z904" t="n">
        <v>4.3</v>
      </c>
      <c r="AA904" t="inlineStr">
        <is>
          <t>801+</t>
        </is>
      </c>
      <c r="AB904" t="n">
        <v>8</v>
      </c>
      <c r="AC904" t="inlineStr">
        <is>
          <t>801+</t>
        </is>
      </c>
      <c r="AD904" t="n">
        <v>68.09999999999999</v>
      </c>
      <c r="AE904" t="inlineStr">
        <is>
          <t>565</t>
        </is>
      </c>
      <c r="AF904" t="n">
        <v>23.4</v>
      </c>
      <c r="AG904" t="inlineStr">
        <is>
          <t>664</t>
        </is>
      </c>
      <c r="AH904" t="n">
        <v>45.7</v>
      </c>
      <c r="AI904" t="inlineStr">
        <is>
          <t>801+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</row>
    <row r="905">
      <c r="A905" t="inlineStr">
        <is>
          <t>Shiraz University</t>
        </is>
      </c>
      <c r="B905" t="inlineStr">
        <is>
          <t>Iran, Islamic Republic of</t>
        </is>
      </c>
      <c r="C905" t="inlineStr">
        <is>
          <t>IR</t>
        </is>
      </c>
      <c r="D905" t="inlineStr"/>
      <c r="E905" t="inlineStr">
        <is>
          <t>L</t>
        </is>
      </c>
      <c r="F905" t="inlineStr">
        <is>
          <t>CO</t>
        </is>
      </c>
      <c r="G905" t="inlineStr">
        <is>
          <t>VH</t>
        </is>
      </c>
      <c r="H905" t="inlineStr">
        <is>
          <t>4</t>
        </is>
      </c>
      <c r="I905" t="inlineStr">
        <is>
          <t>A</t>
        </is>
      </c>
      <c r="J905" t="inlineStr"/>
      <c r="K905" t="inlineStr"/>
      <c r="L905" t="inlineStr">
        <is>
          <t>681-690</t>
        </is>
      </c>
      <c r="M905" t="inlineStr">
        <is>
          <t>751-800</t>
        </is>
      </c>
      <c r="N905" t="inlineStr"/>
      <c r="O905" t="inlineStr">
        <is>
          <t>-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5.7</t>
        </is>
      </c>
      <c r="AK905" t="inlineStr">
        <is>
          <t>601+</t>
        </is>
      </c>
      <c r="AL905" t="inlineStr">
        <is>
          <t>10.4</t>
        </is>
      </c>
      <c r="AM905" t="inlineStr">
        <is>
          <t>601+</t>
        </is>
      </c>
      <c r="AN905" t="inlineStr">
        <is>
          <t>5.1</t>
        </is>
      </c>
      <c r="AO905" t="inlineStr">
        <is>
          <t>701+</t>
        </is>
      </c>
      <c r="AP905" t="inlineStr">
        <is>
          <t>54.9</t>
        </is>
      </c>
      <c r="AQ905" t="inlineStr">
        <is>
          <t>234</t>
        </is>
      </c>
      <c r="AR905" t="inlineStr">
        <is>
          <t>1.2</t>
        </is>
      </c>
      <c r="AS905" t="inlineStr">
        <is>
          <t>701+</t>
        </is>
      </c>
      <c r="AT905" t="inlineStr">
        <is>
          <t>1.8</t>
        </is>
      </c>
      <c r="AU905" t="inlineStr">
        <is>
          <t>701+</t>
        </is>
      </c>
      <c r="AV905" t="inlineStr">
        <is>
          <t>6.4</t>
        </is>
      </c>
      <c r="AW905" t="inlineStr">
        <is>
          <t>701+</t>
        </is>
      </c>
      <c r="AX905" t="inlineStr">
        <is>
          <t>13.4</t>
        </is>
      </c>
      <c r="AY905" t="inlineStr">
        <is>
          <t>640</t>
        </is>
      </c>
      <c r="AZ905" t="inlineStr">
        <is>
          <t>27.6</t>
        </is>
      </c>
      <c r="BA905" t="inlineStr">
        <is>
          <t>471=</t>
        </is>
      </c>
    </row>
    <row r="906">
      <c r="A906" t="inlineStr">
        <is>
          <t>Shiv Nadar University</t>
        </is>
      </c>
      <c r="B906" t="inlineStr">
        <is>
          <t>India</t>
        </is>
      </c>
      <c r="C906" t="inlineStr"/>
      <c r="D906" t="inlineStr">
        <is>
          <t>Asia</t>
        </is>
      </c>
      <c r="E906" t="inlineStr">
        <is>
          <t>S</t>
        </is>
      </c>
      <c r="F906" t="inlineStr">
        <is>
          <t>CO</t>
        </is>
      </c>
      <c r="G906" t="inlineStr">
        <is>
          <t>VH</t>
        </is>
      </c>
      <c r="H906" t="inlineStr"/>
      <c r="I906" t="inlineStr">
        <is>
          <t>Private for Profit</t>
        </is>
      </c>
      <c r="J906" t="inlineStr">
        <is>
          <t>1201-1400</t>
        </is>
      </c>
      <c r="K906" t="inlineStr"/>
      <c r="L906" t="inlineStr"/>
      <c r="M906" t="inlineStr"/>
      <c r="N906" t="inlineStr">
        <is>
          <t>-</t>
        </is>
      </c>
      <c r="O906" t="inlineStr"/>
      <c r="P906" t="n">
        <v>7.5</v>
      </c>
      <c r="Q906" t="inlineStr">
        <is>
          <t>701+</t>
        </is>
      </c>
      <c r="R906" t="n">
        <v>6.1</v>
      </c>
      <c r="S906" t="inlineStr">
        <is>
          <t>701+</t>
        </is>
      </c>
      <c r="T906" t="n">
        <v>42.1</v>
      </c>
      <c r="U906" t="inlineStr">
        <is>
          <t>476</t>
        </is>
      </c>
      <c r="V906" t="n">
        <v>20.8</v>
      </c>
      <c r="W906" t="inlineStr">
        <is>
          <t>701</t>
        </is>
      </c>
      <c r="X906" t="n">
        <v>17.4</v>
      </c>
      <c r="Y906" t="inlineStr">
        <is>
          <t>759</t>
        </is>
      </c>
      <c r="Z906" t="n">
        <v>3.2</v>
      </c>
      <c r="AA906" t="inlineStr">
        <is>
          <t>801+</t>
        </is>
      </c>
      <c r="AB906" t="n">
        <v>7.3</v>
      </c>
      <c r="AC906" t="inlineStr">
        <is>
          <t>801+</t>
        </is>
      </c>
      <c r="AD906" t="n">
        <v>13.5</v>
      </c>
      <c r="AE906" t="inlineStr">
        <is>
          <t>801+</t>
        </is>
      </c>
      <c r="AF906" t="n">
        <v>1.8</v>
      </c>
      <c r="AG906" t="inlineStr">
        <is>
          <t>801+</t>
        </is>
      </c>
      <c r="AH906" t="n">
        <v>30.4</v>
      </c>
      <c r="AI906" t="inlineStr">
        <is>
          <t>801+</t>
        </is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</row>
    <row r="907">
      <c r="A907" t="inlineStr">
        <is>
          <t>Shoolini University of Biotechnology and Management Sciences</t>
        </is>
      </c>
      <c r="B907" t="inlineStr">
        <is>
          <t>India</t>
        </is>
      </c>
      <c r="C907" t="inlineStr">
        <is>
          <t>IN</t>
        </is>
      </c>
      <c r="D907" t="inlineStr">
        <is>
          <t>Asia</t>
        </is>
      </c>
      <c r="E907" t="inlineStr">
        <is>
          <t>S</t>
        </is>
      </c>
      <c r="F907" t="inlineStr">
        <is>
          <t>CO</t>
        </is>
      </c>
      <c r="G907" t="inlineStr">
        <is>
          <t>VH</t>
        </is>
      </c>
      <c r="H907" t="inlineStr">
        <is>
          <t>2</t>
        </is>
      </c>
      <c r="I907" t="inlineStr">
        <is>
          <t>Private not for Profit</t>
        </is>
      </c>
      <c r="J907" t="inlineStr">
        <is>
          <t>503</t>
        </is>
      </c>
      <c r="K907" t="inlineStr">
        <is>
          <t>587</t>
        </is>
      </c>
      <c r="L907" t="inlineStr">
        <is>
          <t>771-780</t>
        </is>
      </c>
      <c r="M907" t="inlineStr">
        <is>
          <t>801-1000</t>
        </is>
      </c>
      <c r="N907" t="inlineStr">
        <is>
          <t>32.1</t>
        </is>
      </c>
      <c r="O907" t="inlineStr">
        <is>
          <t>-</t>
        </is>
      </c>
      <c r="P907" t="n">
        <v>16.2</v>
      </c>
      <c r="Q907" t="inlineStr">
        <is>
          <t>701+</t>
        </is>
      </c>
      <c r="R907" t="n">
        <v>22.5</v>
      </c>
      <c r="S907" t="inlineStr">
        <is>
          <t>589</t>
        </is>
      </c>
      <c r="T907" t="n">
        <v>12.1</v>
      </c>
      <c r="U907" t="inlineStr">
        <is>
          <t>801+</t>
        </is>
      </c>
      <c r="V907" t="n">
        <v>82.59999999999999</v>
      </c>
      <c r="W907" t="inlineStr">
        <is>
          <t>138</t>
        </is>
      </c>
      <c r="X907" t="n">
        <v>29</v>
      </c>
      <c r="Y907" t="inlineStr">
        <is>
          <t>595</t>
        </is>
      </c>
      <c r="Z907" t="n">
        <v>2.2</v>
      </c>
      <c r="AA907" t="inlineStr">
        <is>
          <t>801+</t>
        </is>
      </c>
      <c r="AB907" t="n">
        <v>6.4</v>
      </c>
      <c r="AC907" t="inlineStr">
        <is>
          <t>801+</t>
        </is>
      </c>
      <c r="AD907" t="n">
        <v>54.1</v>
      </c>
      <c r="AE907" t="inlineStr">
        <is>
          <t>781</t>
        </is>
      </c>
      <c r="AF907" t="n">
        <v>1.8</v>
      </c>
      <c r="AG907" t="inlineStr">
        <is>
          <t>801+</t>
        </is>
      </c>
      <c r="AH907" t="n">
        <v>57.3</v>
      </c>
      <c r="AI907" t="inlineStr">
        <is>
          <t>555=</t>
        </is>
      </c>
      <c r="AJ907" t="inlineStr">
        <is>
          <t>8.3</t>
        </is>
      </c>
      <c r="AK907" t="inlineStr">
        <is>
          <t>601+</t>
        </is>
      </c>
      <c r="AL907" t="inlineStr">
        <is>
          <t>12.6</t>
        </is>
      </c>
      <c r="AM907" t="inlineStr">
        <is>
          <t>601+</t>
        </is>
      </c>
      <c r="AN907" t="inlineStr">
        <is>
          <t>7.3</t>
        </is>
      </c>
      <c r="AO907" t="inlineStr">
        <is>
          <t>701+</t>
        </is>
      </c>
      <c r="AP907" t="inlineStr">
        <is>
          <t>42.4</t>
        </is>
      </c>
      <c r="AQ907" t="inlineStr">
        <is>
          <t>319</t>
        </is>
      </c>
      <c r="AR907" t="inlineStr">
        <is>
          <t>24.2</t>
        </is>
      </c>
      <c r="AS907" t="inlineStr">
        <is>
          <t>545</t>
        </is>
      </c>
      <c r="AT907" t="inlineStr">
        <is>
          <t>1.7</t>
        </is>
      </c>
      <c r="AU907" t="inlineStr">
        <is>
          <t>701+</t>
        </is>
      </c>
      <c r="AV907" t="inlineStr">
        <is>
          <t>2.1</t>
        </is>
      </c>
      <c r="AW907" t="inlineStr">
        <is>
          <t>701+</t>
        </is>
      </c>
      <c r="AX907" t="inlineStr">
        <is>
          <t>8</t>
        </is>
      </c>
      <c r="AY907" t="inlineStr">
        <is>
          <t>701+</t>
        </is>
      </c>
      <c r="AZ907" t="inlineStr">
        <is>
          <t>1</t>
        </is>
      </c>
      <c r="BA907" t="inlineStr">
        <is>
          <t>701+</t>
        </is>
      </c>
    </row>
    <row r="908">
      <c r="A908" t="inlineStr">
        <is>
          <t>Siberian Federal University</t>
        </is>
      </c>
      <c r="B908" t="inlineStr">
        <is>
          <t>Russia</t>
        </is>
      </c>
      <c r="C908" t="inlineStr"/>
      <c r="D908" t="inlineStr">
        <is>
          <t>Europe</t>
        </is>
      </c>
      <c r="E908" t="inlineStr">
        <is>
          <t>M</t>
        </is>
      </c>
      <c r="F908" t="inlineStr">
        <is>
          <t>CO</t>
        </is>
      </c>
      <c r="G908" t="inlineStr">
        <is>
          <t>VH</t>
        </is>
      </c>
      <c r="H908" t="inlineStr"/>
      <c r="I908" t="inlineStr">
        <is>
          <t>Public</t>
        </is>
      </c>
      <c r="J908" t="inlineStr">
        <is>
          <t>1001-1200</t>
        </is>
      </c>
      <c r="K908" t="inlineStr">
        <is>
          <t>1001-1200</t>
        </is>
      </c>
      <c r="L908" t="inlineStr"/>
      <c r="M908" t="inlineStr"/>
      <c r="N908" t="inlineStr">
        <is>
          <t>-</t>
        </is>
      </c>
      <c r="O908" t="inlineStr"/>
      <c r="P908" t="n">
        <v>7.8</v>
      </c>
      <c r="Q908" t="inlineStr">
        <is>
          <t>701+</t>
        </is>
      </c>
      <c r="R908" t="n">
        <v>9.9</v>
      </c>
      <c r="S908" t="inlineStr">
        <is>
          <t>701+</t>
        </is>
      </c>
      <c r="T908" t="n">
        <v>29.9</v>
      </c>
      <c r="U908" t="inlineStr">
        <is>
          <t>634</t>
        </is>
      </c>
      <c r="V908" t="n">
        <v>7.9</v>
      </c>
      <c r="W908" t="inlineStr">
        <is>
          <t>801+</t>
        </is>
      </c>
      <c r="X908" t="n">
        <v>56.8</v>
      </c>
      <c r="Y908" t="inlineStr">
        <is>
          <t>406</t>
        </is>
      </c>
      <c r="Z908" t="n">
        <v>46</v>
      </c>
      <c r="AA908" t="inlineStr">
        <is>
          <t>438</t>
        </is>
      </c>
      <c r="AB908" t="n">
        <v>47.4</v>
      </c>
      <c r="AC908" t="inlineStr">
        <is>
          <t>437</t>
        </is>
      </c>
      <c r="AD908" t="n">
        <v>37.7</v>
      </c>
      <c r="AE908" t="inlineStr">
        <is>
          <t>801+</t>
        </is>
      </c>
      <c r="AF908" t="n">
        <v>10.3</v>
      </c>
      <c r="AG908" t="inlineStr">
        <is>
          <t>801+</t>
        </is>
      </c>
      <c r="AH908" t="n">
        <v>44.4</v>
      </c>
      <c r="AI908" t="inlineStr">
        <is>
          <t>801+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</row>
    <row r="909">
      <c r="A909" t="inlineStr">
        <is>
          <t>Siberian Federal University, SibFU</t>
        </is>
      </c>
      <c r="B909" t="inlineStr">
        <is>
          <t>Russia</t>
        </is>
      </c>
      <c r="C909" t="inlineStr">
        <is>
          <t>RU</t>
        </is>
      </c>
      <c r="D909" t="inlineStr"/>
      <c r="E909" t="inlineStr">
        <is>
          <t>M</t>
        </is>
      </c>
      <c r="F909" t="inlineStr">
        <is>
          <t>CO</t>
        </is>
      </c>
      <c r="G909" t="inlineStr">
        <is>
          <t>VH</t>
        </is>
      </c>
      <c r="H909" t="inlineStr">
        <is>
          <t>2</t>
        </is>
      </c>
      <c r="I909" t="inlineStr">
        <is>
          <t>A</t>
        </is>
      </c>
      <c r="J909" t="inlineStr"/>
      <c r="K909" t="inlineStr"/>
      <c r="L909" t="inlineStr">
        <is>
          <t>1001-1200</t>
        </is>
      </c>
      <c r="M909" t="inlineStr">
        <is>
          <t>1001-1200</t>
        </is>
      </c>
      <c r="N909" t="inlineStr"/>
      <c r="O909" t="inlineStr">
        <is>
          <t>-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7.8</t>
        </is>
      </c>
      <c r="AK909" t="inlineStr">
        <is>
          <t>601+</t>
        </is>
      </c>
      <c r="AL909" t="inlineStr">
        <is>
          <t>3.8</t>
        </is>
      </c>
      <c r="AM909" t="inlineStr">
        <is>
          <t>601+</t>
        </is>
      </c>
      <c r="AN909" t="inlineStr">
        <is>
          <t>15.5</t>
        </is>
      </c>
      <c r="AO909" t="inlineStr">
        <is>
          <t>701+</t>
        </is>
      </c>
      <c r="AP909" t="inlineStr">
        <is>
          <t>3.5</t>
        </is>
      </c>
      <c r="AQ909" t="inlineStr">
        <is>
          <t>701+</t>
        </is>
      </c>
      <c r="AR909" t="inlineStr">
        <is>
          <t>45.5</t>
        </is>
      </c>
      <c r="AS909" t="inlineStr">
        <is>
          <t>375</t>
        </is>
      </c>
      <c r="AT909" t="inlineStr">
        <is>
          <t>31.2</t>
        </is>
      </c>
      <c r="AU909" t="inlineStr">
        <is>
          <t>408</t>
        </is>
      </c>
      <c r="AV909" t="inlineStr">
        <is>
          <t>2.4</t>
        </is>
      </c>
      <c r="AW909" t="inlineStr">
        <is>
          <t>701+</t>
        </is>
      </c>
      <c r="AX909" t="inlineStr">
        <is>
          <t>10.4</t>
        </is>
      </c>
      <c r="AY909" t="inlineStr">
        <is>
          <t>701+</t>
        </is>
      </c>
      <c r="AZ909" t="inlineStr">
        <is>
          <t>7.4</t>
        </is>
      </c>
      <c r="BA909" t="inlineStr">
        <is>
          <t>701+</t>
        </is>
      </c>
    </row>
    <row r="910">
      <c r="A910" t="inlineStr">
        <is>
          <t>Sichuan University</t>
        </is>
      </c>
      <c r="B910" t="inlineStr">
        <is>
          <t>China (Mainland)</t>
        </is>
      </c>
      <c r="C910" t="inlineStr">
        <is>
          <t>CN</t>
        </is>
      </c>
      <c r="D910" t="inlineStr">
        <is>
          <t>Asia</t>
        </is>
      </c>
      <c r="E910" t="inlineStr">
        <is>
          <t>XL</t>
        </is>
      </c>
      <c r="F910" t="inlineStr">
        <is>
          <t>FC</t>
        </is>
      </c>
      <c r="G910" t="inlineStr">
        <is>
          <t>VH</t>
        </is>
      </c>
      <c r="H910" t="inlineStr">
        <is>
          <t>3</t>
        </is>
      </c>
      <c r="I910" t="inlineStr">
        <is>
          <t>Public</t>
        </is>
      </c>
      <c r="J910" t="inlineStr">
        <is>
          <t>324</t>
        </is>
      </c>
      <c r="K910" t="inlineStr">
        <is>
          <t>336</t>
        </is>
      </c>
      <c r="L910">
        <f>355</f>
        <v/>
      </c>
      <c r="M910" t="inlineStr">
        <is>
          <t>406=</t>
        </is>
      </c>
      <c r="N910" t="inlineStr">
        <is>
          <t>43</t>
        </is>
      </c>
      <c r="O910" t="inlineStr">
        <is>
          <t>30.9</t>
        </is>
      </c>
      <c r="P910" t="n">
        <v>30.8</v>
      </c>
      <c r="Q910" t="inlineStr">
        <is>
          <t>397</t>
        </is>
      </c>
      <c r="R910" t="n">
        <v>34.5</v>
      </c>
      <c r="S910" t="inlineStr">
        <is>
          <t>418</t>
        </is>
      </c>
      <c r="T910" t="n">
        <v>14</v>
      </c>
      <c r="U910" t="inlineStr">
        <is>
          <t>801+</t>
        </is>
      </c>
      <c r="V910" t="n">
        <v>99.90000000000001</v>
      </c>
      <c r="W910" t="inlineStr">
        <is>
          <t>20</t>
        </is>
      </c>
      <c r="X910" t="n">
        <v>9.699999999999999</v>
      </c>
      <c r="Y910" t="inlineStr">
        <is>
          <t>801+</t>
        </is>
      </c>
      <c r="Z910" t="n">
        <v>9.199999999999999</v>
      </c>
      <c r="AA910" t="inlineStr">
        <is>
          <t>801+</t>
        </is>
      </c>
      <c r="AB910" t="n">
        <v>7.1</v>
      </c>
      <c r="AC910" t="inlineStr">
        <is>
          <t>801+</t>
        </is>
      </c>
      <c r="AD910" t="n">
        <v>72.90000000000001</v>
      </c>
      <c r="AE910" t="inlineStr">
        <is>
          <t>489</t>
        </is>
      </c>
      <c r="AF910" t="n">
        <v>21</v>
      </c>
      <c r="AG910" t="inlineStr">
        <is>
          <t>709</t>
        </is>
      </c>
      <c r="AH910" t="n">
        <v>45.3</v>
      </c>
      <c r="AI910" t="inlineStr">
        <is>
          <t>801+</t>
        </is>
      </c>
      <c r="AJ910" t="inlineStr">
        <is>
          <t>20.1</t>
        </is>
      </c>
      <c r="AK910" t="inlineStr">
        <is>
          <t>436</t>
        </is>
      </c>
      <c r="AL910" t="inlineStr">
        <is>
          <t>7.6</t>
        </is>
      </c>
      <c r="AM910" t="inlineStr">
        <is>
          <t>601+</t>
        </is>
      </c>
      <c r="AN910" t="inlineStr">
        <is>
          <t>11.4</t>
        </is>
      </c>
      <c r="AO910" t="inlineStr">
        <is>
          <t>701+</t>
        </is>
      </c>
      <c r="AP910" t="inlineStr">
        <is>
          <t>94.7</t>
        </is>
      </c>
      <c r="AQ910" t="inlineStr">
        <is>
          <t>55</t>
        </is>
      </c>
      <c r="AR910" t="inlineStr">
        <is>
          <t>6.6</t>
        </is>
      </c>
      <c r="AS910" t="inlineStr">
        <is>
          <t>701+</t>
        </is>
      </c>
      <c r="AT910" t="inlineStr">
        <is>
          <t>5.4</t>
        </is>
      </c>
      <c r="AU910" t="inlineStr">
        <is>
          <t>701+</t>
        </is>
      </c>
      <c r="AV910" t="inlineStr">
        <is>
          <t>26.2</t>
        </is>
      </c>
      <c r="AW910" t="inlineStr">
        <is>
          <t>490</t>
        </is>
      </c>
      <c r="AX910" t="inlineStr">
        <is>
          <t>14.8</t>
        </is>
      </c>
      <c r="AY910" t="inlineStr">
        <is>
          <t>564</t>
        </is>
      </c>
      <c r="AZ910" t="inlineStr">
        <is>
          <t>18.8</t>
        </is>
      </c>
      <c r="BA910" t="inlineStr">
        <is>
          <t>555=</t>
        </is>
      </c>
    </row>
    <row r="911">
      <c r="A911" t="inlineStr">
        <is>
          <t>Siksha 'O' Anusandhan (Deemed to be University)</t>
        </is>
      </c>
      <c r="B911" t="inlineStr">
        <is>
          <t>India</t>
        </is>
      </c>
      <c r="C911" t="inlineStr">
        <is>
          <t>IN</t>
        </is>
      </c>
      <c r="D911" t="inlineStr"/>
      <c r="E911" t="inlineStr">
        <is>
          <t>L</t>
        </is>
      </c>
      <c r="F911" t="inlineStr">
        <is>
          <t>FO</t>
        </is>
      </c>
      <c r="G911" t="inlineStr">
        <is>
          <t>VH</t>
        </is>
      </c>
      <c r="H911" t="inlineStr">
        <is>
          <t>3</t>
        </is>
      </c>
      <c r="I911" t="inlineStr">
        <is>
          <t>B</t>
        </is>
      </c>
      <c r="J911" t="inlineStr"/>
      <c r="K911" t="inlineStr"/>
      <c r="L911" t="inlineStr">
        <is>
          <t>1201-1400</t>
        </is>
      </c>
      <c r="M911" t="inlineStr">
        <is>
          <t>1001-1200</t>
        </is>
      </c>
      <c r="N911" t="inlineStr"/>
      <c r="O911" t="inlineStr">
        <is>
          <t>-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4.6</t>
        </is>
      </c>
      <c r="AK911" t="inlineStr">
        <is>
          <t>601+</t>
        </is>
      </c>
      <c r="AL911" t="inlineStr">
        <is>
          <t>2.0</t>
        </is>
      </c>
      <c r="AM911" t="inlineStr">
        <is>
          <t>601+</t>
        </is>
      </c>
      <c r="AN911" t="inlineStr">
        <is>
          <t>32.9</t>
        </is>
      </c>
      <c r="AO911" t="inlineStr">
        <is>
          <t>481</t>
        </is>
      </c>
      <c r="AP911" t="inlineStr">
        <is>
          <t>4.7</t>
        </is>
      </c>
      <c r="AQ911" t="inlineStr">
        <is>
          <t>701+</t>
        </is>
      </c>
      <c r="AR911" t="inlineStr">
        <is>
          <t>1.7</t>
        </is>
      </c>
      <c r="AS911" t="inlineStr">
        <is>
          <t>701+</t>
        </is>
      </c>
      <c r="AT911" t="inlineStr">
        <is>
          <t>2.1</t>
        </is>
      </c>
      <c r="AU911" t="inlineStr">
        <is>
          <t>701+</t>
        </is>
      </c>
      <c r="AV911" t="inlineStr">
        <is>
          <t>1.1</t>
        </is>
      </c>
      <c r="AW911" t="inlineStr">
        <is>
          <t>701+</t>
        </is>
      </c>
      <c r="AX911" t="inlineStr">
        <is>
          <t>8.1</t>
        </is>
      </c>
      <c r="AY911" t="inlineStr">
        <is>
          <t>701+</t>
        </is>
      </c>
      <c r="AZ911" t="inlineStr">
        <is>
          <t>1</t>
        </is>
      </c>
      <c r="BA911" t="inlineStr">
        <is>
          <t>701+</t>
        </is>
      </c>
    </row>
    <row r="912">
      <c r="A912" t="inlineStr">
        <is>
          <t>Siksha ‘O’ Anusandhan (Deemed to be University), SOA</t>
        </is>
      </c>
      <c r="B912" t="inlineStr">
        <is>
          <t>India</t>
        </is>
      </c>
      <c r="C912" t="inlineStr"/>
      <c r="D912" t="inlineStr">
        <is>
          <t>Asia</t>
        </is>
      </c>
      <c r="E912" t="inlineStr">
        <is>
          <t>L</t>
        </is>
      </c>
      <c r="F912" t="inlineStr">
        <is>
          <t>FO</t>
        </is>
      </c>
      <c r="G912" t="inlineStr">
        <is>
          <t>VH</t>
        </is>
      </c>
      <c r="H912" t="inlineStr"/>
      <c r="I912" t="inlineStr">
        <is>
          <t>Private not for Profit</t>
        </is>
      </c>
      <c r="J912" t="inlineStr">
        <is>
          <t>1201-1400</t>
        </is>
      </c>
      <c r="K912" t="inlineStr">
        <is>
          <t>1201-1400</t>
        </is>
      </c>
      <c r="L912" t="inlineStr"/>
      <c r="M912" t="inlineStr"/>
      <c r="N912" t="inlineStr">
        <is>
          <t>-</t>
        </is>
      </c>
      <c r="O912" t="inlineStr"/>
      <c r="P912" t="n">
        <v>8.199999999999999</v>
      </c>
      <c r="Q912" t="inlineStr">
        <is>
          <t>701+</t>
        </is>
      </c>
      <c r="R912" t="n">
        <v>5.5</v>
      </c>
      <c r="S912" t="inlineStr">
        <is>
          <t>701+</t>
        </is>
      </c>
      <c r="T912" t="n">
        <v>41.6</v>
      </c>
      <c r="U912" t="inlineStr">
        <is>
          <t>485</t>
        </is>
      </c>
      <c r="V912" t="n">
        <v>11.4</v>
      </c>
      <c r="W912" t="inlineStr">
        <is>
          <t>801+</t>
        </is>
      </c>
      <c r="X912" t="n">
        <v>3.2</v>
      </c>
      <c r="Y912" t="inlineStr">
        <is>
          <t>801+</t>
        </is>
      </c>
      <c r="Z912" t="n">
        <v>4</v>
      </c>
      <c r="AA912" t="inlineStr">
        <is>
          <t>801+</t>
        </is>
      </c>
      <c r="AB912" t="n">
        <v>8.199999999999999</v>
      </c>
      <c r="AC912" t="inlineStr">
        <is>
          <t>801+</t>
        </is>
      </c>
      <c r="AD912" t="n">
        <v>28.7</v>
      </c>
      <c r="AE912" t="inlineStr">
        <is>
          <t>801+</t>
        </is>
      </c>
      <c r="AF912" t="n">
        <v>1.7</v>
      </c>
      <c r="AG912" t="inlineStr">
        <is>
          <t>801+</t>
        </is>
      </c>
      <c r="AH912" t="n">
        <v>35.8</v>
      </c>
      <c r="AI912" t="inlineStr">
        <is>
          <t>801+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</row>
    <row r="913">
      <c r="A913" t="inlineStr">
        <is>
          <t>Silesian University of Technology</t>
        </is>
      </c>
      <c r="B913" t="inlineStr">
        <is>
          <t>Poland</t>
        </is>
      </c>
      <c r="C913" t="inlineStr">
        <is>
          <t>PL</t>
        </is>
      </c>
      <c r="D913" t="inlineStr"/>
      <c r="E913" t="inlineStr">
        <is>
          <t>L</t>
        </is>
      </c>
      <c r="F913" t="inlineStr">
        <is>
          <t>FO</t>
        </is>
      </c>
      <c r="G913" t="inlineStr">
        <is>
          <t>VH</t>
        </is>
      </c>
      <c r="H913" t="inlineStr">
        <is>
          <t>4</t>
        </is>
      </c>
      <c r="I913" t="inlineStr">
        <is>
          <t>A</t>
        </is>
      </c>
      <c r="J913" t="inlineStr"/>
      <c r="K913" t="inlineStr"/>
      <c r="L913" t="inlineStr">
        <is>
          <t>1001-1200</t>
        </is>
      </c>
      <c r="M913" t="inlineStr">
        <is>
          <t>1001-1200</t>
        </is>
      </c>
      <c r="N913" t="inlineStr"/>
      <c r="O913" t="inlineStr">
        <is>
          <t>-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6.5</t>
        </is>
      </c>
      <c r="AK913" t="inlineStr">
        <is>
          <t>601+</t>
        </is>
      </c>
      <c r="AL913" t="inlineStr">
        <is>
          <t>3.6</t>
        </is>
      </c>
      <c r="AM913" t="inlineStr">
        <is>
          <t>601+</t>
        </is>
      </c>
      <c r="AN913" t="inlineStr">
        <is>
          <t>27.7</t>
        </is>
      </c>
      <c r="AO913" t="inlineStr">
        <is>
          <t>549</t>
        </is>
      </c>
      <c r="AP913" t="inlineStr">
        <is>
          <t>6.2</t>
        </is>
      </c>
      <c r="AQ913" t="inlineStr">
        <is>
          <t>701+</t>
        </is>
      </c>
      <c r="AR913" t="inlineStr">
        <is>
          <t>2.4</t>
        </is>
      </c>
      <c r="AS913" t="inlineStr">
        <is>
          <t>701+</t>
        </is>
      </c>
      <c r="AT913" t="inlineStr">
        <is>
          <t>4.4</t>
        </is>
      </c>
      <c r="AU913" t="inlineStr">
        <is>
          <t>701+</t>
        </is>
      </c>
      <c r="AV913" t="inlineStr">
        <is>
          <t>9.0</t>
        </is>
      </c>
      <c r="AW913" t="inlineStr">
        <is>
          <t>697</t>
        </is>
      </c>
      <c r="AX913" t="inlineStr">
        <is>
          <t>11.1</t>
        </is>
      </c>
      <c r="AY913" t="inlineStr">
        <is>
          <t>701+</t>
        </is>
      </c>
      <c r="AZ913" t="inlineStr">
        <is>
          <t>1.4</t>
        </is>
      </c>
      <c r="BA913" t="inlineStr">
        <is>
          <t>701+</t>
        </is>
      </c>
    </row>
    <row r="914">
      <c r="A914" t="inlineStr">
        <is>
          <t>Silesian University of Technology in Gliwice</t>
        </is>
      </c>
      <c r="B914" t="inlineStr">
        <is>
          <t>Poland</t>
        </is>
      </c>
      <c r="C914" t="inlineStr"/>
      <c r="D914" t="inlineStr">
        <is>
          <t>Europe</t>
        </is>
      </c>
      <c r="E914" t="inlineStr">
        <is>
          <t>L</t>
        </is>
      </c>
      <c r="F914" t="inlineStr">
        <is>
          <t>FO</t>
        </is>
      </c>
      <c r="G914" t="inlineStr">
        <is>
          <t>VH</t>
        </is>
      </c>
      <c r="H914" t="inlineStr"/>
      <c r="I914" t="inlineStr">
        <is>
          <t>Public</t>
        </is>
      </c>
      <c r="J914" t="inlineStr">
        <is>
          <t>1001-1200</t>
        </is>
      </c>
      <c r="K914" t="inlineStr">
        <is>
          <t>1001-1200</t>
        </is>
      </c>
      <c r="L914" t="inlineStr"/>
      <c r="M914" t="inlineStr"/>
      <c r="N914" t="inlineStr">
        <is>
          <t>-</t>
        </is>
      </c>
      <c r="O914" t="inlineStr"/>
      <c r="P914" t="n">
        <v>8.699999999999999</v>
      </c>
      <c r="Q914" t="inlineStr">
        <is>
          <t>701+</t>
        </is>
      </c>
      <c r="R914" t="n">
        <v>9.800000000000001</v>
      </c>
      <c r="S914" t="inlineStr">
        <is>
          <t>701+</t>
        </is>
      </c>
      <c r="T914" t="n">
        <v>39.3</v>
      </c>
      <c r="U914" t="inlineStr">
        <is>
          <t>516</t>
        </is>
      </c>
      <c r="V914" t="n">
        <v>15.2</v>
      </c>
      <c r="W914" t="inlineStr">
        <is>
          <t>801+</t>
        </is>
      </c>
      <c r="X914" t="n">
        <v>4.9</v>
      </c>
      <c r="Y914" t="inlineStr">
        <is>
          <t>801+</t>
        </is>
      </c>
      <c r="Z914" t="n">
        <v>7.1</v>
      </c>
      <c r="AA914" t="inlineStr">
        <is>
          <t>801+</t>
        </is>
      </c>
      <c r="AB914" t="n">
        <v>12.4</v>
      </c>
      <c r="AC914" t="inlineStr">
        <is>
          <t>801+</t>
        </is>
      </c>
      <c r="AD914" t="n">
        <v>75.2</v>
      </c>
      <c r="AE914" t="inlineStr">
        <is>
          <t>440</t>
        </is>
      </c>
      <c r="AF914" t="n">
        <v>13.2</v>
      </c>
      <c r="AG914" t="inlineStr">
        <is>
          <t>801+</t>
        </is>
      </c>
      <c r="AH914" t="n">
        <v>32.1</v>
      </c>
      <c r="AI914" t="inlineStr">
        <is>
          <t>801+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</row>
    <row r="915">
      <c r="A915" t="inlineStr">
        <is>
          <t>Silpakorn University</t>
        </is>
      </c>
      <c r="B915" t="inlineStr">
        <is>
          <t>Thailand</t>
        </is>
      </c>
      <c r="C915" t="inlineStr">
        <is>
          <t>TH</t>
        </is>
      </c>
      <c r="D915" t="inlineStr">
        <is>
          <t>Asia</t>
        </is>
      </c>
      <c r="E915" t="inlineStr">
        <is>
          <t>L</t>
        </is>
      </c>
      <c r="F915" t="inlineStr">
        <is>
          <t>CO</t>
        </is>
      </c>
      <c r="G915" t="inlineStr">
        <is>
          <t>HI</t>
        </is>
      </c>
      <c r="H915" t="inlineStr">
        <is>
          <t>4</t>
        </is>
      </c>
      <c r="I915" t="inlineStr">
        <is>
          <t>Public</t>
        </is>
      </c>
      <c r="J915" t="inlineStr">
        <is>
          <t>1401+</t>
        </is>
      </c>
      <c r="K915" t="inlineStr">
        <is>
          <t>1401+</t>
        </is>
      </c>
      <c r="L915" t="inlineStr">
        <is>
          <t>1201-1400</t>
        </is>
      </c>
      <c r="M915" t="inlineStr"/>
      <c r="N915" t="inlineStr">
        <is>
          <t>-</t>
        </is>
      </c>
      <c r="O915" t="inlineStr">
        <is>
          <t>-</t>
        </is>
      </c>
      <c r="P915" t="n">
        <v>10.4</v>
      </c>
      <c r="Q915" t="inlineStr">
        <is>
          <t>701+</t>
        </is>
      </c>
      <c r="R915" t="n">
        <v>12.6</v>
      </c>
      <c r="S915" t="inlineStr">
        <is>
          <t>701+</t>
        </is>
      </c>
      <c r="T915" t="n">
        <v>5.7</v>
      </c>
      <c r="U915" t="inlineStr">
        <is>
          <t>801+</t>
        </is>
      </c>
      <c r="V915" t="n">
        <v>4.5</v>
      </c>
      <c r="W915" t="inlineStr">
        <is>
          <t>801+</t>
        </is>
      </c>
      <c r="X915" t="n">
        <v>8</v>
      </c>
      <c r="Y915" t="inlineStr">
        <is>
          <t>801+</t>
        </is>
      </c>
      <c r="Z915" t="n">
        <v>2.7</v>
      </c>
      <c r="AA915" t="inlineStr">
        <is>
          <t>801+</t>
        </is>
      </c>
      <c r="AB915" t="n">
        <v>7.1</v>
      </c>
      <c r="AC915" t="inlineStr">
        <is>
          <t>801+</t>
        </is>
      </c>
      <c r="AD915" t="n">
        <v>26.7</v>
      </c>
      <c r="AE915" t="inlineStr">
        <is>
          <t>801+</t>
        </is>
      </c>
      <c r="AF915" t="n">
        <v>3.1</v>
      </c>
      <c r="AG915" t="inlineStr">
        <is>
          <t>801+</t>
        </is>
      </c>
      <c r="AH915" t="n">
        <v>22.6</v>
      </c>
      <c r="AI915" t="inlineStr">
        <is>
          <t>801+</t>
        </is>
      </c>
      <c r="AJ915" t="inlineStr">
        <is>
          <t>6.2</t>
        </is>
      </c>
      <c r="AK915" t="inlineStr">
        <is>
          <t>601+</t>
        </is>
      </c>
      <c r="AL915" t="inlineStr">
        <is>
          <t>6.7</t>
        </is>
      </c>
      <c r="AM915" t="inlineStr">
        <is>
          <t>601+</t>
        </is>
      </c>
      <c r="AN915" t="inlineStr">
        <is>
          <t>4.5</t>
        </is>
      </c>
      <c r="AO915" t="inlineStr">
        <is>
          <t>701+</t>
        </is>
      </c>
      <c r="AP915" t="inlineStr">
        <is>
          <t>2.7</t>
        </is>
      </c>
      <c r="AQ915" t="inlineStr">
        <is>
          <t>701+</t>
        </is>
      </c>
      <c r="AR915" t="inlineStr">
        <is>
          <t>4.6</t>
        </is>
      </c>
      <c r="AS915" t="inlineStr">
        <is>
          <t>701+</t>
        </is>
      </c>
      <c r="AT915" t="inlineStr">
        <is>
          <t>1.2</t>
        </is>
      </c>
      <c r="AU915" t="inlineStr">
        <is>
          <t>701+</t>
        </is>
      </c>
      <c r="AV915" t="inlineStr">
        <is>
          <t>1.0</t>
        </is>
      </c>
      <c r="AW915" t="inlineStr">
        <is>
          <t>701+</t>
        </is>
      </c>
      <c r="AX915" t="inlineStr">
        <is>
          <t>7.4</t>
        </is>
      </c>
      <c r="AY915" t="inlineStr">
        <is>
          <t>701+</t>
        </is>
      </c>
      <c r="AZ915" t="inlineStr">
        <is>
          <t>1</t>
        </is>
      </c>
      <c r="BA915" t="inlineStr">
        <is>
          <t>701+</t>
        </is>
      </c>
    </row>
    <row r="916">
      <c r="A916" t="inlineStr">
        <is>
          <t>Simon Fraser University</t>
        </is>
      </c>
      <c r="B916" t="inlineStr">
        <is>
          <t>Canada</t>
        </is>
      </c>
      <c r="C916" t="inlineStr">
        <is>
          <t>CA</t>
        </is>
      </c>
      <c r="D916" t="inlineStr">
        <is>
          <t>Americas</t>
        </is>
      </c>
      <c r="E916" t="inlineStr">
        <is>
          <t>L</t>
        </is>
      </c>
      <c r="F916" t="inlineStr">
        <is>
          <t>CO</t>
        </is>
      </c>
      <c r="G916" t="inlineStr">
        <is>
          <t>VH</t>
        </is>
      </c>
      <c r="H916" t="inlineStr">
        <is>
          <t>4</t>
        </is>
      </c>
      <c r="I916" t="inlineStr">
        <is>
          <t>Public</t>
        </is>
      </c>
      <c r="J916" t="inlineStr">
        <is>
          <t>308</t>
        </is>
      </c>
      <c r="K916" t="inlineStr">
        <is>
          <t>319</t>
        </is>
      </c>
      <c r="L916" t="inlineStr">
        <is>
          <t>318</t>
        </is>
      </c>
      <c r="M916" t="inlineStr">
        <is>
          <t>328=</t>
        </is>
      </c>
      <c r="N916" t="inlineStr">
        <is>
          <t>44.7</t>
        </is>
      </c>
      <c r="O916" t="inlineStr">
        <is>
          <t>33.3</t>
        </is>
      </c>
      <c r="P916" t="n">
        <v>34.9</v>
      </c>
      <c r="Q916" t="inlineStr">
        <is>
          <t>345</t>
        </is>
      </c>
      <c r="R916" t="n">
        <v>20.7</v>
      </c>
      <c r="S916" t="inlineStr">
        <is>
          <t>636</t>
        </is>
      </c>
      <c r="T916" t="n">
        <v>7.6</v>
      </c>
      <c r="U916" t="inlineStr">
        <is>
          <t>801+</t>
        </is>
      </c>
      <c r="V916" t="n">
        <v>59.6</v>
      </c>
      <c r="W916" t="inlineStr">
        <is>
          <t>289</t>
        </is>
      </c>
      <c r="X916" t="n">
        <v>99.09999999999999</v>
      </c>
      <c r="Y916" t="inlineStr">
        <is>
          <t>127</t>
        </is>
      </c>
      <c r="Z916" t="n">
        <v>86.09999999999999</v>
      </c>
      <c r="AA916" t="inlineStr">
        <is>
          <t>189</t>
        </is>
      </c>
      <c r="AB916" t="n">
        <v>87.3</v>
      </c>
      <c r="AC916" t="inlineStr">
        <is>
          <t>158</t>
        </is>
      </c>
      <c r="AD916" t="n">
        <v>78.40000000000001</v>
      </c>
      <c r="AE916" t="inlineStr">
        <is>
          <t>376</t>
        </is>
      </c>
      <c r="AF916" t="n">
        <v>34</v>
      </c>
      <c r="AG916" t="inlineStr">
        <is>
          <t>500</t>
        </is>
      </c>
      <c r="AH916" t="n">
        <v>85.2</v>
      </c>
      <c r="AI916" t="inlineStr">
        <is>
          <t>109</t>
        </is>
      </c>
      <c r="AJ916" t="inlineStr">
        <is>
          <t>25.5</t>
        </is>
      </c>
      <c r="AK916" t="inlineStr">
        <is>
          <t>343</t>
        </is>
      </c>
      <c r="AL916" t="inlineStr">
        <is>
          <t>13.5</t>
        </is>
      </c>
      <c r="AM916" t="inlineStr">
        <is>
          <t>600</t>
        </is>
      </c>
      <c r="AN916" t="inlineStr">
        <is>
          <t>5.7</t>
        </is>
      </c>
      <c r="AO916" t="inlineStr">
        <is>
          <t>701+</t>
        </is>
      </c>
      <c r="AP916" t="inlineStr">
        <is>
          <t>42.5</t>
        </is>
      </c>
      <c r="AQ916" t="inlineStr">
        <is>
          <t>315</t>
        </is>
      </c>
      <c r="AR916" t="inlineStr">
        <is>
          <t>96.8</t>
        </is>
      </c>
      <c r="AS916" t="inlineStr">
        <is>
          <t>128</t>
        </is>
      </c>
      <c r="AT916" t="inlineStr">
        <is>
          <t>86.3</t>
        </is>
      </c>
      <c r="AU916" t="inlineStr">
        <is>
          <t>139</t>
        </is>
      </c>
      <c r="AV916" t="inlineStr">
        <is>
          <t>34.5</t>
        </is>
      </c>
      <c r="AW916" t="inlineStr">
        <is>
          <t>423</t>
        </is>
      </c>
      <c r="AX916" t="inlineStr">
        <is>
          <t>17.6</t>
        </is>
      </c>
      <c r="AY916" t="inlineStr">
        <is>
          <t>474</t>
        </is>
      </c>
      <c r="AZ916" t="inlineStr">
        <is>
          <t>54.3</t>
        </is>
      </c>
      <c r="BA916" t="inlineStr">
        <is>
          <t>283=</t>
        </is>
      </c>
    </row>
    <row r="917">
      <c r="A917" t="inlineStr">
        <is>
          <t>Singapore Management University</t>
        </is>
      </c>
      <c r="B917" t="inlineStr">
        <is>
          <t>Singapore</t>
        </is>
      </c>
      <c r="C917" t="inlineStr">
        <is>
          <t>SG</t>
        </is>
      </c>
      <c r="D917" t="inlineStr">
        <is>
          <t>Asia</t>
        </is>
      </c>
      <c r="E917" t="inlineStr">
        <is>
          <t>M</t>
        </is>
      </c>
      <c r="F917" t="inlineStr">
        <is>
          <t>SP</t>
        </is>
      </c>
      <c r="G917" t="inlineStr">
        <is>
          <t>VH</t>
        </is>
      </c>
      <c r="H917" t="inlineStr">
        <is>
          <t>2</t>
        </is>
      </c>
      <c r="I917" t="inlineStr">
        <is>
          <t>Public</t>
        </is>
      </c>
      <c r="J917" t="inlineStr">
        <is>
          <t>511</t>
        </is>
      </c>
      <c r="K917" t="inlineStr">
        <is>
          <t>585</t>
        </is>
      </c>
      <c r="L917">
        <f>545</f>
        <v/>
      </c>
      <c r="M917" t="inlineStr">
        <is>
          <t>561-570</t>
        </is>
      </c>
      <c r="N917" t="inlineStr">
        <is>
          <t>31.6</t>
        </is>
      </c>
      <c r="O917" t="inlineStr">
        <is>
          <t>21.5</t>
        </is>
      </c>
      <c r="P917" t="n">
        <v>19.4</v>
      </c>
      <c r="Q917" t="inlineStr">
        <is>
          <t>635</t>
        </is>
      </c>
      <c r="R917" t="n">
        <v>27.4</v>
      </c>
      <c r="S917" t="inlineStr">
        <is>
          <t>502</t>
        </is>
      </c>
      <c r="T917" t="n">
        <v>14.2</v>
      </c>
      <c r="U917" t="inlineStr">
        <is>
          <t>801+</t>
        </is>
      </c>
      <c r="V917" t="n">
        <v>30.9</v>
      </c>
      <c r="W917" t="inlineStr">
        <is>
          <t>577</t>
        </is>
      </c>
      <c r="X917" t="n">
        <v>100</v>
      </c>
      <c r="Y917" t="inlineStr">
        <is>
          <t>48</t>
        </is>
      </c>
      <c r="Z917" t="n">
        <v>83.2</v>
      </c>
      <c r="AA917" t="inlineStr">
        <is>
          <t>203</t>
        </is>
      </c>
      <c r="AB917" t="n">
        <v>80.40000000000001</v>
      </c>
      <c r="AC917" t="inlineStr">
        <is>
          <t>205</t>
        </is>
      </c>
      <c r="AD917" t="n">
        <v>23</v>
      </c>
      <c r="AE917" t="inlineStr">
        <is>
          <t>801+</t>
        </is>
      </c>
      <c r="AF917" t="n">
        <v>38.1</v>
      </c>
      <c r="AG917" t="inlineStr">
        <is>
          <t>455</t>
        </is>
      </c>
      <c r="AH917" t="n">
        <v>58.9</v>
      </c>
      <c r="AI917" t="inlineStr">
        <is>
          <t>521=</t>
        </is>
      </c>
      <c r="AJ917" t="inlineStr">
        <is>
          <t>11.8</t>
        </is>
      </c>
      <c r="AK917" t="inlineStr">
        <is>
          <t>601+</t>
        </is>
      </c>
      <c r="AL917" t="inlineStr">
        <is>
          <t>15.3</t>
        </is>
      </c>
      <c r="AM917" t="inlineStr">
        <is>
          <t>538</t>
        </is>
      </c>
      <c r="AN917" t="inlineStr">
        <is>
          <t>10.5</t>
        </is>
      </c>
      <c r="AO917" t="inlineStr">
        <is>
          <t>701+</t>
        </is>
      </c>
      <c r="AP917" t="inlineStr">
        <is>
          <t>20.9</t>
        </is>
      </c>
      <c r="AQ917" t="inlineStr">
        <is>
          <t>546</t>
        </is>
      </c>
      <c r="AR917" t="inlineStr">
        <is>
          <t>100.0</t>
        </is>
      </c>
      <c r="AS917" t="inlineStr">
        <is>
          <t>39</t>
        </is>
      </c>
      <c r="AT917" t="inlineStr">
        <is>
          <t>63.3</t>
        </is>
      </c>
      <c r="AU917" t="inlineStr">
        <is>
          <t>238</t>
        </is>
      </c>
      <c r="AV917" t="inlineStr">
        <is>
          <t>1.2</t>
        </is>
      </c>
      <c r="AW917" t="inlineStr">
        <is>
          <t>701+</t>
        </is>
      </c>
      <c r="AX917" t="inlineStr">
        <is>
          <t>25</t>
        </is>
      </c>
      <c r="AY917" t="inlineStr">
        <is>
          <t>331</t>
        </is>
      </c>
      <c r="AZ917" t="inlineStr">
        <is>
          <t>21.4</t>
        </is>
      </c>
      <c r="BA917" t="inlineStr">
        <is>
          <t>531=</t>
        </is>
      </c>
    </row>
    <row r="918">
      <c r="A918" t="inlineStr">
        <is>
          <t>Singapore University of Technology and Design</t>
        </is>
      </c>
      <c r="B918" t="inlineStr">
        <is>
          <t>Singapore</t>
        </is>
      </c>
      <c r="C918" t="inlineStr">
        <is>
          <t>SG</t>
        </is>
      </c>
      <c r="D918" t="inlineStr">
        <is>
          <t>Asia</t>
        </is>
      </c>
      <c r="E918" t="inlineStr">
        <is>
          <t>S</t>
        </is>
      </c>
      <c r="F918" t="inlineStr">
        <is>
          <t>SP</t>
        </is>
      </c>
      <c r="G918" t="inlineStr">
        <is>
          <t>VH</t>
        </is>
      </c>
      <c r="H918" t="inlineStr">
        <is>
          <t>2</t>
        </is>
      </c>
      <c r="I918" t="inlineStr"/>
      <c r="J918" t="inlineStr">
        <is>
          <t>519</t>
        </is>
      </c>
      <c r="K918" t="inlineStr">
        <is>
          <t>440</t>
        </is>
      </c>
      <c r="L918">
        <f>429</f>
        <v/>
      </c>
      <c r="M918" t="inlineStr"/>
      <c r="N918" t="inlineStr">
        <is>
          <t>31.3</t>
        </is>
      </c>
      <c r="O918" t="inlineStr">
        <is>
          <t>26.3</t>
        </is>
      </c>
      <c r="P918" t="n">
        <v>11</v>
      </c>
      <c r="Q918" t="inlineStr">
        <is>
          <t>701+</t>
        </is>
      </c>
      <c r="R918" t="n">
        <v>11.3</v>
      </c>
      <c r="S918" t="inlineStr">
        <is>
          <t>701+</t>
        </is>
      </c>
      <c r="T918" t="n">
        <v>99.3</v>
      </c>
      <c r="U918" t="inlineStr">
        <is>
          <t>41</t>
        </is>
      </c>
      <c r="V918" t="n">
        <v>71</v>
      </c>
      <c r="W918" t="inlineStr">
        <is>
          <t>208</t>
        </is>
      </c>
      <c r="X918" t="inlineStr"/>
      <c r="Y918" t="inlineStr"/>
      <c r="Z918" t="inlineStr"/>
      <c r="AA918" t="inlineStr"/>
      <c r="AB918" t="inlineStr"/>
      <c r="AC918" t="inlineStr"/>
      <c r="AD918" t="n">
        <v>35.2</v>
      </c>
      <c r="AE918" t="inlineStr">
        <is>
          <t>801+</t>
        </is>
      </c>
      <c r="AF918" t="n">
        <v>5.3</v>
      </c>
      <c r="AG918" t="inlineStr">
        <is>
          <t>801+</t>
        </is>
      </c>
      <c r="AH918" t="n">
        <v>25</v>
      </c>
      <c r="AI918" t="inlineStr">
        <is>
          <t>801+</t>
        </is>
      </c>
      <c r="AJ918" t="inlineStr">
        <is>
          <t>7.0</t>
        </is>
      </c>
      <c r="AK918" t="inlineStr">
        <is>
          <t>601+</t>
        </is>
      </c>
      <c r="AL918" t="inlineStr">
        <is>
          <t>5.8</t>
        </is>
      </c>
      <c r="AM918" t="inlineStr">
        <is>
          <t>601+</t>
        </is>
      </c>
      <c r="AN918" t="inlineStr">
        <is>
          <t>99.2</t>
        </is>
      </c>
      <c r="AO918" t="inlineStr">
        <is>
          <t>34</t>
        </is>
      </c>
      <c r="AP918" t="inlineStr">
        <is>
          <t>64.6</t>
        </is>
      </c>
      <c r="AQ918" t="inlineStr">
        <is>
          <t>180</t>
        </is>
      </c>
      <c r="AR918" t="inlineStr"/>
      <c r="AS918" t="inlineStr"/>
      <c r="AT918" t="inlineStr"/>
      <c r="AU918" t="inlineStr"/>
      <c r="AV918" t="inlineStr">
        <is>
          <t>3.1</t>
        </is>
      </c>
      <c r="AW918" t="inlineStr">
        <is>
          <t>701+</t>
        </is>
      </c>
      <c r="AX918" t="inlineStr">
        <is>
          <t>7.5</t>
        </is>
      </c>
      <c r="AY918" t="inlineStr">
        <is>
          <t>701+</t>
        </is>
      </c>
      <c r="AZ918" t="inlineStr"/>
      <c r="BA918" t="inlineStr"/>
    </row>
    <row r="919">
      <c r="A919" t="inlineStr">
        <is>
          <t>Slovak University of Agriculture in Nitra</t>
        </is>
      </c>
      <c r="B919" t="inlineStr">
        <is>
          <t>Slovakia</t>
        </is>
      </c>
      <c r="C919" t="inlineStr"/>
      <c r="D919" t="inlineStr">
        <is>
          <t>Europe</t>
        </is>
      </c>
      <c r="E919" t="inlineStr">
        <is>
          <t>S</t>
        </is>
      </c>
      <c r="F919" t="inlineStr">
        <is>
          <t>SP</t>
        </is>
      </c>
      <c r="G919" t="inlineStr">
        <is>
          <t>HI</t>
        </is>
      </c>
      <c r="H919" t="inlineStr"/>
      <c r="I919" t="inlineStr">
        <is>
          <t>Public</t>
        </is>
      </c>
      <c r="J919" t="inlineStr">
        <is>
          <t>1201-1400</t>
        </is>
      </c>
      <c r="K919" t="inlineStr">
        <is>
          <t>1001-1200</t>
        </is>
      </c>
      <c r="L919" t="inlineStr"/>
      <c r="M919" t="inlineStr"/>
      <c r="N919" t="inlineStr">
        <is>
          <t>-</t>
        </is>
      </c>
      <c r="O919" t="inlineStr"/>
      <c r="P919" t="n">
        <v>8.9</v>
      </c>
      <c r="Q919" t="inlineStr">
        <is>
          <t>701+</t>
        </is>
      </c>
      <c r="R919" t="n">
        <v>10.6</v>
      </c>
      <c r="S919" t="inlineStr">
        <is>
          <t>701+</t>
        </is>
      </c>
      <c r="T919" t="n">
        <v>36.7</v>
      </c>
      <c r="U919" t="inlineStr">
        <is>
          <t>547</t>
        </is>
      </c>
      <c r="V919" t="n">
        <v>15.5</v>
      </c>
      <c r="W919" t="inlineStr">
        <is>
          <t>794</t>
        </is>
      </c>
      <c r="X919" t="n">
        <v>8.800000000000001</v>
      </c>
      <c r="Y919" t="inlineStr">
        <is>
          <t>801+</t>
        </is>
      </c>
      <c r="Z919" t="n">
        <v>8.9</v>
      </c>
      <c r="AA919" t="inlineStr">
        <is>
          <t>801+</t>
        </is>
      </c>
      <c r="AB919" t="n">
        <v>12.3</v>
      </c>
      <c r="AC919" t="inlineStr">
        <is>
          <t>801+</t>
        </is>
      </c>
      <c r="AD919" t="n">
        <v>28.5</v>
      </c>
      <c r="AE919" t="inlineStr">
        <is>
          <t>801+</t>
        </is>
      </c>
      <c r="AF919" t="n">
        <v>5.7</v>
      </c>
      <c r="AG919" t="inlineStr">
        <is>
          <t>801+</t>
        </is>
      </c>
      <c r="AH919" t="n">
        <v>24.9</v>
      </c>
      <c r="AI919" t="inlineStr">
        <is>
          <t>801+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</row>
    <row r="920">
      <c r="A920" t="inlineStr">
        <is>
          <t>Slovak University of Technology in Bratislava</t>
        </is>
      </c>
      <c r="B920" t="inlineStr">
        <is>
          <t>Slovakia</t>
        </is>
      </c>
      <c r="C920" t="inlineStr">
        <is>
          <t>SK</t>
        </is>
      </c>
      <c r="D920" t="inlineStr">
        <is>
          <t>Europe</t>
        </is>
      </c>
      <c r="E920" t="inlineStr">
        <is>
          <t>M</t>
        </is>
      </c>
      <c r="F920" t="inlineStr">
        <is>
          <t>FO</t>
        </is>
      </c>
      <c r="G920" t="inlineStr">
        <is>
          <t>VH</t>
        </is>
      </c>
      <c r="H920" t="inlineStr">
        <is>
          <t>4</t>
        </is>
      </c>
      <c r="I920" t="inlineStr">
        <is>
          <t>Public</t>
        </is>
      </c>
      <c r="J920" t="inlineStr">
        <is>
          <t>1001-1200</t>
        </is>
      </c>
      <c r="K920" t="inlineStr">
        <is>
          <t>1001-1200</t>
        </is>
      </c>
      <c r="L920" t="inlineStr">
        <is>
          <t>1001-1200</t>
        </is>
      </c>
      <c r="M920" t="inlineStr">
        <is>
          <t>801-1000</t>
        </is>
      </c>
      <c r="N920" t="inlineStr">
        <is>
          <t>-</t>
        </is>
      </c>
      <c r="O920" t="inlineStr">
        <is>
          <t>-</t>
        </is>
      </c>
      <c r="P920" t="n">
        <v>10.8</v>
      </c>
      <c r="Q920" t="inlineStr">
        <is>
          <t>701+</t>
        </is>
      </c>
      <c r="R920" t="n">
        <v>10.6</v>
      </c>
      <c r="S920" t="inlineStr">
        <is>
          <t>701+</t>
        </is>
      </c>
      <c r="T920" t="n">
        <v>48.9</v>
      </c>
      <c r="U920" t="inlineStr">
        <is>
          <t>396</t>
        </is>
      </c>
      <c r="V920" t="n">
        <v>7.7</v>
      </c>
      <c r="W920" t="inlineStr">
        <is>
          <t>801+</t>
        </is>
      </c>
      <c r="X920" t="n">
        <v>4.8</v>
      </c>
      <c r="Y920" t="inlineStr">
        <is>
          <t>801+</t>
        </is>
      </c>
      <c r="Z920" t="n">
        <v>29.1</v>
      </c>
      <c r="AA920" t="inlineStr">
        <is>
          <t>602</t>
        </is>
      </c>
      <c r="AB920" t="n">
        <v>21.8</v>
      </c>
      <c r="AC920" t="inlineStr">
        <is>
          <t>732</t>
        </is>
      </c>
      <c r="AD920" t="n">
        <v>54.2</v>
      </c>
      <c r="AE920" t="inlineStr">
        <is>
          <t>779</t>
        </is>
      </c>
      <c r="AF920" t="n">
        <v>17.9</v>
      </c>
      <c r="AG920" t="inlineStr">
        <is>
          <t>762</t>
        </is>
      </c>
      <c r="AH920" t="n">
        <v>28.1</v>
      </c>
      <c r="AI920" t="inlineStr">
        <is>
          <t>801+</t>
        </is>
      </c>
      <c r="AJ920" t="inlineStr">
        <is>
          <t>9.7</t>
        </is>
      </c>
      <c r="AK920" t="inlineStr">
        <is>
          <t>601+</t>
        </is>
      </c>
      <c r="AL920" t="inlineStr">
        <is>
          <t>7.9</t>
        </is>
      </c>
      <c r="AM920" t="inlineStr">
        <is>
          <t>601+</t>
        </is>
      </c>
      <c r="AN920" t="inlineStr">
        <is>
          <t>34.7</t>
        </is>
      </c>
      <c r="AO920" t="inlineStr">
        <is>
          <t>460</t>
        </is>
      </c>
      <c r="AP920" t="inlineStr">
        <is>
          <t>3.6</t>
        </is>
      </c>
      <c r="AQ920" t="inlineStr">
        <is>
          <t>701+</t>
        </is>
      </c>
      <c r="AR920" t="inlineStr">
        <is>
          <t>2.1</t>
        </is>
      </c>
      <c r="AS920" t="inlineStr">
        <is>
          <t>701+</t>
        </is>
      </c>
      <c r="AT920" t="inlineStr">
        <is>
          <t>2.7</t>
        </is>
      </c>
      <c r="AU920" t="inlineStr">
        <is>
          <t>701+</t>
        </is>
      </c>
      <c r="AV920" t="inlineStr">
        <is>
          <t>2.6</t>
        </is>
      </c>
      <c r="AW920" t="inlineStr">
        <is>
          <t>701+</t>
        </is>
      </c>
      <c r="AX920" t="inlineStr">
        <is>
          <t>18.2</t>
        </is>
      </c>
      <c r="AY920" t="inlineStr">
        <is>
          <t>459</t>
        </is>
      </c>
      <c r="AZ920" t="inlineStr">
        <is>
          <t>1.4</t>
        </is>
      </c>
      <c r="BA920" t="inlineStr">
        <is>
          <t>701+</t>
        </is>
      </c>
    </row>
    <row r="921">
      <c r="A921" t="inlineStr">
        <is>
          <t>SOAS University of London</t>
        </is>
      </c>
      <c r="B921" t="inlineStr">
        <is>
          <t>United Kingdom</t>
        </is>
      </c>
      <c r="C921" t="inlineStr">
        <is>
          <t>UK</t>
        </is>
      </c>
      <c r="D921" t="inlineStr">
        <is>
          <t>Europe</t>
        </is>
      </c>
      <c r="E921" t="inlineStr">
        <is>
          <t>M</t>
        </is>
      </c>
      <c r="F921" t="inlineStr">
        <is>
          <t>FO</t>
        </is>
      </c>
      <c r="G921" t="inlineStr">
        <is>
          <t>VH</t>
        </is>
      </c>
      <c r="H921" t="inlineStr">
        <is>
          <t>5</t>
        </is>
      </c>
      <c r="I921" t="inlineStr">
        <is>
          <t>Public</t>
        </is>
      </c>
      <c r="J921" t="inlineStr">
        <is>
          <t>511</t>
        </is>
      </c>
      <c r="K921" t="inlineStr">
        <is>
          <t>508</t>
        </is>
      </c>
      <c r="L921">
        <f>511</f>
        <v/>
      </c>
      <c r="M921" t="inlineStr">
        <is>
          <t>443=</t>
        </is>
      </c>
      <c r="N921" t="inlineStr">
        <is>
          <t>31.6</t>
        </is>
      </c>
      <c r="O921" t="inlineStr">
        <is>
          <t>22.8</t>
        </is>
      </c>
      <c r="P921" t="n">
        <v>24.7</v>
      </c>
      <c r="Q921" t="inlineStr">
        <is>
          <t>516</t>
        </is>
      </c>
      <c r="R921" t="n">
        <v>19</v>
      </c>
      <c r="S921" t="inlineStr">
        <is>
          <t>686</t>
        </is>
      </c>
      <c r="T921" t="n">
        <v>18.4</v>
      </c>
      <c r="U921" t="inlineStr">
        <is>
          <t>801+</t>
        </is>
      </c>
      <c r="V921" t="n">
        <v>23.7</v>
      </c>
      <c r="W921" t="inlineStr">
        <is>
          <t>663</t>
        </is>
      </c>
      <c r="X921" t="n">
        <v>100</v>
      </c>
      <c r="Y921" t="inlineStr">
        <is>
          <t>67</t>
        </is>
      </c>
      <c r="Z921" t="n">
        <v>99.2</v>
      </c>
      <c r="AA921" t="inlineStr">
        <is>
          <t>63</t>
        </is>
      </c>
      <c r="AB921" t="n">
        <v>99.2</v>
      </c>
      <c r="AC921" t="inlineStr">
        <is>
          <t>52</t>
        </is>
      </c>
      <c r="AD921" t="n">
        <v>17.8</v>
      </c>
      <c r="AE921" t="inlineStr">
        <is>
          <t>801+</t>
        </is>
      </c>
      <c r="AF921" t="n">
        <v>35.2</v>
      </c>
      <c r="AG921" t="inlineStr">
        <is>
          <t>489</t>
        </is>
      </c>
      <c r="AH921" t="n">
        <v>65</v>
      </c>
      <c r="AI921" t="inlineStr">
        <is>
          <t>398=</t>
        </is>
      </c>
      <c r="AJ921" t="inlineStr">
        <is>
          <t>18.1</t>
        </is>
      </c>
      <c r="AK921" t="inlineStr">
        <is>
          <t>494</t>
        </is>
      </c>
      <c r="AL921" t="inlineStr">
        <is>
          <t>9.5</t>
        </is>
      </c>
      <c r="AM921" t="inlineStr">
        <is>
          <t>601+</t>
        </is>
      </c>
      <c r="AN921" t="inlineStr">
        <is>
          <t>18.3</t>
        </is>
      </c>
      <c r="AO921" t="inlineStr">
        <is>
          <t>701+</t>
        </is>
      </c>
      <c r="AP921" t="inlineStr">
        <is>
          <t>15.2</t>
        </is>
      </c>
      <c r="AQ921" t="inlineStr">
        <is>
          <t>629</t>
        </is>
      </c>
      <c r="AR921" t="inlineStr">
        <is>
          <t>100.0</t>
        </is>
      </c>
      <c r="AS921" t="inlineStr">
        <is>
          <t>51</t>
        </is>
      </c>
      <c r="AT921" t="inlineStr">
        <is>
          <t>99.0</t>
        </is>
      </c>
      <c r="AU921" t="inlineStr">
        <is>
          <t>51</t>
        </is>
      </c>
      <c r="AV921" t="inlineStr">
        <is>
          <t>1.0</t>
        </is>
      </c>
      <c r="AW921" t="inlineStr">
        <is>
          <t>701+</t>
        </is>
      </c>
      <c r="AX921" t="inlineStr">
        <is>
          <t>19.6</t>
        </is>
      </c>
      <c r="AY921" t="inlineStr">
        <is>
          <t>427</t>
        </is>
      </c>
      <c r="AZ921" t="inlineStr">
        <is>
          <t>3.8</t>
        </is>
      </c>
      <c r="BA921" t="inlineStr">
        <is>
          <t>701+</t>
        </is>
      </c>
    </row>
    <row r="922">
      <c r="A922" t="inlineStr">
        <is>
          <t>Sofia University "St. Kliment Ohridski"</t>
        </is>
      </c>
      <c r="B922" t="inlineStr">
        <is>
          <t>Bulgaria</t>
        </is>
      </c>
      <c r="C922" t="inlineStr">
        <is>
          <t>BG</t>
        </is>
      </c>
      <c r="D922" t="inlineStr">
        <is>
          <t>Europe</t>
        </is>
      </c>
      <c r="E922" t="inlineStr">
        <is>
          <t>L</t>
        </is>
      </c>
      <c r="F922" t="inlineStr">
        <is>
          <t>CO</t>
        </is>
      </c>
      <c r="G922" t="inlineStr">
        <is>
          <t>VH</t>
        </is>
      </c>
      <c r="H922" t="inlineStr">
        <is>
          <t>5</t>
        </is>
      </c>
      <c r="I922" t="inlineStr">
        <is>
          <t>Public</t>
        </is>
      </c>
      <c r="J922" t="inlineStr">
        <is>
          <t>731-740</t>
        </is>
      </c>
      <c r="K922" t="inlineStr">
        <is>
          <t>661-670</t>
        </is>
      </c>
      <c r="L922" t="inlineStr">
        <is>
          <t>741-750</t>
        </is>
      </c>
      <c r="M922" t="inlineStr">
        <is>
          <t>561-570</t>
        </is>
      </c>
      <c r="N922" t="inlineStr">
        <is>
          <t>-</t>
        </is>
      </c>
      <c r="O922" t="inlineStr">
        <is>
          <t>-</t>
        </is>
      </c>
      <c r="P922" t="n">
        <v>16</v>
      </c>
      <c r="Q922" t="inlineStr">
        <is>
          <t>701+</t>
        </is>
      </c>
      <c r="R922" t="n">
        <v>25.2</v>
      </c>
      <c r="S922" t="inlineStr">
        <is>
          <t>537</t>
        </is>
      </c>
      <c r="T922" t="n">
        <v>55</v>
      </c>
      <c r="U922" t="inlineStr">
        <is>
          <t>342</t>
        </is>
      </c>
      <c r="V922" t="n">
        <v>3.1</v>
      </c>
      <c r="W922" t="inlineStr">
        <is>
          <t>801+</t>
        </is>
      </c>
      <c r="X922" t="n">
        <v>4</v>
      </c>
      <c r="Y922" t="inlineStr">
        <is>
          <t>801+</t>
        </is>
      </c>
      <c r="Z922" t="n">
        <v>15.6</v>
      </c>
      <c r="AA922" t="inlineStr">
        <is>
          <t>801+</t>
        </is>
      </c>
      <c r="AB922" t="n">
        <v>21.1</v>
      </c>
      <c r="AC922" t="inlineStr">
        <is>
          <t>748</t>
        </is>
      </c>
      <c r="AD922" t="n">
        <v>55.7</v>
      </c>
      <c r="AE922" t="inlineStr">
        <is>
          <t>755</t>
        </is>
      </c>
      <c r="AF922" t="n">
        <v>88.59999999999999</v>
      </c>
      <c r="AG922" t="inlineStr">
        <is>
          <t>117</t>
        </is>
      </c>
      <c r="AH922" t="n">
        <v>49.4</v>
      </c>
      <c r="AI922" t="inlineStr">
        <is>
          <t>719=</t>
        </is>
      </c>
      <c r="AJ922" t="inlineStr">
        <is>
          <t>14.4</t>
        </is>
      </c>
      <c r="AK922" t="inlineStr">
        <is>
          <t>598</t>
        </is>
      </c>
      <c r="AL922" t="inlineStr">
        <is>
          <t>16.3</t>
        </is>
      </c>
      <c r="AM922" t="inlineStr">
        <is>
          <t>523</t>
        </is>
      </c>
      <c r="AN922" t="inlineStr">
        <is>
          <t>54.1</t>
        </is>
      </c>
      <c r="AO922" t="inlineStr">
        <is>
          <t>284</t>
        </is>
      </c>
      <c r="AP922" t="inlineStr">
        <is>
          <t>2.1</t>
        </is>
      </c>
      <c r="AQ922" t="inlineStr">
        <is>
          <t>701+</t>
        </is>
      </c>
      <c r="AR922" t="inlineStr">
        <is>
          <t>3.1</t>
        </is>
      </c>
      <c r="AS922" t="inlineStr">
        <is>
          <t>701+</t>
        </is>
      </c>
      <c r="AT922" t="inlineStr">
        <is>
          <t>8.4</t>
        </is>
      </c>
      <c r="AU922" t="inlineStr">
        <is>
          <t>701+</t>
        </is>
      </c>
      <c r="AV922" t="inlineStr">
        <is>
          <t>12.9</t>
        </is>
      </c>
      <c r="AW922" t="inlineStr">
        <is>
          <t>627</t>
        </is>
      </c>
      <c r="AX922" t="inlineStr">
        <is>
          <t>27.3</t>
        </is>
      </c>
      <c r="AY922" t="inlineStr">
        <is>
          <t>298</t>
        </is>
      </c>
      <c r="AZ922" t="inlineStr">
        <is>
          <t>16.7</t>
        </is>
      </c>
      <c r="BA922" t="inlineStr">
        <is>
          <t>584=</t>
        </is>
      </c>
    </row>
    <row r="923">
      <c r="A923" t="inlineStr">
        <is>
          <t>Sogang University</t>
        </is>
      </c>
      <c r="B923" t="inlineStr">
        <is>
          <t>Republic of Korea</t>
        </is>
      </c>
      <c r="C923" t="inlineStr"/>
      <c r="D923" t="inlineStr">
        <is>
          <t>Asia</t>
        </is>
      </c>
      <c r="E923" t="inlineStr">
        <is>
          <t>M</t>
        </is>
      </c>
      <c r="F923" t="inlineStr">
        <is>
          <t>CO</t>
        </is>
      </c>
      <c r="G923" t="inlineStr">
        <is>
          <t>VH</t>
        </is>
      </c>
      <c r="H923" t="inlineStr"/>
      <c r="I923" t="inlineStr">
        <is>
          <t>Private not for Profit</t>
        </is>
      </c>
      <c r="J923" t="inlineStr">
        <is>
          <t>558</t>
        </is>
      </c>
      <c r="K923" t="inlineStr">
        <is>
          <t>576</t>
        </is>
      </c>
      <c r="L923" t="inlineStr"/>
      <c r="M923" t="inlineStr"/>
      <c r="N923" t="inlineStr">
        <is>
          <t>29.5</t>
        </is>
      </c>
      <c r="O923" t="inlineStr"/>
      <c r="P923" t="n">
        <v>27.3</v>
      </c>
      <c r="Q923" t="inlineStr">
        <is>
          <t>459</t>
        </is>
      </c>
      <c r="R923" t="n">
        <v>51.9</v>
      </c>
      <c r="S923" t="inlineStr">
        <is>
          <t>235</t>
        </is>
      </c>
      <c r="T923" t="n">
        <v>61.3</v>
      </c>
      <c r="U923" t="inlineStr">
        <is>
          <t>290</t>
        </is>
      </c>
      <c r="V923" t="n">
        <v>8.9</v>
      </c>
      <c r="W923" t="inlineStr">
        <is>
          <t>801+</t>
        </is>
      </c>
      <c r="X923" t="n">
        <v>9.5</v>
      </c>
      <c r="Y923" t="inlineStr">
        <is>
          <t>801+</t>
        </is>
      </c>
      <c r="Z923" t="n">
        <v>35.3</v>
      </c>
      <c r="AA923" t="inlineStr">
        <is>
          <t>537</t>
        </is>
      </c>
      <c r="AB923" t="n">
        <v>39.2</v>
      </c>
      <c r="AC923" t="inlineStr">
        <is>
          <t>505</t>
        </is>
      </c>
      <c r="AD923" t="n">
        <v>16.2</v>
      </c>
      <c r="AE923" t="inlineStr">
        <is>
          <t>801+</t>
        </is>
      </c>
      <c r="AF923" t="n">
        <v>23.4</v>
      </c>
      <c r="AG923" t="inlineStr">
        <is>
          <t>665</t>
        </is>
      </c>
      <c r="AH923" t="n">
        <v>49.8</v>
      </c>
      <c r="AI923" t="inlineStr">
        <is>
          <t>706=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</row>
    <row r="924">
      <c r="A924" t="inlineStr">
        <is>
          <t>Sogang University</t>
        </is>
      </c>
      <c r="B924" t="inlineStr">
        <is>
          <t>South Korea</t>
        </is>
      </c>
      <c r="C924" t="inlineStr">
        <is>
          <t>KR</t>
        </is>
      </c>
      <c r="D924" t="inlineStr"/>
      <c r="E924" t="inlineStr">
        <is>
          <t>M</t>
        </is>
      </c>
      <c r="F924" t="inlineStr">
        <is>
          <t>CO</t>
        </is>
      </c>
      <c r="G924" t="inlineStr">
        <is>
          <t>VH</t>
        </is>
      </c>
      <c r="H924" t="inlineStr">
        <is>
          <t>4</t>
        </is>
      </c>
      <c r="I924" t="inlineStr">
        <is>
          <t>B</t>
        </is>
      </c>
      <c r="J924" t="inlineStr"/>
      <c r="K924" t="inlineStr"/>
      <c r="L924">
        <f>509</f>
        <v/>
      </c>
      <c r="M924" t="inlineStr">
        <is>
          <t>457=</t>
        </is>
      </c>
      <c r="N924" t="inlineStr"/>
      <c r="O924" t="inlineStr">
        <is>
          <t>22.9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21.5</t>
        </is>
      </c>
      <c r="AK924" t="inlineStr">
        <is>
          <t>401</t>
        </is>
      </c>
      <c r="AL924" t="inlineStr">
        <is>
          <t>49.1</t>
        </is>
      </c>
      <c r="AM924" t="inlineStr">
        <is>
          <t>178</t>
        </is>
      </c>
      <c r="AN924" t="inlineStr">
        <is>
          <t>55.7</t>
        </is>
      </c>
      <c r="AO924" t="inlineStr">
        <is>
          <t>269</t>
        </is>
      </c>
      <c r="AP924" t="inlineStr">
        <is>
          <t>5.5</t>
        </is>
      </c>
      <c r="AQ924" t="inlineStr">
        <is>
          <t>701+</t>
        </is>
      </c>
      <c r="AR924" t="inlineStr">
        <is>
          <t>7.2</t>
        </is>
      </c>
      <c r="AS924" t="inlineStr">
        <is>
          <t>701+</t>
        </is>
      </c>
      <c r="AT924" t="inlineStr">
        <is>
          <t>24.3</t>
        </is>
      </c>
      <c r="AU924" t="inlineStr">
        <is>
          <t>483</t>
        </is>
      </c>
      <c r="AV924" t="inlineStr">
        <is>
          <t>1.0</t>
        </is>
      </c>
      <c r="AW924" t="inlineStr">
        <is>
          <t>701+</t>
        </is>
      </c>
      <c r="AX924" t="inlineStr">
        <is>
          <t>16.5</t>
        </is>
      </c>
      <c r="AY924" t="inlineStr">
        <is>
          <t>513</t>
        </is>
      </c>
      <c r="AZ924" t="inlineStr">
        <is>
          <t>1.4</t>
        </is>
      </c>
      <c r="BA924" t="inlineStr">
        <is>
          <t>701+</t>
        </is>
      </c>
    </row>
    <row r="925">
      <c r="A925" t="inlineStr">
        <is>
          <t>Sohar University</t>
        </is>
      </c>
      <c r="B925" t="inlineStr">
        <is>
          <t>Oman</t>
        </is>
      </c>
      <c r="C925" t="inlineStr"/>
      <c r="D925" t="inlineStr">
        <is>
          <t>Asia</t>
        </is>
      </c>
      <c r="E925" t="inlineStr">
        <is>
          <t>S</t>
        </is>
      </c>
      <c r="F925" t="inlineStr">
        <is>
          <t>FO</t>
        </is>
      </c>
      <c r="G925" t="inlineStr">
        <is>
          <t>VH</t>
        </is>
      </c>
      <c r="H925" t="inlineStr"/>
      <c r="I925" t="inlineStr">
        <is>
          <t>Private not for Profit</t>
        </is>
      </c>
      <c r="J925" t="inlineStr">
        <is>
          <t>951-1000</t>
        </is>
      </c>
      <c r="K925" t="inlineStr">
        <is>
          <t>1001-1200</t>
        </is>
      </c>
      <c r="L925" t="inlineStr"/>
      <c r="M925" t="inlineStr"/>
      <c r="N925" t="inlineStr">
        <is>
          <t>-</t>
        </is>
      </c>
      <c r="O925" t="inlineStr"/>
      <c r="P925" t="n">
        <v>8.1</v>
      </c>
      <c r="Q925" t="inlineStr">
        <is>
          <t>701+</t>
        </is>
      </c>
      <c r="R925" t="n">
        <v>10.5</v>
      </c>
      <c r="S925" t="inlineStr">
        <is>
          <t>701+</t>
        </is>
      </c>
      <c r="T925" t="n">
        <v>3.8</v>
      </c>
      <c r="U925" t="inlineStr">
        <is>
          <t>801+</t>
        </is>
      </c>
      <c r="V925" t="n">
        <v>19.9</v>
      </c>
      <c r="W925" t="inlineStr">
        <is>
          <t>715</t>
        </is>
      </c>
      <c r="X925" t="n">
        <v>100</v>
      </c>
      <c r="Y925" t="inlineStr">
        <is>
          <t>27</t>
        </is>
      </c>
      <c r="Z925" t="n">
        <v>4.6</v>
      </c>
      <c r="AA925" t="inlineStr">
        <is>
          <t>801+</t>
        </is>
      </c>
      <c r="AB925" t="n">
        <v>8.699999999999999</v>
      </c>
      <c r="AC925" t="inlineStr">
        <is>
          <t>801+</t>
        </is>
      </c>
      <c r="AD925" t="n">
        <v>23.6</v>
      </c>
      <c r="AE925" t="inlineStr">
        <is>
          <t>801+</t>
        </is>
      </c>
      <c r="AF925" t="n">
        <v>71</v>
      </c>
      <c r="AG925" t="inlineStr">
        <is>
          <t>204</t>
        </is>
      </c>
      <c r="AH925" t="n">
        <v>34.2</v>
      </c>
      <c r="AI925" t="inlineStr">
        <is>
          <t>801+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</row>
    <row r="926">
      <c r="A926" t="inlineStr">
        <is>
          <t>Soka University</t>
        </is>
      </c>
      <c r="B926" t="inlineStr">
        <is>
          <t>Japan</t>
        </is>
      </c>
      <c r="C926" t="inlineStr"/>
      <c r="D926" t="inlineStr">
        <is>
          <t>Asia</t>
        </is>
      </c>
      <c r="E926" t="inlineStr">
        <is>
          <t>M</t>
        </is>
      </c>
      <c r="F926" t="inlineStr">
        <is>
          <t>CO</t>
        </is>
      </c>
      <c r="G926" t="inlineStr">
        <is>
          <t>MD</t>
        </is>
      </c>
      <c r="H926" t="inlineStr"/>
      <c r="I926" t="inlineStr">
        <is>
          <t>Private not for Profit</t>
        </is>
      </c>
      <c r="J926" t="inlineStr">
        <is>
          <t>1401+</t>
        </is>
      </c>
      <c r="K926" t="inlineStr"/>
      <c r="L926" t="inlineStr"/>
      <c r="M926" t="inlineStr"/>
      <c r="N926" t="inlineStr">
        <is>
          <t>-</t>
        </is>
      </c>
      <c r="O926" t="inlineStr"/>
      <c r="P926" t="n">
        <v>5.9</v>
      </c>
      <c r="Q926" t="inlineStr">
        <is>
          <t>701+</t>
        </is>
      </c>
      <c r="R926" t="n">
        <v>8.199999999999999</v>
      </c>
      <c r="S926" t="inlineStr">
        <is>
          <t>701+</t>
        </is>
      </c>
      <c r="T926" t="n">
        <v>10.7</v>
      </c>
      <c r="U926" t="inlineStr">
        <is>
          <t>801+</t>
        </is>
      </c>
      <c r="V926" t="n">
        <v>3.1</v>
      </c>
      <c r="W926" t="inlineStr">
        <is>
          <t>801+</t>
        </is>
      </c>
      <c r="X926" t="n">
        <v>67.7</v>
      </c>
      <c r="Y926" t="inlineStr">
        <is>
          <t>345</t>
        </is>
      </c>
      <c r="Z926" t="n">
        <v>13.3</v>
      </c>
      <c r="AA926" t="inlineStr">
        <is>
          <t>801+</t>
        </is>
      </c>
      <c r="AB926" t="n">
        <v>16.1</v>
      </c>
      <c r="AC926" t="inlineStr">
        <is>
          <t>801+</t>
        </is>
      </c>
      <c r="AD926" t="n">
        <v>11.9</v>
      </c>
      <c r="AE926" t="inlineStr">
        <is>
          <t>801+</t>
        </is>
      </c>
      <c r="AF926" t="n">
        <v>1.6</v>
      </c>
      <c r="AG926" t="inlineStr">
        <is>
          <t>801+</t>
        </is>
      </c>
      <c r="AH926" t="n">
        <v>11.8</v>
      </c>
      <c r="AI926" t="inlineStr">
        <is>
          <t>801+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</row>
    <row r="927">
      <c r="A927" t="inlineStr">
        <is>
          <t>Soochow University</t>
        </is>
      </c>
      <c r="B927" t="inlineStr">
        <is>
          <t>China (Mainland)</t>
        </is>
      </c>
      <c r="C927" t="inlineStr">
        <is>
          <t>CN</t>
        </is>
      </c>
      <c r="D927" t="inlineStr">
        <is>
          <t>Asia</t>
        </is>
      </c>
      <c r="E927" t="inlineStr">
        <is>
          <t>XL</t>
        </is>
      </c>
      <c r="F927" t="inlineStr">
        <is>
          <t>CO</t>
        </is>
      </c>
      <c r="G927" t="inlineStr">
        <is>
          <t>VH</t>
        </is>
      </c>
      <c r="H927" t="inlineStr">
        <is>
          <t>3</t>
        </is>
      </c>
      <c r="I927" t="inlineStr">
        <is>
          <t>Public</t>
        </is>
      </c>
      <c r="J927" t="inlineStr">
        <is>
          <t>801-850</t>
        </is>
      </c>
      <c r="K927" t="inlineStr">
        <is>
          <t>641-650</t>
        </is>
      </c>
      <c r="L927" t="inlineStr">
        <is>
          <t>681-690</t>
        </is>
      </c>
      <c r="M927" t="inlineStr">
        <is>
          <t>651-700</t>
        </is>
      </c>
      <c r="N927" t="inlineStr">
        <is>
          <t>-</t>
        </is>
      </c>
      <c r="O927" t="inlineStr">
        <is>
          <t>-</t>
        </is>
      </c>
      <c r="P927" t="n">
        <v>9.199999999999999</v>
      </c>
      <c r="Q927" t="inlineStr">
        <is>
          <t>701+</t>
        </is>
      </c>
      <c r="R927" t="n">
        <v>8.199999999999999</v>
      </c>
      <c r="S927" t="inlineStr">
        <is>
          <t>701+</t>
        </is>
      </c>
      <c r="T927" t="n">
        <v>25.8</v>
      </c>
      <c r="U927" t="inlineStr">
        <is>
          <t>721</t>
        </is>
      </c>
      <c r="V927" t="n">
        <v>57.3</v>
      </c>
      <c r="W927" t="inlineStr">
        <is>
          <t>305</t>
        </is>
      </c>
      <c r="X927" t="n">
        <v>3.4</v>
      </c>
      <c r="Y927" t="inlineStr">
        <is>
          <t>801+</t>
        </is>
      </c>
      <c r="Z927" t="n">
        <v>2.4</v>
      </c>
      <c r="AA927" t="inlineStr">
        <is>
          <t>801+</t>
        </is>
      </c>
      <c r="AB927" t="n">
        <v>7.2</v>
      </c>
      <c r="AC927" t="inlineStr">
        <is>
          <t>801+</t>
        </is>
      </c>
      <c r="AD927" t="n">
        <v>51.1</v>
      </c>
      <c r="AE927" t="inlineStr">
        <is>
          <t>801+</t>
        </is>
      </c>
      <c r="AF927" t="n">
        <v>24</v>
      </c>
      <c r="AG927" t="inlineStr">
        <is>
          <t>657</t>
        </is>
      </c>
      <c r="AH927" t="n">
        <v>35.6</v>
      </c>
      <c r="AI927" t="inlineStr">
        <is>
          <t>801+</t>
        </is>
      </c>
      <c r="AJ927" t="inlineStr">
        <is>
          <t>6.2</t>
        </is>
      </c>
      <c r="AK927" t="inlineStr">
        <is>
          <t>601+</t>
        </is>
      </c>
      <c r="AL927" t="inlineStr">
        <is>
          <t>2.3</t>
        </is>
      </c>
      <c r="AM927" t="inlineStr">
        <is>
          <t>601+</t>
        </is>
      </c>
      <c r="AN927" t="inlineStr">
        <is>
          <t>16.8</t>
        </is>
      </c>
      <c r="AO927" t="inlineStr">
        <is>
          <t>701+</t>
        </is>
      </c>
      <c r="AP927" t="inlineStr">
        <is>
          <t>58.5</t>
        </is>
      </c>
      <c r="AQ927" t="inlineStr">
        <is>
          <t>218</t>
        </is>
      </c>
      <c r="AR927" t="inlineStr">
        <is>
          <t>6.7</t>
        </is>
      </c>
      <c r="AS927" t="inlineStr">
        <is>
          <t>701+</t>
        </is>
      </c>
      <c r="AT927" t="inlineStr">
        <is>
          <t>2.7</t>
        </is>
      </c>
      <c r="AU927" t="inlineStr">
        <is>
          <t>701+</t>
        </is>
      </c>
      <c r="AV927" t="inlineStr">
        <is>
          <t>10.4</t>
        </is>
      </c>
      <c r="AW927" t="inlineStr">
        <is>
          <t>665</t>
        </is>
      </c>
      <c r="AX927" t="inlineStr">
        <is>
          <t>11.1</t>
        </is>
      </c>
      <c r="AY927" t="inlineStr">
        <is>
          <t>701+</t>
        </is>
      </c>
      <c r="AZ927" t="inlineStr">
        <is>
          <t>3.8</t>
        </is>
      </c>
      <c r="BA927" t="inlineStr">
        <is>
          <t>701+</t>
        </is>
      </c>
    </row>
    <row r="928">
      <c r="A928" t="inlineStr">
        <is>
          <t>Soochow University (Taiwan)</t>
        </is>
      </c>
      <c r="B928" t="inlineStr">
        <is>
          <t>Taiwan</t>
        </is>
      </c>
      <c r="C928" t="inlineStr">
        <is>
          <t>TW</t>
        </is>
      </c>
      <c r="D928" t="inlineStr"/>
      <c r="E928" t="inlineStr">
        <is>
          <t>L</t>
        </is>
      </c>
      <c r="F928" t="inlineStr">
        <is>
          <t>FO</t>
        </is>
      </c>
      <c r="G928" t="inlineStr">
        <is>
          <t>MD</t>
        </is>
      </c>
      <c r="H928" t="inlineStr">
        <is>
          <t>4</t>
        </is>
      </c>
      <c r="I928" t="inlineStr">
        <is>
          <t>C</t>
        </is>
      </c>
      <c r="J928" t="inlineStr"/>
      <c r="K928" t="inlineStr"/>
      <c r="L928" t="inlineStr">
        <is>
          <t>1401+</t>
        </is>
      </c>
      <c r="M928" t="inlineStr">
        <is>
          <t>1201-1400</t>
        </is>
      </c>
      <c r="N928" t="inlineStr"/>
      <c r="O928" t="inlineStr">
        <is>
          <t>-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4.7</t>
        </is>
      </c>
      <c r="AK928" t="inlineStr">
        <is>
          <t>601+</t>
        </is>
      </c>
      <c r="AL928" t="inlineStr">
        <is>
          <t>6.0</t>
        </is>
      </c>
      <c r="AM928" t="inlineStr">
        <is>
          <t>601+</t>
        </is>
      </c>
      <c r="AN928" t="inlineStr">
        <is>
          <t>4.3</t>
        </is>
      </c>
      <c r="AO928" t="inlineStr">
        <is>
          <t>701+</t>
        </is>
      </c>
      <c r="AP928" t="inlineStr">
        <is>
          <t>1.8</t>
        </is>
      </c>
      <c r="AQ928" t="inlineStr">
        <is>
          <t>701+</t>
        </is>
      </c>
      <c r="AR928" t="inlineStr">
        <is>
          <t>4.0</t>
        </is>
      </c>
      <c r="AS928" t="inlineStr">
        <is>
          <t>701+</t>
        </is>
      </c>
      <c r="AT928" t="inlineStr">
        <is>
          <t>4.0</t>
        </is>
      </c>
      <c r="AU928" t="inlineStr">
        <is>
          <t>701+</t>
        </is>
      </c>
      <c r="AV928" t="inlineStr">
        <is>
          <t>1.0</t>
        </is>
      </c>
      <c r="AW928" t="inlineStr">
        <is>
          <t>701+</t>
        </is>
      </c>
      <c r="AX928" t="inlineStr">
        <is>
          <t>8.3</t>
        </is>
      </c>
      <c r="AY928" t="inlineStr">
        <is>
          <t>701+</t>
        </is>
      </c>
      <c r="AZ928" t="inlineStr">
        <is>
          <t>2.2</t>
        </is>
      </c>
      <c r="BA928" t="inlineStr">
        <is>
          <t>701+</t>
        </is>
      </c>
    </row>
    <row r="929">
      <c r="A929" t="inlineStr">
        <is>
          <t>Sookmyung Women's University</t>
        </is>
      </c>
      <c r="B929" t="inlineStr">
        <is>
          <t>Republic of Korea</t>
        </is>
      </c>
      <c r="C929" t="inlineStr"/>
      <c r="D929" t="inlineStr">
        <is>
          <t>Asia</t>
        </is>
      </c>
      <c r="E929" t="inlineStr">
        <is>
          <t>M</t>
        </is>
      </c>
      <c r="F929" t="inlineStr">
        <is>
          <t>CO</t>
        </is>
      </c>
      <c r="G929" t="inlineStr">
        <is>
          <t>HI</t>
        </is>
      </c>
      <c r="H929" t="inlineStr"/>
      <c r="I929" t="inlineStr">
        <is>
          <t>Private for Profit</t>
        </is>
      </c>
      <c r="J929" t="inlineStr">
        <is>
          <t>1201-1400</t>
        </is>
      </c>
      <c r="K929" t="inlineStr">
        <is>
          <t>1201-1400</t>
        </is>
      </c>
      <c r="L929" t="inlineStr"/>
      <c r="M929" t="inlineStr"/>
      <c r="N929" t="inlineStr">
        <is>
          <t>-</t>
        </is>
      </c>
      <c r="O929" t="inlineStr"/>
      <c r="P929" t="n">
        <v>6.9</v>
      </c>
      <c r="Q929" t="inlineStr">
        <is>
          <t>701+</t>
        </is>
      </c>
      <c r="R929" t="n">
        <v>9.699999999999999</v>
      </c>
      <c r="S929" t="inlineStr">
        <is>
          <t>701+</t>
        </is>
      </c>
      <c r="T929" t="n">
        <v>46.8</v>
      </c>
      <c r="U929" t="inlineStr">
        <is>
          <t>422</t>
        </is>
      </c>
      <c r="V929" t="n">
        <v>4.9</v>
      </c>
      <c r="W929" t="inlineStr">
        <is>
          <t>801+</t>
        </is>
      </c>
      <c r="X929" t="n">
        <v>4.8</v>
      </c>
      <c r="Y929" t="inlineStr">
        <is>
          <t>801+</t>
        </is>
      </c>
      <c r="Z929" t="n">
        <v>5</v>
      </c>
      <c r="AA929" t="inlineStr">
        <is>
          <t>801+</t>
        </is>
      </c>
      <c r="AB929" t="n">
        <v>9.300000000000001</v>
      </c>
      <c r="AC929" t="inlineStr">
        <is>
          <t>801+</t>
        </is>
      </c>
      <c r="AD929" t="n">
        <v>6.1</v>
      </c>
      <c r="AE929" t="inlineStr">
        <is>
          <t>801+</t>
        </is>
      </c>
      <c r="AF929" t="n">
        <v>1.9</v>
      </c>
      <c r="AG929" t="inlineStr">
        <is>
          <t>801+</t>
        </is>
      </c>
      <c r="AH929" t="n">
        <v>39.8</v>
      </c>
      <c r="AI929" t="inlineStr">
        <is>
          <t>801+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</row>
    <row r="930">
      <c r="A930" t="inlineStr">
        <is>
          <t xml:space="preserve">Sookmyung Women's University </t>
        </is>
      </c>
      <c r="B930" t="inlineStr">
        <is>
          <t>South Korea</t>
        </is>
      </c>
      <c r="C930" t="inlineStr">
        <is>
          <t>KR</t>
        </is>
      </c>
      <c r="D930" t="inlineStr"/>
      <c r="E930" t="inlineStr">
        <is>
          <t>M</t>
        </is>
      </c>
      <c r="F930" t="inlineStr">
        <is>
          <t>CO</t>
        </is>
      </c>
      <c r="G930" t="inlineStr">
        <is>
          <t>HI</t>
        </is>
      </c>
      <c r="H930" t="inlineStr">
        <is>
          <t>4</t>
        </is>
      </c>
      <c r="I930" t="inlineStr">
        <is>
          <t>C</t>
        </is>
      </c>
      <c r="J930" t="inlineStr"/>
      <c r="K930" t="inlineStr"/>
      <c r="L930" t="inlineStr">
        <is>
          <t>1201-1400</t>
        </is>
      </c>
      <c r="M930" t="inlineStr">
        <is>
          <t>1001-1200</t>
        </is>
      </c>
      <c r="N930" t="inlineStr"/>
      <c r="O930" t="inlineStr">
        <is>
          <t>-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5.4</t>
        </is>
      </c>
      <c r="AK930" t="inlineStr">
        <is>
          <t>601+</t>
        </is>
      </c>
      <c r="AL930" t="inlineStr">
        <is>
          <t>6.4</t>
        </is>
      </c>
      <c r="AM930" t="inlineStr">
        <is>
          <t>601+</t>
        </is>
      </c>
      <c r="AN930" t="inlineStr">
        <is>
          <t>21.4</t>
        </is>
      </c>
      <c r="AO930" t="inlineStr">
        <is>
          <t>637</t>
        </is>
      </c>
      <c r="AP930" t="inlineStr">
        <is>
          <t>4.5</t>
        </is>
      </c>
      <c r="AQ930" t="inlineStr">
        <is>
          <t>701+</t>
        </is>
      </c>
      <c r="AR930" t="inlineStr">
        <is>
          <t>4.7</t>
        </is>
      </c>
      <c r="AS930" t="inlineStr">
        <is>
          <t>701+</t>
        </is>
      </c>
      <c r="AT930" t="inlineStr">
        <is>
          <t>2.0</t>
        </is>
      </c>
      <c r="AU930" t="inlineStr">
        <is>
          <t>701+</t>
        </is>
      </c>
      <c r="AV930" t="inlineStr">
        <is>
          <t>1.0</t>
        </is>
      </c>
      <c r="AW930" t="inlineStr">
        <is>
          <t>701+</t>
        </is>
      </c>
      <c r="AX930" t="inlineStr">
        <is>
          <t>7.3</t>
        </is>
      </c>
      <c r="AY930" t="inlineStr">
        <is>
          <t>701+</t>
        </is>
      </c>
      <c r="AZ930" t="inlineStr">
        <is>
          <t>1</t>
        </is>
      </c>
      <c r="BA930" t="inlineStr">
        <is>
          <t>701+</t>
        </is>
      </c>
    </row>
    <row r="931">
      <c r="A931" t="inlineStr">
        <is>
          <t>Soonchunhyang University</t>
        </is>
      </c>
      <c r="B931" t="inlineStr">
        <is>
          <t>Republic of Korea</t>
        </is>
      </c>
      <c r="C931" t="inlineStr"/>
      <c r="D931" t="inlineStr">
        <is>
          <t>Asia</t>
        </is>
      </c>
      <c r="E931" t="inlineStr">
        <is>
          <t>M</t>
        </is>
      </c>
      <c r="F931" t="inlineStr">
        <is>
          <t>FC</t>
        </is>
      </c>
      <c r="G931" t="inlineStr">
        <is>
          <t>VH</t>
        </is>
      </c>
      <c r="H931" t="inlineStr"/>
      <c r="I931" t="inlineStr">
        <is>
          <t>Private not for Profit</t>
        </is>
      </c>
      <c r="J931" t="inlineStr">
        <is>
          <t>1001-1200</t>
        </is>
      </c>
      <c r="K931" t="inlineStr">
        <is>
          <t>1001-1200</t>
        </is>
      </c>
      <c r="L931" t="inlineStr"/>
      <c r="M931" t="inlineStr"/>
      <c r="N931" t="inlineStr">
        <is>
          <t>-</t>
        </is>
      </c>
      <c r="O931" t="inlineStr"/>
      <c r="P931" t="n">
        <v>7.7</v>
      </c>
      <c r="Q931" t="inlineStr">
        <is>
          <t>701+</t>
        </is>
      </c>
      <c r="R931" t="n">
        <v>9.1</v>
      </c>
      <c r="S931" t="inlineStr">
        <is>
          <t>701+</t>
        </is>
      </c>
      <c r="T931" t="n">
        <v>70.90000000000001</v>
      </c>
      <c r="U931" t="inlineStr">
        <is>
          <t>219</t>
        </is>
      </c>
      <c r="V931" t="n">
        <v>10.1</v>
      </c>
      <c r="W931" t="inlineStr">
        <is>
          <t>801+</t>
        </is>
      </c>
      <c r="X931" t="n">
        <v>7.5</v>
      </c>
      <c r="Y931" t="inlineStr">
        <is>
          <t>801+</t>
        </is>
      </c>
      <c r="Z931" t="n">
        <v>7.3</v>
      </c>
      <c r="AA931" t="inlineStr">
        <is>
          <t>801+</t>
        </is>
      </c>
      <c r="AB931" t="n">
        <v>11</v>
      </c>
      <c r="AC931" t="inlineStr">
        <is>
          <t>801+</t>
        </is>
      </c>
      <c r="AD931" t="n">
        <v>12.8</v>
      </c>
      <c r="AE931" t="inlineStr">
        <is>
          <t>801+</t>
        </is>
      </c>
      <c r="AF931" t="n">
        <v>1.9</v>
      </c>
      <c r="AG931" t="inlineStr">
        <is>
          <t>801+</t>
        </is>
      </c>
      <c r="AH931" t="n">
        <v>45.2</v>
      </c>
      <c r="AI931" t="inlineStr">
        <is>
          <t>801+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</row>
    <row r="932">
      <c r="A932" t="inlineStr">
        <is>
          <t>Soonchunhyang University</t>
        </is>
      </c>
      <c r="B932" t="inlineStr">
        <is>
          <t>South Korea</t>
        </is>
      </c>
      <c r="C932" t="inlineStr">
        <is>
          <t>KR</t>
        </is>
      </c>
      <c r="D932" t="inlineStr"/>
      <c r="E932" t="inlineStr">
        <is>
          <t>M</t>
        </is>
      </c>
      <c r="F932" t="inlineStr">
        <is>
          <t>FC</t>
        </is>
      </c>
      <c r="G932" t="inlineStr">
        <is>
          <t>HI</t>
        </is>
      </c>
      <c r="H932" t="inlineStr">
        <is>
          <t>3</t>
        </is>
      </c>
      <c r="I932" t="inlineStr">
        <is>
          <t>B</t>
        </is>
      </c>
      <c r="J932" t="inlineStr"/>
      <c r="K932" t="inlineStr"/>
      <c r="L932" t="inlineStr">
        <is>
          <t>1001-1200</t>
        </is>
      </c>
      <c r="M932" t="inlineStr"/>
      <c r="N932" t="inlineStr"/>
      <c r="O932" t="inlineStr">
        <is>
          <t>-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5.0</t>
        </is>
      </c>
      <c r="AK932" t="inlineStr">
        <is>
          <t>601+</t>
        </is>
      </c>
      <c r="AL932" t="inlineStr">
        <is>
          <t>2.9</t>
        </is>
      </c>
      <c r="AM932" t="inlineStr">
        <is>
          <t>601+</t>
        </is>
      </c>
      <c r="AN932" t="inlineStr">
        <is>
          <t>46.6</t>
        </is>
      </c>
      <c r="AO932" t="inlineStr">
        <is>
          <t>337</t>
        </is>
      </c>
      <c r="AP932" t="inlineStr">
        <is>
          <t>7.3</t>
        </is>
      </c>
      <c r="AQ932" t="inlineStr">
        <is>
          <t>701+</t>
        </is>
      </c>
      <c r="AR932" t="inlineStr">
        <is>
          <t>5.7</t>
        </is>
      </c>
      <c r="AS932" t="inlineStr">
        <is>
          <t>701+</t>
        </is>
      </c>
      <c r="AT932" t="inlineStr">
        <is>
          <t>4.8</t>
        </is>
      </c>
      <c r="AU932" t="inlineStr">
        <is>
          <t>701+</t>
        </is>
      </c>
      <c r="AV932" t="inlineStr">
        <is>
          <t>1.0</t>
        </is>
      </c>
      <c r="AW932" t="inlineStr">
        <is>
          <t>701+</t>
        </is>
      </c>
      <c r="AX932" t="inlineStr">
        <is>
          <t>6.8</t>
        </is>
      </c>
      <c r="AY932" t="inlineStr">
        <is>
          <t>701+</t>
        </is>
      </c>
      <c r="AZ932" t="inlineStr">
        <is>
          <t>1.1</t>
        </is>
      </c>
      <c r="BA932" t="inlineStr">
        <is>
          <t>701+</t>
        </is>
      </c>
    </row>
    <row r="933">
      <c r="A933" t="inlineStr">
        <is>
          <t>Soongsil University</t>
        </is>
      </c>
      <c r="B933" t="inlineStr">
        <is>
          <t>Republic of Korea</t>
        </is>
      </c>
      <c r="C933" t="inlineStr"/>
      <c r="D933" t="inlineStr">
        <is>
          <t>Asia</t>
        </is>
      </c>
      <c r="E933" t="inlineStr">
        <is>
          <t>L</t>
        </is>
      </c>
      <c r="F933" t="inlineStr">
        <is>
          <t>FO</t>
        </is>
      </c>
      <c r="G933" t="inlineStr">
        <is>
          <t>VH</t>
        </is>
      </c>
      <c r="H933" t="inlineStr"/>
      <c r="I933" t="inlineStr">
        <is>
          <t>Private for Profit</t>
        </is>
      </c>
      <c r="J933" t="inlineStr">
        <is>
          <t>1401+</t>
        </is>
      </c>
      <c r="K933" t="inlineStr">
        <is>
          <t>1401+</t>
        </is>
      </c>
      <c r="L933" t="inlineStr"/>
      <c r="M933" t="inlineStr"/>
      <c r="N933" t="inlineStr">
        <is>
          <t>-</t>
        </is>
      </c>
      <c r="O933" t="inlineStr"/>
      <c r="P933" t="n">
        <v>3.4</v>
      </c>
      <c r="Q933" t="inlineStr">
        <is>
          <t>701+</t>
        </is>
      </c>
      <c r="R933" t="n">
        <v>6.9</v>
      </c>
      <c r="S933" t="inlineStr">
        <is>
          <t>701+</t>
        </is>
      </c>
      <c r="T933" t="n">
        <v>12</v>
      </c>
      <c r="U933" t="inlineStr">
        <is>
          <t>801+</t>
        </is>
      </c>
      <c r="V933" t="n">
        <v>9.199999999999999</v>
      </c>
      <c r="W933" t="inlineStr">
        <is>
          <t>801+</t>
        </is>
      </c>
      <c r="X933" t="n">
        <v>5.7</v>
      </c>
      <c r="Y933" t="inlineStr">
        <is>
          <t>801+</t>
        </is>
      </c>
      <c r="Z933" t="n">
        <v>24</v>
      </c>
      <c r="AA933" t="inlineStr">
        <is>
          <t>674</t>
        </is>
      </c>
      <c r="AB933" t="n">
        <v>18</v>
      </c>
      <c r="AC933" t="inlineStr">
        <is>
          <t>796</t>
        </is>
      </c>
      <c r="AD933" t="n">
        <v>22.3</v>
      </c>
      <c r="AE933" t="inlineStr">
        <is>
          <t>801+</t>
        </is>
      </c>
      <c r="AF933" t="n">
        <v>3.5</v>
      </c>
      <c r="AG933" t="inlineStr">
        <is>
          <t>801+</t>
        </is>
      </c>
      <c r="AH933" t="n">
        <v>20.3</v>
      </c>
      <c r="AI933" t="inlineStr">
        <is>
          <t>801+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</row>
    <row r="934">
      <c r="A934" t="inlineStr">
        <is>
          <t>Soongsil University</t>
        </is>
      </c>
      <c r="B934" t="inlineStr">
        <is>
          <t>South Korea</t>
        </is>
      </c>
      <c r="C934" t="inlineStr">
        <is>
          <t>KR</t>
        </is>
      </c>
      <c r="D934" t="inlineStr"/>
      <c r="E934" t="inlineStr">
        <is>
          <t>L</t>
        </is>
      </c>
      <c r="F934" t="inlineStr">
        <is>
          <t>CO</t>
        </is>
      </c>
      <c r="G934" t="inlineStr">
        <is>
          <t>HI</t>
        </is>
      </c>
      <c r="H934" t="inlineStr">
        <is>
          <t>3</t>
        </is>
      </c>
      <c r="I934" t="inlineStr">
        <is>
          <t>C</t>
        </is>
      </c>
      <c r="J934" t="inlineStr"/>
      <c r="K934" t="inlineStr"/>
      <c r="L934" t="inlineStr">
        <is>
          <t>1201-1400</t>
        </is>
      </c>
      <c r="M934" t="inlineStr">
        <is>
          <t>1201-1400</t>
        </is>
      </c>
      <c r="N934" t="inlineStr"/>
      <c r="O934" t="inlineStr">
        <is>
          <t>-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5.0</t>
        </is>
      </c>
      <c r="AK934" t="inlineStr">
        <is>
          <t>601+</t>
        </is>
      </c>
      <c r="AL934" t="inlineStr">
        <is>
          <t>6.5</t>
        </is>
      </c>
      <c r="AM934" t="inlineStr">
        <is>
          <t>601+</t>
        </is>
      </c>
      <c r="AN934" t="inlineStr">
        <is>
          <t>10.1</t>
        </is>
      </c>
      <c r="AO934" t="inlineStr">
        <is>
          <t>701+</t>
        </is>
      </c>
      <c r="AP934" t="inlineStr">
        <is>
          <t>4.3</t>
        </is>
      </c>
      <c r="AQ934" t="inlineStr">
        <is>
          <t>701+</t>
        </is>
      </c>
      <c r="AR934" t="inlineStr">
        <is>
          <t>5.9</t>
        </is>
      </c>
      <c r="AS934" t="inlineStr">
        <is>
          <t>701+</t>
        </is>
      </c>
      <c r="AT934" t="inlineStr">
        <is>
          <t>13.9</t>
        </is>
      </c>
      <c r="AU934" t="inlineStr">
        <is>
          <t>641</t>
        </is>
      </c>
      <c r="AV934" t="inlineStr">
        <is>
          <t>1.0</t>
        </is>
      </c>
      <c r="AW934" t="inlineStr">
        <is>
          <t>701+</t>
        </is>
      </c>
      <c r="AX934" t="inlineStr">
        <is>
          <t>4.2</t>
        </is>
      </c>
      <c r="AY934" t="inlineStr">
        <is>
          <t>701+</t>
        </is>
      </c>
      <c r="AZ934" t="inlineStr">
        <is>
          <t>1</t>
        </is>
      </c>
      <c r="BA934" t="inlineStr">
        <is>
          <t>701+</t>
        </is>
      </c>
    </row>
    <row r="935">
      <c r="A935" t="inlineStr">
        <is>
          <t>Sophia University</t>
        </is>
      </c>
      <c r="B935" t="inlineStr">
        <is>
          <t>Japan</t>
        </is>
      </c>
      <c r="C935" t="inlineStr">
        <is>
          <t>JP</t>
        </is>
      </c>
      <c r="D935" t="inlineStr">
        <is>
          <t>Asia</t>
        </is>
      </c>
      <c r="E935" t="inlineStr">
        <is>
          <t>L</t>
        </is>
      </c>
      <c r="F935" t="inlineStr">
        <is>
          <t>CO</t>
        </is>
      </c>
      <c r="G935" t="inlineStr">
        <is>
          <t>HI</t>
        </is>
      </c>
      <c r="H935" t="inlineStr">
        <is>
          <t>4</t>
        </is>
      </c>
      <c r="I935" t="inlineStr">
        <is>
          <t>Private not for Profit</t>
        </is>
      </c>
      <c r="J935" t="inlineStr">
        <is>
          <t>951-1000</t>
        </is>
      </c>
      <c r="K935" t="inlineStr">
        <is>
          <t>951-1000</t>
        </is>
      </c>
      <c r="L935" t="inlineStr">
        <is>
          <t>901-950</t>
        </is>
      </c>
      <c r="M935" t="inlineStr">
        <is>
          <t>801-1000</t>
        </is>
      </c>
      <c r="N935" t="inlineStr">
        <is>
          <t>-</t>
        </is>
      </c>
      <c r="O935" t="inlineStr">
        <is>
          <t>-</t>
        </is>
      </c>
      <c r="P935" t="n">
        <v>18.7</v>
      </c>
      <c r="Q935" t="inlineStr">
        <is>
          <t>657</t>
        </is>
      </c>
      <c r="R935" t="n">
        <v>27.2</v>
      </c>
      <c r="S935" t="inlineStr">
        <is>
          <t>505</t>
        </is>
      </c>
      <c r="T935" t="n">
        <v>25.9</v>
      </c>
      <c r="U935" t="inlineStr">
        <is>
          <t>720</t>
        </is>
      </c>
      <c r="V935" t="n">
        <v>2.5</v>
      </c>
      <c r="W935" t="inlineStr">
        <is>
          <t>801+</t>
        </is>
      </c>
      <c r="X935" t="n">
        <v>41</v>
      </c>
      <c r="Y935" t="inlineStr">
        <is>
          <t>489</t>
        </is>
      </c>
      <c r="Z935" t="n">
        <v>20.3</v>
      </c>
      <c r="AA935" t="inlineStr">
        <is>
          <t>726</t>
        </is>
      </c>
      <c r="AB935" t="n">
        <v>26.4</v>
      </c>
      <c r="AC935" t="inlineStr">
        <is>
          <t>666</t>
        </is>
      </c>
      <c r="AD935" t="n">
        <v>9.1</v>
      </c>
      <c r="AE935" t="inlineStr">
        <is>
          <t>801+</t>
        </is>
      </c>
      <c r="AF935" t="n">
        <v>21.3</v>
      </c>
      <c r="AG935" t="inlineStr">
        <is>
          <t>702</t>
        </is>
      </c>
      <c r="AH935" t="n">
        <v>48.7</v>
      </c>
      <c r="AI935" t="inlineStr">
        <is>
          <t>737=</t>
        </is>
      </c>
      <c r="AJ935" t="inlineStr">
        <is>
          <t>12.1</t>
        </is>
      </c>
      <c r="AK935" t="inlineStr">
        <is>
          <t>601+</t>
        </is>
      </c>
      <c r="AL935" t="inlineStr">
        <is>
          <t>19.9</t>
        </is>
      </c>
      <c r="AM935" t="inlineStr">
        <is>
          <t>456</t>
        </is>
      </c>
      <c r="AN935" t="inlineStr">
        <is>
          <t>21.3</t>
        </is>
      </c>
      <c r="AO935" t="inlineStr">
        <is>
          <t>639</t>
        </is>
      </c>
      <c r="AP935" t="inlineStr">
        <is>
          <t>2.1</t>
        </is>
      </c>
      <c r="AQ935" t="inlineStr">
        <is>
          <t>701+</t>
        </is>
      </c>
      <c r="AR935" t="inlineStr">
        <is>
          <t>35.2</t>
        </is>
      </c>
      <c r="AS935" t="inlineStr">
        <is>
          <t>452</t>
        </is>
      </c>
      <c r="AT935" t="inlineStr">
        <is>
          <t>12.0</t>
        </is>
      </c>
      <c r="AU935" t="inlineStr">
        <is>
          <t>679</t>
        </is>
      </c>
      <c r="AV935" t="inlineStr">
        <is>
          <t>1.0</t>
        </is>
      </c>
      <c r="AW935" t="inlineStr">
        <is>
          <t>701+</t>
        </is>
      </c>
      <c r="AX935" t="inlineStr">
        <is>
          <t>12.5</t>
        </is>
      </c>
      <c r="AY935" t="inlineStr">
        <is>
          <t>694</t>
        </is>
      </c>
      <c r="AZ935" t="inlineStr">
        <is>
          <t>5.9</t>
        </is>
      </c>
      <c r="BA935" t="inlineStr">
        <is>
          <t>701+</t>
        </is>
      </c>
    </row>
    <row r="936">
      <c r="A936" t="inlineStr">
        <is>
          <t>Sorbonne University</t>
        </is>
      </c>
      <c r="B936" t="inlineStr">
        <is>
          <t>France</t>
        </is>
      </c>
      <c r="C936" t="inlineStr">
        <is>
          <t>FR</t>
        </is>
      </c>
      <c r="D936" t="inlineStr"/>
      <c r="E936" t="inlineStr">
        <is>
          <t>XL</t>
        </is>
      </c>
      <c r="F936" t="inlineStr">
        <is>
          <t>FC</t>
        </is>
      </c>
      <c r="G936" t="inlineStr">
        <is>
          <t>VH</t>
        </is>
      </c>
      <c r="H936" t="inlineStr">
        <is>
          <t>1</t>
        </is>
      </c>
      <c r="I936" t="inlineStr">
        <is>
          <t>A</t>
        </is>
      </c>
      <c r="J936" t="inlineStr"/>
      <c r="K936" t="inlineStr"/>
      <c r="L936" t="inlineStr">
        <is>
          <t>59</t>
        </is>
      </c>
      <c r="M936" t="inlineStr">
        <is>
          <t>60</t>
        </is>
      </c>
      <c r="N936" t="inlineStr"/>
      <c r="O936" t="inlineStr">
        <is>
          <t>71.7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88.6</t>
        </is>
      </c>
      <c r="AK936" t="inlineStr">
        <is>
          <t>48</t>
        </is>
      </c>
      <c r="AL936" t="inlineStr">
        <is>
          <t>53.2</t>
        </is>
      </c>
      <c r="AM936" t="inlineStr">
        <is>
          <t>151</t>
        </is>
      </c>
      <c r="AN936" t="inlineStr">
        <is>
          <t>43.3</t>
        </is>
      </c>
      <c r="AO936" t="inlineStr">
        <is>
          <t>361</t>
        </is>
      </c>
      <c r="AP936" t="inlineStr">
        <is>
          <t>85.4</t>
        </is>
      </c>
      <c r="AQ936" t="inlineStr">
        <is>
          <t>93</t>
        </is>
      </c>
      <c r="AR936" t="inlineStr">
        <is>
          <t>35.2</t>
        </is>
      </c>
      <c r="AS936" t="inlineStr">
        <is>
          <t>451</t>
        </is>
      </c>
      <c r="AT936" t="inlineStr">
        <is>
          <t>49.8</t>
        </is>
      </c>
      <c r="AU936" t="inlineStr">
        <is>
          <t>297</t>
        </is>
      </c>
      <c r="AV936" t="inlineStr">
        <is>
          <t>100.0</t>
        </is>
      </c>
      <c r="AW936" t="inlineStr">
        <is>
          <t>4</t>
        </is>
      </c>
      <c r="AX936" t="inlineStr">
        <is>
          <t>39.5</t>
        </is>
      </c>
      <c r="AY936" t="inlineStr">
        <is>
          <t>182</t>
        </is>
      </c>
      <c r="AZ936" t="inlineStr">
        <is>
          <t>75.8</t>
        </is>
      </c>
      <c r="BA936" t="inlineStr">
        <is>
          <t>171=</t>
        </is>
      </c>
    </row>
    <row r="937">
      <c r="A937" t="inlineStr">
        <is>
          <t>Sorbonne University (merged from Paris IV &amp; UPMC)</t>
        </is>
      </c>
      <c r="B937" t="inlineStr">
        <is>
          <t>France</t>
        </is>
      </c>
      <c r="C937" t="inlineStr"/>
      <c r="D937" t="inlineStr">
        <is>
          <t>Europe</t>
        </is>
      </c>
      <c r="E937" t="inlineStr">
        <is>
          <t>XL</t>
        </is>
      </c>
      <c r="F937" t="inlineStr">
        <is>
          <t>FC</t>
        </is>
      </c>
      <c r="G937" t="inlineStr">
        <is>
          <t>VH</t>
        </is>
      </c>
      <c r="H937" t="inlineStr"/>
      <c r="I937" t="inlineStr">
        <is>
          <t>Public</t>
        </is>
      </c>
      <c r="J937" t="inlineStr">
        <is>
          <t>72</t>
        </is>
      </c>
      <c r="K937" t="inlineStr">
        <is>
          <t>63</t>
        </is>
      </c>
      <c r="L937" t="inlineStr"/>
      <c r="M937" t="inlineStr"/>
      <c r="N937" t="inlineStr">
        <is>
          <t>75.7</t>
        </is>
      </c>
      <c r="O937" t="inlineStr"/>
      <c r="P937" t="n">
        <v>93.2</v>
      </c>
      <c r="Q937" t="inlineStr">
        <is>
          <t>52</t>
        </is>
      </c>
      <c r="R937" t="n">
        <v>62.1</v>
      </c>
      <c r="S937" t="inlineStr">
        <is>
          <t>182</t>
        </is>
      </c>
      <c r="T937" t="n">
        <v>56.4</v>
      </c>
      <c r="U937" t="inlineStr">
        <is>
          <t>329</t>
        </is>
      </c>
      <c r="V937" t="n">
        <v>68.8</v>
      </c>
      <c r="W937" t="inlineStr">
        <is>
          <t>225</t>
        </is>
      </c>
      <c r="X937" t="n">
        <v>35.5</v>
      </c>
      <c r="Y937" t="inlineStr">
        <is>
          <t>533</t>
        </is>
      </c>
      <c r="Z937" t="n">
        <v>66.8</v>
      </c>
      <c r="AA937" t="inlineStr">
        <is>
          <t>300</t>
        </is>
      </c>
      <c r="AB937" t="n">
        <v>70</v>
      </c>
      <c r="AC937" t="inlineStr">
        <is>
          <t>270</t>
        </is>
      </c>
      <c r="AD937" t="n">
        <v>99.40000000000001</v>
      </c>
      <c r="AE937" t="inlineStr">
        <is>
          <t>9</t>
        </is>
      </c>
      <c r="AF937" t="n">
        <v>84.2</v>
      </c>
      <c r="AG937" t="inlineStr">
        <is>
          <t>140</t>
        </is>
      </c>
      <c r="AH937" t="n">
        <v>89.2</v>
      </c>
      <c r="AI937" t="inlineStr">
        <is>
          <t>68=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</row>
    <row r="938">
      <c r="A938" t="inlineStr">
        <is>
          <t>South China University of Technology</t>
        </is>
      </c>
      <c r="B938" t="inlineStr">
        <is>
          <t>China (Mainland)</t>
        </is>
      </c>
      <c r="C938" t="inlineStr">
        <is>
          <t>CN</t>
        </is>
      </c>
      <c r="D938" t="inlineStr">
        <is>
          <t>Asia</t>
        </is>
      </c>
      <c r="E938" t="inlineStr">
        <is>
          <t>XL</t>
        </is>
      </c>
      <c r="F938" t="inlineStr">
        <is>
          <t>FO</t>
        </is>
      </c>
      <c r="G938" t="inlineStr">
        <is>
          <t>VH</t>
        </is>
      </c>
      <c r="H938" t="inlineStr">
        <is>
          <t>3</t>
        </is>
      </c>
      <c r="I938" t="inlineStr">
        <is>
          <t>Public</t>
        </is>
      </c>
      <c r="J938" t="inlineStr">
        <is>
          <t>377</t>
        </is>
      </c>
      <c r="K938" t="inlineStr">
        <is>
          <t>385</t>
        </is>
      </c>
      <c r="L938">
        <f>392</f>
        <v/>
      </c>
      <c r="M938" t="inlineStr">
        <is>
          <t>406=</t>
        </is>
      </c>
      <c r="N938" t="inlineStr">
        <is>
          <t>39.8</t>
        </is>
      </c>
      <c r="O938" t="inlineStr">
        <is>
          <t>28.2</t>
        </is>
      </c>
      <c r="P938" t="n">
        <v>18.8</v>
      </c>
      <c r="Q938" t="inlineStr">
        <is>
          <t>652</t>
        </is>
      </c>
      <c r="R938" t="n">
        <v>20.8</v>
      </c>
      <c r="S938" t="inlineStr">
        <is>
          <t>635</t>
        </is>
      </c>
      <c r="T938" t="n">
        <v>29.4</v>
      </c>
      <c r="U938" t="inlineStr">
        <is>
          <t>641</t>
        </is>
      </c>
      <c r="V938" t="n">
        <v>99.3</v>
      </c>
      <c r="W938" t="inlineStr">
        <is>
          <t>31</t>
        </is>
      </c>
      <c r="X938" t="n">
        <v>15.9</v>
      </c>
      <c r="Y938" t="inlineStr">
        <is>
          <t>778</t>
        </is>
      </c>
      <c r="Z938" t="n">
        <v>10.5</v>
      </c>
      <c r="AA938" t="inlineStr">
        <is>
          <t>801+</t>
        </is>
      </c>
      <c r="AB938" t="n">
        <v>16.4</v>
      </c>
      <c r="AC938" t="inlineStr">
        <is>
          <t>801+</t>
        </is>
      </c>
      <c r="AD938" t="n">
        <v>64.8</v>
      </c>
      <c r="AE938" t="inlineStr">
        <is>
          <t>623</t>
        </is>
      </c>
      <c r="AF938" t="n">
        <v>40.4</v>
      </c>
      <c r="AG938" t="inlineStr">
        <is>
          <t>434</t>
        </is>
      </c>
      <c r="AH938" t="n">
        <v>50.1</v>
      </c>
      <c r="AI938" t="inlineStr">
        <is>
          <t>701=</t>
        </is>
      </c>
      <c r="AJ938" t="inlineStr">
        <is>
          <t>12.5</t>
        </is>
      </c>
      <c r="AK938" t="inlineStr">
        <is>
          <t>601+</t>
        </is>
      </c>
      <c r="AL938" t="inlineStr">
        <is>
          <t>4.2</t>
        </is>
      </c>
      <c r="AM938" t="inlineStr">
        <is>
          <t>601+</t>
        </is>
      </c>
      <c r="AN938" t="inlineStr">
        <is>
          <t>19.0</t>
        </is>
      </c>
      <c r="AO938" t="inlineStr">
        <is>
          <t>694</t>
        </is>
      </c>
      <c r="AP938" t="inlineStr">
        <is>
          <t>95.4</t>
        </is>
      </c>
      <c r="AQ938" t="inlineStr">
        <is>
          <t>50</t>
        </is>
      </c>
      <c r="AR938" t="inlineStr">
        <is>
          <t>10.4</t>
        </is>
      </c>
      <c r="AS938" t="inlineStr">
        <is>
          <t>701+</t>
        </is>
      </c>
      <c r="AT938" t="inlineStr">
        <is>
          <t>4.5</t>
        </is>
      </c>
      <c r="AU938" t="inlineStr">
        <is>
          <t>701+</t>
        </is>
      </c>
      <c r="AV938" t="inlineStr">
        <is>
          <t>9.7</t>
        </is>
      </c>
      <c r="AW938" t="inlineStr">
        <is>
          <t>674</t>
        </is>
      </c>
      <c r="AX938" t="inlineStr">
        <is>
          <t>21.9</t>
        </is>
      </c>
      <c r="AY938" t="inlineStr">
        <is>
          <t>380</t>
        </is>
      </c>
      <c r="AZ938" t="inlineStr">
        <is>
          <t>10.2</t>
        </is>
      </c>
      <c r="BA938" t="inlineStr">
        <is>
          <t>667=</t>
        </is>
      </c>
    </row>
    <row r="939">
      <c r="A939" t="inlineStr">
        <is>
          <t>South Ural State University</t>
        </is>
      </c>
      <c r="B939" t="inlineStr">
        <is>
          <t>Russia</t>
        </is>
      </c>
      <c r="C939" t="inlineStr"/>
      <c r="D939" t="inlineStr">
        <is>
          <t>Europe</t>
        </is>
      </c>
      <c r="E939" t="inlineStr">
        <is>
          <t>L</t>
        </is>
      </c>
      <c r="F939" t="inlineStr">
        <is>
          <t>CO</t>
        </is>
      </c>
      <c r="G939" t="inlineStr">
        <is>
          <t>VH</t>
        </is>
      </c>
      <c r="H939" t="inlineStr"/>
      <c r="I939" t="inlineStr">
        <is>
          <t>Public</t>
        </is>
      </c>
      <c r="J939" t="inlineStr">
        <is>
          <t>951-1000</t>
        </is>
      </c>
      <c r="K939" t="inlineStr">
        <is>
          <t>901-950</t>
        </is>
      </c>
      <c r="L939" t="inlineStr"/>
      <c r="M939" t="inlineStr"/>
      <c r="N939" t="inlineStr">
        <is>
          <t>-</t>
        </is>
      </c>
      <c r="O939" t="inlineStr"/>
      <c r="P939" t="n">
        <v>8.6</v>
      </c>
      <c r="Q939" t="inlineStr">
        <is>
          <t>701+</t>
        </is>
      </c>
      <c r="R939" t="n">
        <v>9.4</v>
      </c>
      <c r="S939" t="inlineStr">
        <is>
          <t>701+</t>
        </is>
      </c>
      <c r="T939" t="n">
        <v>57.4</v>
      </c>
      <c r="U939" t="inlineStr">
        <is>
          <t>317</t>
        </is>
      </c>
      <c r="V939" t="n">
        <v>8.300000000000001</v>
      </c>
      <c r="W939" t="inlineStr">
        <is>
          <t>801+</t>
        </is>
      </c>
      <c r="X939" t="n">
        <v>5.6</v>
      </c>
      <c r="Y939" t="inlineStr">
        <is>
          <t>801+</t>
        </is>
      </c>
      <c r="Z939" t="n">
        <v>22.5</v>
      </c>
      <c r="AA939" t="inlineStr">
        <is>
          <t>694</t>
        </is>
      </c>
      <c r="AB939" t="n">
        <v>26</v>
      </c>
      <c r="AC939" t="inlineStr">
        <is>
          <t>669</t>
        </is>
      </c>
      <c r="AD939" t="n">
        <v>84.2</v>
      </c>
      <c r="AE939" t="inlineStr">
        <is>
          <t>272</t>
        </is>
      </c>
      <c r="AF939" t="n">
        <v>5.5</v>
      </c>
      <c r="AG939" t="inlineStr">
        <is>
          <t>801+</t>
        </is>
      </c>
      <c r="AH939" t="n">
        <v>33.3</v>
      </c>
      <c r="AI939" t="inlineStr">
        <is>
          <t>801+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</row>
    <row r="940">
      <c r="A940" t="inlineStr">
        <is>
          <t>South Ural State University (National Research University)</t>
        </is>
      </c>
      <c r="B940" t="inlineStr">
        <is>
          <t>Russia</t>
        </is>
      </c>
      <c r="C940" t="inlineStr">
        <is>
          <t>RU</t>
        </is>
      </c>
      <c r="D940" t="inlineStr"/>
      <c r="E940" t="inlineStr">
        <is>
          <t>L</t>
        </is>
      </c>
      <c r="F940" t="inlineStr">
        <is>
          <t>CO</t>
        </is>
      </c>
      <c r="G940" t="inlineStr">
        <is>
          <t>VH</t>
        </is>
      </c>
      <c r="H940" t="inlineStr">
        <is>
          <t>4</t>
        </is>
      </c>
      <c r="I940" t="inlineStr">
        <is>
          <t>A</t>
        </is>
      </c>
      <c r="J940" t="inlineStr"/>
      <c r="K940" t="inlineStr"/>
      <c r="L940" t="inlineStr">
        <is>
          <t>951-1000</t>
        </is>
      </c>
      <c r="M940" t="inlineStr">
        <is>
          <t>801-1000</t>
        </is>
      </c>
      <c r="N940" t="inlineStr"/>
      <c r="O940" t="inlineStr">
        <is>
          <t>-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9.3</t>
        </is>
      </c>
      <c r="AK940" t="inlineStr">
        <is>
          <t>601+</t>
        </is>
      </c>
      <c r="AL940" t="inlineStr">
        <is>
          <t>4.2</t>
        </is>
      </c>
      <c r="AM940" t="inlineStr">
        <is>
          <t>601+</t>
        </is>
      </c>
      <c r="AN940" t="inlineStr">
        <is>
          <t>39.4</t>
        </is>
      </c>
      <c r="AO940" t="inlineStr">
        <is>
          <t>402</t>
        </is>
      </c>
      <c r="AP940" t="inlineStr">
        <is>
          <t>3.0</t>
        </is>
      </c>
      <c r="AQ940" t="inlineStr">
        <is>
          <t>701+</t>
        </is>
      </c>
      <c r="AR940" t="inlineStr">
        <is>
          <t>9.7</t>
        </is>
      </c>
      <c r="AS940" t="inlineStr">
        <is>
          <t>701+</t>
        </is>
      </c>
      <c r="AT940" t="inlineStr">
        <is>
          <t>16.4</t>
        </is>
      </c>
      <c r="AU940" t="inlineStr">
        <is>
          <t>591</t>
        </is>
      </c>
      <c r="AV940" t="inlineStr">
        <is>
          <t>36.6</t>
        </is>
      </c>
      <c r="AW940" t="inlineStr">
        <is>
          <t>404</t>
        </is>
      </c>
      <c r="AX940" t="inlineStr">
        <is>
          <t>5.1</t>
        </is>
      </c>
      <c r="AY940" t="inlineStr">
        <is>
          <t>701+</t>
        </is>
      </c>
      <c r="AZ940" t="inlineStr">
        <is>
          <t>1.3</t>
        </is>
      </c>
      <c r="BA940" t="inlineStr">
        <is>
          <t>701+</t>
        </is>
      </c>
    </row>
    <row r="941">
      <c r="A941" t="inlineStr">
        <is>
          <t>Southeast University</t>
        </is>
      </c>
      <c r="B941" t="inlineStr">
        <is>
          <t>China (Mainland)</t>
        </is>
      </c>
      <c r="C941" t="inlineStr">
        <is>
          <t>CN</t>
        </is>
      </c>
      <c r="D941" t="inlineStr"/>
      <c r="E941" t="inlineStr">
        <is>
          <t>XL</t>
        </is>
      </c>
      <c r="F941" t="inlineStr">
        <is>
          <t>FC</t>
        </is>
      </c>
      <c r="G941" t="inlineStr">
        <is>
          <t>VH</t>
        </is>
      </c>
      <c r="H941" t="inlineStr">
        <is>
          <t>3</t>
        </is>
      </c>
      <c r="I941" t="inlineStr">
        <is>
          <t>A</t>
        </is>
      </c>
      <c r="J941" t="inlineStr"/>
      <c r="K941" t="inlineStr"/>
      <c r="L941">
        <f>454</f>
        <v/>
      </c>
      <c r="M941" t="inlineStr">
        <is>
          <t>461=</t>
        </is>
      </c>
      <c r="N941" t="inlineStr"/>
      <c r="O941" t="inlineStr">
        <is>
          <t>25.2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12.8</t>
        </is>
      </c>
      <c r="AK941" t="inlineStr">
        <is>
          <t>601+</t>
        </is>
      </c>
      <c r="AL941" t="inlineStr">
        <is>
          <t>7.4</t>
        </is>
      </c>
      <c r="AM941" t="inlineStr">
        <is>
          <t>601+</t>
        </is>
      </c>
      <c r="AN941" t="inlineStr">
        <is>
          <t>23.9</t>
        </is>
      </c>
      <c r="AO941" t="inlineStr">
        <is>
          <t>593</t>
        </is>
      </c>
      <c r="AP941" t="inlineStr">
        <is>
          <t>73.1</t>
        </is>
      </c>
      <c r="AQ941" t="inlineStr">
        <is>
          <t>134</t>
        </is>
      </c>
      <c r="AR941" t="inlineStr">
        <is>
          <t>15.1</t>
        </is>
      </c>
      <c r="AS941" t="inlineStr">
        <is>
          <t>664</t>
        </is>
      </c>
      <c r="AT941" t="inlineStr">
        <is>
          <t>3.5</t>
        </is>
      </c>
      <c r="AU941" t="inlineStr">
        <is>
          <t>701+</t>
        </is>
      </c>
      <c r="AV941" t="inlineStr">
        <is>
          <t>21.1</t>
        </is>
      </c>
      <c r="AW941" t="inlineStr">
        <is>
          <t>536</t>
        </is>
      </c>
      <c r="AX941" t="inlineStr">
        <is>
          <t>8.8</t>
        </is>
      </c>
      <c r="AY941" t="inlineStr">
        <is>
          <t>701+</t>
        </is>
      </c>
      <c r="AZ941" t="inlineStr">
        <is>
          <t>16.9</t>
        </is>
      </c>
      <c r="BA941" t="inlineStr">
        <is>
          <t>581=</t>
        </is>
      </c>
    </row>
    <row r="942">
      <c r="A942" t="inlineStr">
        <is>
          <t>Southeast University, China</t>
        </is>
      </c>
      <c r="B942" t="inlineStr">
        <is>
          <t>China (Mainland)</t>
        </is>
      </c>
      <c r="C942" t="inlineStr"/>
      <c r="D942" t="inlineStr">
        <is>
          <t>Asia</t>
        </is>
      </c>
      <c r="E942" t="inlineStr">
        <is>
          <t>XL</t>
        </is>
      </c>
      <c r="F942" t="inlineStr">
        <is>
          <t>FC</t>
        </is>
      </c>
      <c r="G942" t="inlineStr">
        <is>
          <t>VH</t>
        </is>
      </c>
      <c r="H942" t="inlineStr"/>
      <c r="I942" t="inlineStr">
        <is>
          <t>Public</t>
        </is>
      </c>
      <c r="J942" t="inlineStr">
        <is>
          <t>392</t>
        </is>
      </c>
      <c r="K942" t="inlineStr">
        <is>
          <t>428</t>
        </is>
      </c>
      <c r="L942" t="inlineStr"/>
      <c r="M942" t="inlineStr"/>
      <c r="N942" t="inlineStr">
        <is>
          <t>38.2</t>
        </is>
      </c>
      <c r="O942" t="inlineStr"/>
      <c r="P942" t="n">
        <v>21.1</v>
      </c>
      <c r="Q942" t="inlineStr">
        <is>
          <t>588</t>
        </is>
      </c>
      <c r="R942" t="n">
        <v>20.8</v>
      </c>
      <c r="S942" t="inlineStr">
        <is>
          <t>632</t>
        </is>
      </c>
      <c r="T942" t="n">
        <v>24.5</v>
      </c>
      <c r="U942" t="inlineStr">
        <is>
          <t>745</t>
        </is>
      </c>
      <c r="V942" t="n">
        <v>93.59999999999999</v>
      </c>
      <c r="W942" t="inlineStr">
        <is>
          <t>83</t>
        </is>
      </c>
      <c r="X942" t="n">
        <v>31.6</v>
      </c>
      <c r="Y942" t="inlineStr">
        <is>
          <t>569</t>
        </is>
      </c>
      <c r="Z942" t="n">
        <v>6.1</v>
      </c>
      <c r="AA942" t="inlineStr">
        <is>
          <t>801+</t>
        </is>
      </c>
      <c r="AB942" t="n">
        <v>11.5</v>
      </c>
      <c r="AC942" t="inlineStr">
        <is>
          <t>801+</t>
        </is>
      </c>
      <c r="AD942" t="n">
        <v>76.90000000000001</v>
      </c>
      <c r="AE942" t="inlineStr">
        <is>
          <t>407</t>
        </is>
      </c>
      <c r="AF942" t="n">
        <v>9.6</v>
      </c>
      <c r="AG942" t="inlineStr">
        <is>
          <t>801+</t>
        </is>
      </c>
      <c r="AH942" t="n">
        <v>45</v>
      </c>
      <c r="AI942" t="inlineStr">
        <is>
          <t>801+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</row>
    <row r="943">
      <c r="A943" t="inlineStr">
        <is>
          <t>Southern Cross University</t>
        </is>
      </c>
      <c r="B943" t="inlineStr">
        <is>
          <t>Australia</t>
        </is>
      </c>
      <c r="C943" t="inlineStr">
        <is>
          <t>AU</t>
        </is>
      </c>
      <c r="D943" t="inlineStr">
        <is>
          <t>Oceania</t>
        </is>
      </c>
      <c r="E943" t="inlineStr">
        <is>
          <t>M</t>
        </is>
      </c>
      <c r="F943" t="inlineStr">
        <is>
          <t>CO</t>
        </is>
      </c>
      <c r="G943" t="inlineStr">
        <is>
          <t>VH</t>
        </is>
      </c>
      <c r="H943" t="inlineStr">
        <is>
          <t>2</t>
        </is>
      </c>
      <c r="I943" t="inlineStr">
        <is>
          <t>Public</t>
        </is>
      </c>
      <c r="J943" t="inlineStr">
        <is>
          <t>638</t>
        </is>
      </c>
      <c r="K943" t="inlineStr">
        <is>
          <t>576</t>
        </is>
      </c>
      <c r="L943" t="inlineStr">
        <is>
          <t>651-660</t>
        </is>
      </c>
      <c r="M943" t="inlineStr">
        <is>
          <t>701-750</t>
        </is>
      </c>
      <c r="N943" t="inlineStr">
        <is>
          <t>27.1</t>
        </is>
      </c>
      <c r="O943" t="inlineStr">
        <is>
          <t>-</t>
        </is>
      </c>
      <c r="P943" t="n">
        <v>6</v>
      </c>
      <c r="Q943" t="inlineStr">
        <is>
          <t>701+</t>
        </is>
      </c>
      <c r="R943" t="n">
        <v>4.3</v>
      </c>
      <c r="S943" t="inlineStr">
        <is>
          <t>701+</t>
        </is>
      </c>
      <c r="T943" t="n">
        <v>3.9</v>
      </c>
      <c r="U943" t="inlineStr">
        <is>
          <t>801+</t>
        </is>
      </c>
      <c r="V943" t="n">
        <v>55.5</v>
      </c>
      <c r="W943" t="inlineStr">
        <is>
          <t>322</t>
        </is>
      </c>
      <c r="X943" t="n">
        <v>92.7</v>
      </c>
      <c r="Y943" t="inlineStr">
        <is>
          <t>203</t>
        </is>
      </c>
      <c r="Z943" t="n">
        <v>62.6</v>
      </c>
      <c r="AA943" t="inlineStr">
        <is>
          <t>322</t>
        </is>
      </c>
      <c r="AB943" t="n">
        <v>66.2</v>
      </c>
      <c r="AC943" t="inlineStr">
        <is>
          <t>296</t>
        </is>
      </c>
      <c r="AD943" t="n">
        <v>61.1</v>
      </c>
      <c r="AE943" t="inlineStr">
        <is>
          <t>677</t>
        </is>
      </c>
      <c r="AF943" t="n">
        <v>6.2</v>
      </c>
      <c r="AG943" t="inlineStr">
        <is>
          <t>801+</t>
        </is>
      </c>
      <c r="AH943" t="n">
        <v>65.90000000000001</v>
      </c>
      <c r="AI943" t="inlineStr">
        <is>
          <t>385=</t>
        </is>
      </c>
      <c r="AJ943" t="inlineStr">
        <is>
          <t>4.7</t>
        </is>
      </c>
      <c r="AK943" t="inlineStr">
        <is>
          <t>601+</t>
        </is>
      </c>
      <c r="AL943" t="inlineStr">
        <is>
          <t>3.4</t>
        </is>
      </c>
      <c r="AM943" t="inlineStr">
        <is>
          <t>601+</t>
        </is>
      </c>
      <c r="AN943" t="inlineStr">
        <is>
          <t>3.2</t>
        </is>
      </c>
      <c r="AO943" t="inlineStr">
        <is>
          <t>701+</t>
        </is>
      </c>
      <c r="AP943" t="inlineStr">
        <is>
          <t>38.6</t>
        </is>
      </c>
      <c r="AQ943" t="inlineStr">
        <is>
          <t>361</t>
        </is>
      </c>
      <c r="AR943" t="inlineStr">
        <is>
          <t>71.2</t>
        </is>
      </c>
      <c r="AS943" t="inlineStr">
        <is>
          <t>270</t>
        </is>
      </c>
      <c r="AT943" t="inlineStr">
        <is>
          <t>66.2</t>
        </is>
      </c>
      <c r="AU943" t="inlineStr">
        <is>
          <t>226</t>
        </is>
      </c>
      <c r="AV943" t="inlineStr">
        <is>
          <t>9.3</t>
        </is>
      </c>
      <c r="AW943" t="inlineStr">
        <is>
          <t>687</t>
        </is>
      </c>
      <c r="AX943" t="inlineStr">
        <is>
          <t>6.9</t>
        </is>
      </c>
      <c r="AY943" t="inlineStr">
        <is>
          <t>701+</t>
        </is>
      </c>
      <c r="AZ943" t="inlineStr">
        <is>
          <t>11</t>
        </is>
      </c>
      <c r="BA943" t="inlineStr">
        <is>
          <t>656=</t>
        </is>
      </c>
    </row>
    <row r="944">
      <c r="A944" t="inlineStr">
        <is>
          <t>Southern Federal University</t>
        </is>
      </c>
      <c r="B944" t="inlineStr">
        <is>
          <t>Russia</t>
        </is>
      </c>
      <c r="C944" t="inlineStr">
        <is>
          <t>RU</t>
        </is>
      </c>
      <c r="D944" t="inlineStr">
        <is>
          <t>Europe</t>
        </is>
      </c>
      <c r="E944" t="inlineStr">
        <is>
          <t>L</t>
        </is>
      </c>
      <c r="F944" t="inlineStr">
        <is>
          <t>CO</t>
        </is>
      </c>
      <c r="G944" t="inlineStr">
        <is>
          <t>VH</t>
        </is>
      </c>
      <c r="H944" t="inlineStr">
        <is>
          <t>5</t>
        </is>
      </c>
      <c r="I944" t="inlineStr">
        <is>
          <t>Public</t>
        </is>
      </c>
      <c r="J944" t="inlineStr">
        <is>
          <t>1001-1200</t>
        </is>
      </c>
      <c r="K944" t="inlineStr">
        <is>
          <t>951-1000</t>
        </is>
      </c>
      <c r="L944" t="inlineStr">
        <is>
          <t>851-900</t>
        </is>
      </c>
      <c r="M944" t="inlineStr">
        <is>
          <t>541-550</t>
        </is>
      </c>
      <c r="N944" t="inlineStr">
        <is>
          <t>-</t>
        </is>
      </c>
      <c r="O944" t="inlineStr">
        <is>
          <t>-</t>
        </is>
      </c>
      <c r="P944" t="n">
        <v>7</v>
      </c>
      <c r="Q944" t="inlineStr">
        <is>
          <t>701+</t>
        </is>
      </c>
      <c r="R944" t="n">
        <v>7.5</v>
      </c>
      <c r="S944" t="inlineStr">
        <is>
          <t>701+</t>
        </is>
      </c>
      <c r="T944" t="n">
        <v>65.40000000000001</v>
      </c>
      <c r="U944" t="inlineStr">
        <is>
          <t>266</t>
        </is>
      </c>
      <c r="V944" t="n">
        <v>3.5</v>
      </c>
      <c r="W944" t="inlineStr">
        <is>
          <t>801+</t>
        </is>
      </c>
      <c r="X944" t="n">
        <v>4.9</v>
      </c>
      <c r="Y944" t="inlineStr">
        <is>
          <t>801+</t>
        </is>
      </c>
      <c r="Z944" t="n">
        <v>42.3</v>
      </c>
      <c r="AA944" t="inlineStr">
        <is>
          <t>470</t>
        </is>
      </c>
      <c r="AB944" t="n">
        <v>47.6</v>
      </c>
      <c r="AC944" t="inlineStr">
        <is>
          <t>435</t>
        </is>
      </c>
      <c r="AD944" t="n">
        <v>43.6</v>
      </c>
      <c r="AE944" t="inlineStr">
        <is>
          <t>801+</t>
        </is>
      </c>
      <c r="AF944" t="n">
        <v>3.7</v>
      </c>
      <c r="AG944" t="inlineStr">
        <is>
          <t>801+</t>
        </is>
      </c>
      <c r="AH944" t="n">
        <v>31.4</v>
      </c>
      <c r="AI944" t="inlineStr">
        <is>
          <t>801+</t>
        </is>
      </c>
      <c r="AJ944" t="inlineStr">
        <is>
          <t>7.6</t>
        </is>
      </c>
      <c r="AK944" t="inlineStr">
        <is>
          <t>601+</t>
        </is>
      </c>
      <c r="AL944" t="inlineStr">
        <is>
          <t>3.6</t>
        </is>
      </c>
      <c r="AM944" t="inlineStr">
        <is>
          <t>601+</t>
        </is>
      </c>
      <c r="AN944" t="inlineStr">
        <is>
          <t>77.8</t>
        </is>
      </c>
      <c r="AO944" t="inlineStr">
        <is>
          <t>146</t>
        </is>
      </c>
      <c r="AP944" t="inlineStr">
        <is>
          <t>1.8</t>
        </is>
      </c>
      <c r="AQ944" t="inlineStr">
        <is>
          <t>701+</t>
        </is>
      </c>
      <c r="AR944" t="inlineStr">
        <is>
          <t>3.5</t>
        </is>
      </c>
      <c r="AS944" t="inlineStr">
        <is>
          <t>701+</t>
        </is>
      </c>
      <c r="AT944" t="inlineStr">
        <is>
          <t>23.1</t>
        </is>
      </c>
      <c r="AU944" t="inlineStr">
        <is>
          <t>499</t>
        </is>
      </c>
      <c r="AV944" t="inlineStr">
        <is>
          <t>5.1</t>
        </is>
      </c>
      <c r="AW944" t="inlineStr">
        <is>
          <t>701+</t>
        </is>
      </c>
      <c r="AX944" t="inlineStr">
        <is>
          <t>6.6</t>
        </is>
      </c>
      <c r="AY944" t="inlineStr">
        <is>
          <t>701+</t>
        </is>
      </c>
      <c r="AZ944" t="inlineStr">
        <is>
          <t>11.7</t>
        </is>
      </c>
      <c r="BA944" t="inlineStr">
        <is>
          <t>647=</t>
        </is>
      </c>
    </row>
    <row r="945">
      <c r="A945" t="inlineStr">
        <is>
          <t>Southern Methodist University</t>
        </is>
      </c>
      <c r="B945" t="inlineStr">
        <is>
          <t>United States</t>
        </is>
      </c>
      <c r="C945" t="inlineStr">
        <is>
          <t>US</t>
        </is>
      </c>
      <c r="D945" t="inlineStr">
        <is>
          <t>Americas</t>
        </is>
      </c>
      <c r="E945" t="inlineStr">
        <is>
          <t>M</t>
        </is>
      </c>
      <c r="F945" t="inlineStr">
        <is>
          <t>CO</t>
        </is>
      </c>
      <c r="G945" t="inlineStr">
        <is>
          <t>VH</t>
        </is>
      </c>
      <c r="H945" t="inlineStr">
        <is>
          <t>5</t>
        </is>
      </c>
      <c r="I945" t="inlineStr">
        <is>
          <t>Private not for Profit</t>
        </is>
      </c>
      <c r="J945" t="inlineStr">
        <is>
          <t>1001-1200</t>
        </is>
      </c>
      <c r="K945" t="inlineStr">
        <is>
          <t>1001-1200</t>
        </is>
      </c>
      <c r="L945" t="inlineStr">
        <is>
          <t>1001-1200</t>
        </is>
      </c>
      <c r="M945" t="inlineStr">
        <is>
          <t>801-1000</t>
        </is>
      </c>
      <c r="N945" t="inlineStr">
        <is>
          <t>-</t>
        </is>
      </c>
      <c r="O945" t="inlineStr">
        <is>
          <t>-</t>
        </is>
      </c>
      <c r="P945" t="n">
        <v>6.4</v>
      </c>
      <c r="Q945" t="inlineStr">
        <is>
          <t>701+</t>
        </is>
      </c>
      <c r="R945" t="n">
        <v>10.9</v>
      </c>
      <c r="S945" t="inlineStr">
        <is>
          <t>701+</t>
        </is>
      </c>
      <c r="T945" t="n">
        <v>37.6</v>
      </c>
      <c r="U945" t="inlineStr">
        <is>
          <t>537</t>
        </is>
      </c>
      <c r="V945" t="n">
        <v>11.9</v>
      </c>
      <c r="W945" t="inlineStr">
        <is>
          <t>801+</t>
        </is>
      </c>
      <c r="X945" t="n">
        <v>15.8</v>
      </c>
      <c r="Y945" t="inlineStr">
        <is>
          <t>782</t>
        </is>
      </c>
      <c r="Z945" t="n">
        <v>16.3</v>
      </c>
      <c r="AA945" t="inlineStr">
        <is>
          <t>792</t>
        </is>
      </c>
      <c r="AB945" t="n">
        <v>12.4</v>
      </c>
      <c r="AC945" t="inlineStr">
        <is>
          <t>801+</t>
        </is>
      </c>
      <c r="AD945" t="n">
        <v>28.8</v>
      </c>
      <c r="AE945" t="inlineStr">
        <is>
          <t>801+</t>
        </is>
      </c>
      <c r="AF945" t="n">
        <v>62.4</v>
      </c>
      <c r="AG945" t="inlineStr">
        <is>
          <t>251</t>
        </is>
      </c>
      <c r="AH945" t="n">
        <v>41.9</v>
      </c>
      <c r="AI945" t="inlineStr">
        <is>
          <t>801+</t>
        </is>
      </c>
      <c r="AJ945" t="inlineStr">
        <is>
          <t>5.2</t>
        </is>
      </c>
      <c r="AK945" t="inlineStr">
        <is>
          <t>601+</t>
        </is>
      </c>
      <c r="AL945" t="inlineStr">
        <is>
          <t>3.8</t>
        </is>
      </c>
      <c r="AM945" t="inlineStr">
        <is>
          <t>601+</t>
        </is>
      </c>
      <c r="AN945" t="inlineStr">
        <is>
          <t>28.0</t>
        </is>
      </c>
      <c r="AO945" t="inlineStr">
        <is>
          <t>545</t>
        </is>
      </c>
      <c r="AP945" t="inlineStr">
        <is>
          <t>8.6</t>
        </is>
      </c>
      <c r="AQ945" t="inlineStr">
        <is>
          <t>701+</t>
        </is>
      </c>
      <c r="AR945" t="inlineStr">
        <is>
          <t>13.0</t>
        </is>
      </c>
      <c r="AS945" t="inlineStr">
        <is>
          <t>700</t>
        </is>
      </c>
      <c r="AT945" t="inlineStr">
        <is>
          <t>8.8</t>
        </is>
      </c>
      <c r="AU945" t="inlineStr">
        <is>
          <t>701+</t>
        </is>
      </c>
      <c r="AV945" t="inlineStr">
        <is>
          <t>2.7</t>
        </is>
      </c>
      <c r="AW945" t="inlineStr">
        <is>
          <t>701+</t>
        </is>
      </c>
      <c r="AX945" t="inlineStr">
        <is>
          <t>30.5</t>
        </is>
      </c>
      <c r="AY945" t="inlineStr">
        <is>
          <t>252</t>
        </is>
      </c>
      <c r="AZ945" t="inlineStr">
        <is>
          <t>1.6</t>
        </is>
      </c>
      <c r="BA945" t="inlineStr">
        <is>
          <t>701+</t>
        </is>
      </c>
    </row>
    <row r="946">
      <c r="A946" t="inlineStr">
        <is>
          <t>Southern University of Science and Technology</t>
        </is>
      </c>
      <c r="B946" t="inlineStr">
        <is>
          <t>China (Mainland)</t>
        </is>
      </c>
      <c r="C946" t="inlineStr">
        <is>
          <t>CN</t>
        </is>
      </c>
      <c r="D946" t="inlineStr"/>
      <c r="E946" t="inlineStr">
        <is>
          <t>M</t>
        </is>
      </c>
      <c r="F946" t="inlineStr">
        <is>
          <t>FO</t>
        </is>
      </c>
      <c r="G946" t="inlineStr">
        <is>
          <t>VH</t>
        </is>
      </c>
      <c r="H946" t="inlineStr">
        <is>
          <t>2</t>
        </is>
      </c>
      <c r="I946" t="inlineStr">
        <is>
          <t>A</t>
        </is>
      </c>
      <c r="J946" t="inlineStr"/>
      <c r="K946" t="inlineStr"/>
      <c r="L946" t="inlineStr">
        <is>
          <t>301</t>
        </is>
      </c>
      <c r="M946" t="inlineStr">
        <is>
          <t>226=</t>
        </is>
      </c>
      <c r="N946" t="inlineStr"/>
      <c r="O946" t="inlineStr">
        <is>
          <t>34.6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9.1</t>
        </is>
      </c>
      <c r="AK946" t="inlineStr">
        <is>
          <t>601+</t>
        </is>
      </c>
      <c r="AL946" t="inlineStr">
        <is>
          <t>2.1</t>
        </is>
      </c>
      <c r="AM946" t="inlineStr">
        <is>
          <t>601+</t>
        </is>
      </c>
      <c r="AN946" t="inlineStr">
        <is>
          <t>94.6</t>
        </is>
      </c>
      <c r="AO946" t="inlineStr">
        <is>
          <t>64</t>
        </is>
      </c>
      <c r="AP946" t="inlineStr">
        <is>
          <t>95.0</t>
        </is>
      </c>
      <c r="AQ946" t="inlineStr">
        <is>
          <t>53</t>
        </is>
      </c>
      <c r="AR946" t="inlineStr">
        <is>
          <t>37.2</t>
        </is>
      </c>
      <c r="AS946" t="inlineStr">
        <is>
          <t>434</t>
        </is>
      </c>
      <c r="AT946" t="inlineStr">
        <is>
          <t>1.5</t>
        </is>
      </c>
      <c r="AU946" t="inlineStr">
        <is>
          <t>701+</t>
        </is>
      </c>
      <c r="AV946" t="inlineStr">
        <is>
          <t>6.8</t>
        </is>
      </c>
      <c r="AW946" t="inlineStr">
        <is>
          <t>701+</t>
        </is>
      </c>
      <c r="AX946" t="inlineStr">
        <is>
          <t>7.4</t>
        </is>
      </c>
      <c r="AY946" t="inlineStr">
        <is>
          <t>701+</t>
        </is>
      </c>
      <c r="AZ946" t="inlineStr">
        <is>
          <t>6.9</t>
        </is>
      </c>
      <c r="BA946" t="inlineStr">
        <is>
          <t>701+</t>
        </is>
      </c>
    </row>
    <row r="947">
      <c r="A947" t="inlineStr">
        <is>
          <t>Southern University of Science and Technology (SUSTech)</t>
        </is>
      </c>
      <c r="B947" t="inlineStr">
        <is>
          <t>China (Mainland)</t>
        </is>
      </c>
      <c r="C947" t="inlineStr"/>
      <c r="D947" t="inlineStr">
        <is>
          <t>Asia</t>
        </is>
      </c>
      <c r="E947" t="inlineStr">
        <is>
          <t>M</t>
        </is>
      </c>
      <c r="F947" t="inlineStr">
        <is>
          <t>FO</t>
        </is>
      </c>
      <c r="G947" t="inlineStr">
        <is>
          <t>VH</t>
        </is>
      </c>
      <c r="H947" t="inlineStr"/>
      <c r="I947" t="inlineStr">
        <is>
          <t>Public</t>
        </is>
      </c>
      <c r="J947" t="inlineStr">
        <is>
          <t>343</t>
        </is>
      </c>
      <c r="K947" t="inlineStr">
        <is>
          <t>284</t>
        </is>
      </c>
      <c r="L947" t="inlineStr"/>
      <c r="M947" t="inlineStr"/>
      <c r="N947" t="inlineStr">
        <is>
          <t>41.8</t>
        </is>
      </c>
      <c r="O947" t="inlineStr"/>
      <c r="P947" t="n">
        <v>14.9</v>
      </c>
      <c r="Q947" t="inlineStr">
        <is>
          <t>701+</t>
        </is>
      </c>
      <c r="R947" t="n">
        <v>9.4</v>
      </c>
      <c r="S947" t="inlineStr">
        <is>
          <t>701+</t>
        </is>
      </c>
      <c r="T947" t="n">
        <v>87.5</v>
      </c>
      <c r="U947" t="inlineStr">
        <is>
          <t>116</t>
        </is>
      </c>
      <c r="V947" t="n">
        <v>100</v>
      </c>
      <c r="W947" t="inlineStr">
        <is>
          <t>14</t>
        </is>
      </c>
      <c r="X947" t="n">
        <v>42.7</v>
      </c>
      <c r="Y947" t="inlineStr">
        <is>
          <t>479</t>
        </is>
      </c>
      <c r="Z947" t="n">
        <v>2.8</v>
      </c>
      <c r="AA947" t="inlineStr">
        <is>
          <t>801+</t>
        </is>
      </c>
      <c r="AB947" t="n">
        <v>7.2</v>
      </c>
      <c r="AC947" t="inlineStr">
        <is>
          <t>801+</t>
        </is>
      </c>
      <c r="AD947" t="n">
        <v>47.2</v>
      </c>
      <c r="AE947" t="inlineStr">
        <is>
          <t>801+</t>
        </is>
      </c>
      <c r="AF947" t="n">
        <v>1.3</v>
      </c>
      <c r="AG947" t="inlineStr">
        <is>
          <t>801+</t>
        </is>
      </c>
      <c r="AH947" t="n">
        <v>65.5</v>
      </c>
      <c r="AI947" t="inlineStr">
        <is>
          <t>387=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</row>
    <row r="948">
      <c r="A948" t="inlineStr">
        <is>
          <t>Southwest University</t>
        </is>
      </c>
      <c r="B948" t="inlineStr">
        <is>
          <t>China (Mainland)</t>
        </is>
      </c>
      <c r="C948" t="inlineStr">
        <is>
          <t>CN</t>
        </is>
      </c>
      <c r="D948" t="inlineStr">
        <is>
          <t>Asia</t>
        </is>
      </c>
      <c r="E948" t="inlineStr">
        <is>
          <t>XL</t>
        </is>
      </c>
      <c r="F948" t="inlineStr">
        <is>
          <t>CO</t>
        </is>
      </c>
      <c r="G948" t="inlineStr">
        <is>
          <t>VH</t>
        </is>
      </c>
      <c r="H948" t="inlineStr">
        <is>
          <t>2</t>
        </is>
      </c>
      <c r="I948" t="inlineStr">
        <is>
          <t>Public</t>
        </is>
      </c>
      <c r="J948" t="inlineStr">
        <is>
          <t>1001-1200</t>
        </is>
      </c>
      <c r="K948" t="inlineStr">
        <is>
          <t>1001-1200</t>
        </is>
      </c>
      <c r="L948" t="inlineStr">
        <is>
          <t>1001-1200</t>
        </is>
      </c>
      <c r="M948" t="inlineStr">
        <is>
          <t>1201-1400</t>
        </is>
      </c>
      <c r="N948" t="inlineStr">
        <is>
          <t>-</t>
        </is>
      </c>
      <c r="O948" t="inlineStr">
        <is>
          <t>-</t>
        </is>
      </c>
      <c r="P948" t="n">
        <v>3.2</v>
      </c>
      <c r="Q948" t="inlineStr">
        <is>
          <t>701+</t>
        </is>
      </c>
      <c r="R948" t="n">
        <v>3.5</v>
      </c>
      <c r="S948" t="inlineStr">
        <is>
          <t>701+</t>
        </is>
      </c>
      <c r="T948" t="n">
        <v>12</v>
      </c>
      <c r="U948" t="inlineStr">
        <is>
          <t>801+</t>
        </is>
      </c>
      <c r="V948" t="n">
        <v>45.1</v>
      </c>
      <c r="W948" t="inlineStr">
        <is>
          <t>414</t>
        </is>
      </c>
      <c r="X948" t="n">
        <v>1.5</v>
      </c>
      <c r="Y948" t="inlineStr">
        <is>
          <t>801+</t>
        </is>
      </c>
      <c r="Z948" t="n">
        <v>5.3</v>
      </c>
      <c r="AA948" t="inlineStr">
        <is>
          <t>801+</t>
        </is>
      </c>
      <c r="AB948" t="n">
        <v>4.2</v>
      </c>
      <c r="AC948" t="inlineStr">
        <is>
          <t>801+</t>
        </is>
      </c>
      <c r="AD948" t="n">
        <v>51.4</v>
      </c>
      <c r="AE948" t="inlineStr">
        <is>
          <t>801+</t>
        </is>
      </c>
      <c r="AF948" t="n">
        <v>16.5</v>
      </c>
      <c r="AG948" t="inlineStr">
        <is>
          <t>798</t>
        </is>
      </c>
      <c r="AH948" t="n">
        <v>37.9</v>
      </c>
      <c r="AI948" t="inlineStr">
        <is>
          <t>801+</t>
        </is>
      </c>
      <c r="AJ948" t="inlineStr">
        <is>
          <t>3.9</t>
        </is>
      </c>
      <c r="AK948" t="inlineStr">
        <is>
          <t>601+</t>
        </is>
      </c>
      <c r="AL948" t="inlineStr">
        <is>
          <t>1.7</t>
        </is>
      </c>
      <c r="AM948" t="inlineStr">
        <is>
          <t>601+</t>
        </is>
      </c>
      <c r="AN948" t="inlineStr">
        <is>
          <t>12.6</t>
        </is>
      </c>
      <c r="AO948" t="inlineStr">
        <is>
          <t>701+</t>
        </is>
      </c>
      <c r="AP948" t="inlineStr">
        <is>
          <t>19.2</t>
        </is>
      </c>
      <c r="AQ948" t="inlineStr">
        <is>
          <t>566</t>
        </is>
      </c>
      <c r="AR948" t="inlineStr">
        <is>
          <t>1.3</t>
        </is>
      </c>
      <c r="AS948" t="inlineStr">
        <is>
          <t>701+</t>
        </is>
      </c>
      <c r="AT948" t="inlineStr">
        <is>
          <t>1.7</t>
        </is>
      </c>
      <c r="AU948" t="inlineStr">
        <is>
          <t>701+</t>
        </is>
      </c>
      <c r="AV948" t="inlineStr">
        <is>
          <t>5.9</t>
        </is>
      </c>
      <c r="AW948" t="inlineStr">
        <is>
          <t>701+</t>
        </is>
      </c>
      <c r="AX948" t="inlineStr">
        <is>
          <t>9</t>
        </is>
      </c>
      <c r="AY948" t="inlineStr">
        <is>
          <t>701+</t>
        </is>
      </c>
      <c r="AZ948" t="inlineStr">
        <is>
          <t>5.8</t>
        </is>
      </c>
      <c r="BA948" t="inlineStr">
        <is>
          <t>701+</t>
        </is>
      </c>
    </row>
    <row r="949">
      <c r="A949" t="inlineStr">
        <is>
          <t>SRM INSTITUTE OF SCIENCE AND TECHNOLOGY</t>
        </is>
      </c>
      <c r="B949" t="inlineStr">
        <is>
          <t>India</t>
        </is>
      </c>
      <c r="C949" t="inlineStr">
        <is>
          <t>IN</t>
        </is>
      </c>
      <c r="D949" t="inlineStr"/>
      <c r="E949" t="inlineStr">
        <is>
          <t>XL</t>
        </is>
      </c>
      <c r="F949" t="inlineStr">
        <is>
          <t>CO</t>
        </is>
      </c>
      <c r="G949" t="inlineStr">
        <is>
          <t>VH</t>
        </is>
      </c>
      <c r="H949" t="inlineStr">
        <is>
          <t>3</t>
        </is>
      </c>
      <c r="I949" t="inlineStr">
        <is>
          <t>B</t>
        </is>
      </c>
      <c r="J949" t="inlineStr"/>
      <c r="K949" t="inlineStr"/>
      <c r="L949" t="inlineStr">
        <is>
          <t>1201-1400</t>
        </is>
      </c>
      <c r="M949" t="inlineStr">
        <is>
          <t>1201-1400</t>
        </is>
      </c>
      <c r="N949" t="inlineStr"/>
      <c r="O949" t="inlineStr">
        <is>
          <t>-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7.0</t>
        </is>
      </c>
      <c r="AK949" t="inlineStr">
        <is>
          <t>601+</t>
        </is>
      </c>
      <c r="AL949" t="inlineStr">
        <is>
          <t>13.1</t>
        </is>
      </c>
      <c r="AM949" t="inlineStr">
        <is>
          <t>601+</t>
        </is>
      </c>
      <c r="AN949" t="inlineStr">
        <is>
          <t>12.2</t>
        </is>
      </c>
      <c r="AO949" t="inlineStr">
        <is>
          <t>701+</t>
        </is>
      </c>
      <c r="AP949" t="inlineStr">
        <is>
          <t>3.7</t>
        </is>
      </c>
      <c r="AQ949" t="inlineStr">
        <is>
          <t>701+</t>
        </is>
      </c>
      <c r="AR949" t="inlineStr">
        <is>
          <t>1.7</t>
        </is>
      </c>
      <c r="AS949" t="inlineStr">
        <is>
          <t>701+</t>
        </is>
      </c>
      <c r="AT949" t="inlineStr">
        <is>
          <t>2.1</t>
        </is>
      </c>
      <c r="AU949" t="inlineStr">
        <is>
          <t>701+</t>
        </is>
      </c>
      <c r="AV949" t="inlineStr">
        <is>
          <t>8.1</t>
        </is>
      </c>
      <c r="AW949" t="inlineStr">
        <is>
          <t>701+</t>
        </is>
      </c>
      <c r="AX949" t="inlineStr">
        <is>
          <t>7.5</t>
        </is>
      </c>
      <c r="AY949" t="inlineStr">
        <is>
          <t>701+</t>
        </is>
      </c>
      <c r="AZ949" t="inlineStr">
        <is>
          <t>3.8</t>
        </is>
      </c>
      <c r="BA949" t="inlineStr">
        <is>
          <t>701+</t>
        </is>
      </c>
    </row>
    <row r="950">
      <c r="A950" t="inlineStr">
        <is>
          <t>SRM Institute of Science and Technology (f.k.a SRM University)</t>
        </is>
      </c>
      <c r="B950" t="inlineStr">
        <is>
          <t>India</t>
        </is>
      </c>
      <c r="C950" t="inlineStr"/>
      <c r="D950" t="inlineStr">
        <is>
          <t>Asia</t>
        </is>
      </c>
      <c r="E950" t="inlineStr">
        <is>
          <t>XL</t>
        </is>
      </c>
      <c r="F950" t="inlineStr">
        <is>
          <t>CO</t>
        </is>
      </c>
      <c r="G950" t="inlineStr">
        <is>
          <t>VH</t>
        </is>
      </c>
      <c r="H950" t="inlineStr"/>
      <c r="I950" t="inlineStr">
        <is>
          <t>Private not for Profit</t>
        </is>
      </c>
      <c r="J950" t="inlineStr">
        <is>
          <t>1001-1200</t>
        </is>
      </c>
      <c r="K950" t="inlineStr">
        <is>
          <t>1001-1200</t>
        </is>
      </c>
      <c r="L950" t="inlineStr"/>
      <c r="M950" t="inlineStr"/>
      <c r="N950" t="inlineStr">
        <is>
          <t>-</t>
        </is>
      </c>
      <c r="O950" t="inlineStr"/>
      <c r="P950" t="n">
        <v>14.1</v>
      </c>
      <c r="Q950" t="inlineStr">
        <is>
          <t>701+</t>
        </is>
      </c>
      <c r="R950" t="n">
        <v>21.8</v>
      </c>
      <c r="S950" t="inlineStr">
        <is>
          <t>606</t>
        </is>
      </c>
      <c r="T950" t="n">
        <v>17.1</v>
      </c>
      <c r="U950" t="inlineStr">
        <is>
          <t>801+</t>
        </is>
      </c>
      <c r="V950" t="n">
        <v>8.6</v>
      </c>
      <c r="W950" t="inlineStr">
        <is>
          <t>801+</t>
        </is>
      </c>
      <c r="X950" t="n">
        <v>1.7</v>
      </c>
      <c r="Y950" t="inlineStr">
        <is>
          <t>801+</t>
        </is>
      </c>
      <c r="Z950" t="n">
        <v>2.6</v>
      </c>
      <c r="AA950" t="inlineStr">
        <is>
          <t>801+</t>
        </is>
      </c>
      <c r="AB950" t="n">
        <v>7.1</v>
      </c>
      <c r="AC950" t="inlineStr">
        <is>
          <t>801+</t>
        </is>
      </c>
      <c r="AD950" t="n">
        <v>75.09999999999999</v>
      </c>
      <c r="AE950" t="inlineStr">
        <is>
          <t>441</t>
        </is>
      </c>
      <c r="AF950" t="n">
        <v>4.9</v>
      </c>
      <c r="AG950" t="inlineStr">
        <is>
          <t>801+</t>
        </is>
      </c>
      <c r="AH950" t="n">
        <v>49.2</v>
      </c>
      <c r="AI950" t="inlineStr">
        <is>
          <t>729=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</row>
    <row r="951">
      <c r="A951" t="inlineStr">
        <is>
          <t>St. Louis University</t>
        </is>
      </c>
      <c r="B951" t="inlineStr">
        <is>
          <t>United States</t>
        </is>
      </c>
      <c r="C951" t="inlineStr">
        <is>
          <t>US</t>
        </is>
      </c>
      <c r="D951" t="inlineStr"/>
      <c r="E951" t="inlineStr">
        <is>
          <t>M</t>
        </is>
      </c>
      <c r="F951" t="inlineStr">
        <is>
          <t>CO</t>
        </is>
      </c>
      <c r="G951" t="inlineStr">
        <is>
          <t>VH</t>
        </is>
      </c>
      <c r="H951" t="inlineStr">
        <is>
          <t>5</t>
        </is>
      </c>
      <c r="I951" t="inlineStr">
        <is>
          <t>B</t>
        </is>
      </c>
      <c r="J951" t="inlineStr"/>
      <c r="K951" t="inlineStr"/>
      <c r="L951" t="inlineStr">
        <is>
          <t>901-950</t>
        </is>
      </c>
      <c r="M951" t="inlineStr">
        <is>
          <t>601-650</t>
        </is>
      </c>
      <c r="N951" t="inlineStr"/>
      <c r="O951" t="inlineStr">
        <is>
          <t>-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4.2</t>
        </is>
      </c>
      <c r="AK951" t="inlineStr">
        <is>
          <t>601+</t>
        </is>
      </c>
      <c r="AL951" t="inlineStr">
        <is>
          <t>2.7</t>
        </is>
      </c>
      <c r="AM951" t="inlineStr">
        <is>
          <t>601+</t>
        </is>
      </c>
      <c r="AN951" t="inlineStr">
        <is>
          <t>66.3</t>
        </is>
      </c>
      <c r="AO951" t="inlineStr">
        <is>
          <t>199</t>
        </is>
      </c>
      <c r="AP951" t="inlineStr">
        <is>
          <t>11.1</t>
        </is>
      </c>
      <c r="AQ951" t="inlineStr">
        <is>
          <t>701+</t>
        </is>
      </c>
      <c r="AR951" t="inlineStr">
        <is>
          <t>16.5</t>
        </is>
      </c>
      <c r="AS951" t="inlineStr">
        <is>
          <t>642</t>
        </is>
      </c>
      <c r="AT951" t="inlineStr">
        <is>
          <t>6.5</t>
        </is>
      </c>
      <c r="AU951" t="inlineStr">
        <is>
          <t>701+</t>
        </is>
      </c>
      <c r="AV951" t="inlineStr">
        <is>
          <t>2.1</t>
        </is>
      </c>
      <c r="AW951" t="inlineStr">
        <is>
          <t>701+</t>
        </is>
      </c>
      <c r="AX951" t="inlineStr">
        <is>
          <t>11.1</t>
        </is>
      </c>
      <c r="AY951" t="inlineStr">
        <is>
          <t>701+</t>
        </is>
      </c>
      <c r="AZ951" t="inlineStr"/>
      <c r="BA951" t="inlineStr"/>
    </row>
    <row r="952">
      <c r="A952" t="inlineStr">
        <is>
          <t>Stamford University Bangladesh</t>
        </is>
      </c>
      <c r="B952" t="inlineStr">
        <is>
          <t>Bangladesh</t>
        </is>
      </c>
      <c r="C952" t="inlineStr">
        <is>
          <t>BD</t>
        </is>
      </c>
      <c r="D952" t="inlineStr"/>
      <c r="E952" t="inlineStr"/>
      <c r="F952" t="inlineStr">
        <is>
          <t>FO</t>
        </is>
      </c>
      <c r="G952" t="inlineStr"/>
      <c r="H952" t="inlineStr">
        <is>
          <t>2</t>
        </is>
      </c>
      <c r="I952" t="inlineStr"/>
      <c r="J952" t="inlineStr"/>
      <c r="K952" t="inlineStr"/>
      <c r="L952" t="inlineStr">
        <is>
          <t>1401+</t>
        </is>
      </c>
      <c r="M952" t="inlineStr"/>
      <c r="N952" t="inlineStr"/>
      <c r="O952" t="inlineStr">
        <is>
          <t>-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10.0</t>
        </is>
      </c>
      <c r="AK952" t="inlineStr">
        <is>
          <t>601+</t>
        </is>
      </c>
      <c r="AL952" t="inlineStr">
        <is>
          <t>2.8</t>
        </is>
      </c>
      <c r="AM952" t="inlineStr">
        <is>
          <t>601+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>
        <is>
          <t>1.0</t>
        </is>
      </c>
      <c r="AW952" t="inlineStr">
        <is>
          <t>701+</t>
        </is>
      </c>
      <c r="AX952" t="inlineStr"/>
      <c r="AY952" t="inlineStr"/>
      <c r="AZ952" t="inlineStr"/>
      <c r="BA952" t="inlineStr"/>
    </row>
    <row r="953">
      <c r="A953" t="inlineStr">
        <is>
          <t>Stanford University</t>
        </is>
      </c>
      <c r="B953" t="inlineStr">
        <is>
          <t>United States</t>
        </is>
      </c>
      <c r="C953" t="inlineStr">
        <is>
          <t>US</t>
        </is>
      </c>
      <c r="D953" t="inlineStr">
        <is>
          <t>Americas</t>
        </is>
      </c>
      <c r="E953" t="inlineStr">
        <is>
          <t>L</t>
        </is>
      </c>
      <c r="F953" t="inlineStr">
        <is>
          <t>FC</t>
        </is>
      </c>
      <c r="G953" t="inlineStr">
        <is>
          <t>VH</t>
        </is>
      </c>
      <c r="H953" t="inlineStr">
        <is>
          <t>5</t>
        </is>
      </c>
      <c r="I953" t="inlineStr">
        <is>
          <t>Private not for Profit</t>
        </is>
      </c>
      <c r="J953" t="inlineStr">
        <is>
          <t>3</t>
        </is>
      </c>
      <c r="K953" t="inlineStr">
        <is>
          <t>6</t>
        </is>
      </c>
      <c r="L953" t="inlineStr">
        <is>
          <t>5</t>
        </is>
      </c>
      <c r="M953" t="inlineStr">
        <is>
          <t>3</t>
        </is>
      </c>
      <c r="N953" t="inlineStr">
        <is>
          <t>98.9</t>
        </is>
      </c>
      <c r="O953" t="inlineStr">
        <is>
          <t>98.1</t>
        </is>
      </c>
      <c r="P953" t="n">
        <v>100</v>
      </c>
      <c r="Q953" t="inlineStr">
        <is>
          <t>5</t>
        </is>
      </c>
      <c r="R953" t="n">
        <v>100</v>
      </c>
      <c r="S953" t="inlineStr">
        <is>
          <t>3</t>
        </is>
      </c>
      <c r="T953" t="n">
        <v>100</v>
      </c>
      <c r="U953" t="inlineStr">
        <is>
          <t>17</t>
        </is>
      </c>
      <c r="V953" t="n">
        <v>99.7</v>
      </c>
      <c r="W953" t="inlineStr">
        <is>
          <t>24</t>
        </is>
      </c>
      <c r="X953" t="n">
        <v>94.2</v>
      </c>
      <c r="Y953" t="inlineStr">
        <is>
          <t>188</t>
        </is>
      </c>
      <c r="Z953" t="n">
        <v>73.5</v>
      </c>
      <c r="AA953" t="inlineStr">
        <is>
          <t>261</t>
        </is>
      </c>
      <c r="AB953" t="n">
        <v>76.09999999999999</v>
      </c>
      <c r="AC953" t="inlineStr">
        <is>
          <t>230</t>
        </is>
      </c>
      <c r="AD953" t="n">
        <v>96.5</v>
      </c>
      <c r="AE953" t="inlineStr">
        <is>
          <t>49</t>
        </is>
      </c>
      <c r="AF953" t="n">
        <v>100</v>
      </c>
      <c r="AG953" t="inlineStr">
        <is>
          <t>2</t>
        </is>
      </c>
      <c r="AH953" t="n">
        <v>95.40000000000001</v>
      </c>
      <c r="AI953" t="inlineStr">
        <is>
          <t>19=</t>
        </is>
      </c>
      <c r="AJ953" t="inlineStr">
        <is>
          <t>100.0</t>
        </is>
      </c>
      <c r="AK953" t="inlineStr">
        <is>
          <t>5</t>
        </is>
      </c>
      <c r="AL953" t="inlineStr">
        <is>
          <t>100.0</t>
        </is>
      </c>
      <c r="AM953" t="inlineStr">
        <is>
          <t>3</t>
        </is>
      </c>
      <c r="AN953" t="inlineStr">
        <is>
          <t>100.0</t>
        </is>
      </c>
      <c r="AO953" t="inlineStr">
        <is>
          <t>11</t>
        </is>
      </c>
      <c r="AP953" t="inlineStr">
        <is>
          <t>99.9</t>
        </is>
      </c>
      <c r="AQ953" t="inlineStr">
        <is>
          <t>8</t>
        </is>
      </c>
      <c r="AR953" t="inlineStr">
        <is>
          <t>99.9</t>
        </is>
      </c>
      <c r="AS953" t="inlineStr">
        <is>
          <t>78</t>
        </is>
      </c>
      <c r="AT953" t="inlineStr">
        <is>
          <t>51.2</t>
        </is>
      </c>
      <c r="AU953" t="inlineStr">
        <is>
          <t>284</t>
        </is>
      </c>
      <c r="AV953" t="inlineStr">
        <is>
          <t>95.8</t>
        </is>
      </c>
      <c r="AW953" t="inlineStr">
        <is>
          <t>44</t>
        </is>
      </c>
      <c r="AX953" t="inlineStr">
        <is>
          <t>100</t>
        </is>
      </c>
      <c r="AY953" t="inlineStr">
        <is>
          <t>2</t>
        </is>
      </c>
      <c r="AZ953" t="inlineStr">
        <is>
          <t>94.4</t>
        </is>
      </c>
      <c r="BA953" t="inlineStr">
        <is>
          <t>63</t>
        </is>
      </c>
    </row>
    <row r="954">
      <c r="A954" t="inlineStr">
        <is>
          <t>State University Malang (Universitas Negeri Malang)</t>
        </is>
      </c>
      <c r="B954" t="inlineStr">
        <is>
          <t>Indonesia</t>
        </is>
      </c>
      <c r="C954" t="inlineStr"/>
      <c r="D954" t="inlineStr">
        <is>
          <t>Asia</t>
        </is>
      </c>
      <c r="E954" t="inlineStr">
        <is>
          <t>XL</t>
        </is>
      </c>
      <c r="F954" t="inlineStr">
        <is>
          <t>FO</t>
        </is>
      </c>
      <c r="G954" t="inlineStr">
        <is>
          <t>VH</t>
        </is>
      </c>
      <c r="H954" t="inlineStr"/>
      <c r="I954" t="inlineStr">
        <is>
          <t>Public</t>
        </is>
      </c>
      <c r="J954" t="inlineStr">
        <is>
          <t>1401+</t>
        </is>
      </c>
      <c r="K954" t="inlineStr">
        <is>
          <t>1401+</t>
        </is>
      </c>
      <c r="L954" t="inlineStr"/>
      <c r="M954" t="inlineStr"/>
      <c r="N954" t="inlineStr">
        <is>
          <t>-</t>
        </is>
      </c>
      <c r="O954" t="inlineStr"/>
      <c r="P954" t="n">
        <v>10.5</v>
      </c>
      <c r="Q954" t="inlineStr">
        <is>
          <t>701+</t>
        </is>
      </c>
      <c r="R954" t="n">
        <v>4.9</v>
      </c>
      <c r="S954" t="inlineStr">
        <is>
          <t>701+</t>
        </is>
      </c>
      <c r="T954" t="n">
        <v>9.9</v>
      </c>
      <c r="U954" t="inlineStr">
        <is>
          <t>801+</t>
        </is>
      </c>
      <c r="V954" t="n">
        <v>2.9</v>
      </c>
      <c r="W954" t="inlineStr">
        <is>
          <t>801+</t>
        </is>
      </c>
      <c r="X954" t="n">
        <v>23.4</v>
      </c>
      <c r="Y954" t="inlineStr">
        <is>
          <t>670</t>
        </is>
      </c>
      <c r="Z954" t="n">
        <v>1.6</v>
      </c>
      <c r="AA954" t="inlineStr">
        <is>
          <t>801+</t>
        </is>
      </c>
      <c r="AB954" t="n">
        <v>6.1</v>
      </c>
      <c r="AC954" t="inlineStr">
        <is>
          <t>801+</t>
        </is>
      </c>
      <c r="AD954" t="n">
        <v>13</v>
      </c>
      <c r="AE954" t="inlineStr">
        <is>
          <t>801+</t>
        </is>
      </c>
      <c r="AF954" t="n">
        <v>7.3</v>
      </c>
      <c r="AG954" t="inlineStr">
        <is>
          <t>801+</t>
        </is>
      </c>
      <c r="AH954" t="n">
        <v>34.1</v>
      </c>
      <c r="AI954" t="inlineStr">
        <is>
          <t>801+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</row>
    <row r="955">
      <c r="A955" t="inlineStr">
        <is>
          <t>State University of Malang</t>
        </is>
      </c>
      <c r="B955" t="inlineStr">
        <is>
          <t>Indonesia</t>
        </is>
      </c>
      <c r="C955" t="inlineStr">
        <is>
          <t>ID</t>
        </is>
      </c>
      <c r="D955" t="inlineStr"/>
      <c r="E955" t="inlineStr">
        <is>
          <t>L</t>
        </is>
      </c>
      <c r="F955" t="inlineStr">
        <is>
          <t>FO</t>
        </is>
      </c>
      <c r="G955" t="inlineStr">
        <is>
          <t>VH</t>
        </is>
      </c>
      <c r="H955" t="inlineStr">
        <is>
          <t>4</t>
        </is>
      </c>
      <c r="I955" t="inlineStr">
        <is>
          <t>A</t>
        </is>
      </c>
      <c r="J955" t="inlineStr"/>
      <c r="K955" t="inlineStr"/>
      <c r="L955" t="inlineStr">
        <is>
          <t>1401+</t>
        </is>
      </c>
      <c r="M955" t="inlineStr"/>
      <c r="N955" t="inlineStr"/>
      <c r="O955" t="inlineStr">
        <is>
          <t>-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5.3</t>
        </is>
      </c>
      <c r="AK955" t="inlineStr">
        <is>
          <t>601+</t>
        </is>
      </c>
      <c r="AL955" t="inlineStr">
        <is>
          <t>2.3</t>
        </is>
      </c>
      <c r="AM955" t="inlineStr">
        <is>
          <t>601+</t>
        </is>
      </c>
      <c r="AN955" t="inlineStr">
        <is>
          <t>7.9</t>
        </is>
      </c>
      <c r="AO955" t="inlineStr">
        <is>
          <t>701+</t>
        </is>
      </c>
      <c r="AP955" t="inlineStr">
        <is>
          <t>1.7</t>
        </is>
      </c>
      <c r="AQ955" t="inlineStr">
        <is>
          <t>701+</t>
        </is>
      </c>
      <c r="AR955" t="inlineStr">
        <is>
          <t>9.9</t>
        </is>
      </c>
      <c r="AS955" t="inlineStr">
        <is>
          <t>701+</t>
        </is>
      </c>
      <c r="AT955" t="inlineStr">
        <is>
          <t>1.3</t>
        </is>
      </c>
      <c r="AU955" t="inlineStr">
        <is>
          <t>701+</t>
        </is>
      </c>
      <c r="AV955" t="inlineStr">
        <is>
          <t>1.0</t>
        </is>
      </c>
      <c r="AW955" t="inlineStr">
        <is>
          <t>701+</t>
        </is>
      </c>
      <c r="AX955" t="inlineStr">
        <is>
          <t>7.5</t>
        </is>
      </c>
      <c r="AY955" t="inlineStr">
        <is>
          <t>701+</t>
        </is>
      </c>
      <c r="AZ955" t="inlineStr">
        <is>
          <t>1</t>
        </is>
      </c>
      <c r="BA955" t="inlineStr">
        <is>
          <t>701+</t>
        </is>
      </c>
    </row>
    <row r="956">
      <c r="A956" t="inlineStr">
        <is>
          <t>Stefan cel Mare University of Suceava</t>
        </is>
      </c>
      <c r="B956" t="inlineStr">
        <is>
          <t>Romania</t>
        </is>
      </c>
      <c r="C956" t="inlineStr">
        <is>
          <t>RO</t>
        </is>
      </c>
      <c r="D956" t="inlineStr">
        <is>
          <t>Europe</t>
        </is>
      </c>
      <c r="E956" t="inlineStr">
        <is>
          <t>M</t>
        </is>
      </c>
      <c r="F956" t="inlineStr">
        <is>
          <t>CO</t>
        </is>
      </c>
      <c r="G956" t="inlineStr">
        <is>
          <t>HI</t>
        </is>
      </c>
      <c r="H956" t="inlineStr">
        <is>
          <t>3</t>
        </is>
      </c>
      <c r="I956" t="inlineStr">
        <is>
          <t>Public</t>
        </is>
      </c>
      <c r="J956" t="inlineStr">
        <is>
          <t>1401+</t>
        </is>
      </c>
      <c r="K956" t="inlineStr">
        <is>
          <t>1401+</t>
        </is>
      </c>
      <c r="L956" t="inlineStr">
        <is>
          <t>1201-1400</t>
        </is>
      </c>
      <c r="M956" t="inlineStr">
        <is>
          <t>1201-1400</t>
        </is>
      </c>
      <c r="N956" t="inlineStr">
        <is>
          <t>-</t>
        </is>
      </c>
      <c r="O956" t="inlineStr">
        <is>
          <t>-</t>
        </is>
      </c>
      <c r="P956" t="n">
        <v>5.5</v>
      </c>
      <c r="Q956" t="inlineStr">
        <is>
          <t>701+</t>
        </is>
      </c>
      <c r="R956" t="n">
        <v>5.3</v>
      </c>
      <c r="S956" t="inlineStr">
        <is>
          <t>701+</t>
        </is>
      </c>
      <c r="T956" t="n">
        <v>7.1</v>
      </c>
      <c r="U956" t="inlineStr">
        <is>
          <t>801+</t>
        </is>
      </c>
      <c r="V956" t="n">
        <v>8.9</v>
      </c>
      <c r="W956" t="inlineStr">
        <is>
          <t>801+</t>
        </is>
      </c>
      <c r="X956" t="n">
        <v>3.3</v>
      </c>
      <c r="Y956" t="inlineStr">
        <is>
          <t>801+</t>
        </is>
      </c>
      <c r="Z956" t="n">
        <v>38.7</v>
      </c>
      <c r="AA956" t="inlineStr">
        <is>
          <t>509</t>
        </is>
      </c>
      <c r="AB956" t="n">
        <v>35.4</v>
      </c>
      <c r="AC956" t="inlineStr">
        <is>
          <t>545</t>
        </is>
      </c>
      <c r="AD956" t="n">
        <v>25.2</v>
      </c>
      <c r="AE956" t="inlineStr">
        <is>
          <t>801+</t>
        </is>
      </c>
      <c r="AF956" t="n">
        <v>5.3</v>
      </c>
      <c r="AG956" t="inlineStr">
        <is>
          <t>801+</t>
        </is>
      </c>
      <c r="AH956" t="n">
        <v>34.3</v>
      </c>
      <c r="AI956" t="inlineStr">
        <is>
          <t>801+</t>
        </is>
      </c>
      <c r="AJ956" t="inlineStr">
        <is>
          <t>3.8</t>
        </is>
      </c>
      <c r="AK956" t="inlineStr">
        <is>
          <t>601+</t>
        </is>
      </c>
      <c r="AL956" t="inlineStr">
        <is>
          <t>2.3</t>
        </is>
      </c>
      <c r="AM956" t="inlineStr">
        <is>
          <t>601+</t>
        </is>
      </c>
      <c r="AN956" t="inlineStr">
        <is>
          <t>4.9</t>
        </is>
      </c>
      <c r="AO956" t="inlineStr">
        <is>
          <t>701+</t>
        </is>
      </c>
      <c r="AP956" t="inlineStr">
        <is>
          <t>3.8</t>
        </is>
      </c>
      <c r="AQ956" t="inlineStr">
        <is>
          <t>701+</t>
        </is>
      </c>
      <c r="AR956" t="inlineStr">
        <is>
          <t>2.4</t>
        </is>
      </c>
      <c r="AS956" t="inlineStr">
        <is>
          <t>701+</t>
        </is>
      </c>
      <c r="AT956" t="inlineStr">
        <is>
          <t>27.7</t>
        </is>
      </c>
      <c r="AU956" t="inlineStr">
        <is>
          <t>443</t>
        </is>
      </c>
      <c r="AV956" t="inlineStr">
        <is>
          <t>1.1</t>
        </is>
      </c>
      <c r="AW956" t="inlineStr">
        <is>
          <t>701+</t>
        </is>
      </c>
      <c r="AX956" t="inlineStr">
        <is>
          <t>8.5</t>
        </is>
      </c>
      <c r="AY956" t="inlineStr">
        <is>
          <t>701+</t>
        </is>
      </c>
      <c r="AZ956" t="inlineStr">
        <is>
          <t>1</t>
        </is>
      </c>
      <c r="BA956" t="inlineStr">
        <is>
          <t>701+</t>
        </is>
      </c>
    </row>
    <row r="957">
      <c r="A957" t="inlineStr">
        <is>
          <t>Stellenbosch University</t>
        </is>
      </c>
      <c r="B957" t="inlineStr">
        <is>
          <t>South Africa</t>
        </is>
      </c>
      <c r="C957" t="inlineStr">
        <is>
          <t>ZA</t>
        </is>
      </c>
      <c r="D957" t="inlineStr">
        <is>
          <t>Africa</t>
        </is>
      </c>
      <c r="E957" t="inlineStr">
        <is>
          <t>L</t>
        </is>
      </c>
      <c r="F957" t="inlineStr">
        <is>
          <t>FC</t>
        </is>
      </c>
      <c r="G957" t="inlineStr">
        <is>
          <t>VH</t>
        </is>
      </c>
      <c r="H957" t="inlineStr">
        <is>
          <t>5</t>
        </is>
      </c>
      <c r="I957" t="inlineStr">
        <is>
          <t>Public</t>
        </is>
      </c>
      <c r="J957" t="inlineStr">
        <is>
          <t>302</t>
        </is>
      </c>
      <c r="K957" t="inlineStr">
        <is>
          <t>296</t>
        </is>
      </c>
      <c r="L957" t="inlineStr">
        <is>
          <t>283</t>
        </is>
      </c>
      <c r="M957" t="inlineStr">
        <is>
          <t>454=</t>
        </is>
      </c>
      <c r="N957" t="inlineStr">
        <is>
          <t>45.2</t>
        </is>
      </c>
      <c r="O957" t="inlineStr">
        <is>
          <t>36.5</t>
        </is>
      </c>
      <c r="P957" t="n">
        <v>36.7</v>
      </c>
      <c r="Q957" t="inlineStr">
        <is>
          <t>331</t>
        </is>
      </c>
      <c r="R957" t="n">
        <v>44.8</v>
      </c>
      <c r="S957" t="inlineStr">
        <is>
          <t>299</t>
        </is>
      </c>
      <c r="T957" t="n">
        <v>5</v>
      </c>
      <c r="U957" t="inlineStr">
        <is>
          <t>801+</t>
        </is>
      </c>
      <c r="V957" t="n">
        <v>67.5</v>
      </c>
      <c r="W957" t="inlineStr">
        <is>
          <t>233</t>
        </is>
      </c>
      <c r="X957" t="n">
        <v>25.4</v>
      </c>
      <c r="Y957" t="inlineStr">
        <is>
          <t>642</t>
        </is>
      </c>
      <c r="Z957" t="n">
        <v>14.5</v>
      </c>
      <c r="AA957" t="inlineStr">
        <is>
          <t>801+</t>
        </is>
      </c>
      <c r="AB957" t="n">
        <v>11</v>
      </c>
      <c r="AC957" t="inlineStr">
        <is>
          <t>801+</t>
        </is>
      </c>
      <c r="AD957" t="n">
        <v>93.59999999999999</v>
      </c>
      <c r="AE957" t="inlineStr">
        <is>
          <t>111</t>
        </is>
      </c>
      <c r="AF957" t="n">
        <v>88.90000000000001</v>
      </c>
      <c r="AG957" t="inlineStr">
        <is>
          <t>114</t>
        </is>
      </c>
      <c r="AH957" t="n">
        <v>61</v>
      </c>
      <c r="AI957" t="inlineStr">
        <is>
          <t>480=</t>
        </is>
      </c>
      <c r="AJ957" t="inlineStr">
        <is>
          <t>25.0</t>
        </is>
      </c>
      <c r="AK957" t="inlineStr">
        <is>
          <t>351</t>
        </is>
      </c>
      <c r="AL957" t="inlineStr">
        <is>
          <t>39.4</t>
        </is>
      </c>
      <c r="AM957" t="inlineStr">
        <is>
          <t>240</t>
        </is>
      </c>
      <c r="AN957" t="inlineStr">
        <is>
          <t>3.1</t>
        </is>
      </c>
      <c r="AO957" t="inlineStr">
        <is>
          <t>701+</t>
        </is>
      </c>
      <c r="AP957" t="inlineStr">
        <is>
          <t>59.9</t>
        </is>
      </c>
      <c r="AQ957" t="inlineStr">
        <is>
          <t>206</t>
        </is>
      </c>
      <c r="AR957" t="inlineStr">
        <is>
          <t>20.0</t>
        </is>
      </c>
      <c r="AS957" t="inlineStr">
        <is>
          <t>591</t>
        </is>
      </c>
      <c r="AT957" t="inlineStr">
        <is>
          <t>7.8</t>
        </is>
      </c>
      <c r="AU957" t="inlineStr">
        <is>
          <t>701+</t>
        </is>
      </c>
      <c r="AV957" t="inlineStr">
        <is>
          <t>92.0</t>
        </is>
      </c>
      <c r="AW957" t="inlineStr">
        <is>
          <t>69</t>
        </is>
      </c>
      <c r="AX957" t="inlineStr">
        <is>
          <t>50.1</t>
        </is>
      </c>
      <c r="AY957" t="inlineStr">
        <is>
          <t>132</t>
        </is>
      </c>
      <c r="AZ957" t="inlineStr">
        <is>
          <t>44.1</t>
        </is>
      </c>
      <c r="BA957" t="inlineStr">
        <is>
          <t>339=</t>
        </is>
      </c>
    </row>
    <row r="958">
      <c r="A958" t="inlineStr">
        <is>
          <t>Stevens Institute of Technology</t>
        </is>
      </c>
      <c r="B958" t="inlineStr">
        <is>
          <t>United States</t>
        </is>
      </c>
      <c r="C958" t="inlineStr">
        <is>
          <t>US</t>
        </is>
      </c>
      <c r="D958" t="inlineStr">
        <is>
          <t>Americas</t>
        </is>
      </c>
      <c r="E958" t="inlineStr">
        <is>
          <t>M</t>
        </is>
      </c>
      <c r="F958" t="inlineStr">
        <is>
          <t>FO</t>
        </is>
      </c>
      <c r="G958" t="inlineStr">
        <is>
          <t>VH</t>
        </is>
      </c>
      <c r="H958" t="inlineStr">
        <is>
          <t>5</t>
        </is>
      </c>
      <c r="I958" t="inlineStr">
        <is>
          <t>Private not for Profit</t>
        </is>
      </c>
      <c r="J958" t="inlineStr">
        <is>
          <t>673</t>
        </is>
      </c>
      <c r="K958" t="inlineStr">
        <is>
          <t>701-710</t>
        </is>
      </c>
      <c r="L958" t="inlineStr">
        <is>
          <t>621-630</t>
        </is>
      </c>
      <c r="M958" t="inlineStr">
        <is>
          <t>701-750</t>
        </is>
      </c>
      <c r="N958" t="inlineStr">
        <is>
          <t>26.2</t>
        </is>
      </c>
      <c r="O958" t="inlineStr">
        <is>
          <t>-</t>
        </is>
      </c>
      <c r="P958" t="n">
        <v>4</v>
      </c>
      <c r="Q958" t="inlineStr">
        <is>
          <t>701+</t>
        </is>
      </c>
      <c r="R958" t="n">
        <v>10</v>
      </c>
      <c r="S958" t="inlineStr">
        <is>
          <t>701+</t>
        </is>
      </c>
      <c r="T958" t="n">
        <v>8.4</v>
      </c>
      <c r="U958" t="inlineStr">
        <is>
          <t>801+</t>
        </is>
      </c>
      <c r="V958" t="n">
        <v>60.9</v>
      </c>
      <c r="W958" t="inlineStr">
        <is>
          <t>282</t>
        </is>
      </c>
      <c r="X958" t="n">
        <v>54.1</v>
      </c>
      <c r="Y958" t="inlineStr">
        <is>
          <t>418</t>
        </is>
      </c>
      <c r="Z958" t="n">
        <v>98.7</v>
      </c>
      <c r="AA958" t="inlineStr">
        <is>
          <t>79</t>
        </is>
      </c>
      <c r="AB958" t="n">
        <v>98.2</v>
      </c>
      <c r="AC958" t="inlineStr">
        <is>
          <t>73</t>
        </is>
      </c>
      <c r="AD958" t="n">
        <v>21.7</v>
      </c>
      <c r="AE958" t="inlineStr">
        <is>
          <t>801+</t>
        </is>
      </c>
      <c r="AF958" t="n">
        <v>13.5</v>
      </c>
      <c r="AG958" t="inlineStr">
        <is>
          <t>801+</t>
        </is>
      </c>
      <c r="AH958" t="n">
        <v>46.7</v>
      </c>
      <c r="AI958" t="inlineStr">
        <is>
          <t>799=</t>
        </is>
      </c>
      <c r="AJ958" t="inlineStr">
        <is>
          <t>2.7</t>
        </is>
      </c>
      <c r="AK958" t="inlineStr">
        <is>
          <t>601+</t>
        </is>
      </c>
      <c r="AL958" t="inlineStr">
        <is>
          <t>2.9</t>
        </is>
      </c>
      <c r="AM958" t="inlineStr">
        <is>
          <t>601+</t>
        </is>
      </c>
      <c r="AN958" t="inlineStr">
        <is>
          <t>4.7</t>
        </is>
      </c>
      <c r="AO958" t="inlineStr">
        <is>
          <t>701+</t>
        </is>
      </c>
      <c r="AP958" t="inlineStr">
        <is>
          <t>52.4</t>
        </is>
      </c>
      <c r="AQ958" t="inlineStr">
        <is>
          <t>246</t>
        </is>
      </c>
      <c r="AR958" t="inlineStr">
        <is>
          <t>37.5</t>
        </is>
      </c>
      <c r="AS958" t="inlineStr">
        <is>
          <t>428</t>
        </is>
      </c>
      <c r="AT958" t="inlineStr">
        <is>
          <t>91.4</t>
        </is>
      </c>
      <c r="AU958" t="inlineStr">
        <is>
          <t>110</t>
        </is>
      </c>
      <c r="AV958" t="inlineStr">
        <is>
          <t>1.2</t>
        </is>
      </c>
      <c r="AW958" t="inlineStr">
        <is>
          <t>701+</t>
        </is>
      </c>
      <c r="AX958" t="inlineStr">
        <is>
          <t>12.2</t>
        </is>
      </c>
      <c r="AY958" t="inlineStr">
        <is>
          <t>701+</t>
        </is>
      </c>
      <c r="AZ958" t="inlineStr">
        <is>
          <t>1.1</t>
        </is>
      </c>
      <c r="BA958" t="inlineStr">
        <is>
          <t>701+</t>
        </is>
      </c>
    </row>
    <row r="959">
      <c r="A959" t="inlineStr">
        <is>
          <t>Stockholm University</t>
        </is>
      </c>
      <c r="B959" t="inlineStr">
        <is>
          <t>Sweden</t>
        </is>
      </c>
      <c r="C959" t="inlineStr">
        <is>
          <t>SE</t>
        </is>
      </c>
      <c r="D959" t="inlineStr">
        <is>
          <t>Europe</t>
        </is>
      </c>
      <c r="E959" t="inlineStr">
        <is>
          <t>L</t>
        </is>
      </c>
      <c r="F959" t="inlineStr">
        <is>
          <t>CO</t>
        </is>
      </c>
      <c r="G959" t="inlineStr">
        <is>
          <t>VH</t>
        </is>
      </c>
      <c r="H959" t="inlineStr">
        <is>
          <t>4</t>
        </is>
      </c>
      <c r="I959" t="inlineStr">
        <is>
          <t>Public</t>
        </is>
      </c>
      <c r="J959" t="inlineStr">
        <is>
          <t>147</t>
        </is>
      </c>
      <c r="K959" t="inlineStr">
        <is>
          <t>128</t>
        </is>
      </c>
      <c r="L959" t="inlineStr">
        <is>
          <t>118</t>
        </is>
      </c>
      <c r="M959" t="inlineStr">
        <is>
          <t>153</t>
        </is>
      </c>
      <c r="N959" t="inlineStr">
        <is>
          <t>62.5</t>
        </is>
      </c>
      <c r="O959" t="inlineStr">
        <is>
          <t>56.8</t>
        </is>
      </c>
      <c r="P959" t="n">
        <v>65.09999999999999</v>
      </c>
      <c r="Q959" t="inlineStr">
        <is>
          <t>155</t>
        </is>
      </c>
      <c r="R959" t="n">
        <v>29.5</v>
      </c>
      <c r="S959" t="inlineStr">
        <is>
          <t>484</t>
        </is>
      </c>
      <c r="T959" t="n">
        <v>28.3</v>
      </c>
      <c r="U959" t="inlineStr">
        <is>
          <t>678</t>
        </is>
      </c>
      <c r="V959" t="n">
        <v>73.59999999999999</v>
      </c>
      <c r="W959" t="inlineStr">
        <is>
          <t>186</t>
        </is>
      </c>
      <c r="X959" t="n">
        <v>83</v>
      </c>
      <c r="Y959" t="inlineStr">
        <is>
          <t>271</t>
        </is>
      </c>
      <c r="Z959" t="n">
        <v>79.40000000000001</v>
      </c>
      <c r="AA959" t="inlineStr">
        <is>
          <t>224</t>
        </is>
      </c>
      <c r="AB959" t="n">
        <v>59.1</v>
      </c>
      <c r="AC959" t="inlineStr">
        <is>
          <t>346</t>
        </is>
      </c>
      <c r="AD959" t="n">
        <v>96.7</v>
      </c>
      <c r="AE959" t="inlineStr">
        <is>
          <t>45</t>
        </is>
      </c>
      <c r="AF959" t="n">
        <v>90.5</v>
      </c>
      <c r="AG959" t="inlineStr">
        <is>
          <t>102</t>
        </is>
      </c>
      <c r="AH959" t="n">
        <v>72.09999999999999</v>
      </c>
      <c r="AI959" t="inlineStr">
        <is>
          <t>291=</t>
        </is>
      </c>
      <c r="AJ959" t="inlineStr">
        <is>
          <t>54.1</t>
        </is>
      </c>
      <c r="AK959" t="inlineStr">
        <is>
          <t>145</t>
        </is>
      </c>
      <c r="AL959" t="inlineStr">
        <is>
          <t>15.2</t>
        </is>
      </c>
      <c r="AM959" t="inlineStr">
        <is>
          <t>543</t>
        </is>
      </c>
      <c r="AN959" t="inlineStr">
        <is>
          <t>28.2</t>
        </is>
      </c>
      <c r="AO959" t="inlineStr">
        <is>
          <t>543</t>
        </is>
      </c>
      <c r="AP959" t="inlineStr">
        <is>
          <t>71.9</t>
        </is>
      </c>
      <c r="AQ959" t="inlineStr">
        <is>
          <t>138</t>
        </is>
      </c>
      <c r="AR959" t="inlineStr">
        <is>
          <t>81.5</t>
        </is>
      </c>
      <c r="AS959" t="inlineStr">
        <is>
          <t>223</t>
        </is>
      </c>
      <c r="AT959" t="inlineStr">
        <is>
          <t>84.1</t>
        </is>
      </c>
      <c r="AU959" t="inlineStr">
        <is>
          <t>147</t>
        </is>
      </c>
      <c r="AV959" t="inlineStr">
        <is>
          <t>95.3</t>
        </is>
      </c>
      <c r="AW959" t="inlineStr">
        <is>
          <t>51</t>
        </is>
      </c>
      <c r="AX959" t="inlineStr">
        <is>
          <t>76.2</t>
        </is>
      </c>
      <c r="AY959" t="inlineStr">
        <is>
          <t>57</t>
        </is>
      </c>
      <c r="AZ959" t="inlineStr">
        <is>
          <t>75.1</t>
        </is>
      </c>
      <c r="BA959" t="inlineStr">
        <is>
          <t>175=</t>
        </is>
      </c>
    </row>
    <row r="960">
      <c r="A960" t="inlineStr">
        <is>
          <t>Stony Brook University</t>
        </is>
      </c>
      <c r="B960" t="inlineStr">
        <is>
          <t>United States</t>
        </is>
      </c>
      <c r="C960" t="inlineStr"/>
      <c r="D960" t="inlineStr">
        <is>
          <t>Americas</t>
        </is>
      </c>
      <c r="E960" t="inlineStr">
        <is>
          <t>L</t>
        </is>
      </c>
      <c r="F960" t="inlineStr">
        <is>
          <t>FC</t>
        </is>
      </c>
      <c r="G960" t="inlineStr">
        <is>
          <t>VH</t>
        </is>
      </c>
      <c r="H960" t="inlineStr"/>
      <c r="I960" t="inlineStr">
        <is>
          <t>Public</t>
        </is>
      </c>
      <c r="J960" t="inlineStr">
        <is>
          <t>452</t>
        </is>
      </c>
      <c r="K960" t="inlineStr">
        <is>
          <t>460</t>
        </is>
      </c>
      <c r="L960" t="inlineStr"/>
      <c r="M960" t="inlineStr"/>
      <c r="N960" t="inlineStr">
        <is>
          <t>34.2</t>
        </is>
      </c>
      <c r="O960" t="inlineStr"/>
      <c r="P960" t="n">
        <v>24.2</v>
      </c>
      <c r="Q960" t="inlineStr">
        <is>
          <t>527</t>
        </is>
      </c>
      <c r="R960" t="n">
        <v>17.8</v>
      </c>
      <c r="S960" t="inlineStr">
        <is>
          <t>701+</t>
        </is>
      </c>
      <c r="T960" t="n">
        <v>43.6</v>
      </c>
      <c r="U960" t="inlineStr">
        <is>
          <t>459</t>
        </is>
      </c>
      <c r="V960" t="n">
        <v>32.4</v>
      </c>
      <c r="W960" t="inlineStr">
        <is>
          <t>556</t>
        </is>
      </c>
      <c r="X960" t="n">
        <v>47.4</v>
      </c>
      <c r="Y960" t="inlineStr">
        <is>
          <t>451</t>
        </is>
      </c>
      <c r="Z960" t="n">
        <v>53.4</v>
      </c>
      <c r="AA960" t="inlineStr">
        <is>
          <t>384</t>
        </is>
      </c>
      <c r="AB960" t="n">
        <v>57.9</v>
      </c>
      <c r="AC960" t="inlineStr">
        <is>
          <t>352</t>
        </is>
      </c>
      <c r="AD960" t="n">
        <v>73.7</v>
      </c>
      <c r="AE960" t="inlineStr">
        <is>
          <t>474</t>
        </is>
      </c>
      <c r="AF960" t="n">
        <v>31.9</v>
      </c>
      <c r="AG960" t="inlineStr">
        <is>
          <t>527</t>
        </is>
      </c>
      <c r="AH960" t="n">
        <v>82.5</v>
      </c>
      <c r="AI960" t="inlineStr">
        <is>
          <t>141=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</row>
    <row r="961">
      <c r="A961" t="inlineStr">
        <is>
          <t>Stony Brook University, State University of New York</t>
        </is>
      </c>
      <c r="B961" t="inlineStr">
        <is>
          <t>United States</t>
        </is>
      </c>
      <c r="C961" t="inlineStr">
        <is>
          <t>US</t>
        </is>
      </c>
      <c r="D961" t="inlineStr"/>
      <c r="E961" t="inlineStr">
        <is>
          <t>L</t>
        </is>
      </c>
      <c r="F961" t="inlineStr">
        <is>
          <t>FC</t>
        </is>
      </c>
      <c r="G961" t="inlineStr">
        <is>
          <t>VH</t>
        </is>
      </c>
      <c r="H961" t="inlineStr">
        <is>
          <t>4</t>
        </is>
      </c>
      <c r="I961" t="inlineStr">
        <is>
          <t>A</t>
        </is>
      </c>
      <c r="J961" t="inlineStr"/>
      <c r="K961" t="inlineStr"/>
      <c r="L961">
        <f>396</f>
        <v/>
      </c>
      <c r="M961" t="inlineStr">
        <is>
          <t>416=</t>
        </is>
      </c>
      <c r="N961" t="inlineStr"/>
      <c r="O961" t="inlineStr">
        <is>
          <t>28.1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18.9</t>
        </is>
      </c>
      <c r="AK961" t="inlineStr">
        <is>
          <t>473</t>
        </is>
      </c>
      <c r="AL961" t="inlineStr">
        <is>
          <t>7.6</t>
        </is>
      </c>
      <c r="AM961" t="inlineStr">
        <is>
          <t>601+</t>
        </is>
      </c>
      <c r="AN961" t="inlineStr">
        <is>
          <t>30.4</t>
        </is>
      </c>
      <c r="AO961" t="inlineStr">
        <is>
          <t>517</t>
        </is>
      </c>
      <c r="AP961" t="inlineStr">
        <is>
          <t>31.8</t>
        </is>
      </c>
      <c r="AQ961" t="inlineStr">
        <is>
          <t>424</t>
        </is>
      </c>
      <c r="AR961" t="inlineStr">
        <is>
          <t>45.2</t>
        </is>
      </c>
      <c r="AS961" t="inlineStr">
        <is>
          <t>376</t>
        </is>
      </c>
      <c r="AT961" t="inlineStr">
        <is>
          <t>51.0</t>
        </is>
      </c>
      <c r="AU961" t="inlineStr">
        <is>
          <t>285</t>
        </is>
      </c>
      <c r="AV961" t="inlineStr">
        <is>
          <t>34.4</t>
        </is>
      </c>
      <c r="AW961" t="inlineStr">
        <is>
          <t>424</t>
        </is>
      </c>
      <c r="AX961" t="inlineStr">
        <is>
          <t>18.5</t>
        </is>
      </c>
      <c r="AY961" t="inlineStr">
        <is>
          <t>449</t>
        </is>
      </c>
      <c r="AZ961" t="inlineStr">
        <is>
          <t>88.8</t>
        </is>
      </c>
      <c r="BA961" t="inlineStr">
        <is>
          <t>97=</t>
        </is>
      </c>
    </row>
    <row r="962">
      <c r="A962" t="inlineStr">
        <is>
          <t>Sudan University of Science and Technology</t>
        </is>
      </c>
      <c r="B962" t="inlineStr">
        <is>
          <t>Sudan</t>
        </is>
      </c>
      <c r="C962" t="inlineStr">
        <is>
          <t>SD</t>
        </is>
      </c>
      <c r="D962" t="inlineStr"/>
      <c r="E962" t="inlineStr">
        <is>
          <t>XL</t>
        </is>
      </c>
      <c r="F962" t="inlineStr">
        <is>
          <t>CO</t>
        </is>
      </c>
      <c r="G962" t="inlineStr">
        <is>
          <t>MD</t>
        </is>
      </c>
      <c r="H962" t="inlineStr">
        <is>
          <t>3</t>
        </is>
      </c>
      <c r="I962" t="inlineStr">
        <is>
          <t>A</t>
        </is>
      </c>
      <c r="J962" t="inlineStr"/>
      <c r="K962" t="inlineStr"/>
      <c r="L962" t="inlineStr">
        <is>
          <t>1401+</t>
        </is>
      </c>
      <c r="M962" t="inlineStr">
        <is>
          <t>1401+</t>
        </is>
      </c>
      <c r="N962" t="inlineStr"/>
      <c r="O962" t="inlineStr">
        <is>
          <t>-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4.1</t>
        </is>
      </c>
      <c r="AK962" t="inlineStr">
        <is>
          <t>601+</t>
        </is>
      </c>
      <c r="AL962" t="inlineStr">
        <is>
          <t>2.7</t>
        </is>
      </c>
      <c r="AM962" t="inlineStr">
        <is>
          <t>601+</t>
        </is>
      </c>
      <c r="AN962" t="inlineStr">
        <is>
          <t>3.2</t>
        </is>
      </c>
      <c r="AO962" t="inlineStr">
        <is>
          <t>701+</t>
        </is>
      </c>
      <c r="AP962" t="inlineStr">
        <is>
          <t>1.2</t>
        </is>
      </c>
      <c r="AQ962" t="inlineStr">
        <is>
          <t>701+</t>
        </is>
      </c>
      <c r="AR962" t="inlineStr">
        <is>
          <t>1.9</t>
        </is>
      </c>
      <c r="AS962" t="inlineStr">
        <is>
          <t>701+</t>
        </is>
      </c>
      <c r="AT962" t="inlineStr">
        <is>
          <t>1.6</t>
        </is>
      </c>
      <c r="AU962" t="inlineStr">
        <is>
          <t>701+</t>
        </is>
      </c>
      <c r="AV962" t="inlineStr">
        <is>
          <t>1.0</t>
        </is>
      </c>
      <c r="AW962" t="inlineStr">
        <is>
          <t>701+</t>
        </is>
      </c>
      <c r="AX962" t="inlineStr">
        <is>
          <t>9.4</t>
        </is>
      </c>
      <c r="AY962" t="inlineStr">
        <is>
          <t>701+</t>
        </is>
      </c>
      <c r="AZ962" t="inlineStr">
        <is>
          <t>1</t>
        </is>
      </c>
      <c r="BA962" t="inlineStr">
        <is>
          <t>701+</t>
        </is>
      </c>
    </row>
    <row r="963">
      <c r="A963" t="inlineStr">
        <is>
          <t>Suez Canal University</t>
        </is>
      </c>
      <c r="B963" t="inlineStr">
        <is>
          <t>Egypt</t>
        </is>
      </c>
      <c r="C963" t="inlineStr">
        <is>
          <t>EG</t>
        </is>
      </c>
      <c r="D963" t="inlineStr">
        <is>
          <t>Africa</t>
        </is>
      </c>
      <c r="E963" t="inlineStr">
        <is>
          <t>XL</t>
        </is>
      </c>
      <c r="F963" t="inlineStr">
        <is>
          <t>FC</t>
        </is>
      </c>
      <c r="G963" t="inlineStr">
        <is>
          <t>HI</t>
        </is>
      </c>
      <c r="H963" t="inlineStr">
        <is>
          <t>3</t>
        </is>
      </c>
      <c r="I963" t="inlineStr">
        <is>
          <t>Public</t>
        </is>
      </c>
      <c r="J963" t="inlineStr">
        <is>
          <t>1401+</t>
        </is>
      </c>
      <c r="K963" t="inlineStr">
        <is>
          <t>1201-1400</t>
        </is>
      </c>
      <c r="L963" t="inlineStr">
        <is>
          <t>1201-1400</t>
        </is>
      </c>
      <c r="M963" t="inlineStr">
        <is>
          <t>1201-1400</t>
        </is>
      </c>
      <c r="N963" t="inlineStr">
        <is>
          <t>-</t>
        </is>
      </c>
      <c r="O963" t="inlineStr">
        <is>
          <t>-</t>
        </is>
      </c>
      <c r="P963" t="n">
        <v>6.1</v>
      </c>
      <c r="Q963" t="inlineStr">
        <is>
          <t>701+</t>
        </is>
      </c>
      <c r="R963" t="n">
        <v>3.9</v>
      </c>
      <c r="S963" t="inlineStr">
        <is>
          <t>701+</t>
        </is>
      </c>
      <c r="T963" t="n">
        <v>17.4</v>
      </c>
      <c r="U963" t="inlineStr">
        <is>
          <t>801+</t>
        </is>
      </c>
      <c r="V963" t="n">
        <v>4.4</v>
      </c>
      <c r="W963" t="inlineStr">
        <is>
          <t>801+</t>
        </is>
      </c>
      <c r="X963" t="n">
        <v>2.5</v>
      </c>
      <c r="Y963" t="inlineStr">
        <is>
          <t>801+</t>
        </is>
      </c>
      <c r="Z963" t="n">
        <v>3</v>
      </c>
      <c r="AA963" t="inlineStr">
        <is>
          <t>801+</t>
        </is>
      </c>
      <c r="AB963" t="n">
        <v>7.3</v>
      </c>
      <c r="AC963" t="inlineStr">
        <is>
          <t>801+</t>
        </is>
      </c>
      <c r="AD963" t="n">
        <v>52.2</v>
      </c>
      <c r="AE963" t="inlineStr">
        <is>
          <t>801+</t>
        </is>
      </c>
      <c r="AF963" t="n">
        <v>2.9</v>
      </c>
      <c r="AG963" t="inlineStr">
        <is>
          <t>801+</t>
        </is>
      </c>
      <c r="AH963" t="n">
        <v>48</v>
      </c>
      <c r="AI963" t="inlineStr">
        <is>
          <t>762</t>
        </is>
      </c>
      <c r="AJ963" t="inlineStr">
        <is>
          <t>3.9</t>
        </is>
      </c>
      <c r="AK963" t="inlineStr">
        <is>
          <t>601+</t>
        </is>
      </c>
      <c r="AL963" t="inlineStr">
        <is>
          <t>2.6</t>
        </is>
      </c>
      <c r="AM963" t="inlineStr">
        <is>
          <t>601+</t>
        </is>
      </c>
      <c r="AN963" t="inlineStr">
        <is>
          <t>16.2</t>
        </is>
      </c>
      <c r="AO963" t="inlineStr">
        <is>
          <t>701+</t>
        </is>
      </c>
      <c r="AP963" t="inlineStr">
        <is>
          <t>2.2</t>
        </is>
      </c>
      <c r="AQ963" t="inlineStr">
        <is>
          <t>701+</t>
        </is>
      </c>
      <c r="AR963" t="inlineStr">
        <is>
          <t>2.2</t>
        </is>
      </c>
      <c r="AS963" t="inlineStr">
        <is>
          <t>701+</t>
        </is>
      </c>
      <c r="AT963" t="inlineStr">
        <is>
          <t>1.8</t>
        </is>
      </c>
      <c r="AU963" t="inlineStr">
        <is>
          <t>701+</t>
        </is>
      </c>
      <c r="AV963" t="inlineStr">
        <is>
          <t>5.7</t>
        </is>
      </c>
      <c r="AW963" t="inlineStr">
        <is>
          <t>701+</t>
        </is>
      </c>
      <c r="AX963" t="inlineStr">
        <is>
          <t>4.7</t>
        </is>
      </c>
      <c r="AY963" t="inlineStr">
        <is>
          <t>701+</t>
        </is>
      </c>
      <c r="AZ963" t="inlineStr">
        <is>
          <t>1.2</t>
        </is>
      </c>
      <c r="BA963" t="inlineStr">
        <is>
          <t>701+</t>
        </is>
      </c>
    </row>
    <row r="964">
      <c r="A964" t="inlineStr">
        <is>
          <t>Suleyman Demirel University</t>
        </is>
      </c>
      <c r="B964" t="inlineStr">
        <is>
          <t>Turkey</t>
        </is>
      </c>
      <c r="C964" t="inlineStr">
        <is>
          <t>TR</t>
        </is>
      </c>
      <c r="D964" t="inlineStr"/>
      <c r="E964" t="inlineStr">
        <is>
          <t>XL</t>
        </is>
      </c>
      <c r="F964" t="inlineStr">
        <is>
          <t>FC</t>
        </is>
      </c>
      <c r="G964" t="inlineStr">
        <is>
          <t>MD</t>
        </is>
      </c>
      <c r="H964" t="inlineStr">
        <is>
          <t>3</t>
        </is>
      </c>
      <c r="I964" t="inlineStr">
        <is>
          <t>A</t>
        </is>
      </c>
      <c r="J964" t="inlineStr"/>
      <c r="K964" t="inlineStr"/>
      <c r="L964" t="inlineStr">
        <is>
          <t>1201-1400</t>
        </is>
      </c>
      <c r="M964" t="inlineStr"/>
      <c r="N964" t="inlineStr"/>
      <c r="O964" t="inlineStr">
        <is>
          <t>-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6.8</t>
        </is>
      </c>
      <c r="AK964" t="inlineStr">
        <is>
          <t>601+</t>
        </is>
      </c>
      <c r="AL964" t="inlineStr">
        <is>
          <t>3.8</t>
        </is>
      </c>
      <c r="AM964" t="inlineStr">
        <is>
          <t>601+</t>
        </is>
      </c>
      <c r="AN964" t="inlineStr">
        <is>
          <t>4.1</t>
        </is>
      </c>
      <c r="AO964" t="inlineStr">
        <is>
          <t>701+</t>
        </is>
      </c>
      <c r="AP964" t="inlineStr">
        <is>
          <t>2.4</t>
        </is>
      </c>
      <c r="AQ964" t="inlineStr">
        <is>
          <t>701+</t>
        </is>
      </c>
      <c r="AR964" t="inlineStr">
        <is>
          <t>1.8</t>
        </is>
      </c>
      <c r="AS964" t="inlineStr">
        <is>
          <t>701+</t>
        </is>
      </c>
      <c r="AT964" t="inlineStr">
        <is>
          <t>5.1</t>
        </is>
      </c>
      <c r="AU964" t="inlineStr">
        <is>
          <t>701+</t>
        </is>
      </c>
      <c r="AV964" t="inlineStr">
        <is>
          <t>1.5</t>
        </is>
      </c>
      <c r="AW964" t="inlineStr">
        <is>
          <t>701+</t>
        </is>
      </c>
      <c r="AX964" t="inlineStr">
        <is>
          <t>7.5</t>
        </is>
      </c>
      <c r="AY964" t="inlineStr">
        <is>
          <t>701+</t>
        </is>
      </c>
      <c r="AZ964" t="inlineStr">
        <is>
          <t>1.1</t>
        </is>
      </c>
      <c r="BA964" t="inlineStr">
        <is>
          <t>701+</t>
        </is>
      </c>
    </row>
    <row r="965">
      <c r="A965" t="inlineStr">
        <is>
          <t>Suleyman Demirel University, Kazakhstan</t>
        </is>
      </c>
      <c r="B965" t="inlineStr">
        <is>
          <t>Kazakhstan</t>
        </is>
      </c>
      <c r="C965" t="inlineStr">
        <is>
          <t>KZ</t>
        </is>
      </c>
      <c r="D965" t="inlineStr"/>
      <c r="E965" t="inlineStr">
        <is>
          <t>M</t>
        </is>
      </c>
      <c r="F965" t="inlineStr">
        <is>
          <t>FO</t>
        </is>
      </c>
      <c r="G965" t="inlineStr">
        <is>
          <t>MD</t>
        </is>
      </c>
      <c r="H965" t="inlineStr">
        <is>
          <t>3</t>
        </is>
      </c>
      <c r="I965" t="inlineStr">
        <is>
          <t>B</t>
        </is>
      </c>
      <c r="J965" t="inlineStr"/>
      <c r="K965" t="inlineStr"/>
      <c r="L965" t="inlineStr">
        <is>
          <t>1201-1400</t>
        </is>
      </c>
      <c r="M965" t="inlineStr"/>
      <c r="N965" t="inlineStr"/>
      <c r="O965" t="inlineStr">
        <is>
          <t>-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9.8</t>
        </is>
      </c>
      <c r="AK965" t="inlineStr">
        <is>
          <t>601+</t>
        </is>
      </c>
      <c r="AL965" t="inlineStr">
        <is>
          <t>8.5</t>
        </is>
      </c>
      <c r="AM965" t="inlineStr">
        <is>
          <t>601+</t>
        </is>
      </c>
      <c r="AN965" t="inlineStr">
        <is>
          <t>3.6</t>
        </is>
      </c>
      <c r="AO965" t="inlineStr">
        <is>
          <t>701+</t>
        </is>
      </c>
      <c r="AP965" t="inlineStr">
        <is>
          <t>1.3</t>
        </is>
      </c>
      <c r="AQ965" t="inlineStr">
        <is>
          <t>701+</t>
        </is>
      </c>
      <c r="AR965" t="inlineStr">
        <is>
          <t>3.9</t>
        </is>
      </c>
      <c r="AS965" t="inlineStr">
        <is>
          <t>701+</t>
        </is>
      </c>
      <c r="AT965" t="inlineStr">
        <is>
          <t>1.2</t>
        </is>
      </c>
      <c r="AU965" t="inlineStr">
        <is>
          <t>701+</t>
        </is>
      </c>
      <c r="AV965" t="inlineStr">
        <is>
          <t>1.0</t>
        </is>
      </c>
      <c r="AW965" t="inlineStr">
        <is>
          <t>701+</t>
        </is>
      </c>
      <c r="AX965" t="inlineStr">
        <is>
          <t>12.7</t>
        </is>
      </c>
      <c r="AY965" t="inlineStr">
        <is>
          <t>682</t>
        </is>
      </c>
      <c r="AZ965" t="inlineStr">
        <is>
          <t>1.1</t>
        </is>
      </c>
      <c r="BA965" t="inlineStr">
        <is>
          <t>701+</t>
        </is>
      </c>
    </row>
    <row r="966">
      <c r="A966" t="inlineStr">
        <is>
          <t>Sultan Qaboos University</t>
        </is>
      </c>
      <c r="B966" t="inlineStr">
        <is>
          <t>Oman</t>
        </is>
      </c>
      <c r="C966" t="inlineStr">
        <is>
          <t>OM</t>
        </is>
      </c>
      <c r="D966" t="inlineStr">
        <is>
          <t>Asia</t>
        </is>
      </c>
      <c r="E966" t="inlineStr">
        <is>
          <t>M</t>
        </is>
      </c>
      <c r="F966" t="inlineStr">
        <is>
          <t>FC</t>
        </is>
      </c>
      <c r="G966" t="inlineStr">
        <is>
          <t>VH</t>
        </is>
      </c>
      <c r="H966" t="inlineStr">
        <is>
          <t>3</t>
        </is>
      </c>
      <c r="I966" t="inlineStr">
        <is>
          <t>Public</t>
        </is>
      </c>
      <c r="J966" t="inlineStr">
        <is>
          <t>334</t>
        </is>
      </c>
      <c r="K966" t="inlineStr">
        <is>
          <t>362</t>
        </is>
      </c>
      <c r="L966">
        <f>454</f>
        <v/>
      </c>
      <c r="M966" t="inlineStr">
        <is>
          <t>384=</t>
        </is>
      </c>
      <c r="N966" t="inlineStr">
        <is>
          <t>42.3</t>
        </is>
      </c>
      <c r="O966" t="inlineStr">
        <is>
          <t>25.2</t>
        </is>
      </c>
      <c r="P966" t="n">
        <v>28.9</v>
      </c>
      <c r="Q966" t="inlineStr">
        <is>
          <t>430</t>
        </is>
      </c>
      <c r="R966" t="n">
        <v>25.9</v>
      </c>
      <c r="S966" t="inlineStr">
        <is>
          <t>522</t>
        </is>
      </c>
      <c r="T966" t="n">
        <v>62.3</v>
      </c>
      <c r="U966" t="inlineStr">
        <is>
          <t>284</t>
        </is>
      </c>
      <c r="V966" t="n">
        <v>39.5</v>
      </c>
      <c r="W966" t="inlineStr">
        <is>
          <t>478</t>
        </is>
      </c>
      <c r="X966" t="n">
        <v>100</v>
      </c>
      <c r="Y966" t="inlineStr">
        <is>
          <t>81</t>
        </is>
      </c>
      <c r="Z966" t="n">
        <v>6</v>
      </c>
      <c r="AA966" t="inlineStr">
        <is>
          <t>801+</t>
        </is>
      </c>
      <c r="AB966" t="n">
        <v>9.9</v>
      </c>
      <c r="AC966" t="inlineStr">
        <is>
          <t>801+</t>
        </is>
      </c>
      <c r="AD966" t="n">
        <v>80.90000000000001</v>
      </c>
      <c r="AE966" t="inlineStr">
        <is>
          <t>333</t>
        </is>
      </c>
      <c r="AF966" t="n">
        <v>70</v>
      </c>
      <c r="AG966" t="inlineStr">
        <is>
          <t>209</t>
        </is>
      </c>
      <c r="AH966" t="n">
        <v>69.59999999999999</v>
      </c>
      <c r="AI966" t="inlineStr">
        <is>
          <t>320</t>
        </is>
      </c>
      <c r="AJ966" t="inlineStr">
        <is>
          <t>16.7</t>
        </is>
      </c>
      <c r="AK966" t="inlineStr">
        <is>
          <t>528</t>
        </is>
      </c>
      <c r="AL966" t="inlineStr">
        <is>
          <t>13.7</t>
        </is>
      </c>
      <c r="AM966" t="inlineStr">
        <is>
          <t>593</t>
        </is>
      </c>
      <c r="AN966" t="inlineStr">
        <is>
          <t>56.7</t>
        </is>
      </c>
      <c r="AO966" t="inlineStr">
        <is>
          <t>259</t>
        </is>
      </c>
      <c r="AP966" t="inlineStr">
        <is>
          <t>18.4</t>
        </is>
      </c>
      <c r="AQ966" t="inlineStr">
        <is>
          <t>577</t>
        </is>
      </c>
      <c r="AR966" t="inlineStr">
        <is>
          <t>100.0</t>
        </is>
      </c>
      <c r="AS966" t="inlineStr">
        <is>
          <t>58</t>
        </is>
      </c>
      <c r="AT966" t="inlineStr">
        <is>
          <t>3.4</t>
        </is>
      </c>
      <c r="AU966" t="inlineStr">
        <is>
          <t>701+</t>
        </is>
      </c>
      <c r="AV966" t="inlineStr">
        <is>
          <t>48.3</t>
        </is>
      </c>
      <c r="AW966" t="inlineStr">
        <is>
          <t>325</t>
        </is>
      </c>
      <c r="AX966" t="inlineStr">
        <is>
          <t>17.4</t>
        </is>
      </c>
      <c r="AY966" t="inlineStr">
        <is>
          <t>478</t>
        </is>
      </c>
      <c r="AZ966" t="inlineStr">
        <is>
          <t>8</t>
        </is>
      </c>
      <c r="BA966" t="inlineStr">
        <is>
          <t>701+</t>
        </is>
      </c>
    </row>
    <row r="967">
      <c r="A967" t="inlineStr">
        <is>
          <t>Sumgait State University</t>
        </is>
      </c>
      <c r="B967" t="inlineStr">
        <is>
          <t>Azerbaijan</t>
        </is>
      </c>
      <c r="C967" t="inlineStr"/>
      <c r="D967" t="inlineStr">
        <is>
          <t>Asia</t>
        </is>
      </c>
      <c r="E967" t="inlineStr">
        <is>
          <t>M</t>
        </is>
      </c>
      <c r="F967" t="inlineStr">
        <is>
          <t>CO</t>
        </is>
      </c>
      <c r="G967" t="inlineStr">
        <is>
          <t>MD</t>
        </is>
      </c>
      <c r="H967" t="inlineStr"/>
      <c r="I967" t="inlineStr">
        <is>
          <t>Public</t>
        </is>
      </c>
      <c r="J967" t="inlineStr">
        <is>
          <t>1001-1200</t>
        </is>
      </c>
      <c r="K967" t="inlineStr"/>
      <c r="L967" t="inlineStr"/>
      <c r="M967" t="inlineStr"/>
      <c r="N967" t="inlineStr">
        <is>
          <t>-</t>
        </is>
      </c>
      <c r="O967" t="inlineStr"/>
      <c r="P967" t="n">
        <v>14.1</v>
      </c>
      <c r="Q967" t="inlineStr">
        <is>
          <t>701+</t>
        </is>
      </c>
      <c r="R967" t="n">
        <v>12.6</v>
      </c>
      <c r="S967" t="inlineStr">
        <is>
          <t>701+</t>
        </is>
      </c>
      <c r="T967" t="n">
        <v>97.90000000000001</v>
      </c>
      <c r="U967" t="inlineStr">
        <is>
          <t>58</t>
        </is>
      </c>
      <c r="V967" t="n">
        <v>1.1</v>
      </c>
      <c r="W967" t="inlineStr">
        <is>
          <t>801+</t>
        </is>
      </c>
      <c r="X967" t="n">
        <v>2.6</v>
      </c>
      <c r="Y967" t="inlineStr">
        <is>
          <t>801+</t>
        </is>
      </c>
      <c r="Z967" t="n">
        <v>1.4</v>
      </c>
      <c r="AA967" t="inlineStr">
        <is>
          <t>801+</t>
        </is>
      </c>
      <c r="AB967" t="n">
        <v>5.8</v>
      </c>
      <c r="AC967" t="inlineStr">
        <is>
          <t>801+</t>
        </is>
      </c>
      <c r="AD967" t="n">
        <v>1.8</v>
      </c>
      <c r="AE967" t="inlineStr">
        <is>
          <t>801+</t>
        </is>
      </c>
      <c r="AF967" t="n">
        <v>12</v>
      </c>
      <c r="AG967" t="inlineStr">
        <is>
          <t>801+</t>
        </is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</row>
    <row r="968">
      <c r="A968" t="inlineStr">
        <is>
          <t>Sumy State University</t>
        </is>
      </c>
      <c r="B968" t="inlineStr">
        <is>
          <t>Ukraine</t>
        </is>
      </c>
      <c r="C968" t="inlineStr">
        <is>
          <t>UA</t>
        </is>
      </c>
      <c r="D968" t="inlineStr">
        <is>
          <t>Europe</t>
        </is>
      </c>
      <c r="E968" t="inlineStr">
        <is>
          <t>M</t>
        </is>
      </c>
      <c r="F968" t="inlineStr">
        <is>
          <t>FC</t>
        </is>
      </c>
      <c r="G968" t="inlineStr">
        <is>
          <t>HI</t>
        </is>
      </c>
      <c r="H968" t="inlineStr">
        <is>
          <t>3</t>
        </is>
      </c>
      <c r="I968" t="inlineStr">
        <is>
          <t>Public</t>
        </is>
      </c>
      <c r="J968" t="inlineStr">
        <is>
          <t>1001-1200</t>
        </is>
      </c>
      <c r="K968" t="inlineStr">
        <is>
          <t>1001-1200</t>
        </is>
      </c>
      <c r="L968" t="inlineStr">
        <is>
          <t>951-1000</t>
        </is>
      </c>
      <c r="M968" t="inlineStr">
        <is>
          <t>801-1000</t>
        </is>
      </c>
      <c r="N968" t="inlineStr">
        <is>
          <t>-</t>
        </is>
      </c>
      <c r="O968" t="inlineStr">
        <is>
          <t>-</t>
        </is>
      </c>
      <c r="P968" t="n">
        <v>6.3</v>
      </c>
      <c r="Q968" t="inlineStr">
        <is>
          <t>701+</t>
        </is>
      </c>
      <c r="R968" t="n">
        <v>11</v>
      </c>
      <c r="S968" t="inlineStr">
        <is>
          <t>701+</t>
        </is>
      </c>
      <c r="T968" t="n">
        <v>47.1</v>
      </c>
      <c r="U968" t="inlineStr">
        <is>
          <t>418</t>
        </is>
      </c>
      <c r="V968" t="n">
        <v>5.2</v>
      </c>
      <c r="W968" t="inlineStr">
        <is>
          <t>801+</t>
        </is>
      </c>
      <c r="X968" t="n">
        <v>3.9</v>
      </c>
      <c r="Y968" t="inlineStr">
        <is>
          <t>801+</t>
        </is>
      </c>
      <c r="Z968" t="n">
        <v>29.1</v>
      </c>
      <c r="AA968" t="inlineStr">
        <is>
          <t>603</t>
        </is>
      </c>
      <c r="AB968" t="n">
        <v>29.5</v>
      </c>
      <c r="AC968" t="inlineStr">
        <is>
          <t>620</t>
        </is>
      </c>
      <c r="AD968" t="n">
        <v>35.5</v>
      </c>
      <c r="AE968" t="inlineStr">
        <is>
          <t>801+</t>
        </is>
      </c>
      <c r="AF968" t="n">
        <v>4.5</v>
      </c>
      <c r="AG968" t="inlineStr">
        <is>
          <t>801+</t>
        </is>
      </c>
      <c r="AH968" t="n">
        <v>48.2</v>
      </c>
      <c r="AI968" t="inlineStr">
        <is>
          <t>751=</t>
        </is>
      </c>
      <c r="AJ968" t="inlineStr">
        <is>
          <t>5.6</t>
        </is>
      </c>
      <c r="AK968" t="inlineStr">
        <is>
          <t>601+</t>
        </is>
      </c>
      <c r="AL968" t="inlineStr">
        <is>
          <t>5.7</t>
        </is>
      </c>
      <c r="AM968" t="inlineStr">
        <is>
          <t>601+</t>
        </is>
      </c>
      <c r="AN968" t="inlineStr">
        <is>
          <t>42.4</t>
        </is>
      </c>
      <c r="AO968" t="inlineStr">
        <is>
          <t>373</t>
        </is>
      </c>
      <c r="AP968" t="inlineStr">
        <is>
          <t>2.3</t>
        </is>
      </c>
      <c r="AQ968" t="inlineStr">
        <is>
          <t>701+</t>
        </is>
      </c>
      <c r="AR968" t="inlineStr">
        <is>
          <t>2.9</t>
        </is>
      </c>
      <c r="AS968" t="inlineStr">
        <is>
          <t>701+</t>
        </is>
      </c>
      <c r="AT968" t="inlineStr">
        <is>
          <t>63.1</t>
        </is>
      </c>
      <c r="AU968" t="inlineStr">
        <is>
          <t>239</t>
        </is>
      </c>
      <c r="AV968" t="inlineStr">
        <is>
          <t>1.2</t>
        </is>
      </c>
      <c r="AW968" t="inlineStr">
        <is>
          <t>701+</t>
        </is>
      </c>
      <c r="AX968" t="inlineStr">
        <is>
          <t>9.7</t>
        </is>
      </c>
      <c r="AY968" t="inlineStr">
        <is>
          <t>701+</t>
        </is>
      </c>
      <c r="AZ968" t="inlineStr">
        <is>
          <t>3.4</t>
        </is>
      </c>
      <c r="BA968" t="inlineStr">
        <is>
          <t>701+</t>
        </is>
      </c>
    </row>
    <row r="969">
      <c r="A969" t="inlineStr">
        <is>
          <t>Sun Yat-sen University</t>
        </is>
      </c>
      <c r="B969" t="inlineStr">
        <is>
          <t>China (Mainland)</t>
        </is>
      </c>
      <c r="C969" t="inlineStr">
        <is>
          <t>CN</t>
        </is>
      </c>
      <c r="D969" t="inlineStr">
        <is>
          <t>Asia</t>
        </is>
      </c>
      <c r="E969" t="inlineStr">
        <is>
          <t>XL</t>
        </is>
      </c>
      <c r="F969" t="inlineStr">
        <is>
          <t>FC</t>
        </is>
      </c>
      <c r="G969" t="inlineStr">
        <is>
          <t>VH</t>
        </is>
      </c>
      <c r="H969" t="inlineStr">
        <is>
          <t>4</t>
        </is>
      </c>
      <c r="I969" t="inlineStr">
        <is>
          <t>Public</t>
        </is>
      </c>
      <c r="J969" t="inlineStr">
        <is>
          <t>276</t>
        </is>
      </c>
      <c r="K969" t="inlineStr">
        <is>
          <t>331</t>
        </is>
      </c>
      <c r="L969">
        <f>323</f>
        <v/>
      </c>
      <c r="M969" t="inlineStr">
        <is>
          <t>267=</t>
        </is>
      </c>
      <c r="N969" t="inlineStr">
        <is>
          <t>48</t>
        </is>
      </c>
      <c r="O969" t="inlineStr">
        <is>
          <t>32.8</t>
        </is>
      </c>
      <c r="P969" t="n">
        <v>45.4</v>
      </c>
      <c r="Q969" t="inlineStr">
        <is>
          <t>259</t>
        </is>
      </c>
      <c r="R969" t="n">
        <v>39</v>
      </c>
      <c r="S969" t="inlineStr">
        <is>
          <t>351</t>
        </is>
      </c>
      <c r="T969" t="n">
        <v>53.4</v>
      </c>
      <c r="U969" t="inlineStr">
        <is>
          <t>352</t>
        </is>
      </c>
      <c r="V969" t="n">
        <v>72.59999999999999</v>
      </c>
      <c r="W969" t="inlineStr">
        <is>
          <t>193</t>
        </is>
      </c>
      <c r="X969" t="n">
        <v>4.1</v>
      </c>
      <c r="Y969" t="inlineStr">
        <is>
          <t>801+</t>
        </is>
      </c>
      <c r="Z969" t="n">
        <v>6.8</v>
      </c>
      <c r="AA969" t="inlineStr">
        <is>
          <t>801+</t>
        </is>
      </c>
      <c r="AB969" t="n">
        <v>5.3</v>
      </c>
      <c r="AC969" t="inlineStr">
        <is>
          <t>801+</t>
        </is>
      </c>
      <c r="AD969" t="n">
        <v>78.40000000000001</v>
      </c>
      <c r="AE969" t="inlineStr">
        <is>
          <t>377</t>
        </is>
      </c>
      <c r="AF969" t="n">
        <v>38.8</v>
      </c>
      <c r="AG969" t="inlineStr">
        <is>
          <t>446</t>
        </is>
      </c>
      <c r="AH969" t="n">
        <v>56.7</v>
      </c>
      <c r="AI969" t="inlineStr">
        <is>
          <t>562=</t>
        </is>
      </c>
      <c r="AJ969" t="inlineStr">
        <is>
          <t>36.4</t>
        </is>
      </c>
      <c r="AK969" t="inlineStr">
        <is>
          <t>238</t>
        </is>
      </c>
      <c r="AL969" t="inlineStr">
        <is>
          <t>22.3</t>
        </is>
      </c>
      <c r="AM969" t="inlineStr">
        <is>
          <t>423</t>
        </is>
      </c>
      <c r="AN969" t="inlineStr">
        <is>
          <t>48.8</t>
        </is>
      </c>
      <c r="AO969" t="inlineStr">
        <is>
          <t>321</t>
        </is>
      </c>
      <c r="AP969" t="inlineStr">
        <is>
          <t>44.1</t>
        </is>
      </c>
      <c r="AQ969" t="inlineStr">
        <is>
          <t>304</t>
        </is>
      </c>
      <c r="AR969" t="inlineStr">
        <is>
          <t>2.4</t>
        </is>
      </c>
      <c r="AS969" t="inlineStr">
        <is>
          <t>701+</t>
        </is>
      </c>
      <c r="AT969" t="inlineStr">
        <is>
          <t>4.2</t>
        </is>
      </c>
      <c r="AU969" t="inlineStr">
        <is>
          <t>701+</t>
        </is>
      </c>
      <c r="AV969" t="inlineStr">
        <is>
          <t>33.3</t>
        </is>
      </c>
      <c r="AW969" t="inlineStr">
        <is>
          <t>429</t>
        </is>
      </c>
      <c r="AX969" t="inlineStr">
        <is>
          <t>16.7</t>
        </is>
      </c>
      <c r="AY969" t="inlineStr">
        <is>
          <t>508</t>
        </is>
      </c>
      <c r="AZ969" t="inlineStr">
        <is>
          <t>38.4</t>
        </is>
      </c>
      <c r="BA969" t="inlineStr">
        <is>
          <t>373=</t>
        </is>
      </c>
    </row>
    <row r="970">
      <c r="A970" t="inlineStr">
        <is>
          <t>Sungkyunkwan University</t>
        </is>
      </c>
      <c r="B970" t="inlineStr">
        <is>
          <t>Republic of Korea</t>
        </is>
      </c>
      <c r="C970" t="inlineStr"/>
      <c r="D970" t="inlineStr">
        <is>
          <t>Asia</t>
        </is>
      </c>
      <c r="E970" t="inlineStr">
        <is>
          <t>L</t>
        </is>
      </c>
      <c r="F970" t="inlineStr">
        <is>
          <t>FC</t>
        </is>
      </c>
      <c r="G970" t="inlineStr">
        <is>
          <t>VH</t>
        </is>
      </c>
      <c r="H970" t="inlineStr"/>
      <c r="I970" t="inlineStr">
        <is>
          <t>Private not for Profit</t>
        </is>
      </c>
      <c r="J970" t="inlineStr">
        <is>
          <t>126</t>
        </is>
      </c>
      <c r="K970" t="inlineStr">
        <is>
          <t>123</t>
        </is>
      </c>
      <c r="L970" t="inlineStr"/>
      <c r="M970" t="inlineStr"/>
      <c r="N970" t="inlineStr">
        <is>
          <t>65.2</t>
        </is>
      </c>
      <c r="O970" t="inlineStr"/>
      <c r="P970" t="n">
        <v>68.40000000000001</v>
      </c>
      <c r="Q970" t="inlineStr">
        <is>
          <t>139</t>
        </is>
      </c>
      <c r="R970" t="n">
        <v>75.59999999999999</v>
      </c>
      <c r="S970" t="inlineStr">
        <is>
          <t>125</t>
        </is>
      </c>
      <c r="T970" t="n">
        <v>83.8</v>
      </c>
      <c r="U970" t="inlineStr">
        <is>
          <t>149</t>
        </is>
      </c>
      <c r="V970" t="n">
        <v>62.3</v>
      </c>
      <c r="W970" t="inlineStr">
        <is>
          <t>269</t>
        </is>
      </c>
      <c r="X970" t="n">
        <v>24.2</v>
      </c>
      <c r="Y970" t="inlineStr">
        <is>
          <t>659</t>
        </is>
      </c>
      <c r="Z970" t="n">
        <v>57.6</v>
      </c>
      <c r="AA970" t="inlineStr">
        <is>
          <t>359</t>
        </is>
      </c>
      <c r="AB970" t="n">
        <v>61.6</v>
      </c>
      <c r="AC970" t="inlineStr">
        <is>
          <t>326</t>
        </is>
      </c>
      <c r="AD970" t="n">
        <v>49.5</v>
      </c>
      <c r="AE970" t="inlineStr">
        <is>
          <t>801+</t>
        </is>
      </c>
      <c r="AF970" t="n">
        <v>44.2</v>
      </c>
      <c r="AG970" t="inlineStr">
        <is>
          <t>400</t>
        </is>
      </c>
      <c r="AH970" t="n">
        <v>74.7</v>
      </c>
      <c r="AI970" t="inlineStr">
        <is>
          <t>243=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</row>
    <row r="971">
      <c r="A971" t="inlineStr">
        <is>
          <t>Sungkyunkwan University(SKKU)</t>
        </is>
      </c>
      <c r="B971" t="inlineStr">
        <is>
          <t>South Korea</t>
        </is>
      </c>
      <c r="C971" t="inlineStr">
        <is>
          <t>KR</t>
        </is>
      </c>
      <c r="D971" t="inlineStr"/>
      <c r="E971" t="inlineStr">
        <is>
          <t>L</t>
        </is>
      </c>
      <c r="F971" t="inlineStr">
        <is>
          <t>FC</t>
        </is>
      </c>
      <c r="G971" t="inlineStr">
        <is>
          <t>VH</t>
        </is>
      </c>
      <c r="H971" t="inlineStr">
        <is>
          <t>5</t>
        </is>
      </c>
      <c r="I971" t="inlineStr">
        <is>
          <t>B</t>
        </is>
      </c>
      <c r="J971" t="inlineStr"/>
      <c r="K971" t="inlineStr"/>
      <c r="L971">
        <f>145</f>
        <v/>
      </c>
      <c r="M971" t="inlineStr">
        <is>
          <t>99</t>
        </is>
      </c>
      <c r="N971" t="inlineStr"/>
      <c r="O971" t="inlineStr">
        <is>
          <t>51.9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64.2</t>
        </is>
      </c>
      <c r="AK971" t="inlineStr">
        <is>
          <t>106</t>
        </is>
      </c>
      <c r="AL971" t="inlineStr">
        <is>
          <t>71.6</t>
        </is>
      </c>
      <c r="AM971" t="inlineStr">
        <is>
          <t>98</t>
        </is>
      </c>
      <c r="AN971" t="inlineStr">
        <is>
          <t>81.8</t>
        </is>
      </c>
      <c r="AO971" t="inlineStr">
        <is>
          <t>129</t>
        </is>
      </c>
      <c r="AP971" t="inlineStr">
        <is>
          <t>37.9</t>
        </is>
      </c>
      <c r="AQ971" t="inlineStr">
        <is>
          <t>369</t>
        </is>
      </c>
      <c r="AR971" t="inlineStr">
        <is>
          <t>17.8</t>
        </is>
      </c>
      <c r="AS971" t="inlineStr">
        <is>
          <t>618</t>
        </is>
      </c>
      <c r="AT971" t="inlineStr">
        <is>
          <t>34.0</t>
        </is>
      </c>
      <c r="AU971" t="inlineStr">
        <is>
          <t>387</t>
        </is>
      </c>
      <c r="AV971" t="inlineStr">
        <is>
          <t>9.8</t>
        </is>
      </c>
      <c r="AW971" t="inlineStr">
        <is>
          <t>672</t>
        </is>
      </c>
      <c r="AX971" t="inlineStr">
        <is>
          <t>26.8</t>
        </is>
      </c>
      <c r="AY971" t="inlineStr">
        <is>
          <t>304</t>
        </is>
      </c>
      <c r="AZ971" t="inlineStr">
        <is>
          <t>27.6</t>
        </is>
      </c>
      <c r="BA971" t="inlineStr">
        <is>
          <t>471=</t>
        </is>
      </c>
    </row>
    <row r="972">
      <c r="A972" t="inlineStr">
        <is>
          <t>Sungshin Women's University</t>
        </is>
      </c>
      <c r="B972" t="inlineStr">
        <is>
          <t>Republic of Korea</t>
        </is>
      </c>
      <c r="C972" t="inlineStr"/>
      <c r="D972" t="inlineStr">
        <is>
          <t>Asia</t>
        </is>
      </c>
      <c r="E972" t="inlineStr">
        <is>
          <t>M</t>
        </is>
      </c>
      <c r="F972" t="inlineStr">
        <is>
          <t>CO</t>
        </is>
      </c>
      <c r="G972" t="inlineStr">
        <is>
          <t>MD</t>
        </is>
      </c>
      <c r="H972" t="inlineStr"/>
      <c r="I972" t="inlineStr">
        <is>
          <t>Private not for Profit</t>
        </is>
      </c>
      <c r="J972" t="inlineStr">
        <is>
          <t>1001-1200</t>
        </is>
      </c>
      <c r="K972" t="inlineStr">
        <is>
          <t>1001-1200</t>
        </is>
      </c>
      <c r="L972" t="inlineStr"/>
      <c r="M972" t="inlineStr"/>
      <c r="N972" t="inlineStr">
        <is>
          <t>-</t>
        </is>
      </c>
      <c r="O972" t="inlineStr"/>
      <c r="P972" t="n">
        <v>9.1</v>
      </c>
      <c r="Q972" t="inlineStr">
        <is>
          <t>701+</t>
        </is>
      </c>
      <c r="R972" t="n">
        <v>13.4</v>
      </c>
      <c r="S972" t="inlineStr">
        <is>
          <t>701+</t>
        </is>
      </c>
      <c r="T972" t="n">
        <v>85</v>
      </c>
      <c r="U972" t="inlineStr">
        <is>
          <t>135</t>
        </is>
      </c>
      <c r="V972" t="n">
        <v>1.5</v>
      </c>
      <c r="W972" t="inlineStr">
        <is>
          <t>801+</t>
        </is>
      </c>
      <c r="X972" t="n">
        <v>3.7</v>
      </c>
      <c r="Y972" t="inlineStr">
        <is>
          <t>801+</t>
        </is>
      </c>
      <c r="Z972" t="n">
        <v>6.6</v>
      </c>
      <c r="AA972" t="inlineStr">
        <is>
          <t>801+</t>
        </is>
      </c>
      <c r="AB972" t="n">
        <v>10.6</v>
      </c>
      <c r="AC972" t="inlineStr">
        <is>
          <t>801+</t>
        </is>
      </c>
      <c r="AD972" t="n">
        <v>2.7</v>
      </c>
      <c r="AE972" t="inlineStr">
        <is>
          <t>801+</t>
        </is>
      </c>
      <c r="AF972" t="n">
        <v>1.8</v>
      </c>
      <c r="AG972" t="inlineStr">
        <is>
          <t>801+</t>
        </is>
      </c>
      <c r="AH972" t="n">
        <v>28.5</v>
      </c>
      <c r="AI972" t="inlineStr">
        <is>
          <t>801+</t>
        </is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</row>
    <row r="973">
      <c r="A973" t="inlineStr">
        <is>
          <t>Sungshin Women's University</t>
        </is>
      </c>
      <c r="B973" t="inlineStr">
        <is>
          <t>South Korea</t>
        </is>
      </c>
      <c r="C973" t="inlineStr">
        <is>
          <t>KR</t>
        </is>
      </c>
      <c r="D973" t="inlineStr"/>
      <c r="E973" t="inlineStr">
        <is>
          <t>M</t>
        </is>
      </c>
      <c r="F973" t="inlineStr">
        <is>
          <t>CO</t>
        </is>
      </c>
      <c r="G973" t="inlineStr">
        <is>
          <t>MD</t>
        </is>
      </c>
      <c r="H973" t="inlineStr">
        <is>
          <t>3</t>
        </is>
      </c>
      <c r="I973" t="inlineStr">
        <is>
          <t>B</t>
        </is>
      </c>
      <c r="J973" t="inlineStr"/>
      <c r="K973" t="inlineStr"/>
      <c r="L973" t="inlineStr">
        <is>
          <t>901-950</t>
        </is>
      </c>
      <c r="M973" t="inlineStr">
        <is>
          <t>591-600</t>
        </is>
      </c>
      <c r="N973" t="inlineStr"/>
      <c r="O973" t="inlineStr">
        <is>
          <t>-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5.1</t>
        </is>
      </c>
      <c r="AK973" t="inlineStr">
        <is>
          <t>601+</t>
        </is>
      </c>
      <c r="AL973" t="inlineStr">
        <is>
          <t>7.4</t>
        </is>
      </c>
      <c r="AM973" t="inlineStr">
        <is>
          <t>601+</t>
        </is>
      </c>
      <c r="AN973" t="inlineStr">
        <is>
          <t>88.4</t>
        </is>
      </c>
      <c r="AO973" t="inlineStr">
        <is>
          <t>91</t>
        </is>
      </c>
      <c r="AP973" t="inlineStr">
        <is>
          <t>1.2</t>
        </is>
      </c>
      <c r="AQ973" t="inlineStr">
        <is>
          <t>701+</t>
        </is>
      </c>
      <c r="AR973" t="inlineStr">
        <is>
          <t>2.8</t>
        </is>
      </c>
      <c r="AS973" t="inlineStr">
        <is>
          <t>701+</t>
        </is>
      </c>
      <c r="AT973" t="inlineStr">
        <is>
          <t>4.2</t>
        </is>
      </c>
      <c r="AU973" t="inlineStr">
        <is>
          <t>701+</t>
        </is>
      </c>
      <c r="AV973" t="inlineStr">
        <is>
          <t>1.0</t>
        </is>
      </c>
      <c r="AW973" t="inlineStr">
        <is>
          <t>701+</t>
        </is>
      </c>
      <c r="AX973" t="inlineStr">
        <is>
          <t>5.1</t>
        </is>
      </c>
      <c r="AY973" t="inlineStr">
        <is>
          <t>701+</t>
        </is>
      </c>
      <c r="AZ973" t="inlineStr">
        <is>
          <t>1</t>
        </is>
      </c>
      <c r="BA973" t="inlineStr">
        <is>
          <t>701+</t>
        </is>
      </c>
    </row>
    <row r="974">
      <c r="A974" t="inlineStr">
        <is>
          <t>Sunway University</t>
        </is>
      </c>
      <c r="B974" t="inlineStr">
        <is>
          <t>Malaysia</t>
        </is>
      </c>
      <c r="C974" t="inlineStr">
        <is>
          <t>MY</t>
        </is>
      </c>
      <c r="D974" t="inlineStr">
        <is>
          <t>Asia</t>
        </is>
      </c>
      <c r="E974" t="inlineStr">
        <is>
          <t>M</t>
        </is>
      </c>
      <c r="F974" t="inlineStr">
        <is>
          <t>CO</t>
        </is>
      </c>
      <c r="G974" t="inlineStr">
        <is>
          <t>VH</t>
        </is>
      </c>
      <c r="H974" t="inlineStr">
        <is>
          <t>2</t>
        </is>
      </c>
      <c r="I974" t="inlineStr">
        <is>
          <t>Private not for Profit</t>
        </is>
      </c>
      <c r="J974" t="inlineStr">
        <is>
          <t>410</t>
        </is>
      </c>
      <c r="K974" t="inlineStr">
        <is>
          <t>539</t>
        </is>
      </c>
      <c r="L974">
        <f>586</f>
        <v/>
      </c>
      <c r="M974" t="inlineStr">
        <is>
          <t>601-650</t>
        </is>
      </c>
      <c r="N974" t="inlineStr">
        <is>
          <t>36.7</t>
        </is>
      </c>
      <c r="O974" t="inlineStr">
        <is>
          <t>20.2</t>
        </is>
      </c>
      <c r="P974" t="n">
        <v>20.9</v>
      </c>
      <c r="Q974" t="inlineStr">
        <is>
          <t>592</t>
        </is>
      </c>
      <c r="R974" t="n">
        <v>53.3</v>
      </c>
      <c r="S974" t="inlineStr">
        <is>
          <t>228</t>
        </is>
      </c>
      <c r="T974" t="n">
        <v>56.9</v>
      </c>
      <c r="U974" t="inlineStr">
        <is>
          <t>324</t>
        </is>
      </c>
      <c r="V974" t="n">
        <v>25.2</v>
      </c>
      <c r="W974" t="inlineStr">
        <is>
          <t>636</t>
        </is>
      </c>
      <c r="X974" t="n">
        <v>57.1</v>
      </c>
      <c r="Y974" t="inlineStr">
        <is>
          <t>405</t>
        </is>
      </c>
      <c r="Z974" t="n">
        <v>66.90000000000001</v>
      </c>
      <c r="AA974" t="inlineStr">
        <is>
          <t>298</t>
        </is>
      </c>
      <c r="AB974" t="n">
        <v>68.7</v>
      </c>
      <c r="AC974" t="inlineStr">
        <is>
          <t>279</t>
        </is>
      </c>
      <c r="AD974" t="n">
        <v>61.4</v>
      </c>
      <c r="AE974" t="inlineStr">
        <is>
          <t>671</t>
        </is>
      </c>
      <c r="AF974" t="n">
        <v>5.1</v>
      </c>
      <c r="AG974" t="inlineStr">
        <is>
          <t>801+</t>
        </is>
      </c>
      <c r="AH974" t="n">
        <v>61.2</v>
      </c>
      <c r="AI974" t="inlineStr">
        <is>
          <t>474=</t>
        </is>
      </c>
      <c r="AJ974" t="inlineStr">
        <is>
          <t>10.5</t>
        </is>
      </c>
      <c r="AK974" t="inlineStr">
        <is>
          <t>601+</t>
        </is>
      </c>
      <c r="AL974" t="inlineStr">
        <is>
          <t>44.1</t>
        </is>
      </c>
      <c r="AM974" t="inlineStr">
        <is>
          <t>204</t>
        </is>
      </c>
      <c r="AN974" t="inlineStr">
        <is>
          <t>52.2</t>
        </is>
      </c>
      <c r="AO974" t="inlineStr">
        <is>
          <t>303</t>
        </is>
      </c>
      <c r="AP974" t="inlineStr">
        <is>
          <t>7.2</t>
        </is>
      </c>
      <c r="AQ974" t="inlineStr">
        <is>
          <t>701+</t>
        </is>
      </c>
      <c r="AR974" t="inlineStr">
        <is>
          <t>35.5</t>
        </is>
      </c>
      <c r="AS974" t="inlineStr">
        <is>
          <t>450</t>
        </is>
      </c>
      <c r="AT974" t="inlineStr">
        <is>
          <t>24.3</t>
        </is>
      </c>
      <c r="AU974" t="inlineStr">
        <is>
          <t>482</t>
        </is>
      </c>
      <c r="AV974" t="inlineStr">
        <is>
          <t>4.4</t>
        </is>
      </c>
      <c r="AW974" t="inlineStr">
        <is>
          <t>701+</t>
        </is>
      </c>
      <c r="AX974" t="inlineStr">
        <is>
          <t>9.2</t>
        </is>
      </c>
      <c r="AY974" t="inlineStr">
        <is>
          <t>701+</t>
        </is>
      </c>
      <c r="AZ974" t="inlineStr">
        <is>
          <t>5.4</t>
        </is>
      </c>
      <c r="BA974" t="inlineStr">
        <is>
          <t>701+</t>
        </is>
      </c>
    </row>
    <row r="975">
      <c r="A975" t="inlineStr">
        <is>
          <t>Suranaree University of Technology</t>
        </is>
      </c>
      <c r="B975" t="inlineStr">
        <is>
          <t>Thailand</t>
        </is>
      </c>
      <c r="C975" t="inlineStr">
        <is>
          <t>TH</t>
        </is>
      </c>
      <c r="D975" t="inlineStr">
        <is>
          <t>Asia</t>
        </is>
      </c>
      <c r="E975" t="inlineStr">
        <is>
          <t>L</t>
        </is>
      </c>
      <c r="F975" t="inlineStr">
        <is>
          <t>FC</t>
        </is>
      </c>
      <c r="G975" t="inlineStr">
        <is>
          <t>HI</t>
        </is>
      </c>
      <c r="H975" t="inlineStr">
        <is>
          <t>3</t>
        </is>
      </c>
      <c r="I975" t="inlineStr">
        <is>
          <t>Public</t>
        </is>
      </c>
      <c r="J975" t="inlineStr">
        <is>
          <t>1201-1400</t>
        </is>
      </c>
      <c r="K975" t="inlineStr">
        <is>
          <t>1201-1400</t>
        </is>
      </c>
      <c r="L975" t="inlineStr">
        <is>
          <t>1201-1400</t>
        </is>
      </c>
      <c r="M975" t="inlineStr">
        <is>
          <t>1201-1400</t>
        </is>
      </c>
      <c r="N975" t="inlineStr">
        <is>
          <t>-</t>
        </is>
      </c>
      <c r="O975" t="inlineStr">
        <is>
          <t>-</t>
        </is>
      </c>
      <c r="P975" t="n">
        <v>10.2</v>
      </c>
      <c r="Q975" t="inlineStr">
        <is>
          <t>701+</t>
        </is>
      </c>
      <c r="R975" t="n">
        <v>6.5</v>
      </c>
      <c r="S975" t="inlineStr">
        <is>
          <t>701+</t>
        </is>
      </c>
      <c r="T975" t="n">
        <v>5.9</v>
      </c>
      <c r="U975" t="inlineStr">
        <is>
          <t>801+</t>
        </is>
      </c>
      <c r="V975" t="n">
        <v>16.7</v>
      </c>
      <c r="W975" t="inlineStr">
        <is>
          <t>768</t>
        </is>
      </c>
      <c r="X975" t="n">
        <v>7.4</v>
      </c>
      <c r="Y975" t="inlineStr">
        <is>
          <t>801+</t>
        </is>
      </c>
      <c r="Z975" t="n">
        <v>2.4</v>
      </c>
      <c r="AA975" t="inlineStr">
        <is>
          <t>801+</t>
        </is>
      </c>
      <c r="AB975" t="n">
        <v>6.7</v>
      </c>
      <c r="AC975" t="inlineStr">
        <is>
          <t>801+</t>
        </is>
      </c>
      <c r="AD975" t="n">
        <v>27.3</v>
      </c>
      <c r="AE975" t="inlineStr">
        <is>
          <t>801+</t>
        </is>
      </c>
      <c r="AF975" t="n">
        <v>3.2</v>
      </c>
      <c r="AG975" t="inlineStr">
        <is>
          <t>801+</t>
        </is>
      </c>
      <c r="AH975" t="n">
        <v>44.6</v>
      </c>
      <c r="AI975" t="inlineStr">
        <is>
          <t>801+</t>
        </is>
      </c>
      <c r="AJ975" t="inlineStr">
        <is>
          <t>6.2</t>
        </is>
      </c>
      <c r="AK975" t="inlineStr">
        <is>
          <t>601+</t>
        </is>
      </c>
      <c r="AL975" t="inlineStr">
        <is>
          <t>3.1</t>
        </is>
      </c>
      <c r="AM975" t="inlineStr">
        <is>
          <t>601+</t>
        </is>
      </c>
      <c r="AN975" t="inlineStr">
        <is>
          <t>3.4</t>
        </is>
      </c>
      <c r="AO975" t="inlineStr">
        <is>
          <t>701+</t>
        </is>
      </c>
      <c r="AP975" t="inlineStr">
        <is>
          <t>8.6</t>
        </is>
      </c>
      <c r="AQ975" t="inlineStr">
        <is>
          <t>701+</t>
        </is>
      </c>
      <c r="AR975" t="inlineStr">
        <is>
          <t>6.1</t>
        </is>
      </c>
      <c r="AS975" t="inlineStr">
        <is>
          <t>701+</t>
        </is>
      </c>
      <c r="AT975" t="inlineStr">
        <is>
          <t>1.5</t>
        </is>
      </c>
      <c r="AU975" t="inlineStr">
        <is>
          <t>701+</t>
        </is>
      </c>
      <c r="AV975" t="inlineStr">
        <is>
          <t>1.6</t>
        </is>
      </c>
      <c r="AW975" t="inlineStr">
        <is>
          <t>701+</t>
        </is>
      </c>
      <c r="AX975" t="inlineStr">
        <is>
          <t>8.5</t>
        </is>
      </c>
      <c r="AY975" t="inlineStr">
        <is>
          <t>701+</t>
        </is>
      </c>
      <c r="AZ975" t="inlineStr">
        <is>
          <t>1.7</t>
        </is>
      </c>
      <c r="BA975" t="inlineStr">
        <is>
          <t>701+</t>
        </is>
      </c>
    </row>
    <row r="976">
      <c r="A976" t="inlineStr">
        <is>
          <t>Swansea University</t>
        </is>
      </c>
      <c r="B976" t="inlineStr">
        <is>
          <t>United Kingdom</t>
        </is>
      </c>
      <c r="C976" t="inlineStr">
        <is>
          <t>UK</t>
        </is>
      </c>
      <c r="D976" t="inlineStr">
        <is>
          <t>Europe</t>
        </is>
      </c>
      <c r="E976" t="inlineStr">
        <is>
          <t>L</t>
        </is>
      </c>
      <c r="F976" t="inlineStr">
        <is>
          <t>FC</t>
        </is>
      </c>
      <c r="G976" t="inlineStr">
        <is>
          <t>VH</t>
        </is>
      </c>
      <c r="H976" t="inlineStr">
        <is>
          <t>5</t>
        </is>
      </c>
      <c r="I976" t="inlineStr">
        <is>
          <t>Public</t>
        </is>
      </c>
      <c r="J976" t="inlineStr">
        <is>
          <t>292</t>
        </is>
      </c>
      <c r="K976" t="inlineStr">
        <is>
          <t>298</t>
        </is>
      </c>
      <c r="L976">
        <f>307</f>
        <v/>
      </c>
      <c r="M976" t="inlineStr">
        <is>
          <t>425=</t>
        </is>
      </c>
      <c r="N976" t="inlineStr">
        <is>
          <t>46.2</t>
        </is>
      </c>
      <c r="O976" t="inlineStr">
        <is>
          <t>33.9</t>
        </is>
      </c>
      <c r="P976" t="n">
        <v>34.7</v>
      </c>
      <c r="Q976" t="inlineStr">
        <is>
          <t>348</t>
        </is>
      </c>
      <c r="R976" t="n">
        <v>54.7</v>
      </c>
      <c r="S976" t="inlineStr">
        <is>
          <t>222</t>
        </is>
      </c>
      <c r="T976" t="n">
        <v>28.6</v>
      </c>
      <c r="U976" t="inlineStr">
        <is>
          <t>666</t>
        </is>
      </c>
      <c r="V976" t="n">
        <v>43</v>
      </c>
      <c r="W976" t="inlineStr">
        <is>
          <t>439</t>
        </is>
      </c>
      <c r="X976" t="n">
        <v>76.90000000000001</v>
      </c>
      <c r="Y976" t="inlineStr">
        <is>
          <t>312</t>
        </is>
      </c>
      <c r="Z976" t="n">
        <v>80.5</v>
      </c>
      <c r="AA976" t="inlineStr">
        <is>
          <t>221</t>
        </is>
      </c>
      <c r="AB976" t="n">
        <v>82.40000000000001</v>
      </c>
      <c r="AC976" t="inlineStr">
        <is>
          <t>187</t>
        </is>
      </c>
      <c r="AD976" t="n">
        <v>79.7</v>
      </c>
      <c r="AE976" t="inlineStr">
        <is>
          <t>357</t>
        </is>
      </c>
      <c r="AF976" t="n">
        <v>13.7</v>
      </c>
      <c r="AG976" t="inlineStr">
        <is>
          <t>801+</t>
        </is>
      </c>
      <c r="AH976" t="n">
        <v>84.40000000000001</v>
      </c>
      <c r="AI976" t="inlineStr">
        <is>
          <t>121</t>
        </is>
      </c>
      <c r="AJ976" t="inlineStr">
        <is>
          <t>21.0</t>
        </is>
      </c>
      <c r="AK976" t="inlineStr">
        <is>
          <t>418</t>
        </is>
      </c>
      <c r="AL976" t="inlineStr">
        <is>
          <t>45.0</t>
        </is>
      </c>
      <c r="AM976" t="inlineStr">
        <is>
          <t>193</t>
        </is>
      </c>
      <c r="AN976" t="inlineStr">
        <is>
          <t>23.6</t>
        </is>
      </c>
      <c r="AO976" t="inlineStr">
        <is>
          <t>608</t>
        </is>
      </c>
      <c r="AP976" t="inlineStr">
        <is>
          <t>27.4</t>
        </is>
      </c>
      <c r="AQ976" t="inlineStr">
        <is>
          <t>460</t>
        </is>
      </c>
      <c r="AR976" t="inlineStr">
        <is>
          <t>73.1</t>
        </is>
      </c>
      <c r="AS976" t="inlineStr">
        <is>
          <t>261</t>
        </is>
      </c>
      <c r="AT976" t="inlineStr">
        <is>
          <t>54.1</t>
        </is>
      </c>
      <c r="AU976" t="inlineStr">
        <is>
          <t>271</t>
        </is>
      </c>
      <c r="AV976" t="inlineStr">
        <is>
          <t>59.0</t>
        </is>
      </c>
      <c r="AW976" t="inlineStr">
        <is>
          <t>254</t>
        </is>
      </c>
      <c r="AX976" t="inlineStr">
        <is>
          <t>10.6</t>
        </is>
      </c>
      <c r="AY976" t="inlineStr">
        <is>
          <t>701+</t>
        </is>
      </c>
      <c r="AZ976" t="inlineStr">
        <is>
          <t>61</t>
        </is>
      </c>
      <c r="BA976" t="inlineStr">
        <is>
          <t>248</t>
        </is>
      </c>
    </row>
    <row r="977">
      <c r="A977" t="inlineStr">
        <is>
          <t>Swarthmore College</t>
        </is>
      </c>
      <c r="B977" t="inlineStr">
        <is>
          <t>United States</t>
        </is>
      </c>
      <c r="C977" t="inlineStr">
        <is>
          <t>US</t>
        </is>
      </c>
      <c r="D977" t="inlineStr"/>
      <c r="E977" t="inlineStr">
        <is>
          <t>S</t>
        </is>
      </c>
      <c r="F977" t="inlineStr">
        <is>
          <t>CO</t>
        </is>
      </c>
      <c r="G977" t="inlineStr">
        <is>
          <t>HI</t>
        </is>
      </c>
      <c r="H977" t="inlineStr">
        <is>
          <t>5</t>
        </is>
      </c>
      <c r="I977" t="inlineStr">
        <is>
          <t>B</t>
        </is>
      </c>
      <c r="J977" t="inlineStr"/>
      <c r="K977" t="inlineStr"/>
      <c r="L977" t="inlineStr">
        <is>
          <t>741-750</t>
        </is>
      </c>
      <c r="M977" t="inlineStr">
        <is>
          <t>501-510</t>
        </is>
      </c>
      <c r="N977" t="inlineStr"/>
      <c r="O977" t="inlineStr">
        <is>
          <t>-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3.4</t>
        </is>
      </c>
      <c r="AK977" t="inlineStr">
        <is>
          <t>601+</t>
        </is>
      </c>
      <c r="AL977" t="inlineStr">
        <is>
          <t>1.8</t>
        </is>
      </c>
      <c r="AM977" t="inlineStr">
        <is>
          <t>601+</t>
        </is>
      </c>
      <c r="AN977" t="inlineStr">
        <is>
          <t>85.9</t>
        </is>
      </c>
      <c r="AO977" t="inlineStr">
        <is>
          <t>102</t>
        </is>
      </c>
      <c r="AP977" t="inlineStr">
        <is>
          <t>17.0</t>
        </is>
      </c>
      <c r="AQ977" t="inlineStr">
        <is>
          <t>602</t>
        </is>
      </c>
      <c r="AR977" t="inlineStr">
        <is>
          <t>5.4</t>
        </is>
      </c>
      <c r="AS977" t="inlineStr">
        <is>
          <t>701+</t>
        </is>
      </c>
      <c r="AT977" t="inlineStr">
        <is>
          <t>28.8</t>
        </is>
      </c>
      <c r="AU977" t="inlineStr">
        <is>
          <t>432</t>
        </is>
      </c>
      <c r="AV977" t="inlineStr">
        <is>
          <t>1.0</t>
        </is>
      </c>
      <c r="AW977" t="inlineStr">
        <is>
          <t>701+</t>
        </is>
      </c>
      <c r="AX977" t="inlineStr">
        <is>
          <t>18.5</t>
        </is>
      </c>
      <c r="AY977" t="inlineStr">
        <is>
          <t>453</t>
        </is>
      </c>
      <c r="AZ977" t="inlineStr"/>
      <c r="BA977" t="inlineStr"/>
    </row>
    <row r="978">
      <c r="A978" t="inlineStr">
        <is>
          <t>Swinburne University of Technology</t>
        </is>
      </c>
      <c r="B978" t="inlineStr">
        <is>
          <t>Australia</t>
        </is>
      </c>
      <c r="C978" t="inlineStr">
        <is>
          <t>AU</t>
        </is>
      </c>
      <c r="D978" t="inlineStr">
        <is>
          <t>Oceania</t>
        </is>
      </c>
      <c r="E978" t="inlineStr">
        <is>
          <t>L</t>
        </is>
      </c>
      <c r="F978" t="inlineStr">
        <is>
          <t>CO</t>
        </is>
      </c>
      <c r="G978" t="inlineStr">
        <is>
          <t>VH</t>
        </is>
      </c>
      <c r="H978" t="inlineStr">
        <is>
          <t>3</t>
        </is>
      </c>
      <c r="I978" t="inlineStr">
        <is>
          <t>Public</t>
        </is>
      </c>
      <c r="J978" t="inlineStr">
        <is>
          <t>294</t>
        </is>
      </c>
      <c r="K978" t="inlineStr">
        <is>
          <t>291</t>
        </is>
      </c>
      <c r="L978">
        <f>285</f>
        <v/>
      </c>
      <c r="M978" t="inlineStr">
        <is>
          <t>296=</t>
        </is>
      </c>
      <c r="N978" t="inlineStr">
        <is>
          <t>46</t>
        </is>
      </c>
      <c r="O978" t="inlineStr">
        <is>
          <t>36.1</t>
        </is>
      </c>
      <c r="P978" t="n">
        <v>18.8</v>
      </c>
      <c r="Q978" t="inlineStr">
        <is>
          <t>655</t>
        </is>
      </c>
      <c r="R978" t="n">
        <v>19.3</v>
      </c>
      <c r="S978" t="inlineStr">
        <is>
          <t>675</t>
        </is>
      </c>
      <c r="T978" t="n">
        <v>14.7</v>
      </c>
      <c r="U978" t="inlineStr">
        <is>
          <t>801+</t>
        </is>
      </c>
      <c r="V978" t="n">
        <v>95</v>
      </c>
      <c r="W978" t="inlineStr">
        <is>
          <t>68</t>
        </is>
      </c>
      <c r="X978" t="n">
        <v>87.8</v>
      </c>
      <c r="Y978" t="inlineStr">
        <is>
          <t>237</t>
        </is>
      </c>
      <c r="Z978" t="n">
        <v>94.7</v>
      </c>
      <c r="AA978" t="inlineStr">
        <is>
          <t>130</t>
        </is>
      </c>
      <c r="AB978" t="n">
        <v>70.5</v>
      </c>
      <c r="AC978" t="inlineStr">
        <is>
          <t>266</t>
        </is>
      </c>
      <c r="AD978" t="n">
        <v>74</v>
      </c>
      <c r="AE978" t="inlineStr">
        <is>
          <t>467</t>
        </is>
      </c>
      <c r="AF978" t="n">
        <v>22.8</v>
      </c>
      <c r="AG978" t="inlineStr">
        <is>
          <t>675</t>
        </is>
      </c>
      <c r="AH978" t="n">
        <v>73.40000000000001</v>
      </c>
      <c r="AI978" t="inlineStr">
        <is>
          <t>267=</t>
        </is>
      </c>
      <c r="AJ978" t="inlineStr">
        <is>
          <t>13.4</t>
        </is>
      </c>
      <c r="AK978" t="inlineStr">
        <is>
          <t>601+</t>
        </is>
      </c>
      <c r="AL978" t="inlineStr">
        <is>
          <t>12.0</t>
        </is>
      </c>
      <c r="AM978" t="inlineStr">
        <is>
          <t>601+</t>
        </is>
      </c>
      <c r="AN978" t="inlineStr">
        <is>
          <t>11.0</t>
        </is>
      </c>
      <c r="AO978" t="inlineStr">
        <is>
          <t>701+</t>
        </is>
      </c>
      <c r="AP978" t="inlineStr">
        <is>
          <t>89.5</t>
        </is>
      </c>
      <c r="AQ978" t="inlineStr">
        <is>
          <t>76</t>
        </is>
      </c>
      <c r="AR978" t="inlineStr">
        <is>
          <t>97.9</t>
        </is>
      </c>
      <c r="AS978" t="inlineStr">
        <is>
          <t>114</t>
        </is>
      </c>
      <c r="AT978" t="inlineStr">
        <is>
          <t>65.5</t>
        </is>
      </c>
      <c r="AU978" t="inlineStr">
        <is>
          <t>229</t>
        </is>
      </c>
      <c r="AV978" t="inlineStr">
        <is>
          <t>23.9</t>
        </is>
      </c>
      <c r="AW978" t="inlineStr">
        <is>
          <t>507</t>
        </is>
      </c>
      <c r="AX978" t="inlineStr">
        <is>
          <t>10.8</t>
        </is>
      </c>
      <c r="AY978" t="inlineStr">
        <is>
          <t>701+</t>
        </is>
      </c>
      <c r="AZ978" t="inlineStr">
        <is>
          <t>25.8</t>
        </is>
      </c>
      <c r="BA978" t="inlineStr">
        <is>
          <t>487</t>
        </is>
      </c>
    </row>
    <row r="979">
      <c r="A979" t="inlineStr">
        <is>
          <t>Symbiosis International (Deemed University)</t>
        </is>
      </c>
      <c r="B979" t="inlineStr">
        <is>
          <t>India</t>
        </is>
      </c>
      <c r="C979" t="inlineStr"/>
      <c r="D979" t="inlineStr">
        <is>
          <t>Asia</t>
        </is>
      </c>
      <c r="E979" t="inlineStr">
        <is>
          <t>L</t>
        </is>
      </c>
      <c r="F979" t="inlineStr">
        <is>
          <t>CO</t>
        </is>
      </c>
      <c r="G979" t="inlineStr">
        <is>
          <t>VH</t>
        </is>
      </c>
      <c r="H979" t="inlineStr"/>
      <c r="I979" t="inlineStr">
        <is>
          <t>Private not for Profit</t>
        </is>
      </c>
      <c r="J979" t="inlineStr">
        <is>
          <t>696</t>
        </is>
      </c>
      <c r="K979" t="inlineStr">
        <is>
          <t>641-650</t>
        </is>
      </c>
      <c r="L979" t="inlineStr"/>
      <c r="M979" t="inlineStr"/>
      <c r="N979" t="inlineStr">
        <is>
          <t>25.2</t>
        </is>
      </c>
      <c r="O979" t="inlineStr"/>
      <c r="P979" t="n">
        <v>9.199999999999999</v>
      </c>
      <c r="Q979" t="inlineStr">
        <is>
          <t>701+</t>
        </is>
      </c>
      <c r="R979" t="n">
        <v>94.7</v>
      </c>
      <c r="S979" t="inlineStr">
        <is>
          <t>51</t>
        </is>
      </c>
      <c r="T979" t="n">
        <v>26.5</v>
      </c>
      <c r="U979" t="inlineStr">
        <is>
          <t>704</t>
        </is>
      </c>
      <c r="V979" t="n">
        <v>3.3</v>
      </c>
      <c r="W979" t="inlineStr">
        <is>
          <t>801+</t>
        </is>
      </c>
      <c r="X979" t="n">
        <v>23.3</v>
      </c>
      <c r="Y979" t="inlineStr">
        <is>
          <t>673</t>
        </is>
      </c>
      <c r="Z979" t="n">
        <v>16.1</v>
      </c>
      <c r="AA979" t="inlineStr">
        <is>
          <t>796</t>
        </is>
      </c>
      <c r="AB979" t="n">
        <v>20.4</v>
      </c>
      <c r="AC979" t="inlineStr">
        <is>
          <t>757</t>
        </is>
      </c>
      <c r="AD979" t="n">
        <v>29.4</v>
      </c>
      <c r="AE979" t="inlineStr">
        <is>
          <t>801+</t>
        </is>
      </c>
      <c r="AF979" t="n">
        <v>8.9</v>
      </c>
      <c r="AG979" t="inlineStr">
        <is>
          <t>801+</t>
        </is>
      </c>
      <c r="AH979" t="n">
        <v>45.6</v>
      </c>
      <c r="AI979" t="inlineStr">
        <is>
          <t>801+</t>
        </is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</row>
    <row r="980">
      <c r="A980" t="inlineStr">
        <is>
          <t>Syracuse University</t>
        </is>
      </c>
      <c r="B980" t="inlineStr">
        <is>
          <t>United States</t>
        </is>
      </c>
      <c r="C980" t="inlineStr">
        <is>
          <t>US</t>
        </is>
      </c>
      <c r="D980" t="inlineStr">
        <is>
          <t>Americas</t>
        </is>
      </c>
      <c r="E980" t="inlineStr">
        <is>
          <t>L</t>
        </is>
      </c>
      <c r="F980" t="inlineStr">
        <is>
          <t>CO</t>
        </is>
      </c>
      <c r="G980" t="inlineStr">
        <is>
          <t>VH</t>
        </is>
      </c>
      <c r="H980" t="inlineStr">
        <is>
          <t>5</t>
        </is>
      </c>
      <c r="I980" t="inlineStr">
        <is>
          <t>Private not for Profit</t>
        </is>
      </c>
      <c r="J980" t="inlineStr">
        <is>
          <t>741-750</t>
        </is>
      </c>
      <c r="K980" t="inlineStr">
        <is>
          <t>801-850</t>
        </is>
      </c>
      <c r="L980" t="inlineStr">
        <is>
          <t>781-790</t>
        </is>
      </c>
      <c r="M980" t="inlineStr">
        <is>
          <t>751-800</t>
        </is>
      </c>
      <c r="N980" t="inlineStr">
        <is>
          <t>-</t>
        </is>
      </c>
      <c r="O980" t="inlineStr">
        <is>
          <t>-</t>
        </is>
      </c>
      <c r="P980" t="n">
        <v>17</v>
      </c>
      <c r="Q980" t="inlineStr">
        <is>
          <t>701+</t>
        </is>
      </c>
      <c r="R980" t="n">
        <v>18.3</v>
      </c>
      <c r="S980" t="inlineStr">
        <is>
          <t>699</t>
        </is>
      </c>
      <c r="T980" t="n">
        <v>16.1</v>
      </c>
      <c r="U980" t="inlineStr">
        <is>
          <t>801+</t>
        </is>
      </c>
      <c r="V980" t="n">
        <v>17</v>
      </c>
      <c r="W980" t="inlineStr">
        <is>
          <t>763</t>
        </is>
      </c>
      <c r="X980" t="n">
        <v>25.2</v>
      </c>
      <c r="Y980" t="inlineStr">
        <is>
          <t>648</t>
        </is>
      </c>
      <c r="Z980" t="n">
        <v>45.5</v>
      </c>
      <c r="AA980" t="inlineStr">
        <is>
          <t>443</t>
        </is>
      </c>
      <c r="AB980" t="n">
        <v>50.5</v>
      </c>
      <c r="AC980" t="inlineStr">
        <is>
          <t>410</t>
        </is>
      </c>
      <c r="AD980" t="n">
        <v>56.7</v>
      </c>
      <c r="AE980" t="inlineStr">
        <is>
          <t>742</t>
        </is>
      </c>
      <c r="AF980" t="n">
        <v>58</v>
      </c>
      <c r="AG980" t="inlineStr">
        <is>
          <t>285</t>
        </is>
      </c>
      <c r="AH980" t="n">
        <v>60.9</v>
      </c>
      <c r="AI980" t="inlineStr">
        <is>
          <t>486=</t>
        </is>
      </c>
      <c r="AJ980" t="inlineStr">
        <is>
          <t>13.6</t>
        </is>
      </c>
      <c r="AK980" t="inlineStr">
        <is>
          <t>601+</t>
        </is>
      </c>
      <c r="AL980" t="inlineStr">
        <is>
          <t>9.6</t>
        </is>
      </c>
      <c r="AM980" t="inlineStr">
        <is>
          <t>601+</t>
        </is>
      </c>
      <c r="AN980" t="inlineStr">
        <is>
          <t>11.8</t>
        </is>
      </c>
      <c r="AO980" t="inlineStr">
        <is>
          <t>701+</t>
        </is>
      </c>
      <c r="AP980" t="inlineStr">
        <is>
          <t>13.7</t>
        </is>
      </c>
      <c r="AQ980" t="inlineStr">
        <is>
          <t>661</t>
        </is>
      </c>
      <c r="AR980" t="inlineStr">
        <is>
          <t>4.8</t>
        </is>
      </c>
      <c r="AS980" t="inlineStr">
        <is>
          <t>701+</t>
        </is>
      </c>
      <c r="AT980" t="inlineStr">
        <is>
          <t>44.1</t>
        </is>
      </c>
      <c r="AU980" t="inlineStr">
        <is>
          <t>328</t>
        </is>
      </c>
      <c r="AV980" t="inlineStr">
        <is>
          <t>11.1</t>
        </is>
      </c>
      <c r="AW980" t="inlineStr">
        <is>
          <t>650</t>
        </is>
      </c>
      <c r="AX980" t="inlineStr">
        <is>
          <t>30.2</t>
        </is>
      </c>
      <c r="AY980" t="inlineStr">
        <is>
          <t>256</t>
        </is>
      </c>
      <c r="AZ980" t="inlineStr">
        <is>
          <t>23</t>
        </is>
      </c>
      <c r="BA980" t="inlineStr">
        <is>
          <t>514=</t>
        </is>
      </c>
    </row>
    <row r="981">
      <c r="A981" t="inlineStr">
        <is>
          <t>Széchenyi István University</t>
        </is>
      </c>
      <c r="B981" t="inlineStr">
        <is>
          <t>Hungary</t>
        </is>
      </c>
      <c r="C981" t="inlineStr">
        <is>
          <t>HU</t>
        </is>
      </c>
      <c r="D981" t="inlineStr">
        <is>
          <t>Europe</t>
        </is>
      </c>
      <c r="E981" t="inlineStr">
        <is>
          <t>M</t>
        </is>
      </c>
      <c r="F981" t="inlineStr">
        <is>
          <t>FO</t>
        </is>
      </c>
      <c r="G981" t="inlineStr">
        <is>
          <t>VH</t>
        </is>
      </c>
      <c r="H981" t="inlineStr">
        <is>
          <t>2</t>
        </is>
      </c>
      <c r="I981" t="inlineStr">
        <is>
          <t>Private for Profit</t>
        </is>
      </c>
      <c r="J981" t="inlineStr">
        <is>
          <t>1001-1200</t>
        </is>
      </c>
      <c r="K981" t="inlineStr">
        <is>
          <t>1001-1200</t>
        </is>
      </c>
      <c r="L981" t="inlineStr">
        <is>
          <t>1001-1200</t>
        </is>
      </c>
      <c r="M981" t="inlineStr">
        <is>
          <t>801-1000</t>
        </is>
      </c>
      <c r="N981" t="inlineStr">
        <is>
          <t>-</t>
        </is>
      </c>
      <c r="O981" t="inlineStr">
        <is>
          <t>-</t>
        </is>
      </c>
      <c r="P981" t="n">
        <v>12.2</v>
      </c>
      <c r="Q981" t="inlineStr">
        <is>
          <t>701+</t>
        </is>
      </c>
      <c r="R981" t="n">
        <v>36.6</v>
      </c>
      <c r="S981" t="inlineStr">
        <is>
          <t>391</t>
        </is>
      </c>
      <c r="T981" t="n">
        <v>28.9</v>
      </c>
      <c r="U981" t="inlineStr">
        <is>
          <t>655</t>
        </is>
      </c>
      <c r="V981" t="n">
        <v>2.9</v>
      </c>
      <c r="W981" t="inlineStr">
        <is>
          <t>801+</t>
        </is>
      </c>
      <c r="X981" t="n">
        <v>4.9</v>
      </c>
      <c r="Y981" t="inlineStr">
        <is>
          <t>801+</t>
        </is>
      </c>
      <c r="Z981" t="n">
        <v>13.4</v>
      </c>
      <c r="AA981" t="inlineStr">
        <is>
          <t>801+</t>
        </is>
      </c>
      <c r="AB981" t="n">
        <v>19.3</v>
      </c>
      <c r="AC981" t="inlineStr">
        <is>
          <t>773</t>
        </is>
      </c>
      <c r="AD981" t="n">
        <v>16.5</v>
      </c>
      <c r="AE981" t="inlineStr">
        <is>
          <t>801+</t>
        </is>
      </c>
      <c r="AF981" t="n">
        <v>4.8</v>
      </c>
      <c r="AG981" t="inlineStr">
        <is>
          <t>801+</t>
        </is>
      </c>
      <c r="AH981" t="n">
        <v>44.9</v>
      </c>
      <c r="AI981" t="inlineStr">
        <is>
          <t>801+</t>
        </is>
      </c>
      <c r="AJ981" t="inlineStr">
        <is>
          <t>8.1</t>
        </is>
      </c>
      <c r="AK981" t="inlineStr">
        <is>
          <t>601+</t>
        </is>
      </c>
      <c r="AL981" t="inlineStr">
        <is>
          <t>24.7</t>
        </is>
      </c>
      <c r="AM981" t="inlineStr">
        <is>
          <t>388</t>
        </is>
      </c>
      <c r="AN981" t="inlineStr">
        <is>
          <t>22.8</t>
        </is>
      </c>
      <c r="AO981" t="inlineStr">
        <is>
          <t>622</t>
        </is>
      </c>
      <c r="AP981" t="inlineStr">
        <is>
          <t>1.6</t>
        </is>
      </c>
      <c r="AQ981" t="inlineStr">
        <is>
          <t>701+</t>
        </is>
      </c>
      <c r="AR981" t="inlineStr">
        <is>
          <t>4.2</t>
        </is>
      </c>
      <c r="AS981" t="inlineStr">
        <is>
          <t>701+</t>
        </is>
      </c>
      <c r="AT981" t="inlineStr">
        <is>
          <t>6.6</t>
        </is>
      </c>
      <c r="AU981" t="inlineStr">
        <is>
          <t>701+</t>
        </is>
      </c>
      <c r="AV981" t="inlineStr">
        <is>
          <t>1.0</t>
        </is>
      </c>
      <c r="AW981" t="inlineStr">
        <is>
          <t>701+</t>
        </is>
      </c>
      <c r="AX981" t="inlineStr">
        <is>
          <t>9.2</t>
        </is>
      </c>
      <c r="AY981" t="inlineStr">
        <is>
          <t>701+</t>
        </is>
      </c>
      <c r="AZ981" t="inlineStr">
        <is>
          <t>1.3</t>
        </is>
      </c>
      <c r="BA981" t="inlineStr">
        <is>
          <t>701+</t>
        </is>
      </c>
    </row>
    <row r="982">
      <c r="A982" t="inlineStr">
        <is>
          <t>Taibah University</t>
        </is>
      </c>
      <c r="B982" t="inlineStr">
        <is>
          <t>Saudi Arabia</t>
        </is>
      </c>
      <c r="C982" t="inlineStr">
        <is>
          <t>SA</t>
        </is>
      </c>
      <c r="D982" t="inlineStr">
        <is>
          <t>Asia</t>
        </is>
      </c>
      <c r="E982" t="inlineStr">
        <is>
          <t>XL</t>
        </is>
      </c>
      <c r="F982" t="inlineStr">
        <is>
          <t>FC</t>
        </is>
      </c>
      <c r="G982" t="inlineStr">
        <is>
          <t>HI</t>
        </is>
      </c>
      <c r="H982" t="inlineStr">
        <is>
          <t>2</t>
        </is>
      </c>
      <c r="I982" t="inlineStr">
        <is>
          <t>Public</t>
        </is>
      </c>
      <c r="J982" t="inlineStr">
        <is>
          <t>1201-1400</t>
        </is>
      </c>
      <c r="K982" t="inlineStr">
        <is>
          <t>1001-1200</t>
        </is>
      </c>
      <c r="L982" t="inlineStr">
        <is>
          <t>1001-1200</t>
        </is>
      </c>
      <c r="M982" t="inlineStr">
        <is>
          <t>1001-1200</t>
        </is>
      </c>
      <c r="N982" t="inlineStr">
        <is>
          <t>-</t>
        </is>
      </c>
      <c r="O982" t="inlineStr">
        <is>
          <t>-</t>
        </is>
      </c>
      <c r="P982" t="n">
        <v>9.199999999999999</v>
      </c>
      <c r="Q982" t="inlineStr">
        <is>
          <t>701+</t>
        </is>
      </c>
      <c r="R982" t="n">
        <v>4.3</v>
      </c>
      <c r="S982" t="inlineStr">
        <is>
          <t>701+</t>
        </is>
      </c>
      <c r="T982" t="n">
        <v>7.6</v>
      </c>
      <c r="U982" t="inlineStr">
        <is>
          <t>801+</t>
        </is>
      </c>
      <c r="V982" t="n">
        <v>7.4</v>
      </c>
      <c r="W982" t="inlineStr">
        <is>
          <t>801+</t>
        </is>
      </c>
      <c r="X982" t="n">
        <v>90.59999999999999</v>
      </c>
      <c r="Y982" t="inlineStr">
        <is>
          <t>221</t>
        </is>
      </c>
      <c r="Z982" t="n">
        <v>3.6</v>
      </c>
      <c r="AA982" t="inlineStr">
        <is>
          <t>801+</t>
        </is>
      </c>
      <c r="AB982" t="n">
        <v>8.199999999999999</v>
      </c>
      <c r="AC982" t="inlineStr">
        <is>
          <t>801+</t>
        </is>
      </c>
      <c r="AD982" t="n">
        <v>38</v>
      </c>
      <c r="AE982" t="inlineStr">
        <is>
          <t>801+</t>
        </is>
      </c>
      <c r="AF982" t="n">
        <v>2.5</v>
      </c>
      <c r="AG982" t="inlineStr">
        <is>
          <t>801+</t>
        </is>
      </c>
      <c r="AH982" t="n">
        <v>32.5</v>
      </c>
      <c r="AI982" t="inlineStr">
        <is>
          <t>801+</t>
        </is>
      </c>
      <c r="AJ982" t="inlineStr">
        <is>
          <t>5.7</t>
        </is>
      </c>
      <c r="AK982" t="inlineStr">
        <is>
          <t>601+</t>
        </is>
      </c>
      <c r="AL982" t="inlineStr">
        <is>
          <t>2.3</t>
        </is>
      </c>
      <c r="AM982" t="inlineStr">
        <is>
          <t>601+</t>
        </is>
      </c>
      <c r="AN982" t="inlineStr">
        <is>
          <t>4.1</t>
        </is>
      </c>
      <c r="AO982" t="inlineStr">
        <is>
          <t>701+</t>
        </is>
      </c>
      <c r="AP982" t="inlineStr">
        <is>
          <t>3.2</t>
        </is>
      </c>
      <c r="AQ982" t="inlineStr">
        <is>
          <t>701+</t>
        </is>
      </c>
      <c r="AR982" t="inlineStr">
        <is>
          <t>97.7</t>
        </is>
      </c>
      <c r="AS982" t="inlineStr">
        <is>
          <t>121</t>
        </is>
      </c>
      <c r="AT982" t="inlineStr">
        <is>
          <t>2.3</t>
        </is>
      </c>
      <c r="AU982" t="inlineStr">
        <is>
          <t>701+</t>
        </is>
      </c>
      <c r="AV982" t="inlineStr">
        <is>
          <t>2.4</t>
        </is>
      </c>
      <c r="AW982" t="inlineStr">
        <is>
          <t>701+</t>
        </is>
      </c>
      <c r="AX982" t="inlineStr">
        <is>
          <t>4.5</t>
        </is>
      </c>
      <c r="AY982" t="inlineStr">
        <is>
          <t>701+</t>
        </is>
      </c>
      <c r="AZ982" t="inlineStr">
        <is>
          <t>2.1</t>
        </is>
      </c>
      <c r="BA982" t="inlineStr">
        <is>
          <t>701+</t>
        </is>
      </c>
    </row>
    <row r="983">
      <c r="A983" t="inlineStr">
        <is>
          <t>Taif University</t>
        </is>
      </c>
      <c r="B983" t="inlineStr">
        <is>
          <t>Saudi Arabia</t>
        </is>
      </c>
      <c r="C983" t="inlineStr"/>
      <c r="D983" t="inlineStr">
        <is>
          <t>Asia</t>
        </is>
      </c>
      <c r="E983" t="inlineStr">
        <is>
          <t>XL</t>
        </is>
      </c>
      <c r="F983" t="inlineStr">
        <is>
          <t>FC</t>
        </is>
      </c>
      <c r="G983" t="inlineStr">
        <is>
          <t>VH</t>
        </is>
      </c>
      <c r="H983" t="inlineStr"/>
      <c r="I983" t="inlineStr">
        <is>
          <t>Public</t>
        </is>
      </c>
      <c r="J983" t="inlineStr">
        <is>
          <t>901-950</t>
        </is>
      </c>
      <c r="K983" t="inlineStr"/>
      <c r="L983" t="inlineStr"/>
      <c r="M983" t="inlineStr"/>
      <c r="N983" t="inlineStr">
        <is>
          <t>-</t>
        </is>
      </c>
      <c r="O983" t="inlineStr"/>
      <c r="P983" t="n">
        <v>7</v>
      </c>
      <c r="Q983" t="inlineStr">
        <is>
          <t>701+</t>
        </is>
      </c>
      <c r="R983" t="n">
        <v>2.7</v>
      </c>
      <c r="S983" t="inlineStr">
        <is>
          <t>701+</t>
        </is>
      </c>
      <c r="T983" t="n">
        <v>9.199999999999999</v>
      </c>
      <c r="U983" t="inlineStr">
        <is>
          <t>801+</t>
        </is>
      </c>
      <c r="V983" t="n">
        <v>30.2</v>
      </c>
      <c r="W983" t="inlineStr">
        <is>
          <t>586</t>
        </is>
      </c>
      <c r="X983" t="n">
        <v>100</v>
      </c>
      <c r="Y983" t="inlineStr">
        <is>
          <t>44</t>
        </is>
      </c>
      <c r="Z983" t="n">
        <v>4.7</v>
      </c>
      <c r="AA983" t="inlineStr">
        <is>
          <t>801+</t>
        </is>
      </c>
      <c r="AB983" t="n">
        <v>9.199999999999999</v>
      </c>
      <c r="AC983" t="inlineStr">
        <is>
          <t>801+</t>
        </is>
      </c>
      <c r="AD983" t="n">
        <v>80.5</v>
      </c>
      <c r="AE983" t="inlineStr">
        <is>
          <t>343</t>
        </is>
      </c>
      <c r="AF983" t="n">
        <v>2.9</v>
      </c>
      <c r="AG983" t="inlineStr">
        <is>
          <t>801+</t>
        </is>
      </c>
      <c r="AH983" t="n">
        <v>46</v>
      </c>
      <c r="AI983" t="inlineStr">
        <is>
          <t>801+</t>
        </is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</row>
    <row r="984">
      <c r="A984" t="inlineStr">
        <is>
          <t>Taipei Medical University</t>
        </is>
      </c>
      <c r="B984" t="inlineStr">
        <is>
          <t>Taiwan</t>
        </is>
      </c>
      <c r="C984" t="inlineStr"/>
      <c r="D984" t="inlineStr">
        <is>
          <t>Asia</t>
        </is>
      </c>
      <c r="E984" t="inlineStr">
        <is>
          <t>M</t>
        </is>
      </c>
      <c r="F984" t="inlineStr">
        <is>
          <t>SP</t>
        </is>
      </c>
      <c r="G984" t="inlineStr">
        <is>
          <t>VH</t>
        </is>
      </c>
      <c r="H984" t="inlineStr"/>
      <c r="I984" t="inlineStr">
        <is>
          <t>Private not for Profit</t>
        </is>
      </c>
      <c r="J984" t="inlineStr">
        <is>
          <t>597</t>
        </is>
      </c>
      <c r="K984" t="inlineStr">
        <is>
          <t>611-620</t>
        </is>
      </c>
      <c r="L984" t="inlineStr"/>
      <c r="M984" t="inlineStr"/>
      <c r="N984" t="inlineStr">
        <is>
          <t>28.3</t>
        </is>
      </c>
      <c r="O984" t="inlineStr"/>
      <c r="P984" t="n">
        <v>16.9</v>
      </c>
      <c r="Q984" t="inlineStr">
        <is>
          <t>701+</t>
        </is>
      </c>
      <c r="R984" t="n">
        <v>14.7</v>
      </c>
      <c r="S984" t="inlineStr">
        <is>
          <t>701+</t>
        </is>
      </c>
      <c r="T984" t="n">
        <v>94.2</v>
      </c>
      <c r="U984" t="inlineStr">
        <is>
          <t>83</t>
        </is>
      </c>
      <c r="V984" t="n">
        <v>32.3</v>
      </c>
      <c r="W984" t="inlineStr">
        <is>
          <t>558</t>
        </is>
      </c>
      <c r="X984" t="n">
        <v>20</v>
      </c>
      <c r="Y984" t="inlineStr">
        <is>
          <t>713</t>
        </is>
      </c>
      <c r="Z984" t="n">
        <v>22</v>
      </c>
      <c r="AA984" t="inlineStr">
        <is>
          <t>699</t>
        </is>
      </c>
      <c r="AB984" t="n">
        <v>16.6</v>
      </c>
      <c r="AC984" t="inlineStr">
        <is>
          <t>801+</t>
        </is>
      </c>
      <c r="AD984" t="n">
        <v>24.7</v>
      </c>
      <c r="AE984" t="inlineStr">
        <is>
          <t>801+</t>
        </is>
      </c>
      <c r="AF984" t="n">
        <v>11.9</v>
      </c>
      <c r="AG984" t="inlineStr">
        <is>
          <t>801+</t>
        </is>
      </c>
      <c r="AH984" t="n">
        <v>48.1</v>
      </c>
      <c r="AI984" t="inlineStr">
        <is>
          <t>757=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</row>
    <row r="985">
      <c r="A985" t="inlineStr">
        <is>
          <t>Taipei Medical University (TMU)</t>
        </is>
      </c>
      <c r="B985" t="inlineStr">
        <is>
          <t>Taiwan</t>
        </is>
      </c>
      <c r="C985" t="inlineStr">
        <is>
          <t>TW</t>
        </is>
      </c>
      <c r="D985" t="inlineStr"/>
      <c r="E985" t="inlineStr">
        <is>
          <t>M</t>
        </is>
      </c>
      <c r="F985" t="inlineStr">
        <is>
          <t>SP</t>
        </is>
      </c>
      <c r="G985" t="inlineStr"/>
      <c r="H985" t="inlineStr">
        <is>
          <t>2</t>
        </is>
      </c>
      <c r="I985" t="inlineStr">
        <is>
          <t>B</t>
        </is>
      </c>
      <c r="J985" t="inlineStr"/>
      <c r="K985" t="inlineStr"/>
      <c r="L985">
        <f>577</f>
        <v/>
      </c>
      <c r="M985" t="inlineStr">
        <is>
          <t>384=</t>
        </is>
      </c>
      <c r="N985" t="inlineStr"/>
      <c r="O985" t="inlineStr">
        <is>
          <t>20.5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>
        <is>
          <t>10.3</t>
        </is>
      </c>
      <c r="AK985" t="inlineStr">
        <is>
          <t>601+</t>
        </is>
      </c>
      <c r="AL985" t="inlineStr">
        <is>
          <t>15.4</t>
        </is>
      </c>
      <c r="AM985" t="inlineStr">
        <is>
          <t>536</t>
        </is>
      </c>
      <c r="AN985" t="inlineStr">
        <is>
          <t>91.1</t>
        </is>
      </c>
      <c r="AO985" t="inlineStr">
        <is>
          <t>81</t>
        </is>
      </c>
      <c r="AP985" t="inlineStr">
        <is>
          <t>17.9</t>
        </is>
      </c>
      <c r="AQ985" t="inlineStr">
        <is>
          <t>585</t>
        </is>
      </c>
      <c r="AR985" t="inlineStr">
        <is>
          <t>15.1</t>
        </is>
      </c>
      <c r="AS985" t="inlineStr">
        <is>
          <t>667</t>
        </is>
      </c>
      <c r="AT985" t="inlineStr">
        <is>
          <t>15.6</t>
        </is>
      </c>
      <c r="AU985" t="inlineStr">
        <is>
          <t>609</t>
        </is>
      </c>
      <c r="AV985" t="inlineStr">
        <is>
          <t>1.3</t>
        </is>
      </c>
      <c r="AW985" t="inlineStr">
        <is>
          <t>701+</t>
        </is>
      </c>
      <c r="AX985" t="inlineStr">
        <is>
          <t>9.9</t>
        </is>
      </c>
      <c r="AY985" t="inlineStr">
        <is>
          <t>701+</t>
        </is>
      </c>
      <c r="AZ985" t="inlineStr">
        <is>
          <t>9</t>
        </is>
      </c>
      <c r="BA985" t="inlineStr">
        <is>
          <t>688</t>
        </is>
      </c>
    </row>
    <row r="986">
      <c r="A986" t="inlineStr">
        <is>
          <t>Tallinn University</t>
        </is>
      </c>
      <c r="B986" t="inlineStr">
        <is>
          <t>Estonia</t>
        </is>
      </c>
      <c r="C986" t="inlineStr">
        <is>
          <t>EE</t>
        </is>
      </c>
      <c r="D986" t="inlineStr">
        <is>
          <t>Europe</t>
        </is>
      </c>
      <c r="E986" t="inlineStr">
        <is>
          <t>M</t>
        </is>
      </c>
      <c r="F986" t="inlineStr">
        <is>
          <t>FO</t>
        </is>
      </c>
      <c r="G986" t="inlineStr">
        <is>
          <t>VH</t>
        </is>
      </c>
      <c r="H986" t="inlineStr">
        <is>
          <t>2</t>
        </is>
      </c>
      <c r="I986" t="inlineStr">
        <is>
          <t>Public</t>
        </is>
      </c>
      <c r="J986" t="inlineStr">
        <is>
          <t>901-950</t>
        </is>
      </c>
      <c r="K986" t="inlineStr">
        <is>
          <t>1001-1200</t>
        </is>
      </c>
      <c r="L986" t="inlineStr">
        <is>
          <t>1001-1200</t>
        </is>
      </c>
      <c r="M986" t="inlineStr">
        <is>
          <t>1001-1200</t>
        </is>
      </c>
      <c r="N986" t="inlineStr">
        <is>
          <t>-</t>
        </is>
      </c>
      <c r="O986" t="inlineStr">
        <is>
          <t>-</t>
        </is>
      </c>
      <c r="P986" t="n">
        <v>11.1</v>
      </c>
      <c r="Q986" t="inlineStr">
        <is>
          <t>701+</t>
        </is>
      </c>
      <c r="R986" t="n">
        <v>12.4</v>
      </c>
      <c r="S986" t="inlineStr">
        <is>
          <t>701+</t>
        </is>
      </c>
      <c r="T986" t="n">
        <v>12.6</v>
      </c>
      <c r="U986" t="inlineStr">
        <is>
          <t>801+</t>
        </is>
      </c>
      <c r="V986" t="n">
        <v>9.9</v>
      </c>
      <c r="W986" t="inlineStr">
        <is>
          <t>801+</t>
        </is>
      </c>
      <c r="X986" t="n">
        <v>63.9</v>
      </c>
      <c r="Y986" t="inlineStr">
        <is>
          <t>363</t>
        </is>
      </c>
      <c r="Z986" t="n">
        <v>30.6</v>
      </c>
      <c r="AA986" t="inlineStr">
        <is>
          <t>585</t>
        </is>
      </c>
      <c r="AB986" t="n">
        <v>36.5</v>
      </c>
      <c r="AC986" t="inlineStr">
        <is>
          <t>529</t>
        </is>
      </c>
      <c r="AD986" t="n">
        <v>55.1</v>
      </c>
      <c r="AE986" t="inlineStr">
        <is>
          <t>768</t>
        </is>
      </c>
      <c r="AF986" t="n">
        <v>45.6</v>
      </c>
      <c r="AG986" t="inlineStr">
        <is>
          <t>382</t>
        </is>
      </c>
      <c r="AH986" t="n">
        <v>44.3</v>
      </c>
      <c r="AI986" t="inlineStr">
        <is>
          <t>801+</t>
        </is>
      </c>
      <c r="AJ986" t="inlineStr">
        <is>
          <t>8.7</t>
        </is>
      </c>
      <c r="AK986" t="inlineStr">
        <is>
          <t>601+</t>
        </is>
      </c>
      <c r="AL986" t="inlineStr">
        <is>
          <t>5.7</t>
        </is>
      </c>
      <c r="AM986" t="inlineStr">
        <is>
          <t>601+</t>
        </is>
      </c>
      <c r="AN986" t="inlineStr">
        <is>
          <t>6.9</t>
        </is>
      </c>
      <c r="AO986" t="inlineStr">
        <is>
          <t>701+</t>
        </is>
      </c>
      <c r="AP986" t="inlineStr">
        <is>
          <t>6.1</t>
        </is>
      </c>
      <c r="AQ986" t="inlineStr">
        <is>
          <t>701+</t>
        </is>
      </c>
      <c r="AR986" t="inlineStr">
        <is>
          <t>40.0</t>
        </is>
      </c>
      <c r="AS986" t="inlineStr">
        <is>
          <t>412</t>
        </is>
      </c>
      <c r="AT986" t="inlineStr">
        <is>
          <t>19.3</t>
        </is>
      </c>
      <c r="AU986" t="inlineStr">
        <is>
          <t>556</t>
        </is>
      </c>
      <c r="AV986" t="inlineStr">
        <is>
          <t>9.3</t>
        </is>
      </c>
      <c r="AW986" t="inlineStr">
        <is>
          <t>686</t>
        </is>
      </c>
      <c r="AX986" t="inlineStr">
        <is>
          <t>11</t>
        </is>
      </c>
      <c r="AY986" t="inlineStr">
        <is>
          <t>701+</t>
        </is>
      </c>
      <c r="AZ986" t="inlineStr">
        <is>
          <t>1.3</t>
        </is>
      </c>
      <c r="BA986" t="inlineStr">
        <is>
          <t>701+</t>
        </is>
      </c>
    </row>
    <row r="987">
      <c r="A987" t="inlineStr">
        <is>
          <t>Tallinn University of Technology</t>
        </is>
      </c>
      <c r="B987" t="inlineStr">
        <is>
          <t>Estonia</t>
        </is>
      </c>
      <c r="C987" t="inlineStr"/>
      <c r="D987" t="inlineStr">
        <is>
          <t>Europe</t>
        </is>
      </c>
      <c r="E987" t="inlineStr">
        <is>
          <t>M</t>
        </is>
      </c>
      <c r="F987" t="inlineStr">
        <is>
          <t>FO</t>
        </is>
      </c>
      <c r="G987" t="inlineStr">
        <is>
          <t>VH</t>
        </is>
      </c>
      <c r="H987" t="inlineStr"/>
      <c r="I987" t="inlineStr">
        <is>
          <t>Public</t>
        </is>
      </c>
      <c r="J987" t="inlineStr">
        <is>
          <t>635</t>
        </is>
      </c>
      <c r="K987" t="inlineStr">
        <is>
          <t>621-630</t>
        </is>
      </c>
      <c r="L987" t="inlineStr"/>
      <c r="M987" t="inlineStr"/>
      <c r="N987" t="inlineStr">
        <is>
          <t>27.2</t>
        </is>
      </c>
      <c r="O987" t="inlineStr"/>
      <c r="P987" t="n">
        <v>16.2</v>
      </c>
      <c r="Q987" t="inlineStr">
        <is>
          <t>701+</t>
        </is>
      </c>
      <c r="R987" t="n">
        <v>18.6</v>
      </c>
      <c r="S987" t="inlineStr">
        <is>
          <t>694</t>
        </is>
      </c>
      <c r="T987" t="n">
        <v>33.5</v>
      </c>
      <c r="U987" t="inlineStr">
        <is>
          <t>581</t>
        </is>
      </c>
      <c r="V987" t="n">
        <v>23.5</v>
      </c>
      <c r="W987" t="inlineStr">
        <is>
          <t>665</t>
        </is>
      </c>
      <c r="X987" t="n">
        <v>53.2</v>
      </c>
      <c r="Y987" t="inlineStr">
        <is>
          <t>425</t>
        </is>
      </c>
      <c r="Z987" t="n">
        <v>26.8</v>
      </c>
      <c r="AA987" t="inlineStr">
        <is>
          <t>635</t>
        </is>
      </c>
      <c r="AB987" t="n">
        <v>32.8</v>
      </c>
      <c r="AC987" t="inlineStr">
        <is>
          <t>578</t>
        </is>
      </c>
      <c r="AD987" t="n">
        <v>81.2</v>
      </c>
      <c r="AE987" t="inlineStr">
        <is>
          <t>326</t>
        </is>
      </c>
      <c r="AF987" t="n">
        <v>50.5</v>
      </c>
      <c r="AG987" t="inlineStr">
        <is>
          <t>341</t>
        </is>
      </c>
      <c r="AH987" t="n">
        <v>43</v>
      </c>
      <c r="AI987" t="inlineStr">
        <is>
          <t>801+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</row>
    <row r="988">
      <c r="A988" t="inlineStr">
        <is>
          <t>Tallinn University of Technology (TalTech)</t>
        </is>
      </c>
      <c r="B988" t="inlineStr">
        <is>
          <t>Estonia</t>
        </is>
      </c>
      <c r="C988" t="inlineStr">
        <is>
          <t>EE</t>
        </is>
      </c>
      <c r="D988" t="inlineStr"/>
      <c r="E988" t="inlineStr">
        <is>
          <t>M</t>
        </is>
      </c>
      <c r="F988" t="inlineStr">
        <is>
          <t>FO</t>
        </is>
      </c>
      <c r="G988" t="inlineStr">
        <is>
          <t>VH</t>
        </is>
      </c>
      <c r="H988" t="inlineStr">
        <is>
          <t>5</t>
        </is>
      </c>
      <c r="I988" t="inlineStr">
        <is>
          <t>A</t>
        </is>
      </c>
      <c r="J988" t="inlineStr"/>
      <c r="K988" t="inlineStr"/>
      <c r="L988" t="inlineStr">
        <is>
          <t>651-660</t>
        </is>
      </c>
      <c r="M988" t="inlineStr">
        <is>
          <t>701-750</t>
        </is>
      </c>
      <c r="N988" t="inlineStr"/>
      <c r="O988" t="inlineStr">
        <is>
          <t>-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12.9</t>
        </is>
      </c>
      <c r="AK988" t="inlineStr">
        <is>
          <t>601+</t>
        </is>
      </c>
      <c r="AL988" t="inlineStr">
        <is>
          <t>11.4</t>
        </is>
      </c>
      <c r="AM988" t="inlineStr">
        <is>
          <t>601+</t>
        </is>
      </c>
      <c r="AN988" t="inlineStr">
        <is>
          <t>27.6</t>
        </is>
      </c>
      <c r="AO988" t="inlineStr">
        <is>
          <t>553</t>
        </is>
      </c>
      <c r="AP988" t="inlineStr">
        <is>
          <t>9.6</t>
        </is>
      </c>
      <c r="AQ988" t="inlineStr">
        <is>
          <t>701+</t>
        </is>
      </c>
      <c r="AR988" t="inlineStr">
        <is>
          <t>49.5</t>
        </is>
      </c>
      <c r="AS988" t="inlineStr">
        <is>
          <t>360</t>
        </is>
      </c>
      <c r="AT988" t="inlineStr">
        <is>
          <t>25.0</t>
        </is>
      </c>
      <c r="AU988" t="inlineStr">
        <is>
          <t>475</t>
        </is>
      </c>
      <c r="AV988" t="inlineStr">
        <is>
          <t>48.5</t>
        </is>
      </c>
      <c r="AW988" t="inlineStr">
        <is>
          <t>323</t>
        </is>
      </c>
      <c r="AX988" t="inlineStr">
        <is>
          <t>32</t>
        </is>
      </c>
      <c r="AY988" t="inlineStr">
        <is>
          <t>239</t>
        </is>
      </c>
      <c r="AZ988" t="inlineStr">
        <is>
          <t>3.5</t>
        </is>
      </c>
      <c r="BA988" t="inlineStr">
        <is>
          <t>701+</t>
        </is>
      </c>
    </row>
    <row r="989">
      <c r="A989" t="inlineStr">
        <is>
          <t>Tamkang University</t>
        </is>
      </c>
      <c r="B989" t="inlineStr">
        <is>
          <t>Taiwan</t>
        </is>
      </c>
      <c r="C989" t="inlineStr">
        <is>
          <t>TW</t>
        </is>
      </c>
      <c r="D989" t="inlineStr">
        <is>
          <t>Asia</t>
        </is>
      </c>
      <c r="E989" t="inlineStr">
        <is>
          <t>L</t>
        </is>
      </c>
      <c r="F989" t="inlineStr">
        <is>
          <t>CO</t>
        </is>
      </c>
      <c r="G989" t="inlineStr">
        <is>
          <t>HI</t>
        </is>
      </c>
      <c r="H989" t="inlineStr">
        <is>
          <t>3</t>
        </is>
      </c>
      <c r="I989" t="inlineStr">
        <is>
          <t>Private for Profit</t>
        </is>
      </c>
      <c r="J989" t="inlineStr">
        <is>
          <t>1201-1400</t>
        </is>
      </c>
      <c r="K989" t="inlineStr">
        <is>
          <t>1201-1400</t>
        </is>
      </c>
      <c r="L989" t="inlineStr">
        <is>
          <t>1201-1400</t>
        </is>
      </c>
      <c r="M989" t="inlineStr">
        <is>
          <t>1201-1400</t>
        </is>
      </c>
      <c r="N989" t="inlineStr">
        <is>
          <t>-</t>
        </is>
      </c>
      <c r="O989" t="inlineStr">
        <is>
          <t>-</t>
        </is>
      </c>
      <c r="P989" t="n">
        <v>7.8</v>
      </c>
      <c r="Q989" t="inlineStr">
        <is>
          <t>701+</t>
        </is>
      </c>
      <c r="R989" t="n">
        <v>9.9</v>
      </c>
      <c r="S989" t="inlineStr">
        <is>
          <t>701+</t>
        </is>
      </c>
      <c r="T989" t="n">
        <v>5.2</v>
      </c>
      <c r="U989" t="inlineStr">
        <is>
          <t>801+</t>
        </is>
      </c>
      <c r="V989" t="n">
        <v>11</v>
      </c>
      <c r="W989" t="inlineStr">
        <is>
          <t>801+</t>
        </is>
      </c>
      <c r="X989" t="n">
        <v>8</v>
      </c>
      <c r="Y989" t="inlineStr">
        <is>
          <t>801+</t>
        </is>
      </c>
      <c r="Z989" t="n">
        <v>11.6</v>
      </c>
      <c r="AA989" t="inlineStr">
        <is>
          <t>801+</t>
        </is>
      </c>
      <c r="AB989" t="n">
        <v>16.4</v>
      </c>
      <c r="AC989" t="inlineStr">
        <is>
          <t>801+</t>
        </is>
      </c>
      <c r="AD989" t="n">
        <v>24.6</v>
      </c>
      <c r="AE989" t="inlineStr">
        <is>
          <t>801+</t>
        </is>
      </c>
      <c r="AF989" t="n">
        <v>35.6</v>
      </c>
      <c r="AG989" t="inlineStr">
        <is>
          <t>484</t>
        </is>
      </c>
      <c r="AH989" t="n">
        <v>45.7</v>
      </c>
      <c r="AI989" t="inlineStr">
        <is>
          <t>801+</t>
        </is>
      </c>
      <c r="AJ989" t="inlineStr">
        <is>
          <t>5.7</t>
        </is>
      </c>
      <c r="AK989" t="inlineStr">
        <is>
          <t>601+</t>
        </is>
      </c>
      <c r="AL989" t="inlineStr">
        <is>
          <t>5.5</t>
        </is>
      </c>
      <c r="AM989" t="inlineStr">
        <is>
          <t>601+</t>
        </is>
      </c>
      <c r="AN989" t="inlineStr">
        <is>
          <t>3.6</t>
        </is>
      </c>
      <c r="AO989" t="inlineStr">
        <is>
          <t>701+</t>
        </is>
      </c>
      <c r="AP989" t="inlineStr">
        <is>
          <t>5.6</t>
        </is>
      </c>
      <c r="AQ989" t="inlineStr">
        <is>
          <t>701+</t>
        </is>
      </c>
      <c r="AR989" t="inlineStr">
        <is>
          <t>8.4</t>
        </is>
      </c>
      <c r="AS989" t="inlineStr">
        <is>
          <t>701+</t>
        </is>
      </c>
      <c r="AT989" t="inlineStr">
        <is>
          <t>7.4</t>
        </is>
      </c>
      <c r="AU989" t="inlineStr">
        <is>
          <t>701+</t>
        </is>
      </c>
      <c r="AV989" t="inlineStr">
        <is>
          <t>1.1</t>
        </is>
      </c>
      <c r="AW989" t="inlineStr">
        <is>
          <t>701+</t>
        </is>
      </c>
      <c r="AX989" t="inlineStr">
        <is>
          <t>20.9</t>
        </is>
      </c>
      <c r="AY989" t="inlineStr">
        <is>
          <t>395</t>
        </is>
      </c>
      <c r="AZ989" t="inlineStr">
        <is>
          <t>4.9</t>
        </is>
      </c>
      <c r="BA989" t="inlineStr">
        <is>
          <t>701+</t>
        </is>
      </c>
    </row>
    <row r="990">
      <c r="A990" t="inlineStr">
        <is>
          <t>Tampere University</t>
        </is>
      </c>
      <c r="B990" t="inlineStr">
        <is>
          <t>Finland</t>
        </is>
      </c>
      <c r="C990" t="inlineStr">
        <is>
          <t>FI</t>
        </is>
      </c>
      <c r="D990" t="inlineStr">
        <is>
          <t>Europe</t>
        </is>
      </c>
      <c r="E990" t="inlineStr">
        <is>
          <t>L</t>
        </is>
      </c>
      <c r="F990" t="inlineStr">
        <is>
          <t>FC</t>
        </is>
      </c>
      <c r="G990" t="inlineStr">
        <is>
          <t>VH</t>
        </is>
      </c>
      <c r="H990" t="inlineStr">
        <is>
          <t>1</t>
        </is>
      </c>
      <c r="I990" t="inlineStr">
        <is>
          <t>Public</t>
        </is>
      </c>
      <c r="J990" t="inlineStr">
        <is>
          <t>423</t>
        </is>
      </c>
      <c r="K990" t="inlineStr">
        <is>
          <t>462</t>
        </is>
      </c>
      <c r="L990">
        <f>436</f>
        <v/>
      </c>
      <c r="M990" t="inlineStr">
        <is>
          <t>415</t>
        </is>
      </c>
      <c r="N990" t="inlineStr">
        <is>
          <t>36.1</t>
        </is>
      </c>
      <c r="O990" t="inlineStr">
        <is>
          <t>26.0</t>
        </is>
      </c>
      <c r="P990" t="n">
        <v>29.2</v>
      </c>
      <c r="Q990" t="inlineStr">
        <is>
          <t>424</t>
        </is>
      </c>
      <c r="R990" t="n">
        <v>24.7</v>
      </c>
      <c r="S990" t="inlineStr">
        <is>
          <t>543</t>
        </is>
      </c>
      <c r="T990" t="n">
        <v>24.8</v>
      </c>
      <c r="U990" t="inlineStr">
        <is>
          <t>737</t>
        </is>
      </c>
      <c r="V990" t="n">
        <v>47.7</v>
      </c>
      <c r="W990" t="inlineStr">
        <is>
          <t>392</t>
        </is>
      </c>
      <c r="X990" t="n">
        <v>61.6</v>
      </c>
      <c r="Y990" t="inlineStr">
        <is>
          <t>378</t>
        </is>
      </c>
      <c r="Z990" t="n">
        <v>13.9</v>
      </c>
      <c r="AA990" t="inlineStr">
        <is>
          <t>801+</t>
        </is>
      </c>
      <c r="AB990" t="n">
        <v>19.6</v>
      </c>
      <c r="AC990" t="inlineStr">
        <is>
          <t>771</t>
        </is>
      </c>
      <c r="AD990" t="n">
        <v>84</v>
      </c>
      <c r="AE990" t="inlineStr">
        <is>
          <t>277</t>
        </is>
      </c>
      <c r="AF990" t="n">
        <v>42.1</v>
      </c>
      <c r="AG990" t="inlineStr">
        <is>
          <t>417</t>
        </is>
      </c>
      <c r="AH990" t="n">
        <v>49.2</v>
      </c>
      <c r="AI990" t="inlineStr">
        <is>
          <t>729=</t>
        </is>
      </c>
      <c r="AJ990" t="inlineStr">
        <is>
          <t>22.5</t>
        </is>
      </c>
      <c r="AK990" t="inlineStr">
        <is>
          <t>391</t>
        </is>
      </c>
      <c r="AL990" t="inlineStr">
        <is>
          <t>19.5</t>
        </is>
      </c>
      <c r="AM990" t="inlineStr">
        <is>
          <t>463</t>
        </is>
      </c>
      <c r="AN990" t="inlineStr">
        <is>
          <t>23.9</t>
        </is>
      </c>
      <c r="AO990" t="inlineStr">
        <is>
          <t>595</t>
        </is>
      </c>
      <c r="AP990" t="inlineStr">
        <is>
          <t>31.8</t>
        </is>
      </c>
      <c r="AQ990" t="inlineStr">
        <is>
          <t>422</t>
        </is>
      </c>
      <c r="AR990" t="inlineStr">
        <is>
          <t>32.0</t>
        </is>
      </c>
      <c r="AS990" t="inlineStr">
        <is>
          <t>473</t>
        </is>
      </c>
      <c r="AT990" t="inlineStr">
        <is>
          <t>6.4</t>
        </is>
      </c>
      <c r="AU990" t="inlineStr">
        <is>
          <t>701+</t>
        </is>
      </c>
      <c r="AV990" t="inlineStr">
        <is>
          <t>56.4</t>
        </is>
      </c>
      <c r="AW990" t="inlineStr">
        <is>
          <t>275</t>
        </is>
      </c>
      <c r="AX990" t="inlineStr">
        <is>
          <t>20.6</t>
        </is>
      </c>
      <c r="AY990" t="inlineStr">
        <is>
          <t>406</t>
        </is>
      </c>
      <c r="AZ990" t="inlineStr">
        <is>
          <t>37.2</t>
        </is>
      </c>
      <c r="BA990" t="inlineStr">
        <is>
          <t>387</t>
        </is>
      </c>
    </row>
    <row r="991">
      <c r="A991" t="inlineStr">
        <is>
          <t>Tanta University</t>
        </is>
      </c>
      <c r="B991" t="inlineStr">
        <is>
          <t>Egypt</t>
        </is>
      </c>
      <c r="C991" t="inlineStr">
        <is>
          <t>EG</t>
        </is>
      </c>
      <c r="D991" t="inlineStr">
        <is>
          <t>Africa</t>
        </is>
      </c>
      <c r="E991" t="inlineStr">
        <is>
          <t>XL</t>
        </is>
      </c>
      <c r="F991" t="inlineStr">
        <is>
          <t>FC</t>
        </is>
      </c>
      <c r="G991" t="inlineStr">
        <is>
          <t>HI</t>
        </is>
      </c>
      <c r="H991" t="inlineStr">
        <is>
          <t>4</t>
        </is>
      </c>
      <c r="I991" t="inlineStr">
        <is>
          <t>Public</t>
        </is>
      </c>
      <c r="J991" t="inlineStr">
        <is>
          <t>1201-1400</t>
        </is>
      </c>
      <c r="K991" t="inlineStr">
        <is>
          <t>1201-1400</t>
        </is>
      </c>
      <c r="L991" t="inlineStr">
        <is>
          <t>1201-1400</t>
        </is>
      </c>
      <c r="M991" t="inlineStr">
        <is>
          <t>1201-1400</t>
        </is>
      </c>
      <c r="N991" t="inlineStr">
        <is>
          <t>-</t>
        </is>
      </c>
      <c r="O991" t="inlineStr">
        <is>
          <t>-</t>
        </is>
      </c>
      <c r="P991" t="n">
        <v>7.7</v>
      </c>
      <c r="Q991" t="inlineStr">
        <is>
          <t>701+</t>
        </is>
      </c>
      <c r="R991" t="n">
        <v>9.800000000000001</v>
      </c>
      <c r="S991" t="inlineStr">
        <is>
          <t>701+</t>
        </is>
      </c>
      <c r="T991" t="n">
        <v>7.2</v>
      </c>
      <c r="U991" t="inlineStr">
        <is>
          <t>801+</t>
        </is>
      </c>
      <c r="V991" t="n">
        <v>4</v>
      </c>
      <c r="W991" t="inlineStr">
        <is>
          <t>801+</t>
        </is>
      </c>
      <c r="X991" t="n">
        <v>1.5</v>
      </c>
      <c r="Y991" t="inlineStr">
        <is>
          <t>801+</t>
        </is>
      </c>
      <c r="Z991" t="n">
        <v>3</v>
      </c>
      <c r="AA991" t="inlineStr">
        <is>
          <t>801+</t>
        </is>
      </c>
      <c r="AB991" t="n">
        <v>7.3</v>
      </c>
      <c r="AC991" t="inlineStr">
        <is>
          <t>801+</t>
        </is>
      </c>
      <c r="AD991" t="n">
        <v>73.3</v>
      </c>
      <c r="AE991" t="inlineStr">
        <is>
          <t>484</t>
        </is>
      </c>
      <c r="AF991" t="n">
        <v>5.7</v>
      </c>
      <c r="AG991" t="inlineStr">
        <is>
          <t>801+</t>
        </is>
      </c>
      <c r="AH991" t="n">
        <v>48.1</v>
      </c>
      <c r="AI991" t="inlineStr">
        <is>
          <t>757=</t>
        </is>
      </c>
      <c r="AJ991" t="inlineStr">
        <is>
          <t>6.3</t>
        </is>
      </c>
      <c r="AK991" t="inlineStr">
        <is>
          <t>601+</t>
        </is>
      </c>
      <c r="AL991" t="inlineStr">
        <is>
          <t>4.3</t>
        </is>
      </c>
      <c r="AM991" t="inlineStr">
        <is>
          <t>601+</t>
        </is>
      </c>
      <c r="AN991" t="inlineStr">
        <is>
          <t>4.1</t>
        </is>
      </c>
      <c r="AO991" t="inlineStr">
        <is>
          <t>701+</t>
        </is>
      </c>
      <c r="AP991" t="inlineStr">
        <is>
          <t>2.1</t>
        </is>
      </c>
      <c r="AQ991" t="inlineStr">
        <is>
          <t>701+</t>
        </is>
      </c>
      <c r="AR991" t="inlineStr">
        <is>
          <t>1.6</t>
        </is>
      </c>
      <c r="AS991" t="inlineStr">
        <is>
          <t>701+</t>
        </is>
      </c>
      <c r="AT991" t="inlineStr">
        <is>
          <t>2.0</t>
        </is>
      </c>
      <c r="AU991" t="inlineStr">
        <is>
          <t>701+</t>
        </is>
      </c>
      <c r="AV991" t="inlineStr">
        <is>
          <t>21.4</t>
        </is>
      </c>
      <c r="AW991" t="inlineStr">
        <is>
          <t>533</t>
        </is>
      </c>
      <c r="AX991" t="inlineStr">
        <is>
          <t>6.5</t>
        </is>
      </c>
      <c r="AY991" t="inlineStr">
        <is>
          <t>701+</t>
        </is>
      </c>
      <c r="AZ991" t="inlineStr">
        <is>
          <t>13.9</t>
        </is>
      </c>
      <c r="BA991" t="inlineStr">
        <is>
          <t>625=</t>
        </is>
      </c>
    </row>
    <row r="992">
      <c r="A992" t="inlineStr">
        <is>
          <t>Taras Shevchenko National University of Kyiv</t>
        </is>
      </c>
      <c r="B992" t="inlineStr">
        <is>
          <t>Ukraine</t>
        </is>
      </c>
      <c r="C992" t="inlineStr">
        <is>
          <t>UA</t>
        </is>
      </c>
      <c r="D992" t="inlineStr">
        <is>
          <t>Europe</t>
        </is>
      </c>
      <c r="E992" t="inlineStr">
        <is>
          <t>L</t>
        </is>
      </c>
      <c r="F992" t="inlineStr">
        <is>
          <t>CO</t>
        </is>
      </c>
      <c r="G992" t="inlineStr">
        <is>
          <t>VH</t>
        </is>
      </c>
      <c r="H992" t="inlineStr">
        <is>
          <t>5</t>
        </is>
      </c>
      <c r="I992" t="inlineStr">
        <is>
          <t>Public</t>
        </is>
      </c>
      <c r="J992" t="inlineStr">
        <is>
          <t>721-730</t>
        </is>
      </c>
      <c r="K992" t="inlineStr">
        <is>
          <t>701-710</t>
        </is>
      </c>
      <c r="L992" t="inlineStr">
        <is>
          <t>681-690</t>
        </is>
      </c>
      <c r="M992" t="inlineStr">
        <is>
          <t>651-700</t>
        </is>
      </c>
      <c r="N992" t="inlineStr">
        <is>
          <t>-</t>
        </is>
      </c>
      <c r="O992" t="inlineStr">
        <is>
          <t>-</t>
        </is>
      </c>
      <c r="P992" t="n">
        <v>21.9</v>
      </c>
      <c r="Q992" t="inlineStr">
        <is>
          <t>567</t>
        </is>
      </c>
      <c r="R992" t="n">
        <v>50.1</v>
      </c>
      <c r="S992" t="inlineStr">
        <is>
          <t>254</t>
        </is>
      </c>
      <c r="T992" t="n">
        <v>30.7</v>
      </c>
      <c r="U992" t="inlineStr">
        <is>
          <t>619</t>
        </is>
      </c>
      <c r="V992" t="n">
        <v>3.9</v>
      </c>
      <c r="W992" t="inlineStr">
        <is>
          <t>801+</t>
        </is>
      </c>
      <c r="X992" t="n">
        <v>1.7</v>
      </c>
      <c r="Y992" t="inlineStr">
        <is>
          <t>801+</t>
        </is>
      </c>
      <c r="Z992" t="n">
        <v>3.7</v>
      </c>
      <c r="AA992" t="inlineStr">
        <is>
          <t>801+</t>
        </is>
      </c>
      <c r="AB992" t="n">
        <v>8.199999999999999</v>
      </c>
      <c r="AC992" t="inlineStr">
        <is>
          <t>801+</t>
        </is>
      </c>
      <c r="AD992" t="n">
        <v>37.6</v>
      </c>
      <c r="AE992" t="inlineStr">
        <is>
          <t>801+</t>
        </is>
      </c>
      <c r="AF992" t="n">
        <v>72</v>
      </c>
      <c r="AG992" t="inlineStr">
        <is>
          <t>200</t>
        </is>
      </c>
      <c r="AH992" t="n">
        <v>37.9</v>
      </c>
      <c r="AI992" t="inlineStr">
        <is>
          <t>801+</t>
        </is>
      </c>
      <c r="AJ992" t="inlineStr">
        <is>
          <t>19.2</t>
        </is>
      </c>
      <c r="AK992" t="inlineStr">
        <is>
          <t>467</t>
        </is>
      </c>
      <c r="AL992" t="inlineStr">
        <is>
          <t>38.6</t>
        </is>
      </c>
      <c r="AM992" t="inlineStr">
        <is>
          <t>252</t>
        </is>
      </c>
      <c r="AN992" t="inlineStr">
        <is>
          <t>33.4</t>
        </is>
      </c>
      <c r="AO992" t="inlineStr">
        <is>
          <t>477</t>
        </is>
      </c>
      <c r="AP992" t="inlineStr">
        <is>
          <t>2.3</t>
        </is>
      </c>
      <c r="AQ992" t="inlineStr">
        <is>
          <t>701+</t>
        </is>
      </c>
      <c r="AR992" t="inlineStr">
        <is>
          <t>1.5</t>
        </is>
      </c>
      <c r="AS992" t="inlineStr">
        <is>
          <t>701+</t>
        </is>
      </c>
      <c r="AT992" t="inlineStr">
        <is>
          <t>5.1</t>
        </is>
      </c>
      <c r="AU992" t="inlineStr">
        <is>
          <t>701+</t>
        </is>
      </c>
      <c r="AV992" t="inlineStr">
        <is>
          <t>2.9</t>
        </is>
      </c>
      <c r="AW992" t="inlineStr">
        <is>
          <t>701+</t>
        </is>
      </c>
      <c r="AX992" t="inlineStr">
        <is>
          <t>28</t>
        </is>
      </c>
      <c r="AY992" t="inlineStr">
        <is>
          <t>288</t>
        </is>
      </c>
      <c r="AZ992" t="inlineStr">
        <is>
          <t>1.9</t>
        </is>
      </c>
      <c r="BA992" t="inlineStr">
        <is>
          <t>701+</t>
        </is>
      </c>
    </row>
    <row r="993">
      <c r="A993" t="inlineStr">
        <is>
          <t>Tashkent Institute of Irrigation and Agricultural Mechanization Engineers - National Research University (TIIAME-NRU)</t>
        </is>
      </c>
      <c r="B993" t="inlineStr">
        <is>
          <t>Uzbekistan</t>
        </is>
      </c>
      <c r="C993" t="inlineStr"/>
      <c r="D993" t="inlineStr">
        <is>
          <t>Asia</t>
        </is>
      </c>
      <c r="E993" t="inlineStr">
        <is>
          <t>M</t>
        </is>
      </c>
      <c r="F993" t="inlineStr">
        <is>
          <t>CO</t>
        </is>
      </c>
      <c r="G993" t="inlineStr">
        <is>
          <t>VH</t>
        </is>
      </c>
      <c r="H993" t="inlineStr"/>
      <c r="I993" t="inlineStr">
        <is>
          <t>Public</t>
        </is>
      </c>
      <c r="J993" t="inlineStr">
        <is>
          <t>469</t>
        </is>
      </c>
      <c r="K993" t="inlineStr">
        <is>
          <t>547</t>
        </is>
      </c>
      <c r="L993" t="inlineStr"/>
      <c r="M993" t="inlineStr"/>
      <c r="N993" t="inlineStr">
        <is>
          <t>33.7</t>
        </is>
      </c>
      <c r="O993" t="inlineStr"/>
      <c r="P993" t="n">
        <v>35.6</v>
      </c>
      <c r="Q993" t="inlineStr">
        <is>
          <t>341</t>
        </is>
      </c>
      <c r="R993" t="n">
        <v>46</v>
      </c>
      <c r="S993" t="inlineStr">
        <is>
          <t>292</t>
        </is>
      </c>
      <c r="T993" t="n">
        <v>87.09999999999999</v>
      </c>
      <c r="U993" t="inlineStr">
        <is>
          <t>120</t>
        </is>
      </c>
      <c r="V993" t="n">
        <v>4.2</v>
      </c>
      <c r="W993" t="inlineStr">
        <is>
          <t>801+</t>
        </is>
      </c>
      <c r="X993" t="n">
        <v>44.3</v>
      </c>
      <c r="Y993" t="inlineStr">
        <is>
          <t>470</t>
        </is>
      </c>
      <c r="Z993" t="n">
        <v>16.7</v>
      </c>
      <c r="AA993" t="inlineStr">
        <is>
          <t>785</t>
        </is>
      </c>
      <c r="AB993" t="n">
        <v>18.5</v>
      </c>
      <c r="AC993" t="inlineStr">
        <is>
          <t>787</t>
        </is>
      </c>
      <c r="AD993" t="n">
        <v>18.6</v>
      </c>
      <c r="AE993" t="inlineStr">
        <is>
          <t>801+</t>
        </is>
      </c>
      <c r="AF993" t="n">
        <v>24.8</v>
      </c>
      <c r="AG993" t="inlineStr">
        <is>
          <t>644</t>
        </is>
      </c>
      <c r="AH993" t="n">
        <v>46.9</v>
      </c>
      <c r="AI993" t="inlineStr">
        <is>
          <t>793=</t>
        </is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</row>
    <row r="994">
      <c r="A994" t="inlineStr">
        <is>
          <t>Tashkent State Technical University</t>
        </is>
      </c>
      <c r="B994" t="inlineStr">
        <is>
          <t>Uzbekistan</t>
        </is>
      </c>
      <c r="C994" t="inlineStr"/>
      <c r="D994" t="inlineStr">
        <is>
          <t>Asia</t>
        </is>
      </c>
      <c r="E994" t="inlineStr">
        <is>
          <t>L</t>
        </is>
      </c>
      <c r="F994" t="inlineStr">
        <is>
          <t>CO</t>
        </is>
      </c>
      <c r="G994" t="inlineStr">
        <is>
          <t>HI</t>
        </is>
      </c>
      <c r="H994" t="inlineStr"/>
      <c r="I994" t="inlineStr">
        <is>
          <t>Public</t>
        </is>
      </c>
      <c r="J994" t="inlineStr">
        <is>
          <t>901-950</t>
        </is>
      </c>
      <c r="K994" t="inlineStr"/>
      <c r="L994" t="inlineStr"/>
      <c r="M994" t="inlineStr"/>
      <c r="N994" t="inlineStr">
        <is>
          <t>-</t>
        </is>
      </c>
      <c r="O994" t="inlineStr"/>
      <c r="P994" t="n">
        <v>30.6</v>
      </c>
      <c r="Q994" t="inlineStr">
        <is>
          <t>399</t>
        </is>
      </c>
      <c r="R994" t="n">
        <v>16.2</v>
      </c>
      <c r="S994" t="inlineStr">
        <is>
          <t>701+</t>
        </is>
      </c>
      <c r="T994" t="n">
        <v>20.1</v>
      </c>
      <c r="U994" t="inlineStr">
        <is>
          <t>801+</t>
        </is>
      </c>
      <c r="V994" t="n">
        <v>2.1</v>
      </c>
      <c r="W994" t="inlineStr">
        <is>
          <t>801+</t>
        </is>
      </c>
      <c r="X994" t="n">
        <v>62.9</v>
      </c>
      <c r="Y994" t="inlineStr">
        <is>
          <t>371</t>
        </is>
      </c>
      <c r="Z994" t="n">
        <v>1.8</v>
      </c>
      <c r="AA994" t="inlineStr">
        <is>
          <t>801+</t>
        </is>
      </c>
      <c r="AB994" t="n">
        <v>6.1</v>
      </c>
      <c r="AC994" t="inlineStr">
        <is>
          <t>801+</t>
        </is>
      </c>
      <c r="AD994" t="n">
        <v>9.9</v>
      </c>
      <c r="AE994" t="inlineStr">
        <is>
          <t>801+</t>
        </is>
      </c>
      <c r="AF994" t="n">
        <v>30.7</v>
      </c>
      <c r="AG994" t="inlineStr">
        <is>
          <t>540</t>
        </is>
      </c>
      <c r="AH994" t="n">
        <v>33.9</v>
      </c>
      <c r="AI994" t="inlineStr">
        <is>
          <t>801+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</row>
    <row r="995">
      <c r="A995" t="inlineStr">
        <is>
          <t>Tashkent State Transport University</t>
        </is>
      </c>
      <c r="B995" t="inlineStr">
        <is>
          <t>Uzbekistan</t>
        </is>
      </c>
      <c r="C995" t="inlineStr"/>
      <c r="D995" t="inlineStr">
        <is>
          <t>Asia</t>
        </is>
      </c>
      <c r="E995" t="inlineStr">
        <is>
          <t>L</t>
        </is>
      </c>
      <c r="F995" t="inlineStr">
        <is>
          <t>FO</t>
        </is>
      </c>
      <c r="G995" t="inlineStr">
        <is>
          <t>HI</t>
        </is>
      </c>
      <c r="H995" t="inlineStr"/>
      <c r="I995" t="inlineStr">
        <is>
          <t>Public</t>
        </is>
      </c>
      <c r="J995" t="inlineStr">
        <is>
          <t>1201-1400</t>
        </is>
      </c>
      <c r="K995" t="inlineStr"/>
      <c r="L995" t="inlineStr"/>
      <c r="M995" t="inlineStr"/>
      <c r="N995" t="inlineStr">
        <is>
          <t>-</t>
        </is>
      </c>
      <c r="O995" t="inlineStr"/>
      <c r="P995" t="n">
        <v>19.3</v>
      </c>
      <c r="Q995" t="inlineStr">
        <is>
          <t>640</t>
        </is>
      </c>
      <c r="R995" t="n">
        <v>10.8</v>
      </c>
      <c r="S995" t="inlineStr">
        <is>
          <t>701+</t>
        </is>
      </c>
      <c r="T995" t="n">
        <v>24.7</v>
      </c>
      <c r="U995" t="inlineStr">
        <is>
          <t>740</t>
        </is>
      </c>
      <c r="V995" t="n">
        <v>1.3</v>
      </c>
      <c r="W995" t="inlineStr">
        <is>
          <t>801+</t>
        </is>
      </c>
      <c r="X995" t="n">
        <v>3.5</v>
      </c>
      <c r="Y995" t="inlineStr">
        <is>
          <t>801+</t>
        </is>
      </c>
      <c r="Z995" t="n">
        <v>2.3</v>
      </c>
      <c r="AA995" t="inlineStr">
        <is>
          <t>801+</t>
        </is>
      </c>
      <c r="AB995" t="n">
        <v>6.5</v>
      </c>
      <c r="AC995" t="inlineStr">
        <is>
          <t>801+</t>
        </is>
      </c>
      <c r="AD995" t="n">
        <v>2</v>
      </c>
      <c r="AE995" t="inlineStr">
        <is>
          <t>801+</t>
        </is>
      </c>
      <c r="AF995" t="n">
        <v>9.199999999999999</v>
      </c>
      <c r="AG995" t="inlineStr">
        <is>
          <t>801+</t>
        </is>
      </c>
      <c r="AH995" t="n">
        <v>30.1</v>
      </c>
      <c r="AI995" t="inlineStr">
        <is>
          <t>801+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</row>
    <row r="996">
      <c r="A996" t="inlineStr">
        <is>
          <t>Tashkent State University of Economics</t>
        </is>
      </c>
      <c r="B996" t="inlineStr">
        <is>
          <t>Uzbekistan</t>
        </is>
      </c>
      <c r="C996" t="inlineStr"/>
      <c r="D996" t="inlineStr">
        <is>
          <t>Asia</t>
        </is>
      </c>
      <c r="E996" t="inlineStr">
        <is>
          <t>L</t>
        </is>
      </c>
      <c r="F996" t="inlineStr">
        <is>
          <t>SP</t>
        </is>
      </c>
      <c r="G996" t="inlineStr">
        <is>
          <t>MD</t>
        </is>
      </c>
      <c r="H996" t="inlineStr"/>
      <c r="I996" t="inlineStr">
        <is>
          <t>Public</t>
        </is>
      </c>
      <c r="J996" t="inlineStr">
        <is>
          <t>1001-1200</t>
        </is>
      </c>
      <c r="K996" t="inlineStr"/>
      <c r="L996" t="inlineStr"/>
      <c r="M996" t="inlineStr"/>
      <c r="N996" t="inlineStr">
        <is>
          <t>-</t>
        </is>
      </c>
      <c r="O996" t="inlineStr"/>
      <c r="P996" t="n">
        <v>15.7</v>
      </c>
      <c r="Q996" t="inlineStr">
        <is>
          <t>701+</t>
        </is>
      </c>
      <c r="R996" t="n">
        <v>31.4</v>
      </c>
      <c r="S996" t="inlineStr">
        <is>
          <t>455</t>
        </is>
      </c>
      <c r="T996" t="n">
        <v>14</v>
      </c>
      <c r="U996" t="inlineStr">
        <is>
          <t>801+</t>
        </is>
      </c>
      <c r="V996" t="n">
        <v>1.5</v>
      </c>
      <c r="W996" t="inlineStr">
        <is>
          <t>801+</t>
        </is>
      </c>
      <c r="X996" t="n">
        <v>19.2</v>
      </c>
      <c r="Y996" t="inlineStr">
        <is>
          <t>726</t>
        </is>
      </c>
      <c r="Z996" t="n">
        <v>11.3</v>
      </c>
      <c r="AA996" t="inlineStr">
        <is>
          <t>801+</t>
        </is>
      </c>
      <c r="AB996" t="n">
        <v>13.9</v>
      </c>
      <c r="AC996" t="inlineStr">
        <is>
          <t>801+</t>
        </is>
      </c>
      <c r="AD996" t="n">
        <v>13.5</v>
      </c>
      <c r="AE996" t="inlineStr">
        <is>
          <t>801+</t>
        </is>
      </c>
      <c r="AF996" t="n">
        <v>23.7</v>
      </c>
      <c r="AG996" t="inlineStr">
        <is>
          <t>660</t>
        </is>
      </c>
      <c r="AH996" t="n">
        <v>36.7</v>
      </c>
      <c r="AI996" t="inlineStr">
        <is>
          <t>801+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</row>
    <row r="997">
      <c r="A997" t="inlineStr">
        <is>
          <t>Tashkent University of Information Technologies</t>
        </is>
      </c>
      <c r="B997" t="inlineStr">
        <is>
          <t>Uzbekistan</t>
        </is>
      </c>
      <c r="C997" t="inlineStr"/>
      <c r="D997" t="inlineStr">
        <is>
          <t>Asia</t>
        </is>
      </c>
      <c r="E997" t="inlineStr">
        <is>
          <t>L</t>
        </is>
      </c>
      <c r="F997" t="inlineStr">
        <is>
          <t>SP</t>
        </is>
      </c>
      <c r="G997" t="inlineStr">
        <is>
          <t>HI</t>
        </is>
      </c>
      <c r="H997" t="inlineStr"/>
      <c r="I997" t="inlineStr">
        <is>
          <t>Public</t>
        </is>
      </c>
      <c r="J997" t="inlineStr">
        <is>
          <t>1401+</t>
        </is>
      </c>
      <c r="K997" t="inlineStr"/>
      <c r="L997" t="inlineStr"/>
      <c r="M997" t="inlineStr"/>
      <c r="N997" t="inlineStr">
        <is>
          <t>-</t>
        </is>
      </c>
      <c r="O997" t="inlineStr"/>
      <c r="P997" t="n">
        <v>10.7</v>
      </c>
      <c r="Q997" t="inlineStr">
        <is>
          <t>701+</t>
        </is>
      </c>
      <c r="R997" t="n">
        <v>15.4</v>
      </c>
      <c r="S997" t="inlineStr">
        <is>
          <t>701+</t>
        </is>
      </c>
      <c r="T997" t="n">
        <v>7.4</v>
      </c>
      <c r="U997" t="inlineStr">
        <is>
          <t>801+</t>
        </is>
      </c>
      <c r="V997" t="n">
        <v>1.7</v>
      </c>
      <c r="W997" t="inlineStr">
        <is>
          <t>801+</t>
        </is>
      </c>
      <c r="X997" t="n">
        <v>10.4</v>
      </c>
      <c r="Y997" t="inlineStr">
        <is>
          <t>801+</t>
        </is>
      </c>
      <c r="Z997" t="n">
        <v>3.3</v>
      </c>
      <c r="AA997" t="inlineStr">
        <is>
          <t>801+</t>
        </is>
      </c>
      <c r="AB997" t="n">
        <v>7.4</v>
      </c>
      <c r="AC997" t="inlineStr">
        <is>
          <t>801+</t>
        </is>
      </c>
      <c r="AD997" t="n">
        <v>3.5</v>
      </c>
      <c r="AE997" t="inlineStr">
        <is>
          <t>801+</t>
        </is>
      </c>
      <c r="AF997" t="n">
        <v>9.4</v>
      </c>
      <c r="AG997" t="inlineStr">
        <is>
          <t>801+</t>
        </is>
      </c>
      <c r="AH997" t="n">
        <v>27.7</v>
      </c>
      <c r="AI997" t="inlineStr">
        <is>
          <t>801+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</row>
    <row r="998">
      <c r="A998" t="inlineStr">
        <is>
          <t>Taylor's University</t>
        </is>
      </c>
      <c r="B998" t="inlineStr">
        <is>
          <t>Malaysia</t>
        </is>
      </c>
      <c r="C998" t="inlineStr">
        <is>
          <t>MY</t>
        </is>
      </c>
      <c r="D998" t="inlineStr"/>
      <c r="E998" t="inlineStr">
        <is>
          <t>S</t>
        </is>
      </c>
      <c r="F998" t="inlineStr">
        <is>
          <t>FO</t>
        </is>
      </c>
      <c r="G998" t="inlineStr">
        <is>
          <t>VH</t>
        </is>
      </c>
      <c r="H998" t="inlineStr">
        <is>
          <t>2</t>
        </is>
      </c>
      <c r="I998" t="inlineStr">
        <is>
          <t>C</t>
        </is>
      </c>
      <c r="J998" t="inlineStr"/>
      <c r="K998" t="inlineStr"/>
      <c r="L998" t="inlineStr">
        <is>
          <t>284</t>
        </is>
      </c>
      <c r="M998" t="inlineStr">
        <is>
          <t>284=</t>
        </is>
      </c>
      <c r="N998" t="inlineStr"/>
      <c r="O998" t="inlineStr">
        <is>
          <t>36.2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24.0</t>
        </is>
      </c>
      <c r="AK998" t="inlineStr">
        <is>
          <t>358</t>
        </is>
      </c>
      <c r="AL998" t="inlineStr">
        <is>
          <t>82.8</t>
        </is>
      </c>
      <c r="AM998" t="inlineStr">
        <is>
          <t>67</t>
        </is>
      </c>
      <c r="AN998" t="inlineStr">
        <is>
          <t>63.3</t>
        </is>
      </c>
      <c r="AO998" t="inlineStr">
        <is>
          <t>225</t>
        </is>
      </c>
      <c r="AP998" t="inlineStr">
        <is>
          <t>8.5</t>
        </is>
      </c>
      <c r="AQ998" t="inlineStr">
        <is>
          <t>701+</t>
        </is>
      </c>
      <c r="AR998" t="inlineStr">
        <is>
          <t>54.1</t>
        </is>
      </c>
      <c r="AS998" t="inlineStr">
        <is>
          <t>342</t>
        </is>
      </c>
      <c r="AT998" t="inlineStr">
        <is>
          <t>98.8</t>
        </is>
      </c>
      <c r="AU998" t="inlineStr">
        <is>
          <t>55</t>
        </is>
      </c>
      <c r="AV998" t="inlineStr">
        <is>
          <t>3.8</t>
        </is>
      </c>
      <c r="AW998" t="inlineStr">
        <is>
          <t>701+</t>
        </is>
      </c>
      <c r="AX998" t="inlineStr">
        <is>
          <t>10.5</t>
        </is>
      </c>
      <c r="AY998" t="inlineStr">
        <is>
          <t>701+</t>
        </is>
      </c>
      <c r="AZ998" t="inlineStr">
        <is>
          <t>2.3</t>
        </is>
      </c>
      <c r="BA998" t="inlineStr">
        <is>
          <t>701+</t>
        </is>
      </c>
    </row>
    <row r="999">
      <c r="A999" t="inlineStr">
        <is>
          <t>Taylor's University (Malaysia)</t>
        </is>
      </c>
      <c r="B999" t="inlineStr">
        <is>
          <t>Malaysia</t>
        </is>
      </c>
      <c r="C999" t="inlineStr"/>
      <c r="D999" t="inlineStr">
        <is>
          <t>Asia</t>
        </is>
      </c>
      <c r="E999" t="inlineStr">
        <is>
          <t>M</t>
        </is>
      </c>
      <c r="F999" t="inlineStr">
        <is>
          <t>CO</t>
        </is>
      </c>
      <c r="G999" t="inlineStr">
        <is>
          <t>VH</t>
        </is>
      </c>
      <c r="H999" t="inlineStr"/>
      <c r="I999" t="inlineStr">
        <is>
          <t>Private for Profit</t>
        </is>
      </c>
      <c r="J999" t="inlineStr">
        <is>
          <t>253</t>
        </is>
      </c>
      <c r="K999" t="inlineStr">
        <is>
          <t>251</t>
        </is>
      </c>
      <c r="L999" t="inlineStr"/>
      <c r="M999" t="inlineStr"/>
      <c r="N999" t="inlineStr">
        <is>
          <t>50</t>
        </is>
      </c>
      <c r="O999" t="inlineStr"/>
      <c r="P999" t="n">
        <v>40.2</v>
      </c>
      <c r="Q999" t="inlineStr">
        <is>
          <t>298</t>
        </is>
      </c>
      <c r="R999" t="n">
        <v>85.2</v>
      </c>
      <c r="S999" t="inlineStr">
        <is>
          <t>92</t>
        </is>
      </c>
      <c r="T999" t="n">
        <v>69.7</v>
      </c>
      <c r="U999" t="inlineStr">
        <is>
          <t>233</t>
        </is>
      </c>
      <c r="V999" t="n">
        <v>21</v>
      </c>
      <c r="W999" t="inlineStr">
        <is>
          <t>696</t>
        </is>
      </c>
      <c r="X999" t="n">
        <v>73</v>
      </c>
      <c r="Y999" t="inlineStr">
        <is>
          <t>324</t>
        </is>
      </c>
      <c r="Z999" t="n">
        <v>100</v>
      </c>
      <c r="AA999" t="inlineStr">
        <is>
          <t>34</t>
        </is>
      </c>
      <c r="AB999" t="n">
        <v>100</v>
      </c>
      <c r="AC999" t="inlineStr">
        <is>
          <t>25</t>
        </is>
      </c>
      <c r="AD999" t="n">
        <v>53.5</v>
      </c>
      <c r="AE999" t="inlineStr">
        <is>
          <t>789</t>
        </is>
      </c>
      <c r="AF999" t="n">
        <v>5.2</v>
      </c>
      <c r="AG999" t="inlineStr">
        <is>
          <t>801+</t>
        </is>
      </c>
      <c r="AH999" t="n">
        <v>57.8</v>
      </c>
      <c r="AI999" t="inlineStr">
        <is>
          <t>546=</t>
        </is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</row>
    <row r="1000">
      <c r="A1000" t="inlineStr">
        <is>
          <t>Technical University of Cluj-Napoca</t>
        </is>
      </c>
      <c r="B1000" t="inlineStr">
        <is>
          <t>Romania</t>
        </is>
      </c>
      <c r="C1000" t="inlineStr">
        <is>
          <t>RO</t>
        </is>
      </c>
      <c r="D1000" t="inlineStr">
        <is>
          <t>Europe</t>
        </is>
      </c>
      <c r="E1000" t="inlineStr">
        <is>
          <t>L</t>
        </is>
      </c>
      <c r="F1000" t="inlineStr">
        <is>
          <t>SP</t>
        </is>
      </c>
      <c r="G1000" t="inlineStr">
        <is>
          <t>VH</t>
        </is>
      </c>
      <c r="H1000" t="inlineStr">
        <is>
          <t>5</t>
        </is>
      </c>
      <c r="I1000" t="inlineStr">
        <is>
          <t>Public</t>
        </is>
      </c>
      <c r="J1000" t="inlineStr">
        <is>
          <t>1201-1400</t>
        </is>
      </c>
      <c r="K1000" t="inlineStr">
        <is>
          <t>1201-1400</t>
        </is>
      </c>
      <c r="L1000" t="inlineStr">
        <is>
          <t>1201-1400</t>
        </is>
      </c>
      <c r="M1000" t="inlineStr">
        <is>
          <t>1201-1400</t>
        </is>
      </c>
      <c r="N1000" t="inlineStr">
        <is>
          <t>-</t>
        </is>
      </c>
      <c r="O1000" t="inlineStr">
        <is>
          <t>-</t>
        </is>
      </c>
      <c r="P1000" t="n">
        <v>5.8</v>
      </c>
      <c r="Q1000" t="inlineStr">
        <is>
          <t>701+</t>
        </is>
      </c>
      <c r="R1000" t="n">
        <v>10.7</v>
      </c>
      <c r="S1000" t="inlineStr">
        <is>
          <t>701+</t>
        </is>
      </c>
      <c r="T1000" t="n">
        <v>10.5</v>
      </c>
      <c r="U1000" t="inlineStr">
        <is>
          <t>801+</t>
        </is>
      </c>
      <c r="V1000" t="n">
        <v>8.199999999999999</v>
      </c>
      <c r="W1000" t="inlineStr">
        <is>
          <t>801+</t>
        </is>
      </c>
      <c r="X1000" t="n">
        <v>4</v>
      </c>
      <c r="Y1000" t="inlineStr">
        <is>
          <t>801+</t>
        </is>
      </c>
      <c r="Z1000" t="n">
        <v>5.6</v>
      </c>
      <c r="AA1000" t="inlineStr">
        <is>
          <t>801+</t>
        </is>
      </c>
      <c r="AB1000" t="n">
        <v>10.1</v>
      </c>
      <c r="AC1000" t="inlineStr">
        <is>
          <t>801+</t>
        </is>
      </c>
      <c r="AD1000" t="n">
        <v>46.5</v>
      </c>
      <c r="AE1000" t="inlineStr">
        <is>
          <t>801+</t>
        </is>
      </c>
      <c r="AF1000" t="n">
        <v>5.1</v>
      </c>
      <c r="AG1000" t="inlineStr">
        <is>
          <t>801+</t>
        </is>
      </c>
      <c r="AH1000" t="n">
        <v>42.1</v>
      </c>
      <c r="AI1000" t="inlineStr">
        <is>
          <t>801+</t>
        </is>
      </c>
      <c r="AJ1000" t="inlineStr">
        <is>
          <t>5.0</t>
        </is>
      </c>
      <c r="AK1000" t="inlineStr">
        <is>
          <t>601+</t>
        </is>
      </c>
      <c r="AL1000" t="inlineStr">
        <is>
          <t>4.8</t>
        </is>
      </c>
      <c r="AM1000" t="inlineStr">
        <is>
          <t>601+</t>
        </is>
      </c>
      <c r="AN1000" t="inlineStr">
        <is>
          <t>7.3</t>
        </is>
      </c>
      <c r="AO1000" t="inlineStr">
        <is>
          <t>701+</t>
        </is>
      </c>
      <c r="AP1000" t="inlineStr">
        <is>
          <t>3.7</t>
        </is>
      </c>
      <c r="AQ1000" t="inlineStr">
        <is>
          <t>701+</t>
        </is>
      </c>
      <c r="AR1000" t="inlineStr">
        <is>
          <t>1.7</t>
        </is>
      </c>
      <c r="AS1000" t="inlineStr">
        <is>
          <t>701+</t>
        </is>
      </c>
      <c r="AT1000" t="inlineStr">
        <is>
          <t>2.7</t>
        </is>
      </c>
      <c r="AU1000" t="inlineStr">
        <is>
          <t>701+</t>
        </is>
      </c>
      <c r="AV1000" t="inlineStr">
        <is>
          <t>2.8</t>
        </is>
      </c>
      <c r="AW1000" t="inlineStr">
        <is>
          <t>701+</t>
        </is>
      </c>
      <c r="AX1000" t="inlineStr">
        <is>
          <t>8</t>
        </is>
      </c>
      <c r="AY1000" t="inlineStr">
        <is>
          <t>701+</t>
        </is>
      </c>
      <c r="AZ1000" t="inlineStr">
        <is>
          <t>1.1</t>
        </is>
      </c>
      <c r="BA1000" t="inlineStr">
        <is>
          <t>701+</t>
        </is>
      </c>
    </row>
    <row r="1001">
      <c r="A1001" t="inlineStr">
        <is>
          <t>Technical University of Crete</t>
        </is>
      </c>
      <c r="B1001" t="inlineStr">
        <is>
          <t>Greece</t>
        </is>
      </c>
      <c r="C1001" t="inlineStr">
        <is>
          <t>GR</t>
        </is>
      </c>
      <c r="D1001" t="inlineStr"/>
      <c r="E1001" t="inlineStr"/>
      <c r="F1001" t="inlineStr">
        <is>
          <t>SP</t>
        </is>
      </c>
      <c r="G1001" t="inlineStr"/>
      <c r="H1001" t="inlineStr"/>
      <c r="I1001" t="inlineStr"/>
      <c r="J1001" t="inlineStr"/>
      <c r="K1001" t="inlineStr"/>
      <c r="L1001" t="inlineStr">
        <is>
          <t>1401+</t>
        </is>
      </c>
      <c r="M1001" t="inlineStr"/>
      <c r="N1001" t="inlineStr"/>
      <c r="O1001" t="inlineStr">
        <is>
          <t>-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>
        <is>
          <t>5.9</t>
        </is>
      </c>
      <c r="AK1001" t="inlineStr">
        <is>
          <t>601+</t>
        </is>
      </c>
      <c r="AL1001" t="inlineStr">
        <is>
          <t>5.4</t>
        </is>
      </c>
      <c r="AM1001" t="inlineStr">
        <is>
          <t>601+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2.6</t>
        </is>
      </c>
      <c r="AW1001" t="inlineStr">
        <is>
          <t>701+</t>
        </is>
      </c>
      <c r="AX1001" t="inlineStr"/>
      <c r="AY1001" t="inlineStr"/>
      <c r="AZ1001" t="inlineStr"/>
      <c r="BA1001" t="inlineStr"/>
    </row>
    <row r="1002">
      <c r="A1002" t="inlineStr">
        <is>
          <t>Technical University of Darmstadt</t>
        </is>
      </c>
      <c r="B1002" t="inlineStr">
        <is>
          <t>Germany</t>
        </is>
      </c>
      <c r="C1002" t="inlineStr">
        <is>
          <t>DE</t>
        </is>
      </c>
      <c r="D1002" t="inlineStr"/>
      <c r="E1002" t="inlineStr">
        <is>
          <t>L</t>
        </is>
      </c>
      <c r="F1002" t="inlineStr">
        <is>
          <t>FO</t>
        </is>
      </c>
      <c r="G1002" t="inlineStr">
        <is>
          <t>VH</t>
        </is>
      </c>
      <c r="H1002" t="inlineStr">
        <is>
          <t>5</t>
        </is>
      </c>
      <c r="I1002" t="inlineStr">
        <is>
          <t>A</t>
        </is>
      </c>
      <c r="J1002" t="inlineStr"/>
      <c r="K1002" t="inlineStr"/>
      <c r="L1002">
        <f>246</f>
        <v/>
      </c>
      <c r="M1002" t="inlineStr">
        <is>
          <t>275=</t>
        </is>
      </c>
      <c r="N1002" t="inlineStr"/>
      <c r="O1002" t="inlineStr">
        <is>
          <t>39.7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>
        <is>
          <t>21.0</t>
        </is>
      </c>
      <c r="AK1002" t="inlineStr">
        <is>
          <t>417</t>
        </is>
      </c>
      <c r="AL1002" t="inlineStr">
        <is>
          <t>37.5</t>
        </is>
      </c>
      <c r="AM1002" t="inlineStr">
        <is>
          <t>263</t>
        </is>
      </c>
      <c r="AN1002" t="inlineStr">
        <is>
          <t>6.2</t>
        </is>
      </c>
      <c r="AO1002" t="inlineStr">
        <is>
          <t>701+</t>
        </is>
      </c>
      <c r="AP1002" t="inlineStr">
        <is>
          <t>79.0</t>
        </is>
      </c>
      <c r="AQ1002" t="inlineStr">
        <is>
          <t>117</t>
        </is>
      </c>
      <c r="AR1002" t="inlineStr">
        <is>
          <t>62.6</t>
        </is>
      </c>
      <c r="AS1002" t="inlineStr">
        <is>
          <t>310</t>
        </is>
      </c>
      <c r="AT1002" t="inlineStr">
        <is>
          <t>74.6</t>
        </is>
      </c>
      <c r="AU1002" t="inlineStr">
        <is>
          <t>188</t>
        </is>
      </c>
      <c r="AV1002" t="inlineStr">
        <is>
          <t>32.5</t>
        </is>
      </c>
      <c r="AW1002" t="inlineStr">
        <is>
          <t>439</t>
        </is>
      </c>
      <c r="AX1002" t="inlineStr">
        <is>
          <t>33.5</t>
        </is>
      </c>
      <c r="AY1002" t="inlineStr">
        <is>
          <t>229</t>
        </is>
      </c>
      <c r="AZ1002" t="inlineStr">
        <is>
          <t>19.9</t>
        </is>
      </c>
      <c r="BA1002" t="inlineStr">
        <is>
          <t>545=</t>
        </is>
      </c>
    </row>
    <row r="1003">
      <c r="A1003" t="inlineStr">
        <is>
          <t>Technical University of Denmark</t>
        </is>
      </c>
      <c r="B1003" t="inlineStr">
        <is>
          <t>Denmark</t>
        </is>
      </c>
      <c r="C1003" t="inlineStr">
        <is>
          <t>DK</t>
        </is>
      </c>
      <c r="D1003" t="inlineStr">
        <is>
          <t>Europe</t>
        </is>
      </c>
      <c r="E1003" t="inlineStr">
        <is>
          <t>M</t>
        </is>
      </c>
      <c r="F1003" t="inlineStr">
        <is>
          <t>FO</t>
        </is>
      </c>
      <c r="G1003" t="inlineStr">
        <is>
          <t>VH</t>
        </is>
      </c>
      <c r="H1003" t="inlineStr">
        <is>
          <t>5</t>
        </is>
      </c>
      <c r="I1003" t="inlineStr">
        <is>
          <t>Public</t>
        </is>
      </c>
      <c r="J1003" t="inlineStr">
        <is>
          <t>107</t>
        </is>
      </c>
      <c r="K1003" t="inlineStr">
        <is>
          <t>109</t>
        </is>
      </c>
      <c r="L1003" t="inlineStr">
        <is>
          <t>121</t>
        </is>
      </c>
      <c r="M1003" t="inlineStr">
        <is>
          <t>104=</t>
        </is>
      </c>
      <c r="N1003" t="inlineStr">
        <is>
          <t>67.5</t>
        </is>
      </c>
      <c r="O1003" t="inlineStr">
        <is>
          <t>56.2</t>
        </is>
      </c>
      <c r="P1003" t="n">
        <v>44.8</v>
      </c>
      <c r="Q1003" t="inlineStr">
        <is>
          <t>264</t>
        </is>
      </c>
      <c r="R1003" t="n">
        <v>36.2</v>
      </c>
      <c r="S1003" t="inlineStr">
        <is>
          <t>396</t>
        </is>
      </c>
      <c r="T1003" t="n">
        <v>98.40000000000001</v>
      </c>
      <c r="U1003" t="inlineStr">
        <is>
          <t>49</t>
        </is>
      </c>
      <c r="V1003" t="n">
        <v>90.90000000000001</v>
      </c>
      <c r="W1003" t="inlineStr">
        <is>
          <t>99</t>
        </is>
      </c>
      <c r="X1003" t="n">
        <v>100</v>
      </c>
      <c r="Y1003" t="inlineStr">
        <is>
          <t>52</t>
        </is>
      </c>
      <c r="Z1003" t="n">
        <v>95.90000000000001</v>
      </c>
      <c r="AA1003" t="inlineStr">
        <is>
          <t>113</t>
        </is>
      </c>
      <c r="AB1003" t="n">
        <v>96.09999999999999</v>
      </c>
      <c r="AC1003" t="inlineStr">
        <is>
          <t>96</t>
        </is>
      </c>
      <c r="AD1003" t="n">
        <v>87.09999999999999</v>
      </c>
      <c r="AE1003" t="inlineStr">
        <is>
          <t>213</t>
        </is>
      </c>
      <c r="AF1003" t="n">
        <v>60.5</v>
      </c>
      <c r="AG1003" t="inlineStr">
        <is>
          <t>269</t>
        </is>
      </c>
      <c r="AH1003" t="n">
        <v>68</v>
      </c>
      <c r="AI1003" t="inlineStr">
        <is>
          <t>351=</t>
        </is>
      </c>
      <c r="AJ1003" t="inlineStr">
        <is>
          <t>32.5</t>
        </is>
      </c>
      <c r="AK1003" t="inlineStr">
        <is>
          <t>270</t>
        </is>
      </c>
      <c r="AL1003" t="inlineStr">
        <is>
          <t>16.3</t>
        </is>
      </c>
      <c r="AM1003" t="inlineStr">
        <is>
          <t>525</t>
        </is>
      </c>
      <c r="AN1003" t="inlineStr">
        <is>
          <t>99.8</t>
        </is>
      </c>
      <c r="AO1003" t="inlineStr">
        <is>
          <t>27</t>
        </is>
      </c>
      <c r="AP1003" t="inlineStr">
        <is>
          <t>83.4</t>
        </is>
      </c>
      <c r="AQ1003" t="inlineStr">
        <is>
          <t>99</t>
        </is>
      </c>
      <c r="AR1003" t="inlineStr">
        <is>
          <t>100.0</t>
        </is>
      </c>
      <c r="AS1003" t="inlineStr">
        <is>
          <t>53</t>
        </is>
      </c>
      <c r="AT1003" t="inlineStr">
        <is>
          <t>82.0</t>
        </is>
      </c>
      <c r="AU1003" t="inlineStr">
        <is>
          <t>153</t>
        </is>
      </c>
      <c r="AV1003" t="inlineStr">
        <is>
          <t>71.6</t>
        </is>
      </c>
      <c r="AW1003" t="inlineStr">
        <is>
          <t>189</t>
        </is>
      </c>
      <c r="AX1003" t="inlineStr">
        <is>
          <t>28.9</t>
        </is>
      </c>
      <c r="AY1003" t="inlineStr">
        <is>
          <t>275</t>
        </is>
      </c>
      <c r="AZ1003" t="inlineStr">
        <is>
          <t>54.9</t>
        </is>
      </c>
      <c r="BA1003" t="inlineStr">
        <is>
          <t>277=</t>
        </is>
      </c>
    </row>
    <row r="1004">
      <c r="A1004" t="inlineStr">
        <is>
          <t>Technical University of Kosice</t>
        </is>
      </c>
      <c r="B1004" t="inlineStr">
        <is>
          <t>Slovakia</t>
        </is>
      </c>
      <c r="C1004" t="inlineStr">
        <is>
          <t>SK</t>
        </is>
      </c>
      <c r="D1004" t="inlineStr">
        <is>
          <t>Europe</t>
        </is>
      </c>
      <c r="E1004" t="inlineStr">
        <is>
          <t>M</t>
        </is>
      </c>
      <c r="F1004" t="inlineStr">
        <is>
          <t>FO</t>
        </is>
      </c>
      <c r="G1004" t="inlineStr">
        <is>
          <t>VH</t>
        </is>
      </c>
      <c r="H1004" t="inlineStr">
        <is>
          <t>4</t>
        </is>
      </c>
      <c r="I1004" t="inlineStr">
        <is>
          <t>Public</t>
        </is>
      </c>
      <c r="J1004" t="inlineStr">
        <is>
          <t>1001-1200</t>
        </is>
      </c>
      <c r="K1004" t="inlineStr">
        <is>
          <t>1001-1200</t>
        </is>
      </c>
      <c r="L1004" t="inlineStr">
        <is>
          <t>1001-1200</t>
        </is>
      </c>
      <c r="M1004" t="inlineStr">
        <is>
          <t>801-1000</t>
        </is>
      </c>
      <c r="N1004" t="inlineStr">
        <is>
          <t>-</t>
        </is>
      </c>
      <c r="O1004" t="inlineStr">
        <is>
          <t>-</t>
        </is>
      </c>
      <c r="P1004" t="n">
        <v>8.199999999999999</v>
      </c>
      <c r="Q1004" t="inlineStr">
        <is>
          <t>701+</t>
        </is>
      </c>
      <c r="R1004" t="n">
        <v>13.8</v>
      </c>
      <c r="S1004" t="inlineStr">
        <is>
          <t>701+</t>
        </is>
      </c>
      <c r="T1004" t="n">
        <v>21.4</v>
      </c>
      <c r="U1004" t="inlineStr">
        <is>
          <t>801+</t>
        </is>
      </c>
      <c r="V1004" t="n">
        <v>10.3</v>
      </c>
      <c r="W1004" t="inlineStr">
        <is>
          <t>801+</t>
        </is>
      </c>
      <c r="X1004" t="n">
        <v>1.8</v>
      </c>
      <c r="Y1004" t="inlineStr">
        <is>
          <t>801+</t>
        </is>
      </c>
      <c r="Z1004" t="n">
        <v>89.59999999999999</v>
      </c>
      <c r="AA1004" t="inlineStr">
        <is>
          <t>169</t>
        </is>
      </c>
      <c r="AB1004" t="n">
        <v>66.7</v>
      </c>
      <c r="AC1004" t="inlineStr">
        <is>
          <t>291</t>
        </is>
      </c>
      <c r="AD1004" t="n">
        <v>40.5</v>
      </c>
      <c r="AE1004" t="inlineStr">
        <is>
          <t>801+</t>
        </is>
      </c>
      <c r="AF1004" t="n">
        <v>21.4</v>
      </c>
      <c r="AG1004" t="inlineStr">
        <is>
          <t>699</t>
        </is>
      </c>
      <c r="AH1004" t="n">
        <v>21.9</v>
      </c>
      <c r="AI1004" t="inlineStr">
        <is>
          <t>801+</t>
        </is>
      </c>
      <c r="AJ1004" t="inlineStr">
        <is>
          <t>7.5</t>
        </is>
      </c>
      <c r="AK1004" t="inlineStr">
        <is>
          <t>601+</t>
        </is>
      </c>
      <c r="AL1004" t="inlineStr">
        <is>
          <t>2.5</t>
        </is>
      </c>
      <c r="AM1004" t="inlineStr">
        <is>
          <t>601+</t>
        </is>
      </c>
      <c r="AN1004" t="inlineStr">
        <is>
          <t>22.8</t>
        </is>
      </c>
      <c r="AO1004" t="inlineStr">
        <is>
          <t>621</t>
        </is>
      </c>
      <c r="AP1004" t="inlineStr">
        <is>
          <t>5.2</t>
        </is>
      </c>
      <c r="AQ1004" t="inlineStr">
        <is>
          <t>701+</t>
        </is>
      </c>
      <c r="AR1004" t="inlineStr">
        <is>
          <t>1.5</t>
        </is>
      </c>
      <c r="AS1004" t="inlineStr">
        <is>
          <t>701+</t>
        </is>
      </c>
      <c r="AT1004" t="inlineStr">
        <is>
          <t>59.3</t>
        </is>
      </c>
      <c r="AU1004" t="inlineStr">
        <is>
          <t>251</t>
        </is>
      </c>
      <c r="AV1004" t="inlineStr">
        <is>
          <t>1.7</t>
        </is>
      </c>
      <c r="AW1004" t="inlineStr">
        <is>
          <t>701+</t>
        </is>
      </c>
      <c r="AX1004" t="inlineStr">
        <is>
          <t>12.8</t>
        </is>
      </c>
      <c r="AY1004" t="inlineStr">
        <is>
          <t>670</t>
        </is>
      </c>
      <c r="AZ1004" t="inlineStr">
        <is>
          <t>1.1</t>
        </is>
      </c>
      <c r="BA1004" t="inlineStr">
        <is>
          <t>701+</t>
        </is>
      </c>
    </row>
    <row r="1005">
      <c r="A1005" t="inlineStr">
        <is>
          <t>Technical University of Liberec</t>
        </is>
      </c>
      <c r="B1005" t="inlineStr">
        <is>
          <t>Czech Republic</t>
        </is>
      </c>
      <c r="C1005" t="inlineStr">
        <is>
          <t>CZ</t>
        </is>
      </c>
      <c r="D1005" t="inlineStr">
        <is>
          <t>Europe</t>
        </is>
      </c>
      <c r="E1005" t="inlineStr">
        <is>
          <t>M</t>
        </is>
      </c>
      <c r="F1005" t="inlineStr">
        <is>
          <t>CO</t>
        </is>
      </c>
      <c r="G1005" t="inlineStr">
        <is>
          <t>VH</t>
        </is>
      </c>
      <c r="H1005" t="inlineStr">
        <is>
          <t>4</t>
        </is>
      </c>
      <c r="I1005" t="inlineStr">
        <is>
          <t>Public</t>
        </is>
      </c>
      <c r="J1005" t="inlineStr">
        <is>
          <t>1201-1400</t>
        </is>
      </c>
      <c r="K1005" t="inlineStr">
        <is>
          <t>1201-1400</t>
        </is>
      </c>
      <c r="L1005" t="inlineStr">
        <is>
          <t>1001-1200</t>
        </is>
      </c>
      <c r="M1005" t="inlineStr">
        <is>
          <t>801-1000</t>
        </is>
      </c>
      <c r="N1005" t="inlineStr">
        <is>
          <t>-</t>
        </is>
      </c>
      <c r="O1005" t="inlineStr">
        <is>
          <t>-</t>
        </is>
      </c>
      <c r="P1005" t="n">
        <v>5.6</v>
      </c>
      <c r="Q1005" t="inlineStr">
        <is>
          <t>701+</t>
        </is>
      </c>
      <c r="R1005" t="n">
        <v>5</v>
      </c>
      <c r="S1005" t="inlineStr">
        <is>
          <t>701+</t>
        </is>
      </c>
      <c r="T1005" t="n">
        <v>43.9</v>
      </c>
      <c r="U1005" t="inlineStr">
        <is>
          <t>452</t>
        </is>
      </c>
      <c r="V1005" t="n">
        <v>9.300000000000001</v>
      </c>
      <c r="W1005" t="inlineStr">
        <is>
          <t>801+</t>
        </is>
      </c>
      <c r="X1005" t="n">
        <v>15.6</v>
      </c>
      <c r="Y1005" t="inlineStr">
        <is>
          <t>789</t>
        </is>
      </c>
      <c r="Z1005" t="n">
        <v>14.9</v>
      </c>
      <c r="AA1005" t="inlineStr">
        <is>
          <t>801+</t>
        </is>
      </c>
      <c r="AB1005" t="n">
        <v>18.7</v>
      </c>
      <c r="AC1005" t="inlineStr">
        <is>
          <t>785</t>
        </is>
      </c>
      <c r="AD1005" t="n">
        <v>28.5</v>
      </c>
      <c r="AE1005" t="inlineStr">
        <is>
          <t>801+</t>
        </is>
      </c>
      <c r="AF1005" t="n">
        <v>2.5</v>
      </c>
      <c r="AG1005" t="inlineStr">
        <is>
          <t>801+</t>
        </is>
      </c>
      <c r="AH1005" t="n">
        <v>15.7</v>
      </c>
      <c r="AI1005" t="inlineStr">
        <is>
          <t>801+</t>
        </is>
      </c>
      <c r="AJ1005" t="inlineStr">
        <is>
          <t>4.3</t>
        </is>
      </c>
      <c r="AK1005" t="inlineStr">
        <is>
          <t>601+</t>
        </is>
      </c>
      <c r="AL1005" t="inlineStr">
        <is>
          <t>3.2</t>
        </is>
      </c>
      <c r="AM1005" t="inlineStr">
        <is>
          <t>601+</t>
        </is>
      </c>
      <c r="AN1005" t="inlineStr">
        <is>
          <t>45.5</t>
        </is>
      </c>
      <c r="AO1005" t="inlineStr">
        <is>
          <t>346</t>
        </is>
      </c>
      <c r="AP1005" t="inlineStr">
        <is>
          <t>4.3</t>
        </is>
      </c>
      <c r="AQ1005" t="inlineStr">
        <is>
          <t>701+</t>
        </is>
      </c>
      <c r="AR1005" t="inlineStr">
        <is>
          <t>16.4</t>
        </is>
      </c>
      <c r="AS1005" t="inlineStr">
        <is>
          <t>647</t>
        </is>
      </c>
      <c r="AT1005" t="inlineStr">
        <is>
          <t>10.1</t>
        </is>
      </c>
      <c r="AU1005" t="inlineStr">
        <is>
          <t>701+</t>
        </is>
      </c>
      <c r="AV1005" t="inlineStr">
        <is>
          <t>1.6</t>
        </is>
      </c>
      <c r="AW1005" t="inlineStr">
        <is>
          <t>701+</t>
        </is>
      </c>
      <c r="AX1005" t="inlineStr">
        <is>
          <t>7.8</t>
        </is>
      </c>
      <c r="AY1005" t="inlineStr">
        <is>
          <t>701+</t>
        </is>
      </c>
      <c r="AZ1005" t="inlineStr">
        <is>
          <t>1</t>
        </is>
      </c>
      <c r="BA1005" t="inlineStr">
        <is>
          <t>701+</t>
        </is>
      </c>
    </row>
    <row r="1006">
      <c r="A1006" t="inlineStr">
        <is>
          <t>Technical University of Lublin</t>
        </is>
      </c>
      <c r="B1006" t="inlineStr">
        <is>
          <t>Poland</t>
        </is>
      </c>
      <c r="C1006" t="inlineStr">
        <is>
          <t>PL</t>
        </is>
      </c>
      <c r="D1006" t="inlineStr"/>
      <c r="E1006" t="inlineStr">
        <is>
          <t>M</t>
        </is>
      </c>
      <c r="F1006" t="inlineStr">
        <is>
          <t>FO</t>
        </is>
      </c>
      <c r="G1006" t="inlineStr">
        <is>
          <t>VH</t>
        </is>
      </c>
      <c r="H1006" t="inlineStr">
        <is>
          <t>2</t>
        </is>
      </c>
      <c r="I1006" t="inlineStr">
        <is>
          <t>A</t>
        </is>
      </c>
      <c r="J1006" t="inlineStr"/>
      <c r="K1006" t="inlineStr"/>
      <c r="L1006" t="inlineStr">
        <is>
          <t>1201-1400</t>
        </is>
      </c>
      <c r="M1006" t="inlineStr">
        <is>
          <t>1001-1200</t>
        </is>
      </c>
      <c r="N1006" t="inlineStr"/>
      <c r="O1006" t="inlineStr">
        <is>
          <t>-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>
        <is>
          <t>5.7</t>
        </is>
      </c>
      <c r="AK1006" t="inlineStr">
        <is>
          <t>601+</t>
        </is>
      </c>
      <c r="AL1006" t="inlineStr">
        <is>
          <t>1.9</t>
        </is>
      </c>
      <c r="AM1006" t="inlineStr">
        <is>
          <t>601+</t>
        </is>
      </c>
      <c r="AN1006" t="inlineStr">
        <is>
          <t>23.8</t>
        </is>
      </c>
      <c r="AO1006" t="inlineStr">
        <is>
          <t>596</t>
        </is>
      </c>
      <c r="AP1006" t="inlineStr">
        <is>
          <t>2.7</t>
        </is>
      </c>
      <c r="AQ1006" t="inlineStr">
        <is>
          <t>701+</t>
        </is>
      </c>
      <c r="AR1006" t="inlineStr"/>
      <c r="AS1006" t="inlineStr"/>
      <c r="AT1006" t="inlineStr">
        <is>
          <t>11.3</t>
        </is>
      </c>
      <c r="AU1006" t="inlineStr">
        <is>
          <t>686</t>
        </is>
      </c>
      <c r="AV1006" t="inlineStr">
        <is>
          <t>1.0</t>
        </is>
      </c>
      <c r="AW1006" t="inlineStr">
        <is>
          <t>701+</t>
        </is>
      </c>
      <c r="AX1006" t="inlineStr">
        <is>
          <t>6.2</t>
        </is>
      </c>
      <c r="AY1006" t="inlineStr">
        <is>
          <t>701+</t>
        </is>
      </c>
      <c r="AZ1006" t="inlineStr">
        <is>
          <t>1</t>
        </is>
      </c>
      <c r="BA1006" t="inlineStr">
        <is>
          <t>701+</t>
        </is>
      </c>
    </row>
    <row r="1007">
      <c r="A1007" t="inlineStr">
        <is>
          <t>Technical University of Munich</t>
        </is>
      </c>
      <c r="B1007" t="inlineStr">
        <is>
          <t>Germany</t>
        </is>
      </c>
      <c r="C1007" t="inlineStr">
        <is>
          <t>DE</t>
        </is>
      </c>
      <c r="D1007" t="inlineStr">
        <is>
          <t>Europe</t>
        </is>
      </c>
      <c r="E1007" t="inlineStr">
        <is>
          <t>XL</t>
        </is>
      </c>
      <c r="F1007" t="inlineStr">
        <is>
          <t>FO</t>
        </is>
      </c>
      <c r="G1007" t="inlineStr">
        <is>
          <t>VH</t>
        </is>
      </c>
      <c r="H1007" t="inlineStr">
        <is>
          <t>5</t>
        </is>
      </c>
      <c r="I1007" t="inlineStr">
        <is>
          <t>Public</t>
        </is>
      </c>
      <c r="J1007" t="inlineStr">
        <is>
          <t>22</t>
        </is>
      </c>
      <c r="K1007" t="inlineStr">
        <is>
          <t>28</t>
        </is>
      </c>
      <c r="L1007" t="inlineStr">
        <is>
          <t>37</t>
        </is>
      </c>
      <c r="M1007" t="inlineStr">
        <is>
          <t>49</t>
        </is>
      </c>
      <c r="N1007" t="inlineStr">
        <is>
          <t>90.2</t>
        </is>
      </c>
      <c r="O1007" t="inlineStr">
        <is>
          <t>80.0</t>
        </is>
      </c>
      <c r="P1007" t="n">
        <v>92</v>
      </c>
      <c r="Q1007" t="inlineStr">
        <is>
          <t>60</t>
        </is>
      </c>
      <c r="R1007" t="n">
        <v>99.7</v>
      </c>
      <c r="S1007" t="inlineStr">
        <is>
          <t>16</t>
        </is>
      </c>
      <c r="T1007" t="n">
        <v>70.5</v>
      </c>
      <c r="U1007" t="inlineStr">
        <is>
          <t>223</t>
        </is>
      </c>
      <c r="V1007" t="n">
        <v>92.59999999999999</v>
      </c>
      <c r="W1007" t="inlineStr">
        <is>
          <t>90</t>
        </is>
      </c>
      <c r="X1007" t="n">
        <v>86.3</v>
      </c>
      <c r="Y1007" t="inlineStr">
        <is>
          <t>252</t>
        </is>
      </c>
      <c r="Z1007" t="n">
        <v>98.90000000000001</v>
      </c>
      <c r="AA1007" t="inlineStr">
        <is>
          <t>72</t>
        </is>
      </c>
      <c r="AB1007" t="n">
        <v>98.90000000000001</v>
      </c>
      <c r="AC1007" t="inlineStr">
        <is>
          <t>63</t>
        </is>
      </c>
      <c r="AD1007" t="n">
        <v>95.90000000000001</v>
      </c>
      <c r="AE1007" t="inlineStr">
        <is>
          <t>63</t>
        </is>
      </c>
      <c r="AF1007" t="n">
        <v>57.3</v>
      </c>
      <c r="AG1007" t="inlineStr">
        <is>
          <t>293</t>
        </is>
      </c>
      <c r="AH1007" t="n">
        <v>87.8</v>
      </c>
      <c r="AI1007" t="inlineStr">
        <is>
          <t>83=</t>
        </is>
      </c>
      <c r="AJ1007" t="inlineStr">
        <is>
          <t>83.9</t>
        </is>
      </c>
      <c r="AK1007" t="inlineStr">
        <is>
          <t>59</t>
        </is>
      </c>
      <c r="AL1007" t="inlineStr">
        <is>
          <t>98.2</t>
        </is>
      </c>
      <c r="AM1007" t="inlineStr">
        <is>
          <t>19</t>
        </is>
      </c>
      <c r="AN1007" t="inlineStr">
        <is>
          <t>88.8</t>
        </is>
      </c>
      <c r="AO1007" t="inlineStr">
        <is>
          <t>89</t>
        </is>
      </c>
      <c r="AP1007" t="inlineStr">
        <is>
          <t>59.6</t>
        </is>
      </c>
      <c r="AQ1007" t="inlineStr">
        <is>
          <t>210</t>
        </is>
      </c>
      <c r="AR1007" t="inlineStr">
        <is>
          <t>76.5</t>
        </is>
      </c>
      <c r="AS1007" t="inlineStr">
        <is>
          <t>243</t>
        </is>
      </c>
      <c r="AT1007" t="inlineStr">
        <is>
          <t>97.3</t>
        </is>
      </c>
      <c r="AU1007" t="inlineStr">
        <is>
          <t>71</t>
        </is>
      </c>
      <c r="AV1007" t="inlineStr">
        <is>
          <t>86.7</t>
        </is>
      </c>
      <c r="AW1007" t="inlineStr">
        <is>
          <t>103</t>
        </is>
      </c>
      <c r="AX1007" t="inlineStr">
        <is>
          <t>25</t>
        </is>
      </c>
      <c r="AY1007" t="inlineStr">
        <is>
          <t>330</t>
        </is>
      </c>
      <c r="AZ1007" t="inlineStr">
        <is>
          <t>84.8</t>
        </is>
      </c>
      <c r="BA1007" t="inlineStr">
        <is>
          <t>120=</t>
        </is>
      </c>
    </row>
    <row r="1008">
      <c r="A1008" t="inlineStr">
        <is>
          <t>Technical University of Ostrava</t>
        </is>
      </c>
      <c r="B1008" t="inlineStr">
        <is>
          <t>Czech Republic</t>
        </is>
      </c>
      <c r="C1008" t="inlineStr"/>
      <c r="D1008" t="inlineStr">
        <is>
          <t>Europe</t>
        </is>
      </c>
      <c r="E1008" t="inlineStr">
        <is>
          <t>M</t>
        </is>
      </c>
      <c r="F1008" t="inlineStr">
        <is>
          <t>FO</t>
        </is>
      </c>
      <c r="G1008" t="inlineStr">
        <is>
          <t>VH</t>
        </is>
      </c>
      <c r="H1008" t="inlineStr"/>
      <c r="I1008" t="inlineStr">
        <is>
          <t>Public</t>
        </is>
      </c>
      <c r="J1008" t="inlineStr">
        <is>
          <t>1001-1200</t>
        </is>
      </c>
      <c r="K1008" t="inlineStr">
        <is>
          <t>1001-1200</t>
        </is>
      </c>
      <c r="L1008" t="inlineStr"/>
      <c r="M1008" t="inlineStr"/>
      <c r="N1008" t="inlineStr">
        <is>
          <t>-</t>
        </is>
      </c>
      <c r="O1008" t="inlineStr"/>
      <c r="P1008" t="n">
        <v>7.7</v>
      </c>
      <c r="Q1008" t="inlineStr">
        <is>
          <t>701+</t>
        </is>
      </c>
      <c r="R1008" t="n">
        <v>21.5</v>
      </c>
      <c r="S1008" t="inlineStr">
        <is>
          <t>614</t>
        </is>
      </c>
      <c r="T1008" t="n">
        <v>28.9</v>
      </c>
      <c r="U1008" t="inlineStr">
        <is>
          <t>653</t>
        </is>
      </c>
      <c r="V1008" t="n">
        <v>10.3</v>
      </c>
      <c r="W1008" t="inlineStr">
        <is>
          <t>801+</t>
        </is>
      </c>
      <c r="X1008" t="n">
        <v>15.2</v>
      </c>
      <c r="Y1008" t="inlineStr">
        <is>
          <t>801+</t>
        </is>
      </c>
      <c r="Z1008" t="n">
        <v>41.1</v>
      </c>
      <c r="AA1008" t="inlineStr">
        <is>
          <t>482</t>
        </is>
      </c>
      <c r="AB1008" t="n">
        <v>45.1</v>
      </c>
      <c r="AC1008" t="inlineStr">
        <is>
          <t>463</t>
        </is>
      </c>
      <c r="AD1008" t="n">
        <v>56.9</v>
      </c>
      <c r="AE1008" t="inlineStr">
        <is>
          <t>738</t>
        </is>
      </c>
      <c r="AF1008" t="n">
        <v>5</v>
      </c>
      <c r="AG1008" t="inlineStr">
        <is>
          <t>801+</t>
        </is>
      </c>
      <c r="AH1008" t="n">
        <v>46.5</v>
      </c>
      <c r="AI1008" t="inlineStr">
        <is>
          <t>801+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</row>
    <row r="1009">
      <c r="A1009" t="inlineStr">
        <is>
          <t>Technion - Israel Institute of Technology</t>
        </is>
      </c>
      <c r="B1009" t="inlineStr">
        <is>
          <t>Israel</t>
        </is>
      </c>
      <c r="C1009" t="inlineStr">
        <is>
          <t>IL</t>
        </is>
      </c>
      <c r="D1009" t="inlineStr">
        <is>
          <t>Asia</t>
        </is>
      </c>
      <c r="E1009" t="inlineStr">
        <is>
          <t>L</t>
        </is>
      </c>
      <c r="F1009" t="inlineStr">
        <is>
          <t>FO</t>
        </is>
      </c>
      <c r="G1009" t="inlineStr">
        <is>
          <t>VH</t>
        </is>
      </c>
      <c r="H1009" t="inlineStr">
        <is>
          <t>5</t>
        </is>
      </c>
      <c r="I1009" t="inlineStr">
        <is>
          <t>Public</t>
        </is>
      </c>
      <c r="J1009" t="inlineStr">
        <is>
          <t>350</t>
        </is>
      </c>
      <c r="K1009" t="inlineStr">
        <is>
          <t>416</t>
        </is>
      </c>
      <c r="L1009">
        <f>392</f>
        <v/>
      </c>
      <c r="M1009" t="inlineStr">
        <is>
          <t>408=</t>
        </is>
      </c>
      <c r="N1009" t="inlineStr">
        <is>
          <t>41.5</t>
        </is>
      </c>
      <c r="O1009" t="inlineStr">
        <is>
          <t>28.2</t>
        </is>
      </c>
      <c r="P1009" t="n">
        <v>32.2</v>
      </c>
      <c r="Q1009" t="inlineStr">
        <is>
          <t>384</t>
        </is>
      </c>
      <c r="R1009" t="n">
        <v>35.6</v>
      </c>
      <c r="S1009" t="inlineStr">
        <is>
          <t>404</t>
        </is>
      </c>
      <c r="T1009" t="n">
        <v>67.3</v>
      </c>
      <c r="U1009" t="inlineStr">
        <is>
          <t>252</t>
        </is>
      </c>
      <c r="V1009" t="n">
        <v>33.3</v>
      </c>
      <c r="W1009" t="inlineStr">
        <is>
          <t>546</t>
        </is>
      </c>
      <c r="X1009" t="n">
        <v>91.09999999999999</v>
      </c>
      <c r="Y1009" t="inlineStr">
        <is>
          <t>217</t>
        </is>
      </c>
      <c r="Z1009" t="n">
        <v>10.6</v>
      </c>
      <c r="AA1009" t="inlineStr">
        <is>
          <t>801+</t>
        </is>
      </c>
      <c r="AB1009" t="n">
        <v>8.1</v>
      </c>
      <c r="AC1009" t="inlineStr">
        <is>
          <t>801+</t>
        </is>
      </c>
      <c r="AD1009" t="n">
        <v>57.5</v>
      </c>
      <c r="AE1009" t="inlineStr">
        <is>
          <t>725</t>
        </is>
      </c>
      <c r="AF1009" t="n">
        <v>65.90000000000001</v>
      </c>
      <c r="AG1009" t="inlineStr">
        <is>
          <t>237</t>
        </is>
      </c>
      <c r="AH1009" t="n">
        <v>53.2</v>
      </c>
      <c r="AI1009" t="inlineStr">
        <is>
          <t>641=</t>
        </is>
      </c>
      <c r="AJ1009" t="inlineStr">
        <is>
          <t>25.4</t>
        </is>
      </c>
      <c r="AK1009" t="inlineStr">
        <is>
          <t>345</t>
        </is>
      </c>
      <c r="AL1009" t="inlineStr">
        <is>
          <t>27.8</t>
        </is>
      </c>
      <c r="AM1009" t="inlineStr">
        <is>
          <t>347</t>
        </is>
      </c>
      <c r="AN1009" t="inlineStr">
        <is>
          <t>43.9</t>
        </is>
      </c>
      <c r="AO1009" t="inlineStr">
        <is>
          <t>358</t>
        </is>
      </c>
      <c r="AP1009" t="inlineStr">
        <is>
          <t>25.4</t>
        </is>
      </c>
      <c r="AQ1009" t="inlineStr">
        <is>
          <t>479</t>
        </is>
      </c>
      <c r="AR1009" t="inlineStr">
        <is>
          <t>64.8</t>
        </is>
      </c>
      <c r="AS1009" t="inlineStr">
        <is>
          <t>296</t>
        </is>
      </c>
      <c r="AT1009" t="inlineStr">
        <is>
          <t>4.6</t>
        </is>
      </c>
      <c r="AU1009" t="inlineStr">
        <is>
          <t>701+</t>
        </is>
      </c>
      <c r="AV1009" t="inlineStr">
        <is>
          <t>12.8</t>
        </is>
      </c>
      <c r="AW1009" t="inlineStr">
        <is>
          <t>628</t>
        </is>
      </c>
      <c r="AX1009" t="inlineStr">
        <is>
          <t>30.7</t>
        </is>
      </c>
      <c r="AY1009" t="inlineStr">
        <is>
          <t>250</t>
        </is>
      </c>
      <c r="AZ1009" t="inlineStr">
        <is>
          <t>26.1</t>
        </is>
      </c>
      <c r="BA1009" t="inlineStr">
        <is>
          <t>485=</t>
        </is>
      </c>
    </row>
    <row r="1010">
      <c r="A1010" t="inlineStr">
        <is>
          <t>Technische Universität Bergakademie Freiberg</t>
        </is>
      </c>
      <c r="B1010" t="inlineStr">
        <is>
          <t>Germany</t>
        </is>
      </c>
      <c r="C1010" t="inlineStr">
        <is>
          <t>DE</t>
        </is>
      </c>
      <c r="D1010" t="inlineStr">
        <is>
          <t>Europe</t>
        </is>
      </c>
      <c r="E1010" t="inlineStr">
        <is>
          <t>S</t>
        </is>
      </c>
      <c r="F1010" t="inlineStr">
        <is>
          <t>FO</t>
        </is>
      </c>
      <c r="G1010" t="inlineStr">
        <is>
          <t>VH</t>
        </is>
      </c>
      <c r="H1010" t="inlineStr"/>
      <c r="I1010" t="inlineStr"/>
      <c r="J1010" t="inlineStr">
        <is>
          <t>487</t>
        </is>
      </c>
      <c r="K1010" t="inlineStr">
        <is>
          <t>380</t>
        </is>
      </c>
      <c r="L1010" t="inlineStr">
        <is>
          <t>1401+</t>
        </is>
      </c>
      <c r="M1010" t="inlineStr"/>
      <c r="N1010" t="inlineStr">
        <is>
          <t>32.8</t>
        </is>
      </c>
      <c r="O1010" t="inlineStr">
        <is>
          <t>-</t>
        </is>
      </c>
      <c r="P1010" t="n">
        <v>7.4</v>
      </c>
      <c r="Q1010" t="inlineStr">
        <is>
          <t>701+</t>
        </is>
      </c>
      <c r="R1010" t="n">
        <v>6.4</v>
      </c>
      <c r="S1010" t="inlineStr">
        <is>
          <t>701+</t>
        </is>
      </c>
      <c r="T1010" t="n">
        <v>10.1</v>
      </c>
      <c r="U1010" t="inlineStr">
        <is>
          <t>801+</t>
        </is>
      </c>
      <c r="V1010" t="n">
        <v>90.90000000000001</v>
      </c>
      <c r="W1010" t="inlineStr">
        <is>
          <t>101</t>
        </is>
      </c>
      <c r="X1010" t="n">
        <v>59.7</v>
      </c>
      <c r="Y1010" t="inlineStr">
        <is>
          <t>392</t>
        </is>
      </c>
      <c r="Z1010" t="n">
        <v>100</v>
      </c>
      <c r="AA1010" t="inlineStr">
        <is>
          <t>25</t>
        </is>
      </c>
      <c r="AB1010" t="n">
        <v>100</v>
      </c>
      <c r="AC1010" t="inlineStr">
        <is>
          <t>16</t>
        </is>
      </c>
      <c r="AD1010" t="n">
        <v>35.1</v>
      </c>
      <c r="AE1010" t="inlineStr">
        <is>
          <t>801+</t>
        </is>
      </c>
      <c r="AF1010" t="n">
        <v>1.4</v>
      </c>
      <c r="AG1010" t="inlineStr">
        <is>
          <t>801+</t>
        </is>
      </c>
      <c r="AH1010" t="n">
        <v>32.9</v>
      </c>
      <c r="AI1010" t="inlineStr">
        <is>
          <t>801+</t>
        </is>
      </c>
      <c r="AJ1010" t="inlineStr">
        <is>
          <t>5.5</t>
        </is>
      </c>
      <c r="AK1010" t="inlineStr">
        <is>
          <t>601+</t>
        </is>
      </c>
      <c r="AL1010" t="inlineStr">
        <is>
          <t>4.6</t>
        </is>
      </c>
      <c r="AM1010" t="inlineStr">
        <is>
          <t>601+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>
        <is>
          <t>4.9</t>
        </is>
      </c>
      <c r="AW1010" t="inlineStr">
        <is>
          <t>701+</t>
        </is>
      </c>
      <c r="AX1010" t="inlineStr"/>
      <c r="AY1010" t="inlineStr"/>
      <c r="AZ1010" t="inlineStr"/>
      <c r="BA1010" t="inlineStr"/>
    </row>
    <row r="1011">
      <c r="A1011" t="inlineStr">
        <is>
          <t>Technische Universität Berlin</t>
        </is>
      </c>
      <c r="B1011" t="inlineStr">
        <is>
          <t>Germany</t>
        </is>
      </c>
      <c r="C1011" t="inlineStr"/>
      <c r="D1011" t="inlineStr">
        <is>
          <t>Europe</t>
        </is>
      </c>
      <c r="E1011" t="inlineStr">
        <is>
          <t>L</t>
        </is>
      </c>
      <c r="F1011" t="inlineStr">
        <is>
          <t>CO</t>
        </is>
      </c>
      <c r="G1011" t="inlineStr">
        <is>
          <t>VH</t>
        </is>
      </c>
      <c r="H1011" t="inlineStr"/>
      <c r="I1011" t="inlineStr">
        <is>
          <t>Public</t>
        </is>
      </c>
      <c r="J1011" t="inlineStr">
        <is>
          <t>145</t>
        </is>
      </c>
      <c r="K1011" t="inlineStr">
        <is>
          <t>147</t>
        </is>
      </c>
      <c r="L1011" t="inlineStr"/>
      <c r="M1011" t="inlineStr"/>
      <c r="N1011" t="inlineStr">
        <is>
          <t>62.8</t>
        </is>
      </c>
      <c r="O1011" t="inlineStr"/>
      <c r="P1011" t="n">
        <v>64.59999999999999</v>
      </c>
      <c r="Q1011" t="inlineStr">
        <is>
          <t>156</t>
        </is>
      </c>
      <c r="R1011" t="n">
        <v>79.40000000000001</v>
      </c>
      <c r="S1011" t="inlineStr">
        <is>
          <t>107</t>
        </is>
      </c>
      <c r="T1011" t="n">
        <v>70.59999999999999</v>
      </c>
      <c r="U1011" t="inlineStr">
        <is>
          <t>221</t>
        </is>
      </c>
      <c r="V1011" t="n">
        <v>34.3</v>
      </c>
      <c r="W1011" t="inlineStr">
        <is>
          <t>533</t>
        </is>
      </c>
      <c r="X1011" t="n">
        <v>64.2</v>
      </c>
      <c r="Y1011" t="inlineStr">
        <is>
          <t>361</t>
        </is>
      </c>
      <c r="Z1011" t="n">
        <v>84.5</v>
      </c>
      <c r="AA1011" t="inlineStr">
        <is>
          <t>197</t>
        </is>
      </c>
      <c r="AB1011" t="n">
        <v>85.90000000000001</v>
      </c>
      <c r="AC1011" t="inlineStr">
        <is>
          <t>168</t>
        </is>
      </c>
      <c r="AD1011" t="n">
        <v>89</v>
      </c>
      <c r="AE1011" t="inlineStr">
        <is>
          <t>187</t>
        </is>
      </c>
      <c r="AF1011" t="n">
        <v>47.6</v>
      </c>
      <c r="AG1011" t="inlineStr">
        <is>
          <t>367</t>
        </is>
      </c>
      <c r="AH1011" t="n">
        <v>68.3</v>
      </c>
      <c r="AI1011" t="inlineStr">
        <is>
          <t>344=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</row>
    <row r="1012">
      <c r="A1012" t="inlineStr">
        <is>
          <t>Technische Universität Berlin (TU Berlin)</t>
        </is>
      </c>
      <c r="B1012" t="inlineStr">
        <is>
          <t>Germany</t>
        </is>
      </c>
      <c r="C1012" t="inlineStr">
        <is>
          <t>DE</t>
        </is>
      </c>
      <c r="D1012" t="inlineStr"/>
      <c r="E1012" t="inlineStr">
        <is>
          <t>L</t>
        </is>
      </c>
      <c r="F1012" t="inlineStr">
        <is>
          <t>CO</t>
        </is>
      </c>
      <c r="G1012" t="inlineStr">
        <is>
          <t>VH</t>
        </is>
      </c>
      <c r="H1012" t="inlineStr">
        <is>
          <t>5</t>
        </is>
      </c>
      <c r="I1012" t="inlineStr">
        <is>
          <t>A</t>
        </is>
      </c>
      <c r="J1012" t="inlineStr"/>
      <c r="K1012" t="inlineStr"/>
      <c r="L1012">
        <f>154</f>
        <v/>
      </c>
      <c r="M1012" t="inlineStr">
        <is>
          <t>158</t>
        </is>
      </c>
      <c r="N1012" t="inlineStr"/>
      <c r="O1012" t="inlineStr">
        <is>
          <t>50.5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>
        <is>
          <t>56.2</t>
        </is>
      </c>
      <c r="AK1012" t="inlineStr">
        <is>
          <t>137</t>
        </is>
      </c>
      <c r="AL1012" t="inlineStr">
        <is>
          <t>69.3</t>
        </is>
      </c>
      <c r="AM1012" t="inlineStr">
        <is>
          <t>107</t>
        </is>
      </c>
      <c r="AN1012" t="inlineStr">
        <is>
          <t>53.0</t>
        </is>
      </c>
      <c r="AO1012" t="inlineStr">
        <is>
          <t>296</t>
        </is>
      </c>
      <c r="AP1012" t="inlineStr">
        <is>
          <t>24.9</t>
        </is>
      </c>
      <c r="AQ1012" t="inlineStr">
        <is>
          <t>492</t>
        </is>
      </c>
      <c r="AR1012" t="inlineStr">
        <is>
          <t>51.3</t>
        </is>
      </c>
      <c r="AS1012" t="inlineStr">
        <is>
          <t>351</t>
        </is>
      </c>
      <c r="AT1012" t="inlineStr">
        <is>
          <t>68.8</t>
        </is>
      </c>
      <c r="AU1012" t="inlineStr">
        <is>
          <t>214</t>
        </is>
      </c>
      <c r="AV1012" t="inlineStr">
        <is>
          <t>55.0</t>
        </is>
      </c>
      <c r="AW1012" t="inlineStr">
        <is>
          <t>284</t>
        </is>
      </c>
      <c r="AX1012" t="inlineStr">
        <is>
          <t>25.4</t>
        </is>
      </c>
      <c r="AY1012" t="inlineStr">
        <is>
          <t>327</t>
        </is>
      </c>
      <c r="AZ1012" t="inlineStr">
        <is>
          <t>52.1</t>
        </is>
      </c>
      <c r="BA1012" t="inlineStr">
        <is>
          <t>294</t>
        </is>
      </c>
    </row>
    <row r="1013">
      <c r="A1013" t="inlineStr">
        <is>
          <t>Technische Universität Braunschweig</t>
        </is>
      </c>
      <c r="B1013" t="inlineStr">
        <is>
          <t>Germany</t>
        </is>
      </c>
      <c r="C1013" t="inlineStr">
        <is>
          <t>DE</t>
        </is>
      </c>
      <c r="D1013" t="inlineStr">
        <is>
          <t>Europe</t>
        </is>
      </c>
      <c r="E1013" t="inlineStr">
        <is>
          <t>L</t>
        </is>
      </c>
      <c r="F1013" t="inlineStr">
        <is>
          <t>CO</t>
        </is>
      </c>
      <c r="G1013" t="inlineStr">
        <is>
          <t>VH</t>
        </is>
      </c>
      <c r="H1013" t="inlineStr">
        <is>
          <t>5</t>
        </is>
      </c>
      <c r="I1013" t="inlineStr">
        <is>
          <t>Public</t>
        </is>
      </c>
      <c r="J1013" t="inlineStr">
        <is>
          <t>711-720</t>
        </is>
      </c>
      <c r="K1013" t="inlineStr">
        <is>
          <t>751-760</t>
        </is>
      </c>
      <c r="L1013" t="inlineStr">
        <is>
          <t>751-760</t>
        </is>
      </c>
      <c r="M1013" t="inlineStr">
        <is>
          <t>601-650</t>
        </is>
      </c>
      <c r="N1013" t="inlineStr">
        <is>
          <t>-</t>
        </is>
      </c>
      <c r="O1013" t="inlineStr">
        <is>
          <t>-</t>
        </is>
      </c>
      <c r="P1013" t="n">
        <v>14.4</v>
      </c>
      <c r="Q1013" t="inlineStr">
        <is>
          <t>701+</t>
        </is>
      </c>
      <c r="R1013" t="n">
        <v>21.9</v>
      </c>
      <c r="S1013" t="inlineStr">
        <is>
          <t>604</t>
        </is>
      </c>
      <c r="T1013" t="n">
        <v>69.90000000000001</v>
      </c>
      <c r="U1013" t="inlineStr">
        <is>
          <t>232</t>
        </is>
      </c>
      <c r="V1013" t="n">
        <v>9.699999999999999</v>
      </c>
      <c r="W1013" t="inlineStr">
        <is>
          <t>801+</t>
        </is>
      </c>
      <c r="X1013" t="inlineStr"/>
      <c r="Y1013" t="inlineStr"/>
      <c r="Z1013" t="n">
        <v>50.9</v>
      </c>
      <c r="AA1013" t="inlineStr">
        <is>
          <t>405</t>
        </is>
      </c>
      <c r="AB1013" t="n">
        <v>38</v>
      </c>
      <c r="AC1013" t="inlineStr">
        <is>
          <t>515</t>
        </is>
      </c>
      <c r="AD1013" t="n">
        <v>66.09999999999999</v>
      </c>
      <c r="AE1013" t="inlineStr">
        <is>
          <t>608</t>
        </is>
      </c>
      <c r="AF1013" t="n">
        <v>19.3</v>
      </c>
      <c r="AG1013" t="inlineStr">
        <is>
          <t>738</t>
        </is>
      </c>
      <c r="AH1013" t="n">
        <v>47.4</v>
      </c>
      <c r="AI1013" t="inlineStr">
        <is>
          <t>776=</t>
        </is>
      </c>
      <c r="AJ1013" t="inlineStr">
        <is>
          <t>11.0</t>
        </is>
      </c>
      <c r="AK1013" t="inlineStr">
        <is>
          <t>601+</t>
        </is>
      </c>
      <c r="AL1013" t="inlineStr">
        <is>
          <t>14.5</t>
        </is>
      </c>
      <c r="AM1013" t="inlineStr">
        <is>
          <t>561</t>
        </is>
      </c>
      <c r="AN1013" t="inlineStr">
        <is>
          <t>58.8</t>
        </is>
      </c>
      <c r="AO1013" t="inlineStr">
        <is>
          <t>244</t>
        </is>
      </c>
      <c r="AP1013" t="inlineStr">
        <is>
          <t>6.3</t>
        </is>
      </c>
      <c r="AQ1013" t="inlineStr">
        <is>
          <t>701+</t>
        </is>
      </c>
      <c r="AR1013" t="inlineStr"/>
      <c r="AS1013" t="inlineStr"/>
      <c r="AT1013" t="inlineStr">
        <is>
          <t>26.8</t>
        </is>
      </c>
      <c r="AU1013" t="inlineStr">
        <is>
          <t>448</t>
        </is>
      </c>
      <c r="AV1013" t="inlineStr">
        <is>
          <t>20.2</t>
        </is>
      </c>
      <c r="AW1013" t="inlineStr">
        <is>
          <t>542</t>
        </is>
      </c>
      <c r="AX1013" t="inlineStr">
        <is>
          <t>12</t>
        </is>
      </c>
      <c r="AY1013" t="inlineStr">
        <is>
          <t>701+</t>
        </is>
      </c>
      <c r="AZ1013" t="inlineStr">
        <is>
          <t>4.8</t>
        </is>
      </c>
      <c r="BA1013" t="inlineStr">
        <is>
          <t>701+</t>
        </is>
      </c>
    </row>
    <row r="1014">
      <c r="A1014" t="inlineStr">
        <is>
          <t>Technische Universität Darmstadt</t>
        </is>
      </c>
      <c r="B1014" t="inlineStr">
        <is>
          <t>Germany</t>
        </is>
      </c>
      <c r="C1014" t="inlineStr"/>
      <c r="D1014" t="inlineStr">
        <is>
          <t>Europe</t>
        </is>
      </c>
      <c r="E1014" t="inlineStr">
        <is>
          <t>L</t>
        </is>
      </c>
      <c r="F1014" t="inlineStr">
        <is>
          <t>CO</t>
        </is>
      </c>
      <c r="G1014" t="inlineStr">
        <is>
          <t>VH</t>
        </is>
      </c>
      <c r="H1014" t="inlineStr"/>
      <c r="I1014" t="inlineStr">
        <is>
          <t>Public</t>
        </is>
      </c>
      <c r="J1014" t="inlineStr">
        <is>
          <t>253</t>
        </is>
      </c>
      <c r="K1014" t="inlineStr">
        <is>
          <t>241</t>
        </is>
      </c>
      <c r="L1014" t="inlineStr"/>
      <c r="M1014" t="inlineStr"/>
      <c r="N1014" t="inlineStr">
        <is>
          <t>50</t>
        </is>
      </c>
      <c r="O1014" t="inlineStr"/>
      <c r="P1014" t="n">
        <v>28.2</v>
      </c>
      <c r="Q1014" t="inlineStr">
        <is>
          <t>447</t>
        </is>
      </c>
      <c r="R1014" t="n">
        <v>41.9</v>
      </c>
      <c r="S1014" t="inlineStr">
        <is>
          <t>320</t>
        </is>
      </c>
      <c r="T1014" t="n">
        <v>9.800000000000001</v>
      </c>
      <c r="U1014" t="inlineStr">
        <is>
          <t>801+</t>
        </is>
      </c>
      <c r="V1014" t="n">
        <v>82.2</v>
      </c>
      <c r="W1014" t="inlineStr">
        <is>
          <t>142</t>
        </is>
      </c>
      <c r="X1014" t="n">
        <v>67.8</v>
      </c>
      <c r="Y1014" t="inlineStr">
        <is>
          <t>344</t>
        </is>
      </c>
      <c r="Z1014" t="n">
        <v>92.8</v>
      </c>
      <c r="AA1014" t="inlineStr">
        <is>
          <t>149</t>
        </is>
      </c>
      <c r="AB1014" t="n">
        <v>93.40000000000001</v>
      </c>
      <c r="AC1014" t="inlineStr">
        <is>
          <t>123</t>
        </is>
      </c>
      <c r="AD1014" t="n">
        <v>73.8</v>
      </c>
      <c r="AE1014" t="inlineStr">
        <is>
          <t>473</t>
        </is>
      </c>
      <c r="AF1014" t="n">
        <v>53.5</v>
      </c>
      <c r="AG1014" t="inlineStr">
        <is>
          <t>318</t>
        </is>
      </c>
      <c r="AH1014" t="n">
        <v>78.59999999999999</v>
      </c>
      <c r="AI1014" t="inlineStr">
        <is>
          <t>190=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</row>
    <row r="1015">
      <c r="A1015" t="inlineStr">
        <is>
          <t>Technische Universität Dortmund</t>
        </is>
      </c>
      <c r="B1015" t="inlineStr">
        <is>
          <t>Germany</t>
        </is>
      </c>
      <c r="C1015" t="inlineStr"/>
      <c r="D1015" t="inlineStr">
        <is>
          <t>Europe</t>
        </is>
      </c>
      <c r="E1015" t="inlineStr">
        <is>
          <t>L</t>
        </is>
      </c>
      <c r="F1015" t="inlineStr">
        <is>
          <t>FO</t>
        </is>
      </c>
      <c r="G1015" t="inlineStr">
        <is>
          <t>VH</t>
        </is>
      </c>
      <c r="H1015" t="inlineStr"/>
      <c r="I1015" t="inlineStr">
        <is>
          <t>Public</t>
        </is>
      </c>
      <c r="J1015" t="inlineStr">
        <is>
          <t>673</t>
        </is>
      </c>
      <c r="K1015" t="inlineStr">
        <is>
          <t>801-850</t>
        </is>
      </c>
      <c r="L1015" t="inlineStr"/>
      <c r="M1015" t="inlineStr"/>
      <c r="N1015" t="inlineStr">
        <is>
          <t>26.2</t>
        </is>
      </c>
      <c r="O1015" t="inlineStr"/>
      <c r="P1015" t="n">
        <v>18.5</v>
      </c>
      <c r="Q1015" t="inlineStr">
        <is>
          <t>661</t>
        </is>
      </c>
      <c r="R1015" t="n">
        <v>35.5</v>
      </c>
      <c r="S1015" t="inlineStr">
        <is>
          <t>406</t>
        </is>
      </c>
      <c r="T1015" t="n">
        <v>42.7</v>
      </c>
      <c r="U1015" t="inlineStr">
        <is>
          <t>466</t>
        </is>
      </c>
      <c r="V1015" t="n">
        <v>11.1</v>
      </c>
      <c r="W1015" t="inlineStr">
        <is>
          <t>801+</t>
        </is>
      </c>
      <c r="X1015" t="n">
        <v>32.3</v>
      </c>
      <c r="Y1015" t="inlineStr">
        <is>
          <t>559</t>
        </is>
      </c>
      <c r="Z1015" t="n">
        <v>36.7</v>
      </c>
      <c r="AA1015" t="inlineStr">
        <is>
          <t>529</t>
        </is>
      </c>
      <c r="AB1015" t="n">
        <v>27.5</v>
      </c>
      <c r="AC1015" t="inlineStr">
        <is>
          <t>646</t>
        </is>
      </c>
      <c r="AD1015" t="n">
        <v>76.5</v>
      </c>
      <c r="AE1015" t="inlineStr">
        <is>
          <t>412</t>
        </is>
      </c>
      <c r="AF1015" t="n">
        <v>12.5</v>
      </c>
      <c r="AG1015" t="inlineStr">
        <is>
          <t>801+</t>
        </is>
      </c>
      <c r="AH1015" t="n">
        <v>43</v>
      </c>
      <c r="AI1015" t="inlineStr">
        <is>
          <t>801+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</row>
    <row r="1016">
      <c r="A1016" t="inlineStr">
        <is>
          <t>Technische Universität Dresden</t>
        </is>
      </c>
      <c r="B1016" t="inlineStr">
        <is>
          <t>Germany</t>
        </is>
      </c>
      <c r="C1016" t="inlineStr">
        <is>
          <t>DE</t>
        </is>
      </c>
      <c r="D1016" t="inlineStr">
        <is>
          <t>Europe</t>
        </is>
      </c>
      <c r="E1016" t="inlineStr">
        <is>
          <t>L</t>
        </is>
      </c>
      <c r="F1016" t="inlineStr">
        <is>
          <t>FC</t>
        </is>
      </c>
      <c r="G1016" t="inlineStr">
        <is>
          <t>VH</t>
        </is>
      </c>
      <c r="H1016" t="inlineStr">
        <is>
          <t>5</t>
        </is>
      </c>
      <c r="I1016" t="inlineStr">
        <is>
          <t>Public</t>
        </is>
      </c>
      <c r="J1016" t="inlineStr">
        <is>
          <t>218</t>
        </is>
      </c>
      <c r="K1016" t="inlineStr">
        <is>
          <t>234</t>
        </is>
      </c>
      <c r="L1016">
        <f>246</f>
        <v/>
      </c>
      <c r="M1016" t="inlineStr">
        <is>
          <t>200</t>
        </is>
      </c>
      <c r="N1016" t="inlineStr">
        <is>
          <t>54.3</t>
        </is>
      </c>
      <c r="O1016" t="inlineStr">
        <is>
          <t>39.7</t>
        </is>
      </c>
      <c r="P1016" t="n">
        <v>47.2</v>
      </c>
      <c r="Q1016" t="inlineStr">
        <is>
          <t>247</t>
        </is>
      </c>
      <c r="R1016" t="n">
        <v>49.2</v>
      </c>
      <c r="S1016" t="inlineStr">
        <is>
          <t>259</t>
        </is>
      </c>
      <c r="T1016" t="n">
        <v>74.90000000000001</v>
      </c>
      <c r="U1016" t="inlineStr">
        <is>
          <t>197</t>
        </is>
      </c>
      <c r="V1016" t="n">
        <v>58.6</v>
      </c>
      <c r="W1016" t="inlineStr">
        <is>
          <t>296</t>
        </is>
      </c>
      <c r="X1016" t="n">
        <v>40.4</v>
      </c>
      <c r="Y1016" t="inlineStr">
        <is>
          <t>495</t>
        </is>
      </c>
      <c r="Z1016" t="n">
        <v>42</v>
      </c>
      <c r="AA1016" t="inlineStr">
        <is>
          <t>476</t>
        </is>
      </c>
      <c r="AB1016" t="n">
        <v>47.3</v>
      </c>
      <c r="AC1016" t="inlineStr">
        <is>
          <t>439</t>
        </is>
      </c>
      <c r="AD1016" t="n">
        <v>95.3</v>
      </c>
      <c r="AE1016" t="inlineStr">
        <is>
          <t>75</t>
        </is>
      </c>
      <c r="AF1016" t="n">
        <v>12.5</v>
      </c>
      <c r="AG1016" t="inlineStr">
        <is>
          <t>801+</t>
        </is>
      </c>
      <c r="AH1016" t="n">
        <v>87.90000000000001</v>
      </c>
      <c r="AI1016" t="inlineStr">
        <is>
          <t>80=</t>
        </is>
      </c>
      <c r="AJ1016" t="inlineStr">
        <is>
          <t>37.5</t>
        </is>
      </c>
      <c r="AK1016" t="inlineStr">
        <is>
          <t>231</t>
        </is>
      </c>
      <c r="AL1016" t="inlineStr">
        <is>
          <t>37.7</t>
        </is>
      </c>
      <c r="AM1016" t="inlineStr">
        <is>
          <t>258</t>
        </is>
      </c>
      <c r="AN1016" t="inlineStr">
        <is>
          <t>91.2</t>
        </is>
      </c>
      <c r="AO1016" t="inlineStr">
        <is>
          <t>79</t>
        </is>
      </c>
      <c r="AP1016" t="inlineStr">
        <is>
          <t>14.8</t>
        </is>
      </c>
      <c r="AQ1016" t="inlineStr">
        <is>
          <t>639</t>
        </is>
      </c>
      <c r="AR1016" t="inlineStr">
        <is>
          <t>46.2</t>
        </is>
      </c>
      <c r="AS1016" t="inlineStr">
        <is>
          <t>373</t>
        </is>
      </c>
      <c r="AT1016" t="inlineStr">
        <is>
          <t>35.2</t>
        </is>
      </c>
      <c r="AU1016" t="inlineStr">
        <is>
          <t>379</t>
        </is>
      </c>
      <c r="AV1016" t="inlineStr">
        <is>
          <t>87.4</t>
        </is>
      </c>
      <c r="AW1016" t="inlineStr">
        <is>
          <t>98</t>
        </is>
      </c>
      <c r="AX1016" t="inlineStr">
        <is>
          <t>11.2</t>
        </is>
      </c>
      <c r="AY1016" t="inlineStr">
        <is>
          <t>701+</t>
        </is>
      </c>
      <c r="AZ1016" t="inlineStr">
        <is>
          <t>30.7</t>
        </is>
      </c>
      <c r="BA1016" t="inlineStr">
        <is>
          <t>438=</t>
        </is>
      </c>
    </row>
    <row r="1017">
      <c r="A1017" t="inlineStr">
        <is>
          <t>Technische Universität Hamburg-Harburg</t>
        </is>
      </c>
      <c r="B1017" t="inlineStr">
        <is>
          <t>Germany</t>
        </is>
      </c>
      <c r="C1017" t="inlineStr">
        <is>
          <t>DE</t>
        </is>
      </c>
      <c r="D1017" t="inlineStr"/>
      <c r="E1017" t="inlineStr"/>
      <c r="F1017" t="inlineStr">
        <is>
          <t>SP</t>
        </is>
      </c>
      <c r="G1017" t="inlineStr"/>
      <c r="H1017" t="inlineStr"/>
      <c r="I1017" t="inlineStr"/>
      <c r="J1017" t="inlineStr"/>
      <c r="K1017" t="inlineStr"/>
      <c r="L1017" t="inlineStr">
        <is>
          <t>1401+</t>
        </is>
      </c>
      <c r="M1017" t="inlineStr"/>
      <c r="N1017" t="inlineStr"/>
      <c r="O1017" t="inlineStr">
        <is>
          <t>-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8.8</t>
        </is>
      </c>
      <c r="AK1017" t="inlineStr">
        <is>
          <t>601+</t>
        </is>
      </c>
      <c r="AL1017" t="inlineStr">
        <is>
          <t>5.6</t>
        </is>
      </c>
      <c r="AM1017" t="inlineStr">
        <is>
          <t>601+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>
        <is>
          <t>2.8</t>
        </is>
      </c>
      <c r="AW1017" t="inlineStr">
        <is>
          <t>701+</t>
        </is>
      </c>
      <c r="AX1017" t="inlineStr"/>
      <c r="AY1017" t="inlineStr"/>
      <c r="AZ1017" t="inlineStr"/>
      <c r="BA1017" t="inlineStr"/>
    </row>
    <row r="1018">
      <c r="A1018" t="inlineStr">
        <is>
          <t>Technische Universität Kaiserslautern</t>
        </is>
      </c>
      <c r="B1018" t="inlineStr">
        <is>
          <t>Germany</t>
        </is>
      </c>
      <c r="C1018" t="inlineStr">
        <is>
          <t>DE</t>
        </is>
      </c>
      <c r="D1018" t="inlineStr">
        <is>
          <t>Europe</t>
        </is>
      </c>
      <c r="E1018" t="inlineStr">
        <is>
          <t>L</t>
        </is>
      </c>
      <c r="F1018" t="inlineStr">
        <is>
          <t>CO</t>
        </is>
      </c>
      <c r="G1018" t="inlineStr">
        <is>
          <t>VH</t>
        </is>
      </c>
      <c r="H1018" t="inlineStr"/>
      <c r="I1018" t="inlineStr"/>
      <c r="J1018" t="inlineStr">
        <is>
          <t>1201-1400</t>
        </is>
      </c>
      <c r="K1018" t="inlineStr">
        <is>
          <t>1201-1400</t>
        </is>
      </c>
      <c r="L1018" t="inlineStr">
        <is>
          <t>1401+</t>
        </is>
      </c>
      <c r="M1018" t="inlineStr"/>
      <c r="N1018" t="inlineStr">
        <is>
          <t>-</t>
        </is>
      </c>
      <c r="O1018" t="inlineStr">
        <is>
          <t>-</t>
        </is>
      </c>
      <c r="P1018" t="n">
        <v>8.6</v>
      </c>
      <c r="Q1018" t="inlineStr">
        <is>
          <t>701+</t>
        </is>
      </c>
      <c r="R1018" t="n">
        <v>6</v>
      </c>
      <c r="S1018" t="inlineStr">
        <is>
          <t>701+</t>
        </is>
      </c>
      <c r="T1018" t="n">
        <v>22.2</v>
      </c>
      <c r="U1018" t="inlineStr">
        <is>
          <t>787</t>
        </is>
      </c>
      <c r="V1018" t="n">
        <v>7.5</v>
      </c>
      <c r="W1018" t="inlineStr">
        <is>
          <t>801+</t>
        </is>
      </c>
      <c r="X1018" t="inlineStr"/>
      <c r="Y1018" t="inlineStr"/>
      <c r="Z1018" t="inlineStr"/>
      <c r="AA1018" t="inlineStr"/>
      <c r="AB1018" t="inlineStr"/>
      <c r="AC1018" t="inlineStr"/>
      <c r="AD1018" t="n">
        <v>63.4</v>
      </c>
      <c r="AE1018" t="inlineStr">
        <is>
          <t>645</t>
        </is>
      </c>
      <c r="AF1018" t="n">
        <v>5.4</v>
      </c>
      <c r="AG1018" t="inlineStr">
        <is>
          <t>801+</t>
        </is>
      </c>
      <c r="AH1018" t="inlineStr"/>
      <c r="AI1018" t="inlineStr"/>
      <c r="AJ1018" t="inlineStr">
        <is>
          <t>6.5</t>
        </is>
      </c>
      <c r="AK1018" t="inlineStr">
        <is>
          <t>601+</t>
        </is>
      </c>
      <c r="AL1018" t="inlineStr">
        <is>
          <t>3.2</t>
        </is>
      </c>
      <c r="AM1018" t="inlineStr">
        <is>
          <t>601+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>
        <is>
          <t>10.8</t>
        </is>
      </c>
      <c r="AW1018" t="inlineStr">
        <is>
          <t>655</t>
        </is>
      </c>
      <c r="AX1018" t="inlineStr"/>
      <c r="AY1018" t="inlineStr"/>
      <c r="AZ1018" t="inlineStr"/>
      <c r="BA1018" t="inlineStr"/>
    </row>
    <row r="1019">
      <c r="A1019" t="inlineStr">
        <is>
          <t>Technische Universität Wien</t>
        </is>
      </c>
      <c r="B1019" t="inlineStr">
        <is>
          <t>Austria</t>
        </is>
      </c>
      <c r="C1019" t="inlineStr">
        <is>
          <t>AT</t>
        </is>
      </c>
      <c r="D1019" t="inlineStr"/>
      <c r="E1019" t="inlineStr">
        <is>
          <t>M</t>
        </is>
      </c>
      <c r="F1019" t="inlineStr">
        <is>
          <t>FO</t>
        </is>
      </c>
      <c r="G1019" t="inlineStr">
        <is>
          <t>VH</t>
        </is>
      </c>
      <c r="H1019" t="inlineStr">
        <is>
          <t>5</t>
        </is>
      </c>
      <c r="I1019" t="inlineStr">
        <is>
          <t>A</t>
        </is>
      </c>
      <c r="J1019" t="inlineStr"/>
      <c r="K1019" t="inlineStr"/>
      <c r="L1019">
        <f>184</f>
        <v/>
      </c>
      <c r="M1019" t="inlineStr">
        <is>
          <t>179=</t>
        </is>
      </c>
      <c r="N1019" t="inlineStr"/>
      <c r="O1019" t="inlineStr">
        <is>
          <t>47.6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32.9</t>
        </is>
      </c>
      <c r="AK1019" t="inlineStr">
        <is>
          <t>266</t>
        </is>
      </c>
      <c r="AL1019" t="inlineStr">
        <is>
          <t>44.4</t>
        </is>
      </c>
      <c r="AM1019" t="inlineStr">
        <is>
          <t>201</t>
        </is>
      </c>
      <c r="AN1019" t="inlineStr">
        <is>
          <t>13.1</t>
        </is>
      </c>
      <c r="AO1019" t="inlineStr">
        <is>
          <t>701+</t>
        </is>
      </c>
      <c r="AP1019" t="inlineStr">
        <is>
          <t>85.7</t>
        </is>
      </c>
      <c r="AQ1019" t="inlineStr">
        <is>
          <t>91</t>
        </is>
      </c>
      <c r="AR1019" t="inlineStr">
        <is>
          <t>79.3</t>
        </is>
      </c>
      <c r="AS1019" t="inlineStr">
        <is>
          <t>232</t>
        </is>
      </c>
      <c r="AT1019" t="inlineStr">
        <is>
          <t>89.0</t>
        </is>
      </c>
      <c r="AU1019" t="inlineStr">
        <is>
          <t>123</t>
        </is>
      </c>
      <c r="AV1019" t="inlineStr">
        <is>
          <t>45.1</t>
        </is>
      </c>
      <c r="AW1019" t="inlineStr">
        <is>
          <t>347</t>
        </is>
      </c>
      <c r="AX1019" t="inlineStr">
        <is>
          <t>13.2</t>
        </is>
      </c>
      <c r="AY1019" t="inlineStr">
        <is>
          <t>649</t>
        </is>
      </c>
      <c r="AZ1019" t="inlineStr">
        <is>
          <t>19</t>
        </is>
      </c>
      <c r="BA1019" t="inlineStr">
        <is>
          <t>552=</t>
        </is>
      </c>
    </row>
    <row r="1020">
      <c r="A1020" t="inlineStr">
        <is>
          <t>Technological University Dublin</t>
        </is>
      </c>
      <c r="B1020" t="inlineStr">
        <is>
          <t>Ireland</t>
        </is>
      </c>
      <c r="C1020" t="inlineStr">
        <is>
          <t>IE</t>
        </is>
      </c>
      <c r="D1020" t="inlineStr"/>
      <c r="E1020" t="inlineStr">
        <is>
          <t>L</t>
        </is>
      </c>
      <c r="F1020" t="inlineStr">
        <is>
          <t>CO</t>
        </is>
      </c>
      <c r="G1020" t="inlineStr">
        <is>
          <t>HI</t>
        </is>
      </c>
      <c r="H1020" t="inlineStr">
        <is>
          <t>1</t>
        </is>
      </c>
      <c r="I1020" t="inlineStr">
        <is>
          <t>A</t>
        </is>
      </c>
      <c r="J1020" t="inlineStr"/>
      <c r="K1020" t="inlineStr"/>
      <c r="L1020" t="inlineStr">
        <is>
          <t>851-900</t>
        </is>
      </c>
      <c r="M1020" t="inlineStr">
        <is>
          <t>801-1000</t>
        </is>
      </c>
      <c r="N1020" t="inlineStr"/>
      <c r="O1020" t="inlineStr">
        <is>
          <t>-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12.1</t>
        </is>
      </c>
      <c r="AK1020" t="inlineStr">
        <is>
          <t>601+</t>
        </is>
      </c>
      <c r="AL1020" t="inlineStr">
        <is>
          <t>12.4</t>
        </is>
      </c>
      <c r="AM1020" t="inlineStr">
        <is>
          <t>601+</t>
        </is>
      </c>
      <c r="AN1020" t="inlineStr">
        <is>
          <t>12.6</t>
        </is>
      </c>
      <c r="AO1020" t="inlineStr">
        <is>
          <t>701+</t>
        </is>
      </c>
      <c r="AP1020" t="inlineStr">
        <is>
          <t>3.1</t>
        </is>
      </c>
      <c r="AQ1020" t="inlineStr">
        <is>
          <t>701+</t>
        </is>
      </c>
      <c r="AR1020" t="inlineStr">
        <is>
          <t>32.7</t>
        </is>
      </c>
      <c r="AS1020" t="inlineStr">
        <is>
          <t>470</t>
        </is>
      </c>
      <c r="AT1020" t="inlineStr">
        <is>
          <t>39.6</t>
        </is>
      </c>
      <c r="AU1020" t="inlineStr">
        <is>
          <t>346</t>
        </is>
      </c>
      <c r="AV1020" t="inlineStr">
        <is>
          <t>5.0</t>
        </is>
      </c>
      <c r="AW1020" t="inlineStr">
        <is>
          <t>701+</t>
        </is>
      </c>
      <c r="AX1020" t="inlineStr">
        <is>
          <t>13.1</t>
        </is>
      </c>
      <c r="AY1020" t="inlineStr">
        <is>
          <t>653</t>
        </is>
      </c>
      <c r="AZ1020" t="inlineStr">
        <is>
          <t>16.9</t>
        </is>
      </c>
      <c r="BA1020" t="inlineStr">
        <is>
          <t>581=</t>
        </is>
      </c>
    </row>
    <row r="1021">
      <c r="A1021" t="inlineStr">
        <is>
          <t>Technological University of Dublin</t>
        </is>
      </c>
      <c r="B1021" t="inlineStr">
        <is>
          <t>Ireland</t>
        </is>
      </c>
      <c r="C1021" t="inlineStr"/>
      <c r="D1021" t="inlineStr">
        <is>
          <t>Europe</t>
        </is>
      </c>
      <c r="E1021" t="inlineStr">
        <is>
          <t>L</t>
        </is>
      </c>
      <c r="F1021" t="inlineStr">
        <is>
          <t>CO</t>
        </is>
      </c>
      <c r="G1021" t="inlineStr">
        <is>
          <t>HI</t>
        </is>
      </c>
      <c r="H1021" t="inlineStr"/>
      <c r="I1021" t="inlineStr">
        <is>
          <t>Public</t>
        </is>
      </c>
      <c r="J1021" t="inlineStr">
        <is>
          <t>781-790</t>
        </is>
      </c>
      <c r="K1021" t="inlineStr">
        <is>
          <t>851-900</t>
        </is>
      </c>
      <c r="L1021" t="inlineStr"/>
      <c r="M1021" t="inlineStr"/>
      <c r="N1021" t="inlineStr">
        <is>
          <t>-</t>
        </is>
      </c>
      <c r="O1021" t="inlineStr"/>
      <c r="P1021" t="n">
        <v>17.7</v>
      </c>
      <c r="Q1021" t="inlineStr">
        <is>
          <t>690</t>
        </is>
      </c>
      <c r="R1021" t="n">
        <v>22.4</v>
      </c>
      <c r="S1021" t="inlineStr">
        <is>
          <t>594</t>
        </is>
      </c>
      <c r="T1021" t="n">
        <v>18</v>
      </c>
      <c r="U1021" t="inlineStr">
        <is>
          <t>801+</t>
        </is>
      </c>
      <c r="V1021" t="n">
        <v>6.1</v>
      </c>
      <c r="W1021" t="inlineStr">
        <is>
          <t>801+</t>
        </is>
      </c>
      <c r="X1021" t="n">
        <v>49.8</v>
      </c>
      <c r="Y1021" t="inlineStr">
        <is>
          <t>440</t>
        </is>
      </c>
      <c r="Z1021" t="n">
        <v>63.7</v>
      </c>
      <c r="AA1021" t="inlineStr">
        <is>
          <t>312</t>
        </is>
      </c>
      <c r="AB1021" t="n">
        <v>67.3</v>
      </c>
      <c r="AC1021" t="inlineStr">
        <is>
          <t>288</t>
        </is>
      </c>
      <c r="AD1021" t="n">
        <v>53.7</v>
      </c>
      <c r="AE1021" t="inlineStr">
        <is>
          <t>787</t>
        </is>
      </c>
      <c r="AF1021" t="n">
        <v>22.6</v>
      </c>
      <c r="AG1021" t="inlineStr">
        <is>
          <t>679</t>
        </is>
      </c>
      <c r="AH1021" t="n">
        <v>58.7</v>
      </c>
      <c r="AI1021" t="inlineStr">
        <is>
          <t>528=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</row>
    <row r="1022">
      <c r="A1022" t="inlineStr">
        <is>
          <t>Tecnológico de Costa Rica (TEC)</t>
        </is>
      </c>
      <c r="B1022" t="inlineStr">
        <is>
          <t>Costa Rica</t>
        </is>
      </c>
      <c r="C1022" t="inlineStr">
        <is>
          <t>CR</t>
        </is>
      </c>
      <c r="D1022" t="inlineStr">
        <is>
          <t>Americas</t>
        </is>
      </c>
      <c r="E1022" t="inlineStr">
        <is>
          <t>M</t>
        </is>
      </c>
      <c r="F1022" t="inlineStr">
        <is>
          <t>FO</t>
        </is>
      </c>
      <c r="G1022" t="inlineStr">
        <is>
          <t>HI</t>
        </is>
      </c>
      <c r="H1022" t="inlineStr">
        <is>
          <t>4</t>
        </is>
      </c>
      <c r="I1022" t="inlineStr">
        <is>
          <t>Public</t>
        </is>
      </c>
      <c r="J1022" t="inlineStr">
        <is>
          <t>1201-1400</t>
        </is>
      </c>
      <c r="K1022" t="inlineStr">
        <is>
          <t>1001-1200</t>
        </is>
      </c>
      <c r="L1022" t="inlineStr">
        <is>
          <t>951-1000</t>
        </is>
      </c>
      <c r="M1022" t="inlineStr">
        <is>
          <t>801-1000</t>
        </is>
      </c>
      <c r="N1022" t="inlineStr">
        <is>
          <t>-</t>
        </is>
      </c>
      <c r="O1022" t="inlineStr">
        <is>
          <t>-</t>
        </is>
      </c>
      <c r="P1022" t="n">
        <v>11.2</v>
      </c>
      <c r="Q1022" t="inlineStr">
        <is>
          <t>701+</t>
        </is>
      </c>
      <c r="R1022" t="n">
        <v>24.9</v>
      </c>
      <c r="S1022" t="inlineStr">
        <is>
          <t>539</t>
        </is>
      </c>
      <c r="T1022" t="n">
        <v>23.2</v>
      </c>
      <c r="U1022" t="inlineStr">
        <is>
          <t>770</t>
        </is>
      </c>
      <c r="V1022" t="n">
        <v>2.1</v>
      </c>
      <c r="W1022" t="inlineStr">
        <is>
          <t>801+</t>
        </is>
      </c>
      <c r="X1022" t="n">
        <v>9.699999999999999</v>
      </c>
      <c r="Y1022" t="inlineStr">
        <is>
          <t>801+</t>
        </is>
      </c>
      <c r="Z1022" t="n">
        <v>3</v>
      </c>
      <c r="AA1022" t="inlineStr">
        <is>
          <t>801+</t>
        </is>
      </c>
      <c r="AB1022" t="n">
        <v>7.3</v>
      </c>
      <c r="AC1022" t="inlineStr">
        <is>
          <t>801+</t>
        </is>
      </c>
      <c r="AD1022" t="n">
        <v>11.1</v>
      </c>
      <c r="AE1022" t="inlineStr">
        <is>
          <t>801+</t>
        </is>
      </c>
      <c r="AF1022" t="n">
        <v>11.6</v>
      </c>
      <c r="AG1022" t="inlineStr">
        <is>
          <t>801+</t>
        </is>
      </c>
      <c r="AH1022" t="n">
        <v>17.8</v>
      </c>
      <c r="AI1022" t="inlineStr">
        <is>
          <t>801+</t>
        </is>
      </c>
      <c r="AJ1022" t="inlineStr">
        <is>
          <t>8.4</t>
        </is>
      </c>
      <c r="AK1022" t="inlineStr">
        <is>
          <t>601+</t>
        </is>
      </c>
      <c r="AL1022" t="inlineStr">
        <is>
          <t>33.8</t>
        </is>
      </c>
      <c r="AM1022" t="inlineStr">
        <is>
          <t>291</t>
        </is>
      </c>
      <c r="AN1022" t="inlineStr">
        <is>
          <t>23.2</t>
        </is>
      </c>
      <c r="AO1022" t="inlineStr">
        <is>
          <t>612</t>
        </is>
      </c>
      <c r="AP1022" t="inlineStr">
        <is>
          <t>1.4</t>
        </is>
      </c>
      <c r="AQ1022" t="inlineStr">
        <is>
          <t>701+</t>
        </is>
      </c>
      <c r="AR1022" t="inlineStr">
        <is>
          <t>6.8</t>
        </is>
      </c>
      <c r="AS1022" t="inlineStr">
        <is>
          <t>701+</t>
        </is>
      </c>
      <c r="AT1022" t="inlineStr">
        <is>
          <t>2.0</t>
        </is>
      </c>
      <c r="AU1022" t="inlineStr">
        <is>
          <t>701+</t>
        </is>
      </c>
      <c r="AV1022" t="inlineStr">
        <is>
          <t>1.0</t>
        </is>
      </c>
      <c r="AW1022" t="inlineStr">
        <is>
          <t>701+</t>
        </is>
      </c>
      <c r="AX1022" t="inlineStr">
        <is>
          <t>12.4</t>
        </is>
      </c>
      <c r="AY1022" t="inlineStr">
        <is>
          <t>701+</t>
        </is>
      </c>
      <c r="AZ1022" t="inlineStr">
        <is>
          <t>1.9</t>
        </is>
      </c>
      <c r="BA1022" t="inlineStr">
        <is>
          <t>701+</t>
        </is>
      </c>
    </row>
    <row r="1023">
      <c r="A1023" t="inlineStr">
        <is>
          <t>Tecnológico de Monterrey</t>
        </is>
      </c>
      <c r="B1023" t="inlineStr">
        <is>
          <t>Mexico</t>
        </is>
      </c>
      <c r="C1023" t="inlineStr">
        <is>
          <t>MX</t>
        </is>
      </c>
      <c r="D1023" t="inlineStr"/>
      <c r="E1023" t="inlineStr">
        <is>
          <t>XL</t>
        </is>
      </c>
      <c r="F1023" t="inlineStr">
        <is>
          <t>FC</t>
        </is>
      </c>
      <c r="G1023" t="inlineStr">
        <is>
          <t>HI</t>
        </is>
      </c>
      <c r="H1023" t="inlineStr">
        <is>
          <t>4</t>
        </is>
      </c>
      <c r="I1023" t="inlineStr">
        <is>
          <t>B</t>
        </is>
      </c>
      <c r="J1023" t="inlineStr"/>
      <c r="K1023" t="inlineStr"/>
      <c r="L1023">
        <f>184</f>
        <v/>
      </c>
      <c r="M1023" t="inlineStr">
        <is>
          <t>170</t>
        </is>
      </c>
      <c r="N1023" t="inlineStr"/>
      <c r="O1023" t="inlineStr">
        <is>
          <t>47.6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>
        <is>
          <t>51.3</t>
        </is>
      </c>
      <c r="AK1023" t="inlineStr">
        <is>
          <t>157</t>
        </is>
      </c>
      <c r="AL1023" t="inlineStr">
        <is>
          <t>96.8</t>
        </is>
      </c>
      <c r="AM1023" t="inlineStr">
        <is>
          <t>28</t>
        </is>
      </c>
      <c r="AN1023" t="inlineStr">
        <is>
          <t>63.5</t>
        </is>
      </c>
      <c r="AO1023" t="inlineStr">
        <is>
          <t>222</t>
        </is>
      </c>
      <c r="AP1023" t="inlineStr">
        <is>
          <t>2.3</t>
        </is>
      </c>
      <c r="AQ1023" t="inlineStr">
        <is>
          <t>701+</t>
        </is>
      </c>
      <c r="AR1023" t="inlineStr">
        <is>
          <t>32.7</t>
        </is>
      </c>
      <c r="AS1023" t="inlineStr">
        <is>
          <t>469</t>
        </is>
      </c>
      <c r="AT1023" t="inlineStr">
        <is>
          <t>11.7</t>
        </is>
      </c>
      <c r="AU1023" t="inlineStr">
        <is>
          <t>681</t>
        </is>
      </c>
      <c r="AV1023" t="inlineStr">
        <is>
          <t>13.5</t>
        </is>
      </c>
      <c r="AW1023" t="inlineStr">
        <is>
          <t>618</t>
        </is>
      </c>
      <c r="AX1023" t="inlineStr">
        <is>
          <t>88.3</t>
        </is>
      </c>
      <c r="AY1023" t="inlineStr">
        <is>
          <t>41</t>
        </is>
      </c>
      <c r="AZ1023" t="inlineStr">
        <is>
          <t>65.7</t>
        </is>
      </c>
      <c r="BA1023" t="inlineStr">
        <is>
          <t>223=</t>
        </is>
      </c>
    </row>
    <row r="1024">
      <c r="A1024" t="inlineStr">
        <is>
          <t>Tecnológico de Monterrey (ITESM)</t>
        </is>
      </c>
      <c r="B1024" t="inlineStr">
        <is>
          <t>Mexico</t>
        </is>
      </c>
      <c r="C1024" t="inlineStr"/>
      <c r="D1024" t="inlineStr">
        <is>
          <t>Americas</t>
        </is>
      </c>
      <c r="E1024" t="inlineStr">
        <is>
          <t>XL</t>
        </is>
      </c>
      <c r="F1024" t="inlineStr">
        <is>
          <t>FC</t>
        </is>
      </c>
      <c r="G1024" t="inlineStr">
        <is>
          <t>HI</t>
        </is>
      </c>
      <c r="H1024" t="inlineStr"/>
      <c r="I1024" t="inlineStr">
        <is>
          <t>Private not for Profit</t>
        </is>
      </c>
      <c r="J1024" t="inlineStr">
        <is>
          <t>187</t>
        </is>
      </c>
      <c r="K1024" t="inlineStr">
        <is>
          <t>185</t>
        </is>
      </c>
      <c r="L1024" t="inlineStr"/>
      <c r="M1024" t="inlineStr"/>
      <c r="N1024" t="inlineStr">
        <is>
          <t>57.1</t>
        </is>
      </c>
      <c r="O1024" t="inlineStr"/>
      <c r="P1024" t="n">
        <v>69.90000000000001</v>
      </c>
      <c r="Q1024" t="inlineStr">
        <is>
          <t>136</t>
        </is>
      </c>
      <c r="R1024" t="n">
        <v>93.90000000000001</v>
      </c>
      <c r="S1024" t="inlineStr">
        <is>
          <t>55</t>
        </is>
      </c>
      <c r="T1024" t="n">
        <v>69.40000000000001</v>
      </c>
      <c r="U1024" t="inlineStr">
        <is>
          <t>236</t>
        </is>
      </c>
      <c r="V1024" t="n">
        <v>4.8</v>
      </c>
      <c r="W1024" t="inlineStr">
        <is>
          <t>801+</t>
        </is>
      </c>
      <c r="X1024" t="n">
        <v>24.5</v>
      </c>
      <c r="Y1024" t="inlineStr">
        <is>
          <t>658</t>
        </is>
      </c>
      <c r="Z1024" t="n">
        <v>18.3</v>
      </c>
      <c r="AA1024" t="inlineStr">
        <is>
          <t>758</t>
        </is>
      </c>
      <c r="AB1024" t="n">
        <v>24.4</v>
      </c>
      <c r="AC1024" t="inlineStr">
        <is>
          <t>696</t>
        </is>
      </c>
      <c r="AD1024" t="n">
        <v>74.59999999999999</v>
      </c>
      <c r="AE1024" t="inlineStr">
        <is>
          <t>451</t>
        </is>
      </c>
      <c r="AF1024" t="n">
        <v>97.40000000000001</v>
      </c>
      <c r="AG1024" t="inlineStr">
        <is>
          <t>52</t>
        </is>
      </c>
      <c r="AH1024" t="n">
        <v>73.8</v>
      </c>
      <c r="AI1024" t="inlineStr">
        <is>
          <t>262=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</row>
    <row r="1025">
      <c r="A1025" t="inlineStr">
        <is>
          <t>Tel Aviv University</t>
        </is>
      </c>
      <c r="B1025" t="inlineStr">
        <is>
          <t>Israel</t>
        </is>
      </c>
      <c r="C1025" t="inlineStr">
        <is>
          <t>IL</t>
        </is>
      </c>
      <c r="D1025" t="inlineStr">
        <is>
          <t>Asia</t>
        </is>
      </c>
      <c r="E1025" t="inlineStr">
        <is>
          <t>L</t>
        </is>
      </c>
      <c r="F1025" t="inlineStr">
        <is>
          <t>FC</t>
        </is>
      </c>
      <c r="G1025" t="inlineStr">
        <is>
          <t>VH</t>
        </is>
      </c>
      <c r="H1025" t="inlineStr">
        <is>
          <t>4</t>
        </is>
      </c>
      <c r="I1025" t="inlineStr">
        <is>
          <t>Public</t>
        </is>
      </c>
      <c r="J1025" t="inlineStr">
        <is>
          <t>223</t>
        </is>
      </c>
      <c r="K1025" t="inlineStr">
        <is>
          <t>209</t>
        </is>
      </c>
      <c r="L1025" t="inlineStr">
        <is>
          <t>215</t>
        </is>
      </c>
      <c r="M1025" t="inlineStr">
        <is>
          <t>260=</t>
        </is>
      </c>
      <c r="N1025" t="inlineStr">
        <is>
          <t>53.6</t>
        </is>
      </c>
      <c r="O1025" t="inlineStr">
        <is>
          <t>43.9</t>
        </is>
      </c>
      <c r="P1025" t="n">
        <v>43.6</v>
      </c>
      <c r="Q1025" t="inlineStr">
        <is>
          <t>269</t>
        </is>
      </c>
      <c r="R1025" t="n">
        <v>31</v>
      </c>
      <c r="S1025" t="inlineStr">
        <is>
          <t>462</t>
        </is>
      </c>
      <c r="T1025" t="n">
        <v>6.1</v>
      </c>
      <c r="U1025" t="inlineStr">
        <is>
          <t>801+</t>
        </is>
      </c>
      <c r="V1025" t="n">
        <v>99.7</v>
      </c>
      <c r="W1025" t="inlineStr">
        <is>
          <t>25</t>
        </is>
      </c>
      <c r="X1025" t="n">
        <v>48.9</v>
      </c>
      <c r="Y1025" t="inlineStr">
        <is>
          <t>444</t>
        </is>
      </c>
      <c r="Z1025" t="n">
        <v>15.3</v>
      </c>
      <c r="AA1025" t="inlineStr">
        <is>
          <t>801+</t>
        </is>
      </c>
      <c r="AB1025" t="n">
        <v>21.3</v>
      </c>
      <c r="AC1025" t="inlineStr">
        <is>
          <t>743</t>
        </is>
      </c>
      <c r="AD1025" t="n">
        <v>78.3</v>
      </c>
      <c r="AE1025" t="inlineStr">
        <is>
          <t>378</t>
        </is>
      </c>
      <c r="AF1025" t="n">
        <v>94.2</v>
      </c>
      <c r="AG1025" t="inlineStr">
        <is>
          <t>79</t>
        </is>
      </c>
      <c r="AH1025" t="n">
        <v>77</v>
      </c>
      <c r="AI1025" t="inlineStr">
        <is>
          <t>214=</t>
        </is>
      </c>
      <c r="AJ1025" t="inlineStr">
        <is>
          <t>33.2</t>
        </is>
      </c>
      <c r="AK1025" t="inlineStr">
        <is>
          <t>264</t>
        </is>
      </c>
      <c r="AL1025" t="inlineStr">
        <is>
          <t>23.6</t>
        </is>
      </c>
      <c r="AM1025" t="inlineStr">
        <is>
          <t>407</t>
        </is>
      </c>
      <c r="AN1025" t="inlineStr">
        <is>
          <t>3.8</t>
        </is>
      </c>
      <c r="AO1025" t="inlineStr">
        <is>
          <t>701+</t>
        </is>
      </c>
      <c r="AP1025" t="inlineStr">
        <is>
          <t>99.9</t>
        </is>
      </c>
      <c r="AQ1025" t="inlineStr">
        <is>
          <t>11</t>
        </is>
      </c>
      <c r="AR1025" t="inlineStr">
        <is>
          <t>40.4</t>
        </is>
      </c>
      <c r="AS1025" t="inlineStr">
        <is>
          <t>410</t>
        </is>
      </c>
      <c r="AT1025" t="inlineStr">
        <is>
          <t>4.6</t>
        </is>
      </c>
      <c r="AU1025" t="inlineStr">
        <is>
          <t>701+</t>
        </is>
      </c>
      <c r="AV1025" t="inlineStr">
        <is>
          <t>39.5</t>
        </is>
      </c>
      <c r="AW1025" t="inlineStr">
        <is>
          <t>382</t>
        </is>
      </c>
      <c r="AX1025" t="inlineStr">
        <is>
          <t>72.9</t>
        </is>
      </c>
      <c r="AY1025" t="inlineStr">
        <is>
          <t>62</t>
        </is>
      </c>
      <c r="AZ1025" t="inlineStr">
        <is>
          <t>38.4</t>
        </is>
      </c>
      <c r="BA1025" t="inlineStr">
        <is>
          <t>373=</t>
        </is>
      </c>
    </row>
    <row r="1026">
      <c r="A1026" t="inlineStr">
        <is>
          <t>Telkom University</t>
        </is>
      </c>
      <c r="B1026" t="inlineStr">
        <is>
          <t>Indonesia</t>
        </is>
      </c>
      <c r="C1026" t="inlineStr">
        <is>
          <t>ID</t>
        </is>
      </c>
      <c r="D1026" t="inlineStr"/>
      <c r="E1026" t="inlineStr">
        <is>
          <t>L</t>
        </is>
      </c>
      <c r="F1026" t="inlineStr">
        <is>
          <t>SP</t>
        </is>
      </c>
      <c r="G1026" t="inlineStr"/>
      <c r="H1026" t="inlineStr">
        <is>
          <t>2</t>
        </is>
      </c>
      <c r="I1026" t="inlineStr">
        <is>
          <t>C</t>
        </is>
      </c>
      <c r="J1026" t="inlineStr"/>
      <c r="K1026" t="inlineStr"/>
      <c r="L1026" t="inlineStr">
        <is>
          <t>1001-1200</t>
        </is>
      </c>
      <c r="M1026" t="inlineStr">
        <is>
          <t>1001-1200</t>
        </is>
      </c>
      <c r="N1026" t="inlineStr"/>
      <c r="O1026" t="inlineStr">
        <is>
          <t>-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>
        <is>
          <t>7.4</t>
        </is>
      </c>
      <c r="AK1026" t="inlineStr">
        <is>
          <t>601+</t>
        </is>
      </c>
      <c r="AL1026" t="inlineStr">
        <is>
          <t>9.4</t>
        </is>
      </c>
      <c r="AM1026" t="inlineStr">
        <is>
          <t>601+</t>
        </is>
      </c>
      <c r="AN1026" t="inlineStr">
        <is>
          <t>27.0</t>
        </is>
      </c>
      <c r="AO1026" t="inlineStr">
        <is>
          <t>561</t>
        </is>
      </c>
      <c r="AP1026" t="inlineStr">
        <is>
          <t>1.4</t>
        </is>
      </c>
      <c r="AQ1026" t="inlineStr">
        <is>
          <t>701+</t>
        </is>
      </c>
      <c r="AR1026" t="inlineStr">
        <is>
          <t>22.3</t>
        </is>
      </c>
      <c r="AS1026" t="inlineStr">
        <is>
          <t>568</t>
        </is>
      </c>
      <c r="AT1026" t="inlineStr">
        <is>
          <t>3.6</t>
        </is>
      </c>
      <c r="AU1026" t="inlineStr">
        <is>
          <t>701+</t>
        </is>
      </c>
      <c r="AV1026" t="inlineStr">
        <is>
          <t>1.0</t>
        </is>
      </c>
      <c r="AW1026" t="inlineStr">
        <is>
          <t>701+</t>
        </is>
      </c>
      <c r="AX1026" t="inlineStr">
        <is>
          <t>10.4</t>
        </is>
      </c>
      <c r="AY1026" t="inlineStr">
        <is>
          <t>701+</t>
        </is>
      </c>
      <c r="AZ1026" t="inlineStr">
        <is>
          <t>3.4</t>
        </is>
      </c>
      <c r="BA1026" t="inlineStr">
        <is>
          <t>701+</t>
        </is>
      </c>
    </row>
    <row r="1027">
      <c r="A1027" t="inlineStr">
        <is>
          <t>Telkom University (aka Telkom Institute of Technology)</t>
        </is>
      </c>
      <c r="B1027" t="inlineStr">
        <is>
          <t>Indonesia</t>
        </is>
      </c>
      <c r="C1027" t="inlineStr"/>
      <c r="D1027" t="inlineStr">
        <is>
          <t>Asia</t>
        </is>
      </c>
      <c r="E1027" t="inlineStr">
        <is>
          <t>L</t>
        </is>
      </c>
      <c r="F1027" t="inlineStr">
        <is>
          <t>SP</t>
        </is>
      </c>
      <c r="G1027" t="inlineStr">
        <is>
          <t>VH</t>
        </is>
      </c>
      <c r="H1027" t="inlineStr"/>
      <c r="I1027" t="inlineStr">
        <is>
          <t>Private for Profit</t>
        </is>
      </c>
      <c r="J1027" t="inlineStr">
        <is>
          <t>1001-1200</t>
        </is>
      </c>
      <c r="K1027" t="inlineStr">
        <is>
          <t>1001-1200</t>
        </is>
      </c>
      <c r="L1027" t="inlineStr"/>
      <c r="M1027" t="inlineStr"/>
      <c r="N1027" t="inlineStr">
        <is>
          <t>-</t>
        </is>
      </c>
      <c r="O1027" t="inlineStr"/>
      <c r="P1027" t="n">
        <v>13.6</v>
      </c>
      <c r="Q1027" t="inlineStr">
        <is>
          <t>701+</t>
        </is>
      </c>
      <c r="R1027" t="n">
        <v>14.7</v>
      </c>
      <c r="S1027" t="inlineStr">
        <is>
          <t>701+</t>
        </is>
      </c>
      <c r="T1027" t="n">
        <v>23.3</v>
      </c>
      <c r="U1027" t="inlineStr">
        <is>
          <t>768</t>
        </is>
      </c>
      <c r="V1027" t="n">
        <v>2.5</v>
      </c>
      <c r="W1027" t="inlineStr">
        <is>
          <t>801+</t>
        </is>
      </c>
      <c r="X1027" t="n">
        <v>53.5</v>
      </c>
      <c r="Y1027" t="inlineStr">
        <is>
          <t>423</t>
        </is>
      </c>
      <c r="Z1027" t="n">
        <v>12.1</v>
      </c>
      <c r="AA1027" t="inlineStr">
        <is>
          <t>801+</t>
        </is>
      </c>
      <c r="AB1027" t="n">
        <v>17</v>
      </c>
      <c r="AC1027" t="inlineStr">
        <is>
          <t>801+</t>
        </is>
      </c>
      <c r="AD1027" t="n">
        <v>15.5</v>
      </c>
      <c r="AE1027" t="inlineStr">
        <is>
          <t>801+</t>
        </is>
      </c>
      <c r="AF1027" t="n">
        <v>11.6</v>
      </c>
      <c r="AG1027" t="inlineStr">
        <is>
          <t>801+</t>
        </is>
      </c>
      <c r="AH1027" t="n">
        <v>36.3</v>
      </c>
      <c r="AI1027" t="inlineStr">
        <is>
          <t>801+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</row>
    <row r="1028">
      <c r="A1028" t="inlineStr">
        <is>
          <t>Temple University</t>
        </is>
      </c>
      <c r="B1028" t="inlineStr">
        <is>
          <t>United States</t>
        </is>
      </c>
      <c r="C1028" t="inlineStr">
        <is>
          <t>US</t>
        </is>
      </c>
      <c r="D1028" t="inlineStr">
        <is>
          <t>Americas</t>
        </is>
      </c>
      <c r="E1028" t="inlineStr">
        <is>
          <t>L</t>
        </is>
      </c>
      <c r="F1028" t="inlineStr">
        <is>
          <t>FC</t>
        </is>
      </c>
      <c r="G1028" t="inlineStr">
        <is>
          <t>VH</t>
        </is>
      </c>
      <c r="H1028" t="inlineStr">
        <is>
          <t>5</t>
        </is>
      </c>
      <c r="I1028" t="inlineStr">
        <is>
          <t>Public</t>
        </is>
      </c>
      <c r="J1028" t="inlineStr">
        <is>
          <t>721-730</t>
        </is>
      </c>
      <c r="K1028" t="inlineStr">
        <is>
          <t>681-690</t>
        </is>
      </c>
      <c r="L1028" t="inlineStr">
        <is>
          <t>721-730</t>
        </is>
      </c>
      <c r="M1028" t="inlineStr">
        <is>
          <t>751-800</t>
        </is>
      </c>
      <c r="N1028" t="inlineStr">
        <is>
          <t>-</t>
        </is>
      </c>
      <c r="O1028" t="inlineStr">
        <is>
          <t>-</t>
        </is>
      </c>
      <c r="P1028" t="n">
        <v>16.8</v>
      </c>
      <c r="Q1028" t="inlineStr">
        <is>
          <t>701+</t>
        </is>
      </c>
      <c r="R1028" t="n">
        <v>15</v>
      </c>
      <c r="S1028" t="inlineStr">
        <is>
          <t>701+</t>
        </is>
      </c>
      <c r="T1028" t="n">
        <v>37.9</v>
      </c>
      <c r="U1028" t="inlineStr">
        <is>
          <t>534</t>
        </is>
      </c>
      <c r="V1028" t="n">
        <v>24.6</v>
      </c>
      <c r="W1028" t="inlineStr">
        <is>
          <t>647</t>
        </is>
      </c>
      <c r="X1028" t="n">
        <v>4.4</v>
      </c>
      <c r="Y1028" t="inlineStr">
        <is>
          <t>801+</t>
        </is>
      </c>
      <c r="Z1028" t="n">
        <v>11.6</v>
      </c>
      <c r="AA1028" t="inlineStr">
        <is>
          <t>801+</t>
        </is>
      </c>
      <c r="AB1028" t="n">
        <v>17.5</v>
      </c>
      <c r="AC1028" t="inlineStr">
        <is>
          <t>801+</t>
        </is>
      </c>
      <c r="AD1028" t="n">
        <v>64.7</v>
      </c>
      <c r="AE1028" t="inlineStr">
        <is>
          <t>625</t>
        </is>
      </c>
      <c r="AF1028" t="n">
        <v>38.7</v>
      </c>
      <c r="AG1028" t="inlineStr">
        <is>
          <t>447</t>
        </is>
      </c>
      <c r="AH1028" t="n">
        <v>72.09999999999999</v>
      </c>
      <c r="AI1028" t="inlineStr">
        <is>
          <t>291=</t>
        </is>
      </c>
      <c r="AJ1028" t="inlineStr">
        <is>
          <t>12.5</t>
        </is>
      </c>
      <c r="AK1028" t="inlineStr">
        <is>
          <t>601+</t>
        </is>
      </c>
      <c r="AL1028" t="inlineStr">
        <is>
          <t>7.9</t>
        </is>
      </c>
      <c r="AM1028" t="inlineStr">
        <is>
          <t>601+</t>
        </is>
      </c>
      <c r="AN1028" t="inlineStr">
        <is>
          <t>26.4</t>
        </is>
      </c>
      <c r="AO1028" t="inlineStr">
        <is>
          <t>565</t>
        </is>
      </c>
      <c r="AP1028" t="inlineStr">
        <is>
          <t>18.8</t>
        </is>
      </c>
      <c r="AQ1028" t="inlineStr">
        <is>
          <t>570</t>
        </is>
      </c>
      <c r="AR1028" t="inlineStr">
        <is>
          <t>3.4</t>
        </is>
      </c>
      <c r="AS1028" t="inlineStr">
        <is>
          <t>701+</t>
        </is>
      </c>
      <c r="AT1028" t="inlineStr">
        <is>
          <t>5.7</t>
        </is>
      </c>
      <c r="AU1028" t="inlineStr">
        <is>
          <t>701+</t>
        </is>
      </c>
      <c r="AV1028" t="inlineStr">
        <is>
          <t>48.1</t>
        </is>
      </c>
      <c r="AW1028" t="inlineStr">
        <is>
          <t>326</t>
        </is>
      </c>
      <c r="AX1028" t="inlineStr">
        <is>
          <t>18.3</t>
        </is>
      </c>
      <c r="AY1028" t="inlineStr">
        <is>
          <t>455</t>
        </is>
      </c>
      <c r="AZ1028" t="inlineStr">
        <is>
          <t>23</t>
        </is>
      </c>
      <c r="BA1028" t="inlineStr">
        <is>
          <t>514=</t>
        </is>
      </c>
    </row>
    <row r="1029">
      <c r="A1029" t="inlineStr">
        <is>
          <t>Texas A&amp;M University</t>
        </is>
      </c>
      <c r="B1029" t="inlineStr">
        <is>
          <t>United States</t>
        </is>
      </c>
      <c r="C1029" t="inlineStr">
        <is>
          <t>US</t>
        </is>
      </c>
      <c r="D1029" t="inlineStr">
        <is>
          <t>Americas</t>
        </is>
      </c>
      <c r="E1029" t="inlineStr">
        <is>
          <t>XL</t>
        </is>
      </c>
      <c r="F1029" t="inlineStr">
        <is>
          <t>FC</t>
        </is>
      </c>
      <c r="G1029" t="inlineStr">
        <is>
          <t>VH</t>
        </is>
      </c>
      <c r="H1029" t="inlineStr">
        <is>
          <t>5</t>
        </is>
      </c>
      <c r="I1029" t="inlineStr">
        <is>
          <t>Public</t>
        </is>
      </c>
      <c r="J1029" t="inlineStr">
        <is>
          <t>144</t>
        </is>
      </c>
      <c r="K1029" t="inlineStr">
        <is>
          <t>154</t>
        </is>
      </c>
      <c r="L1029">
        <f>134</f>
        <v/>
      </c>
      <c r="M1029" t="inlineStr">
        <is>
          <t>164=</t>
        </is>
      </c>
      <c r="N1029" t="inlineStr">
        <is>
          <t>63</t>
        </is>
      </c>
      <c r="O1029" t="inlineStr">
        <is>
          <t>52.9</t>
        </is>
      </c>
      <c r="P1029" t="n">
        <v>72.90000000000001</v>
      </c>
      <c r="Q1029" t="inlineStr">
        <is>
          <t>124</t>
        </is>
      </c>
      <c r="R1029" t="n">
        <v>81.5</v>
      </c>
      <c r="S1029" t="inlineStr">
        <is>
          <t>101</t>
        </is>
      </c>
      <c r="T1029" t="n">
        <v>6.2</v>
      </c>
      <c r="U1029" t="inlineStr">
        <is>
          <t>801+</t>
        </is>
      </c>
      <c r="V1029" t="n">
        <v>75.5</v>
      </c>
      <c r="W1029" t="inlineStr">
        <is>
          <t>175</t>
        </is>
      </c>
      <c r="X1029" t="n">
        <v>28</v>
      </c>
      <c r="Y1029" t="inlineStr">
        <is>
          <t>608</t>
        </is>
      </c>
      <c r="Z1029" t="n">
        <v>20.7</v>
      </c>
      <c r="AA1029" t="inlineStr">
        <is>
          <t>717</t>
        </is>
      </c>
      <c r="AB1029" t="n">
        <v>15.6</v>
      </c>
      <c r="AC1029" t="inlineStr">
        <is>
          <t>801+</t>
        </is>
      </c>
      <c r="AD1029" t="n">
        <v>93</v>
      </c>
      <c r="AE1029" t="inlineStr">
        <is>
          <t>124</t>
        </is>
      </c>
      <c r="AF1029" t="n">
        <v>63.8</v>
      </c>
      <c r="AG1029" t="inlineStr">
        <is>
          <t>244</t>
        </is>
      </c>
      <c r="AH1029" t="n">
        <v>61</v>
      </c>
      <c r="AI1029" t="inlineStr">
        <is>
          <t>480=</t>
        </is>
      </c>
      <c r="AJ1029" t="inlineStr">
        <is>
          <t>62.0</t>
        </is>
      </c>
      <c r="AK1029" t="inlineStr">
        <is>
          <t>112</t>
        </is>
      </c>
      <c r="AL1029" t="inlineStr">
        <is>
          <t>59.6</t>
        </is>
      </c>
      <c r="AM1029" t="inlineStr">
        <is>
          <t>135</t>
        </is>
      </c>
      <c r="AN1029" t="inlineStr">
        <is>
          <t>4.5</t>
        </is>
      </c>
      <c r="AO1029" t="inlineStr">
        <is>
          <t>701+</t>
        </is>
      </c>
      <c r="AP1029" t="inlineStr">
        <is>
          <t>68.4</t>
        </is>
      </c>
      <c r="AQ1029" t="inlineStr">
        <is>
          <t>152</t>
        </is>
      </c>
      <c r="AR1029" t="inlineStr">
        <is>
          <t>23.1</t>
        </is>
      </c>
      <c r="AS1029" t="inlineStr">
        <is>
          <t>564</t>
        </is>
      </c>
      <c r="AT1029" t="inlineStr">
        <is>
          <t>13.3</t>
        </is>
      </c>
      <c r="AU1029" t="inlineStr">
        <is>
          <t>656</t>
        </is>
      </c>
      <c r="AV1029" t="inlineStr">
        <is>
          <t>88.4</t>
        </is>
      </c>
      <c r="AW1029" t="inlineStr">
        <is>
          <t>93</t>
        </is>
      </c>
      <c r="AX1029" t="inlineStr">
        <is>
          <t>30.1</t>
        </is>
      </c>
      <c r="AY1029" t="inlineStr">
        <is>
          <t>259</t>
        </is>
      </c>
      <c r="AZ1029" t="inlineStr">
        <is>
          <t>61.3</t>
        </is>
      </c>
      <c r="BA1029" t="inlineStr">
        <is>
          <t>246=</t>
        </is>
      </c>
    </row>
    <row r="1030">
      <c r="A1030" t="inlineStr">
        <is>
          <t>Texas Tech University</t>
        </is>
      </c>
      <c r="B1030" t="inlineStr">
        <is>
          <t>United States</t>
        </is>
      </c>
      <c r="C1030" t="inlineStr">
        <is>
          <t>US</t>
        </is>
      </c>
      <c r="D1030" t="inlineStr">
        <is>
          <t>Americas</t>
        </is>
      </c>
      <c r="E1030" t="inlineStr">
        <is>
          <t>XL</t>
        </is>
      </c>
      <c r="F1030" t="inlineStr">
        <is>
          <t>FC</t>
        </is>
      </c>
      <c r="G1030" t="inlineStr">
        <is>
          <t>HI</t>
        </is>
      </c>
      <c r="H1030" t="inlineStr">
        <is>
          <t>5</t>
        </is>
      </c>
      <c r="I1030" t="inlineStr">
        <is>
          <t>Public</t>
        </is>
      </c>
      <c r="J1030" t="inlineStr">
        <is>
          <t>731-740</t>
        </is>
      </c>
      <c r="K1030" t="inlineStr">
        <is>
          <t>781-790</t>
        </is>
      </c>
      <c r="L1030" t="inlineStr">
        <is>
          <t>801-850</t>
        </is>
      </c>
      <c r="M1030" t="inlineStr">
        <is>
          <t>1001-1200</t>
        </is>
      </c>
      <c r="N1030" t="inlineStr">
        <is>
          <t>-</t>
        </is>
      </c>
      <c r="O1030" t="inlineStr">
        <is>
          <t>-</t>
        </is>
      </c>
      <c r="P1030" t="n">
        <v>14.5</v>
      </c>
      <c r="Q1030" t="inlineStr">
        <is>
          <t>701+</t>
        </is>
      </c>
      <c r="R1030" t="n">
        <v>26.9</v>
      </c>
      <c r="S1030" t="inlineStr">
        <is>
          <t>509</t>
        </is>
      </c>
      <c r="T1030" t="n">
        <v>10</v>
      </c>
      <c r="U1030" t="inlineStr">
        <is>
          <t>801+</t>
        </is>
      </c>
      <c r="V1030" t="n">
        <v>18.8</v>
      </c>
      <c r="W1030" t="inlineStr">
        <is>
          <t>739</t>
        </is>
      </c>
      <c r="X1030" t="n">
        <v>63.8</v>
      </c>
      <c r="Y1030" t="inlineStr">
        <is>
          <t>364</t>
        </is>
      </c>
      <c r="Z1030" t="n">
        <v>17.4</v>
      </c>
      <c r="AA1030" t="inlineStr">
        <is>
          <t>777</t>
        </is>
      </c>
      <c r="AB1030" t="n">
        <v>23.5</v>
      </c>
      <c r="AC1030" t="inlineStr">
        <is>
          <t>714</t>
        </is>
      </c>
      <c r="AD1030" t="n">
        <v>70.59999999999999</v>
      </c>
      <c r="AE1030" t="inlineStr">
        <is>
          <t>517</t>
        </is>
      </c>
      <c r="AF1030" t="n">
        <v>28.1</v>
      </c>
      <c r="AG1030" t="inlineStr">
        <is>
          <t>591</t>
        </is>
      </c>
      <c r="AH1030" t="n">
        <v>66.09999999999999</v>
      </c>
      <c r="AI1030" t="inlineStr">
        <is>
          <t>376=</t>
        </is>
      </c>
      <c r="AJ1030" t="inlineStr">
        <is>
          <t>11.0</t>
        </is>
      </c>
      <c r="AK1030" t="inlineStr">
        <is>
          <t>601+</t>
        </is>
      </c>
      <c r="AL1030" t="inlineStr">
        <is>
          <t>11.8</t>
        </is>
      </c>
      <c r="AM1030" t="inlineStr">
        <is>
          <t>601+</t>
        </is>
      </c>
      <c r="AN1030" t="inlineStr">
        <is>
          <t>5.0</t>
        </is>
      </c>
      <c r="AO1030" t="inlineStr">
        <is>
          <t>701+</t>
        </is>
      </c>
      <c r="AP1030" t="inlineStr">
        <is>
          <t>15.3</t>
        </is>
      </c>
      <c r="AQ1030" t="inlineStr">
        <is>
          <t>625</t>
        </is>
      </c>
      <c r="AR1030" t="inlineStr">
        <is>
          <t>8.5</t>
        </is>
      </c>
      <c r="AS1030" t="inlineStr">
        <is>
          <t>701+</t>
        </is>
      </c>
      <c r="AT1030" t="inlineStr">
        <is>
          <t>7.1</t>
        </is>
      </c>
      <c r="AU1030" t="inlineStr">
        <is>
          <t>701+</t>
        </is>
      </c>
      <c r="AV1030" t="inlineStr">
        <is>
          <t>20.3</t>
        </is>
      </c>
      <c r="AW1030" t="inlineStr">
        <is>
          <t>541</t>
        </is>
      </c>
      <c r="AX1030" t="inlineStr">
        <is>
          <t>13.7</t>
        </is>
      </c>
      <c r="AY1030" t="inlineStr">
        <is>
          <t>622</t>
        </is>
      </c>
      <c r="AZ1030" t="inlineStr">
        <is>
          <t>56.1</t>
        </is>
      </c>
      <c r="BA1030" t="inlineStr">
        <is>
          <t>270</t>
        </is>
      </c>
    </row>
    <row r="1031">
      <c r="A1031" t="inlineStr">
        <is>
          <t>Thammasat University</t>
        </is>
      </c>
      <c r="B1031" t="inlineStr">
        <is>
          <t>Thailand</t>
        </is>
      </c>
      <c r="C1031" t="inlineStr">
        <is>
          <t>TH</t>
        </is>
      </c>
      <c r="D1031" t="inlineStr">
        <is>
          <t>Asia</t>
        </is>
      </c>
      <c r="E1031" t="inlineStr">
        <is>
          <t>XL</t>
        </is>
      </c>
      <c r="F1031" t="inlineStr">
        <is>
          <t>FC</t>
        </is>
      </c>
      <c r="G1031" t="inlineStr">
        <is>
          <t>HI</t>
        </is>
      </c>
      <c r="H1031" t="inlineStr">
        <is>
          <t>4</t>
        </is>
      </c>
      <c r="I1031" t="inlineStr">
        <is>
          <t>Public</t>
        </is>
      </c>
      <c r="J1031" t="inlineStr">
        <is>
          <t>551</t>
        </is>
      </c>
      <c r="K1031" t="inlineStr">
        <is>
          <t>596</t>
        </is>
      </c>
      <c r="L1031">
        <f>600</f>
        <v/>
      </c>
      <c r="M1031" t="inlineStr">
        <is>
          <t>651-700</t>
        </is>
      </c>
      <c r="N1031" t="inlineStr">
        <is>
          <t>29.9</t>
        </is>
      </c>
      <c r="O1031" t="inlineStr">
        <is>
          <t>19.8</t>
        </is>
      </c>
      <c r="P1031" t="n">
        <v>36.7</v>
      </c>
      <c r="Q1031" t="inlineStr">
        <is>
          <t>329</t>
        </is>
      </c>
      <c r="R1031" t="n">
        <v>38.3</v>
      </c>
      <c r="S1031" t="inlineStr">
        <is>
          <t>365</t>
        </is>
      </c>
      <c r="T1031" t="n">
        <v>27.2</v>
      </c>
      <c r="U1031" t="inlineStr">
        <is>
          <t>694</t>
        </is>
      </c>
      <c r="V1031" t="n">
        <v>3.9</v>
      </c>
      <c r="W1031" t="inlineStr">
        <is>
          <t>801+</t>
        </is>
      </c>
      <c r="X1031" t="n">
        <v>15.9</v>
      </c>
      <c r="Y1031" t="inlineStr">
        <is>
          <t>779</t>
        </is>
      </c>
      <c r="Z1031" t="n">
        <v>2.2</v>
      </c>
      <c r="AA1031" t="inlineStr">
        <is>
          <t>801+</t>
        </is>
      </c>
      <c r="AB1031" t="n">
        <v>6.9</v>
      </c>
      <c r="AC1031" t="inlineStr">
        <is>
          <t>801+</t>
        </is>
      </c>
      <c r="AD1031" t="n">
        <v>45.7</v>
      </c>
      <c r="AE1031" t="inlineStr">
        <is>
          <t>801+</t>
        </is>
      </c>
      <c r="AF1031" t="n">
        <v>90.59999999999999</v>
      </c>
      <c r="AG1031" t="inlineStr">
        <is>
          <t>100</t>
        </is>
      </c>
      <c r="AH1031" t="n">
        <v>60.7</v>
      </c>
      <c r="AI1031" t="inlineStr">
        <is>
          <t>494=</t>
        </is>
      </c>
      <c r="AJ1031" t="inlineStr">
        <is>
          <t>23.8</t>
        </is>
      </c>
      <c r="AK1031" t="inlineStr">
        <is>
          <t>360</t>
        </is>
      </c>
      <c r="AL1031" t="inlineStr">
        <is>
          <t>26.4</t>
        </is>
      </c>
      <c r="AM1031" t="inlineStr">
        <is>
          <t>365</t>
        </is>
      </c>
      <c r="AN1031" t="inlineStr">
        <is>
          <t>25.1</t>
        </is>
      </c>
      <c r="AO1031" t="inlineStr">
        <is>
          <t>583</t>
        </is>
      </c>
      <c r="AP1031" t="inlineStr">
        <is>
          <t>2.1</t>
        </is>
      </c>
      <c r="AQ1031" t="inlineStr">
        <is>
          <t>701+</t>
        </is>
      </c>
      <c r="AR1031" t="inlineStr">
        <is>
          <t>11.6</t>
        </is>
      </c>
      <c r="AS1031" t="inlineStr">
        <is>
          <t>701+</t>
        </is>
      </c>
      <c r="AT1031" t="inlineStr">
        <is>
          <t>1.7</t>
        </is>
      </c>
      <c r="AU1031" t="inlineStr">
        <is>
          <t>701+</t>
        </is>
      </c>
      <c r="AV1031" t="inlineStr">
        <is>
          <t>2.0</t>
        </is>
      </c>
      <c r="AW1031" t="inlineStr">
        <is>
          <t>701+</t>
        </is>
      </c>
      <c r="AX1031" t="inlineStr">
        <is>
          <t>72.5</t>
        </is>
      </c>
      <c r="AY1031" t="inlineStr">
        <is>
          <t>64</t>
        </is>
      </c>
      <c r="AZ1031" t="inlineStr">
        <is>
          <t>29.4</t>
        </is>
      </c>
      <c r="BA1031" t="inlineStr">
        <is>
          <t>453=</t>
        </is>
      </c>
    </row>
    <row r="1032">
      <c r="A1032" t="inlineStr">
        <is>
          <t>Thapar Institute of Engineering &amp; Technology</t>
        </is>
      </c>
      <c r="B1032" t="inlineStr">
        <is>
          <t>India</t>
        </is>
      </c>
      <c r="C1032" t="inlineStr">
        <is>
          <t>IN</t>
        </is>
      </c>
      <c r="D1032" t="inlineStr">
        <is>
          <t>Asia</t>
        </is>
      </c>
      <c r="E1032" t="inlineStr">
        <is>
          <t>M</t>
        </is>
      </c>
      <c r="F1032" t="inlineStr">
        <is>
          <t>FO</t>
        </is>
      </c>
      <c r="G1032" t="inlineStr">
        <is>
          <t>VH</t>
        </is>
      </c>
      <c r="H1032" t="inlineStr">
        <is>
          <t>4</t>
        </is>
      </c>
      <c r="I1032" t="inlineStr">
        <is>
          <t>Public</t>
        </is>
      </c>
      <c r="J1032" t="inlineStr">
        <is>
          <t>771-780</t>
        </is>
      </c>
      <c r="K1032" t="inlineStr">
        <is>
          <t>851-900</t>
        </is>
      </c>
      <c r="L1032" t="inlineStr">
        <is>
          <t>951-1000</t>
        </is>
      </c>
      <c r="M1032" t="inlineStr">
        <is>
          <t>1001-1200</t>
        </is>
      </c>
      <c r="N1032" t="inlineStr">
        <is>
          <t>-</t>
        </is>
      </c>
      <c r="O1032" t="inlineStr">
        <is>
          <t>-</t>
        </is>
      </c>
      <c r="P1032" t="n">
        <v>4</v>
      </c>
      <c r="Q1032" t="inlineStr">
        <is>
          <t>701+</t>
        </is>
      </c>
      <c r="R1032" t="n">
        <v>9.300000000000001</v>
      </c>
      <c r="S1032" t="inlineStr">
        <is>
          <t>701+</t>
        </is>
      </c>
      <c r="T1032" t="n">
        <v>14.3</v>
      </c>
      <c r="U1032" t="inlineStr">
        <is>
          <t>801+</t>
        </is>
      </c>
      <c r="V1032" t="n">
        <v>71.2</v>
      </c>
      <c r="W1032" t="inlineStr">
        <is>
          <t>206</t>
        </is>
      </c>
      <c r="X1032" t="n">
        <v>17.1</v>
      </c>
      <c r="Y1032" t="inlineStr">
        <is>
          <t>763</t>
        </is>
      </c>
      <c r="Z1032" t="n">
        <v>4.7</v>
      </c>
      <c r="AA1032" t="inlineStr">
        <is>
          <t>801+</t>
        </is>
      </c>
      <c r="AB1032" t="n">
        <v>8.699999999999999</v>
      </c>
      <c r="AC1032" t="inlineStr">
        <is>
          <t>801+</t>
        </is>
      </c>
      <c r="AD1032" t="n">
        <v>33.7</v>
      </c>
      <c r="AE1032" t="inlineStr">
        <is>
          <t>801+</t>
        </is>
      </c>
      <c r="AF1032" t="n">
        <v>11.6</v>
      </c>
      <c r="AG1032" t="inlineStr">
        <is>
          <t>801+</t>
        </is>
      </c>
      <c r="AH1032" t="n">
        <v>58.5</v>
      </c>
      <c r="AI1032" t="inlineStr">
        <is>
          <t>534=</t>
        </is>
      </c>
      <c r="AJ1032" t="inlineStr">
        <is>
          <t>3.8</t>
        </is>
      </c>
      <c r="AK1032" t="inlineStr">
        <is>
          <t>601+</t>
        </is>
      </c>
      <c r="AL1032" t="inlineStr">
        <is>
          <t>4.0</t>
        </is>
      </c>
      <c r="AM1032" t="inlineStr">
        <is>
          <t>601+</t>
        </is>
      </c>
      <c r="AN1032" t="inlineStr">
        <is>
          <t>7.9</t>
        </is>
      </c>
      <c r="AO1032" t="inlineStr">
        <is>
          <t>701+</t>
        </is>
      </c>
      <c r="AP1032" t="inlineStr">
        <is>
          <t>36.9</t>
        </is>
      </c>
      <c r="AQ1032" t="inlineStr">
        <is>
          <t>379</t>
        </is>
      </c>
      <c r="AR1032" t="inlineStr">
        <is>
          <t>3.7</t>
        </is>
      </c>
      <c r="AS1032" t="inlineStr">
        <is>
          <t>701+</t>
        </is>
      </c>
      <c r="AT1032" t="inlineStr">
        <is>
          <t>1.6</t>
        </is>
      </c>
      <c r="AU1032" t="inlineStr">
        <is>
          <t>701+</t>
        </is>
      </c>
      <c r="AV1032" t="inlineStr">
        <is>
          <t>1.6</t>
        </is>
      </c>
      <c r="AW1032" t="inlineStr">
        <is>
          <t>701+</t>
        </is>
      </c>
      <c r="AX1032" t="inlineStr">
        <is>
          <t>8.7</t>
        </is>
      </c>
      <c r="AY1032" t="inlineStr">
        <is>
          <t>701+</t>
        </is>
      </c>
      <c r="AZ1032" t="inlineStr">
        <is>
          <t>1.2</t>
        </is>
      </c>
      <c r="BA1032" t="inlineStr">
        <is>
          <t>701+</t>
        </is>
      </c>
    </row>
    <row r="1033">
      <c r="A1033" t="inlineStr">
        <is>
          <t>The American University in Cairo</t>
        </is>
      </c>
      <c r="B1033" t="inlineStr">
        <is>
          <t>Egypt</t>
        </is>
      </c>
      <c r="C1033" t="inlineStr">
        <is>
          <t>EG</t>
        </is>
      </c>
      <c r="D1033" t="inlineStr">
        <is>
          <t>Africa</t>
        </is>
      </c>
      <c r="E1033" t="inlineStr">
        <is>
          <t>M</t>
        </is>
      </c>
      <c r="F1033" t="inlineStr">
        <is>
          <t>CO</t>
        </is>
      </c>
      <c r="G1033" t="inlineStr">
        <is>
          <t>VH</t>
        </is>
      </c>
      <c r="H1033" t="inlineStr">
        <is>
          <t>5</t>
        </is>
      </c>
      <c r="I1033" t="inlineStr">
        <is>
          <t>Private not for Profit</t>
        </is>
      </c>
      <c r="J1033" t="inlineStr">
        <is>
          <t>381</t>
        </is>
      </c>
      <c r="K1033" t="inlineStr">
        <is>
          <t>410</t>
        </is>
      </c>
      <c r="L1033">
        <f>415</f>
        <v/>
      </c>
      <c r="M1033" t="inlineStr">
        <is>
          <t>416=</t>
        </is>
      </c>
      <c r="N1033" t="inlineStr">
        <is>
          <t>39.4</t>
        </is>
      </c>
      <c r="O1033" t="inlineStr">
        <is>
          <t>27.0</t>
        </is>
      </c>
      <c r="P1033" t="n">
        <v>40.8</v>
      </c>
      <c r="Q1033" t="inlineStr">
        <is>
          <t>292</t>
        </is>
      </c>
      <c r="R1033" t="n">
        <v>46.9</v>
      </c>
      <c r="S1033" t="inlineStr">
        <is>
          <t>278</t>
        </is>
      </c>
      <c r="T1033" t="n">
        <v>39</v>
      </c>
      <c r="U1033" t="inlineStr">
        <is>
          <t>521</t>
        </is>
      </c>
      <c r="V1033" t="n">
        <v>12.2</v>
      </c>
      <c r="W1033" t="inlineStr">
        <is>
          <t>801+</t>
        </is>
      </c>
      <c r="X1033" t="n">
        <v>98</v>
      </c>
      <c r="Y1033" t="inlineStr">
        <is>
          <t>141</t>
        </is>
      </c>
      <c r="Z1033" t="n">
        <v>7.1</v>
      </c>
      <c r="AA1033" t="inlineStr">
        <is>
          <t>801+</t>
        </is>
      </c>
      <c r="AB1033" t="n">
        <v>11.7</v>
      </c>
      <c r="AC1033" t="inlineStr">
        <is>
          <t>801+</t>
        </is>
      </c>
      <c r="AD1033" t="n">
        <v>46.8</v>
      </c>
      <c r="AE1033" t="inlineStr">
        <is>
          <t>801+</t>
        </is>
      </c>
      <c r="AF1033" t="n">
        <v>88.59999999999999</v>
      </c>
      <c r="AG1033" t="inlineStr">
        <is>
          <t>118</t>
        </is>
      </c>
      <c r="AH1033" t="n">
        <v>51.6</v>
      </c>
      <c r="AI1033" t="inlineStr">
        <is>
          <t>669=</t>
        </is>
      </c>
      <c r="AJ1033" t="inlineStr">
        <is>
          <t>30.3</t>
        </is>
      </c>
      <c r="AK1033" t="inlineStr">
        <is>
          <t>287</t>
        </is>
      </c>
      <c r="AL1033" t="inlineStr">
        <is>
          <t>23.8</t>
        </is>
      </c>
      <c r="AM1033" t="inlineStr">
        <is>
          <t>405</t>
        </is>
      </c>
      <c r="AN1033" t="inlineStr">
        <is>
          <t>42.8</t>
        </is>
      </c>
      <c r="AO1033" t="inlineStr">
        <is>
          <t>368</t>
        </is>
      </c>
      <c r="AP1033" t="inlineStr">
        <is>
          <t>4.6</t>
        </is>
      </c>
      <c r="AQ1033" t="inlineStr">
        <is>
          <t>701+</t>
        </is>
      </c>
      <c r="AR1033" t="inlineStr">
        <is>
          <t>97.9</t>
        </is>
      </c>
      <c r="AS1033" t="inlineStr">
        <is>
          <t>115</t>
        </is>
      </c>
      <c r="AT1033" t="inlineStr">
        <is>
          <t>3.9</t>
        </is>
      </c>
      <c r="AU1033" t="inlineStr">
        <is>
          <t>701+</t>
        </is>
      </c>
      <c r="AV1033" t="inlineStr">
        <is>
          <t>1.4</t>
        </is>
      </c>
      <c r="AW1033" t="inlineStr">
        <is>
          <t>701+</t>
        </is>
      </c>
      <c r="AX1033" t="inlineStr">
        <is>
          <t>63.3</t>
        </is>
      </c>
      <c r="AY1033" t="inlineStr">
        <is>
          <t>92</t>
        </is>
      </c>
      <c r="AZ1033" t="inlineStr">
        <is>
          <t>16.3</t>
        </is>
      </c>
      <c r="BA1033" t="inlineStr">
        <is>
          <t>588=</t>
        </is>
      </c>
    </row>
    <row r="1034">
      <c r="A1034" t="inlineStr">
        <is>
          <t>The Australian National University</t>
        </is>
      </c>
      <c r="B1034" t="inlineStr">
        <is>
          <t>Australia</t>
        </is>
      </c>
      <c r="C1034" t="inlineStr">
        <is>
          <t>AU</t>
        </is>
      </c>
      <c r="D1034" t="inlineStr"/>
      <c r="E1034" t="inlineStr">
        <is>
          <t>L</t>
        </is>
      </c>
      <c r="F1034" t="inlineStr">
        <is>
          <t>FC</t>
        </is>
      </c>
      <c r="G1034" t="inlineStr">
        <is>
          <t>VH</t>
        </is>
      </c>
      <c r="H1034" t="inlineStr">
        <is>
          <t>4</t>
        </is>
      </c>
      <c r="I1034" t="inlineStr">
        <is>
          <t>A</t>
        </is>
      </c>
      <c r="J1034" t="inlineStr"/>
      <c r="K1034" t="inlineStr"/>
      <c r="L1034">
        <f>34</f>
        <v/>
      </c>
      <c r="M1034" t="inlineStr">
        <is>
          <t>30</t>
        </is>
      </c>
      <c r="N1034" t="inlineStr"/>
      <c r="O1034" t="inlineStr">
        <is>
          <t>81.5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>
        <is>
          <t>93.2</t>
        </is>
      </c>
      <c r="AK1034" t="inlineStr">
        <is>
          <t>37</t>
        </is>
      </c>
      <c r="AL1034" t="inlineStr">
        <is>
          <t>70.2</t>
        </is>
      </c>
      <c r="AM1034" t="inlineStr">
        <is>
          <t>102</t>
        </is>
      </c>
      <c r="AN1034" t="inlineStr">
        <is>
          <t>34.9</t>
        </is>
      </c>
      <c r="AO1034" t="inlineStr">
        <is>
          <t>455</t>
        </is>
      </c>
      <c r="AP1034" t="inlineStr">
        <is>
          <t>92.8</t>
        </is>
      </c>
      <c r="AQ1034" t="inlineStr">
        <is>
          <t>65</t>
        </is>
      </c>
      <c r="AR1034" t="inlineStr">
        <is>
          <t>100.0</t>
        </is>
      </c>
      <c r="AS1034" t="inlineStr">
        <is>
          <t>38</t>
        </is>
      </c>
      <c r="AT1034" t="inlineStr">
        <is>
          <t>93.3</t>
        </is>
      </c>
      <c r="AU1034" t="inlineStr">
        <is>
          <t>97</t>
        </is>
      </c>
      <c r="AV1034" t="inlineStr">
        <is>
          <t>78.5</t>
        </is>
      </c>
      <c r="AW1034" t="inlineStr">
        <is>
          <t>156</t>
        </is>
      </c>
      <c r="AX1034" t="inlineStr">
        <is>
          <t>43.9</t>
        </is>
      </c>
      <c r="AY1034" t="inlineStr">
        <is>
          <t>164</t>
        </is>
      </c>
      <c r="AZ1034" t="inlineStr">
        <is>
          <t>87.4</t>
        </is>
      </c>
      <c r="BA1034" t="inlineStr">
        <is>
          <t>108=</t>
        </is>
      </c>
    </row>
    <row r="1035">
      <c r="A1035" t="inlineStr">
        <is>
          <t>The Catholic University of Korea</t>
        </is>
      </c>
      <c r="B1035" t="inlineStr">
        <is>
          <t>Republic of Korea</t>
        </is>
      </c>
      <c r="C1035" t="inlineStr"/>
      <c r="D1035" t="inlineStr">
        <is>
          <t>Asia</t>
        </is>
      </c>
      <c r="E1035" t="inlineStr">
        <is>
          <t>M</t>
        </is>
      </c>
      <c r="F1035" t="inlineStr">
        <is>
          <t>FC</t>
        </is>
      </c>
      <c r="G1035" t="inlineStr">
        <is>
          <t>VH</t>
        </is>
      </c>
      <c r="H1035" t="inlineStr"/>
      <c r="I1035" t="inlineStr">
        <is>
          <t>Private not for Profit</t>
        </is>
      </c>
      <c r="J1035" t="inlineStr">
        <is>
          <t>741-750</t>
        </is>
      </c>
      <c r="K1035" t="inlineStr">
        <is>
          <t>801-850</t>
        </is>
      </c>
      <c r="L1035" t="inlineStr"/>
      <c r="M1035" t="inlineStr"/>
      <c r="N1035" t="inlineStr">
        <is>
          <t>-</t>
        </is>
      </c>
      <c r="O1035" t="inlineStr"/>
      <c r="P1035" t="n">
        <v>7.9</v>
      </c>
      <c r="Q1035" t="inlineStr">
        <is>
          <t>701+</t>
        </is>
      </c>
      <c r="R1035" t="n">
        <v>6</v>
      </c>
      <c r="S1035" t="inlineStr">
        <is>
          <t>701+</t>
        </is>
      </c>
      <c r="T1035" t="n">
        <v>97.40000000000001</v>
      </c>
      <c r="U1035" t="inlineStr">
        <is>
          <t>61</t>
        </is>
      </c>
      <c r="V1035" t="n">
        <v>31</v>
      </c>
      <c r="W1035" t="inlineStr">
        <is>
          <t>576</t>
        </is>
      </c>
      <c r="X1035" t="n">
        <v>4.7</v>
      </c>
      <c r="Y1035" t="inlineStr">
        <is>
          <t>801+</t>
        </is>
      </c>
      <c r="Z1035" t="n">
        <v>52.9</v>
      </c>
      <c r="AA1035" t="inlineStr">
        <is>
          <t>390</t>
        </is>
      </c>
      <c r="AB1035" t="n">
        <v>47.1</v>
      </c>
      <c r="AC1035" t="inlineStr">
        <is>
          <t>441</t>
        </is>
      </c>
      <c r="AD1035" t="n">
        <v>14.3</v>
      </c>
      <c r="AE1035" t="inlineStr">
        <is>
          <t>801+</t>
        </is>
      </c>
      <c r="AF1035" t="n">
        <v>1.9</v>
      </c>
      <c r="AG1035" t="inlineStr">
        <is>
          <t>801+</t>
        </is>
      </c>
      <c r="AH1035" t="n">
        <v>44.8</v>
      </c>
      <c r="AI1035" t="inlineStr">
        <is>
          <t>801+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</row>
    <row r="1036">
      <c r="A1036" t="inlineStr">
        <is>
          <t xml:space="preserve">The Catholic University of Korea </t>
        </is>
      </c>
      <c r="B1036" t="inlineStr">
        <is>
          <t>South Korea</t>
        </is>
      </c>
      <c r="C1036" t="inlineStr">
        <is>
          <t>KR</t>
        </is>
      </c>
      <c r="D1036" t="inlineStr"/>
      <c r="E1036" t="inlineStr">
        <is>
          <t>M</t>
        </is>
      </c>
      <c r="F1036" t="inlineStr">
        <is>
          <t>FC</t>
        </is>
      </c>
      <c r="G1036" t="inlineStr">
        <is>
          <t>VH</t>
        </is>
      </c>
      <c r="H1036" t="inlineStr">
        <is>
          <t>3</t>
        </is>
      </c>
      <c r="I1036" t="inlineStr">
        <is>
          <t>B</t>
        </is>
      </c>
      <c r="J1036" t="inlineStr"/>
      <c r="K1036" t="inlineStr"/>
      <c r="L1036" t="inlineStr">
        <is>
          <t>781-790</t>
        </is>
      </c>
      <c r="M1036" t="inlineStr">
        <is>
          <t>494=</t>
        </is>
      </c>
      <c r="N1036" t="inlineStr"/>
      <c r="O1036" t="inlineStr">
        <is>
          <t>-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>
        <is>
          <t>3.6</t>
        </is>
      </c>
      <c r="AK1036" t="inlineStr">
        <is>
          <t>601+</t>
        </is>
      </c>
      <c r="AL1036" t="inlineStr">
        <is>
          <t>2.7</t>
        </is>
      </c>
      <c r="AM1036" t="inlineStr">
        <is>
          <t>601+</t>
        </is>
      </c>
      <c r="AN1036" t="inlineStr">
        <is>
          <t>99.0</t>
        </is>
      </c>
      <c r="AO1036" t="inlineStr">
        <is>
          <t>37</t>
        </is>
      </c>
      <c r="AP1036" t="inlineStr">
        <is>
          <t>12.0</t>
        </is>
      </c>
      <c r="AQ1036" t="inlineStr">
        <is>
          <t>700</t>
        </is>
      </c>
      <c r="AR1036" t="inlineStr">
        <is>
          <t>3.3</t>
        </is>
      </c>
      <c r="AS1036" t="inlineStr">
        <is>
          <t>701+</t>
        </is>
      </c>
      <c r="AT1036" t="inlineStr">
        <is>
          <t>13.0</t>
        </is>
      </c>
      <c r="AU1036" t="inlineStr">
        <is>
          <t>662</t>
        </is>
      </c>
      <c r="AV1036" t="inlineStr">
        <is>
          <t>1.0</t>
        </is>
      </c>
      <c r="AW1036" t="inlineStr">
        <is>
          <t>701+</t>
        </is>
      </c>
      <c r="AX1036" t="inlineStr">
        <is>
          <t>7.2</t>
        </is>
      </c>
      <c r="AY1036" t="inlineStr">
        <is>
          <t>701+</t>
        </is>
      </c>
      <c r="AZ1036" t="inlineStr">
        <is>
          <t>1.1</t>
        </is>
      </c>
      <c r="BA1036" t="inlineStr">
        <is>
          <t>701+</t>
        </is>
      </c>
    </row>
    <row r="1037">
      <c r="A1037" t="inlineStr">
        <is>
          <t>The Chinese University of Hong Kong</t>
        </is>
      </c>
      <c r="B1037" t="inlineStr">
        <is>
          <t>Hong Kong SAR, China</t>
        </is>
      </c>
      <c r="C1037" t="inlineStr"/>
      <c r="D1037" t="inlineStr">
        <is>
          <t>Asia</t>
        </is>
      </c>
      <c r="E1037" t="inlineStr">
        <is>
          <t>L</t>
        </is>
      </c>
      <c r="F1037" t="inlineStr">
        <is>
          <t>FC</t>
        </is>
      </c>
      <c r="G1037" t="inlineStr">
        <is>
          <t>VH</t>
        </is>
      </c>
      <c r="H1037" t="inlineStr"/>
      <c r="I1037" t="inlineStr">
        <is>
          <t>Public</t>
        </is>
      </c>
      <c r="J1037" t="inlineStr">
        <is>
          <t>32</t>
        </is>
      </c>
      <c r="K1037" t="inlineStr">
        <is>
          <t>36</t>
        </is>
      </c>
      <c r="L1037" t="inlineStr"/>
      <c r="M1037" t="inlineStr"/>
      <c r="N1037" t="inlineStr">
        <is>
          <t>87.4</t>
        </is>
      </c>
      <c r="O1037" t="inlineStr"/>
      <c r="P1037" t="n">
        <v>94.2</v>
      </c>
      <c r="Q1037" t="inlineStr">
        <is>
          <t>48</t>
        </is>
      </c>
      <c r="R1037" t="n">
        <v>67.3</v>
      </c>
      <c r="S1037" t="inlineStr">
        <is>
          <t>157</t>
        </is>
      </c>
      <c r="T1037" t="n">
        <v>75.90000000000001</v>
      </c>
      <c r="U1037" t="inlineStr">
        <is>
          <t>191</t>
        </is>
      </c>
      <c r="V1037" t="n">
        <v>95</v>
      </c>
      <c r="W1037" t="inlineStr">
        <is>
          <t>71</t>
        </is>
      </c>
      <c r="X1037" t="n">
        <v>100</v>
      </c>
      <c r="Y1037" t="inlineStr">
        <is>
          <t>50</t>
        </is>
      </c>
      <c r="Z1037" t="n">
        <v>93.3</v>
      </c>
      <c r="AA1037" t="inlineStr">
        <is>
          <t>143</t>
        </is>
      </c>
      <c r="AB1037" t="n">
        <v>90.3</v>
      </c>
      <c r="AC1037" t="inlineStr">
        <is>
          <t>147</t>
        </is>
      </c>
      <c r="AD1037" t="n">
        <v>68.2</v>
      </c>
      <c r="AE1037" t="inlineStr">
        <is>
          <t>563</t>
        </is>
      </c>
      <c r="AF1037" t="n">
        <v>91.2</v>
      </c>
      <c r="AG1037" t="inlineStr">
        <is>
          <t>94</t>
        </is>
      </c>
      <c r="AH1037" t="n">
        <v>84.09999999999999</v>
      </c>
      <c r="AI1037" t="inlineStr">
        <is>
          <t>123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</row>
    <row r="1038">
      <c r="A1038" t="inlineStr">
        <is>
          <t>The Chinese University of Hong Kong (CUHK)</t>
        </is>
      </c>
      <c r="B1038" t="inlineStr">
        <is>
          <t>Hong Kong</t>
        </is>
      </c>
      <c r="C1038" t="inlineStr">
        <is>
          <t>HK</t>
        </is>
      </c>
      <c r="D1038" t="inlineStr"/>
      <c r="E1038" t="inlineStr">
        <is>
          <t>L</t>
        </is>
      </c>
      <c r="F1038" t="inlineStr">
        <is>
          <t>FC</t>
        </is>
      </c>
      <c r="G1038" t="inlineStr">
        <is>
          <t>VH</t>
        </is>
      </c>
      <c r="H1038" t="inlineStr">
        <is>
          <t>4</t>
        </is>
      </c>
      <c r="I1038" t="inlineStr">
        <is>
          <t>A</t>
        </is>
      </c>
      <c r="J1038" t="inlineStr"/>
      <c r="K1038" t="inlineStr"/>
      <c r="L1038">
        <f>47</f>
        <v/>
      </c>
      <c r="M1038" t="inlineStr">
        <is>
          <t>38</t>
        </is>
      </c>
      <c r="N1038" t="inlineStr"/>
      <c r="O1038" t="inlineStr">
        <is>
          <t>76.2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>
        <is>
          <t>88.4</t>
        </is>
      </c>
      <c r="AK1038" t="inlineStr">
        <is>
          <t>50</t>
        </is>
      </c>
      <c r="AL1038" t="inlineStr">
        <is>
          <t>46.3</t>
        </is>
      </c>
      <c r="AM1038" t="inlineStr">
        <is>
          <t>190</t>
        </is>
      </c>
      <c r="AN1038" t="inlineStr">
        <is>
          <t>60.0</t>
        </is>
      </c>
      <c r="AO1038" t="inlineStr">
        <is>
          <t>236</t>
        </is>
      </c>
      <c r="AP1038" t="inlineStr">
        <is>
          <t>92.3</t>
        </is>
      </c>
      <c r="AQ1038" t="inlineStr">
        <is>
          <t>67</t>
        </is>
      </c>
      <c r="AR1038" t="inlineStr">
        <is>
          <t>100.0</t>
        </is>
      </c>
      <c r="AS1038" t="inlineStr">
        <is>
          <t>57</t>
        </is>
      </c>
      <c r="AT1038" t="inlineStr">
        <is>
          <t>77.1</t>
        </is>
      </c>
      <c r="AU1038" t="inlineStr">
        <is>
          <t>174</t>
        </is>
      </c>
      <c r="AV1038" t="inlineStr">
        <is>
          <t>32.7</t>
        </is>
      </c>
      <c r="AW1038" t="inlineStr">
        <is>
          <t>438</t>
        </is>
      </c>
      <c r="AX1038" t="inlineStr">
        <is>
          <t>78.6</t>
        </is>
      </c>
      <c r="AY1038" t="inlineStr">
        <is>
          <t>53</t>
        </is>
      </c>
      <c r="AZ1038" t="inlineStr">
        <is>
          <t>61.3</t>
        </is>
      </c>
      <c r="BA1038" t="inlineStr">
        <is>
          <t>246=</t>
        </is>
      </c>
    </row>
    <row r="1039">
      <c r="A1039" t="inlineStr">
        <is>
          <t>The City College of New York</t>
        </is>
      </c>
      <c r="B1039" t="inlineStr">
        <is>
          <t>United States</t>
        </is>
      </c>
      <c r="C1039" t="inlineStr"/>
      <c r="D1039" t="inlineStr">
        <is>
          <t>Americas</t>
        </is>
      </c>
      <c r="E1039" t="inlineStr">
        <is>
          <t>L</t>
        </is>
      </c>
      <c r="F1039" t="inlineStr">
        <is>
          <t>FC</t>
        </is>
      </c>
      <c r="G1039" t="inlineStr">
        <is>
          <t>HI</t>
        </is>
      </c>
      <c r="H1039" t="inlineStr"/>
      <c r="I1039" t="inlineStr">
        <is>
          <t>Public</t>
        </is>
      </c>
      <c r="J1039" t="inlineStr">
        <is>
          <t>1001-1200</t>
        </is>
      </c>
      <c r="K1039" t="inlineStr">
        <is>
          <t>1201-1400</t>
        </is>
      </c>
      <c r="L1039" t="inlineStr"/>
      <c r="M1039" t="inlineStr"/>
      <c r="N1039" t="inlineStr">
        <is>
          <t>-</t>
        </is>
      </c>
      <c r="O1039" t="inlineStr"/>
      <c r="P1039" t="n">
        <v>11.8</v>
      </c>
      <c r="Q1039" t="inlineStr">
        <is>
          <t>701+</t>
        </is>
      </c>
      <c r="R1039" t="n">
        <v>8</v>
      </c>
      <c r="S1039" t="inlineStr">
        <is>
          <t>701+</t>
        </is>
      </c>
      <c r="T1039" t="n">
        <v>15</v>
      </c>
      <c r="U1039" t="inlineStr">
        <is>
          <t>801+</t>
        </is>
      </c>
      <c r="V1039" t="n">
        <v>17.8</v>
      </c>
      <c r="W1039" t="inlineStr">
        <is>
          <t>756</t>
        </is>
      </c>
      <c r="X1039" t="n">
        <v>5</v>
      </c>
      <c r="Y1039" t="inlineStr">
        <is>
          <t>801+</t>
        </is>
      </c>
      <c r="Z1039" t="n">
        <v>8.6</v>
      </c>
      <c r="AA1039" t="inlineStr">
        <is>
          <t>801+</t>
        </is>
      </c>
      <c r="AB1039" t="n">
        <v>6.6</v>
      </c>
      <c r="AC1039" t="inlineStr">
        <is>
          <t>801+</t>
        </is>
      </c>
      <c r="AD1039" t="n">
        <v>46.7</v>
      </c>
      <c r="AE1039" t="inlineStr">
        <is>
          <t>801+</t>
        </is>
      </c>
      <c r="AF1039" t="n">
        <v>7.1</v>
      </c>
      <c r="AG1039" t="inlineStr">
        <is>
          <t>801+</t>
        </is>
      </c>
      <c r="AH1039" t="n">
        <v>39</v>
      </c>
      <c r="AI1039" t="inlineStr">
        <is>
          <t>801+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</row>
    <row r="1040">
      <c r="A1040" t="inlineStr">
        <is>
          <t>The Education University of Hong Kong</t>
        </is>
      </c>
      <c r="B1040" t="inlineStr">
        <is>
          <t>Hong Kong SAR, China</t>
        </is>
      </c>
      <c r="C1040" t="inlineStr"/>
      <c r="D1040" t="inlineStr">
        <is>
          <t>Asia</t>
        </is>
      </c>
      <c r="E1040" t="inlineStr">
        <is>
          <t>M</t>
        </is>
      </c>
      <c r="F1040" t="inlineStr">
        <is>
          <t>FO</t>
        </is>
      </c>
      <c r="G1040" t="inlineStr">
        <is>
          <t>VH</t>
        </is>
      </c>
      <c r="H1040" t="inlineStr"/>
      <c r="I1040" t="inlineStr"/>
      <c r="J1040" t="inlineStr">
        <is>
          <t>530</t>
        </is>
      </c>
      <c r="K1040" t="inlineStr"/>
      <c r="L1040" t="inlineStr"/>
      <c r="M1040" t="inlineStr"/>
      <c r="N1040" t="inlineStr">
        <is>
          <t>30.8</t>
        </is>
      </c>
      <c r="O1040" t="inlineStr"/>
      <c r="P1040" t="n">
        <v>9.4</v>
      </c>
      <c r="Q1040" t="inlineStr">
        <is>
          <t>701+</t>
        </is>
      </c>
      <c r="R1040" t="n">
        <v>7.8</v>
      </c>
      <c r="S1040" t="inlineStr">
        <is>
          <t>701+</t>
        </is>
      </c>
      <c r="T1040" t="n">
        <v>71.7</v>
      </c>
      <c r="U1040" t="inlineStr">
        <is>
          <t>215</t>
        </is>
      </c>
      <c r="V1040" t="n">
        <v>39.7</v>
      </c>
      <c r="W1040" t="inlineStr">
        <is>
          <t>474</t>
        </is>
      </c>
      <c r="X1040" t="n">
        <v>99.8</v>
      </c>
      <c r="Y1040" t="inlineStr">
        <is>
          <t>104</t>
        </is>
      </c>
      <c r="Z1040" t="n">
        <v>68.59999999999999</v>
      </c>
      <c r="AA1040" t="inlineStr">
        <is>
          <t>285</t>
        </is>
      </c>
      <c r="AB1040" t="n">
        <v>61.7</v>
      </c>
      <c r="AC1040" t="inlineStr">
        <is>
          <t>325</t>
        </is>
      </c>
      <c r="AD1040" t="n">
        <v>43.4</v>
      </c>
      <c r="AE1040" t="inlineStr">
        <is>
          <t>801+</t>
        </is>
      </c>
      <c r="AF1040" t="n">
        <v>9.4</v>
      </c>
      <c r="AG1040" t="inlineStr">
        <is>
          <t>801+</t>
        </is>
      </c>
      <c r="AH1040" t="n">
        <v>35.3</v>
      </c>
      <c r="AI1040" t="inlineStr">
        <is>
          <t>801+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</row>
    <row r="1041">
      <c r="A1041" t="inlineStr">
        <is>
          <t>The Federal University of Sao Carlos, UFSCar</t>
        </is>
      </c>
      <c r="B1041" t="inlineStr">
        <is>
          <t>Brazil</t>
        </is>
      </c>
      <c r="C1041" t="inlineStr"/>
      <c r="D1041" t="inlineStr">
        <is>
          <t>Americas</t>
        </is>
      </c>
      <c r="E1041" t="inlineStr">
        <is>
          <t>L</t>
        </is>
      </c>
      <c r="F1041" t="inlineStr">
        <is>
          <t>FC</t>
        </is>
      </c>
      <c r="G1041" t="inlineStr">
        <is>
          <t>VH</t>
        </is>
      </c>
      <c r="H1041" t="inlineStr"/>
      <c r="I1041" t="inlineStr">
        <is>
          <t>Public</t>
        </is>
      </c>
      <c r="J1041" t="inlineStr">
        <is>
          <t>1001-1200</t>
        </is>
      </c>
      <c r="K1041" t="inlineStr">
        <is>
          <t>1001-1200</t>
        </is>
      </c>
      <c r="L1041" t="inlineStr"/>
      <c r="M1041" t="inlineStr"/>
      <c r="N1041" t="inlineStr">
        <is>
          <t>-</t>
        </is>
      </c>
      <c r="O1041" t="inlineStr"/>
      <c r="P1041" t="n">
        <v>15</v>
      </c>
      <c r="Q1041" t="inlineStr">
        <is>
          <t>701+</t>
        </is>
      </c>
      <c r="R1041" t="n">
        <v>10.8</v>
      </c>
      <c r="S1041" t="inlineStr">
        <is>
          <t>701+</t>
        </is>
      </c>
      <c r="T1041" t="n">
        <v>20.3</v>
      </c>
      <c r="U1041" t="inlineStr">
        <is>
          <t>801+</t>
        </is>
      </c>
      <c r="V1041" t="n">
        <v>28.8</v>
      </c>
      <c r="W1041" t="inlineStr">
        <is>
          <t>597</t>
        </is>
      </c>
      <c r="X1041" t="n">
        <v>3.4</v>
      </c>
      <c r="Y1041" t="inlineStr">
        <is>
          <t>801+</t>
        </is>
      </c>
      <c r="Z1041" t="n">
        <v>2.5</v>
      </c>
      <c r="AA1041" t="inlineStr">
        <is>
          <t>801+</t>
        </is>
      </c>
      <c r="AB1041" t="n">
        <v>2.1</v>
      </c>
      <c r="AC1041" t="inlineStr">
        <is>
          <t>801+</t>
        </is>
      </c>
      <c r="AD1041" t="n">
        <v>47.1</v>
      </c>
      <c r="AE1041" t="inlineStr">
        <is>
          <t>801+</t>
        </is>
      </c>
      <c r="AF1041" t="n">
        <v>1.8</v>
      </c>
      <c r="AG1041" t="inlineStr">
        <is>
          <t>801+</t>
        </is>
      </c>
      <c r="AH1041" t="n">
        <v>41.3</v>
      </c>
      <c r="AI1041" t="inlineStr">
        <is>
          <t>801+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</row>
    <row r="1042">
      <c r="A1042" t="inlineStr">
        <is>
          <t>The "Gheorghe Asachi" Technical University of Iasi</t>
        </is>
      </c>
      <c r="B1042" t="inlineStr">
        <is>
          <t>Romania</t>
        </is>
      </c>
      <c r="C1042" t="inlineStr">
        <is>
          <t>RO</t>
        </is>
      </c>
      <c r="D1042" t="inlineStr">
        <is>
          <t>Europe</t>
        </is>
      </c>
      <c r="E1042" t="inlineStr">
        <is>
          <t>L</t>
        </is>
      </c>
      <c r="F1042" t="inlineStr">
        <is>
          <t>SP</t>
        </is>
      </c>
      <c r="G1042" t="inlineStr">
        <is>
          <t>VH</t>
        </is>
      </c>
      <c r="H1042" t="inlineStr">
        <is>
          <t>4</t>
        </is>
      </c>
      <c r="I1042" t="inlineStr">
        <is>
          <t>Public</t>
        </is>
      </c>
      <c r="J1042" t="inlineStr">
        <is>
          <t>1201-1400</t>
        </is>
      </c>
      <c r="K1042" t="inlineStr">
        <is>
          <t>1201-1400</t>
        </is>
      </c>
      <c r="L1042" t="inlineStr">
        <is>
          <t>1201-1400</t>
        </is>
      </c>
      <c r="M1042" t="inlineStr">
        <is>
          <t>1201-1400</t>
        </is>
      </c>
      <c r="N1042" t="inlineStr">
        <is>
          <t>-</t>
        </is>
      </c>
      <c r="O1042" t="inlineStr">
        <is>
          <t>-</t>
        </is>
      </c>
      <c r="P1042" t="n">
        <v>6.5</v>
      </c>
      <c r="Q1042" t="inlineStr">
        <is>
          <t>701+</t>
        </is>
      </c>
      <c r="R1042" t="n">
        <v>14.5</v>
      </c>
      <c r="S1042" t="inlineStr">
        <is>
          <t>701+</t>
        </is>
      </c>
      <c r="T1042" t="n">
        <v>3.8</v>
      </c>
      <c r="U1042" t="inlineStr">
        <is>
          <t>801+</t>
        </is>
      </c>
      <c r="V1042" t="n">
        <v>10</v>
      </c>
      <c r="W1042" t="inlineStr">
        <is>
          <t>801+</t>
        </is>
      </c>
      <c r="X1042" t="inlineStr"/>
      <c r="Y1042" t="inlineStr"/>
      <c r="Z1042" t="n">
        <v>8.6</v>
      </c>
      <c r="AA1042" t="inlineStr">
        <is>
          <t>801+</t>
        </is>
      </c>
      <c r="AB1042" t="n">
        <v>6.6</v>
      </c>
      <c r="AC1042" t="inlineStr">
        <is>
          <t>801+</t>
        </is>
      </c>
      <c r="AD1042" t="n">
        <v>49.3</v>
      </c>
      <c r="AE1042" t="inlineStr">
        <is>
          <t>801+</t>
        </is>
      </c>
      <c r="AF1042" t="n">
        <v>5.3</v>
      </c>
      <c r="AG1042" t="inlineStr">
        <is>
          <t>801+</t>
        </is>
      </c>
      <c r="AH1042" t="n">
        <v>22.7</v>
      </c>
      <c r="AI1042" t="inlineStr">
        <is>
          <t>801+</t>
        </is>
      </c>
      <c r="AJ1042" t="inlineStr">
        <is>
          <t>6.0</t>
        </is>
      </c>
      <c r="AK1042" t="inlineStr">
        <is>
          <t>601+</t>
        </is>
      </c>
      <c r="AL1042" t="inlineStr">
        <is>
          <t>6.8</t>
        </is>
      </c>
      <c r="AM1042" t="inlineStr">
        <is>
          <t>601+</t>
        </is>
      </c>
      <c r="AN1042" t="inlineStr">
        <is>
          <t>2.4</t>
        </is>
      </c>
      <c r="AO1042" t="inlineStr">
        <is>
          <t>701+</t>
        </is>
      </c>
      <c r="AP1042" t="inlineStr">
        <is>
          <t>5.5</t>
        </is>
      </c>
      <c r="AQ1042" t="inlineStr">
        <is>
          <t>701+</t>
        </is>
      </c>
      <c r="AR1042" t="inlineStr"/>
      <c r="AS1042" t="inlineStr"/>
      <c r="AT1042" t="inlineStr">
        <is>
          <t>5.0</t>
        </is>
      </c>
      <c r="AU1042" t="inlineStr">
        <is>
          <t>701+</t>
        </is>
      </c>
      <c r="AV1042" t="inlineStr">
        <is>
          <t>2.2</t>
        </is>
      </c>
      <c r="AW1042" t="inlineStr">
        <is>
          <t>701+</t>
        </is>
      </c>
      <c r="AX1042" t="inlineStr">
        <is>
          <t>6.5</t>
        </is>
      </c>
      <c r="AY1042" t="inlineStr">
        <is>
          <t>701+</t>
        </is>
      </c>
      <c r="AZ1042" t="inlineStr">
        <is>
          <t>1.1</t>
        </is>
      </c>
      <c r="BA1042" t="inlineStr">
        <is>
          <t>701+</t>
        </is>
      </c>
    </row>
    <row r="1043">
      <c r="A1043" t="inlineStr">
        <is>
          <t>The Hashemite University</t>
        </is>
      </c>
      <c r="B1043" t="inlineStr">
        <is>
          <t>Jordan</t>
        </is>
      </c>
      <c r="C1043" t="inlineStr">
        <is>
          <t>JO</t>
        </is>
      </c>
      <c r="D1043" t="inlineStr">
        <is>
          <t>Asia</t>
        </is>
      </c>
      <c r="E1043" t="inlineStr">
        <is>
          <t>L</t>
        </is>
      </c>
      <c r="F1043" t="inlineStr">
        <is>
          <t>FC</t>
        </is>
      </c>
      <c r="G1043" t="inlineStr">
        <is>
          <t>HI</t>
        </is>
      </c>
      <c r="H1043" t="inlineStr">
        <is>
          <t>3</t>
        </is>
      </c>
      <c r="I1043" t="inlineStr">
        <is>
          <t>Public</t>
        </is>
      </c>
      <c r="J1043" t="inlineStr">
        <is>
          <t>1001-1200</t>
        </is>
      </c>
      <c r="K1043" t="inlineStr">
        <is>
          <t>1001-1200</t>
        </is>
      </c>
      <c r="L1043" t="inlineStr">
        <is>
          <t>1201-1400</t>
        </is>
      </c>
      <c r="M1043" t="inlineStr">
        <is>
          <t>1201-1400</t>
        </is>
      </c>
      <c r="N1043" t="inlineStr">
        <is>
          <t>-</t>
        </is>
      </c>
      <c r="O1043" t="inlineStr">
        <is>
          <t>-</t>
        </is>
      </c>
      <c r="P1043" t="n">
        <v>15.6</v>
      </c>
      <c r="Q1043" t="inlineStr">
        <is>
          <t>701+</t>
        </is>
      </c>
      <c r="R1043" t="n">
        <v>23.7</v>
      </c>
      <c r="S1043" t="inlineStr">
        <is>
          <t>566</t>
        </is>
      </c>
      <c r="T1043" t="n">
        <v>5.5</v>
      </c>
      <c r="U1043" t="inlineStr">
        <is>
          <t>801+</t>
        </is>
      </c>
      <c r="V1043" t="n">
        <v>7.8</v>
      </c>
      <c r="W1043" t="inlineStr">
        <is>
          <t>801+</t>
        </is>
      </c>
      <c r="X1043" t="n">
        <v>9.9</v>
      </c>
      <c r="Y1043" t="inlineStr">
        <is>
          <t>801+</t>
        </is>
      </c>
      <c r="Z1043" t="n">
        <v>18.4</v>
      </c>
      <c r="AA1043" t="inlineStr">
        <is>
          <t>756</t>
        </is>
      </c>
      <c r="AB1043" t="n">
        <v>13.9</v>
      </c>
      <c r="AC1043" t="inlineStr">
        <is>
          <t>801+</t>
        </is>
      </c>
      <c r="AD1043" t="n">
        <v>45.1</v>
      </c>
      <c r="AE1043" t="inlineStr">
        <is>
          <t>801+</t>
        </is>
      </c>
      <c r="AF1043" t="n">
        <v>5.1</v>
      </c>
      <c r="AG1043" t="inlineStr">
        <is>
          <t>801+</t>
        </is>
      </c>
      <c r="AH1043" t="n">
        <v>45.4</v>
      </c>
      <c r="AI1043" t="inlineStr">
        <is>
          <t>801+</t>
        </is>
      </c>
      <c r="AJ1043" t="inlineStr">
        <is>
          <t>8.0</t>
        </is>
      </c>
      <c r="AK1043" t="inlineStr">
        <is>
          <t>601+</t>
        </is>
      </c>
      <c r="AL1043" t="inlineStr">
        <is>
          <t>13.0</t>
        </is>
      </c>
      <c r="AM1043" t="inlineStr">
        <is>
          <t>601+</t>
        </is>
      </c>
      <c r="AN1043" t="inlineStr">
        <is>
          <t>3.8</t>
        </is>
      </c>
      <c r="AO1043" t="inlineStr">
        <is>
          <t>701+</t>
        </is>
      </c>
      <c r="AP1043" t="inlineStr">
        <is>
          <t>3.4</t>
        </is>
      </c>
      <c r="AQ1043" t="inlineStr">
        <is>
          <t>701+</t>
        </is>
      </c>
      <c r="AR1043" t="inlineStr">
        <is>
          <t>9.0</t>
        </is>
      </c>
      <c r="AS1043" t="inlineStr">
        <is>
          <t>701+</t>
        </is>
      </c>
      <c r="AT1043" t="inlineStr">
        <is>
          <t>8.0</t>
        </is>
      </c>
      <c r="AU1043" t="inlineStr">
        <is>
          <t>701+</t>
        </is>
      </c>
      <c r="AV1043" t="inlineStr">
        <is>
          <t>3.0</t>
        </is>
      </c>
      <c r="AW1043" t="inlineStr">
        <is>
          <t>701+</t>
        </is>
      </c>
      <c r="AX1043" t="inlineStr">
        <is>
          <t>6.2</t>
        </is>
      </c>
      <c r="AY1043" t="inlineStr">
        <is>
          <t>701+</t>
        </is>
      </c>
      <c r="AZ1043" t="inlineStr">
        <is>
          <t>1.1</t>
        </is>
      </c>
      <c r="BA1043" t="inlineStr">
        <is>
          <t>701+</t>
        </is>
      </c>
    </row>
    <row r="1044">
      <c r="A1044" t="inlineStr">
        <is>
          <t>The Hebrew University of Jerusalem</t>
        </is>
      </c>
      <c r="B1044" t="inlineStr">
        <is>
          <t>Israel</t>
        </is>
      </c>
      <c r="C1044" t="inlineStr">
        <is>
          <t>IL</t>
        </is>
      </c>
      <c r="D1044" t="inlineStr"/>
      <c r="E1044" t="inlineStr">
        <is>
          <t>L</t>
        </is>
      </c>
      <c r="F1044" t="inlineStr">
        <is>
          <t>FC</t>
        </is>
      </c>
      <c r="G1044" t="inlineStr">
        <is>
          <t>VH</t>
        </is>
      </c>
      <c r="H1044" t="inlineStr">
        <is>
          <t>5</t>
        </is>
      </c>
      <c r="I1044" t="inlineStr">
        <is>
          <t>A</t>
        </is>
      </c>
      <c r="J1044" t="inlineStr"/>
      <c r="K1044" t="inlineStr"/>
      <c r="L1044" t="inlineStr">
        <is>
          <t>251</t>
        </is>
      </c>
      <c r="M1044" t="inlineStr">
        <is>
          <t>222=</t>
        </is>
      </c>
      <c r="N1044" t="inlineStr"/>
      <c r="O1044" t="inlineStr">
        <is>
          <t>39.3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>
        <is>
          <t>34.3</t>
        </is>
      </c>
      <c r="AK1044" t="inlineStr">
        <is>
          <t>252</t>
        </is>
      </c>
      <c r="AL1044" t="inlineStr">
        <is>
          <t>29.1</t>
        </is>
      </c>
      <c r="AM1044" t="inlineStr">
        <is>
          <t>334</t>
        </is>
      </c>
      <c r="AN1044" t="inlineStr">
        <is>
          <t>81.2</t>
        </is>
      </c>
      <c r="AO1044" t="inlineStr">
        <is>
          <t>135</t>
        </is>
      </c>
      <c r="AP1044" t="inlineStr">
        <is>
          <t>22.5</t>
        </is>
      </c>
      <c r="AQ1044" t="inlineStr">
        <is>
          <t>521</t>
        </is>
      </c>
      <c r="AR1044" t="inlineStr">
        <is>
          <t>54.7</t>
        </is>
      </c>
      <c r="AS1044" t="inlineStr">
        <is>
          <t>338</t>
        </is>
      </c>
      <c r="AT1044" t="inlineStr">
        <is>
          <t>16.0</t>
        </is>
      </c>
      <c r="AU1044" t="inlineStr">
        <is>
          <t>600</t>
        </is>
      </c>
      <c r="AV1044" t="inlineStr">
        <is>
          <t>37.1</t>
        </is>
      </c>
      <c r="AW1044" t="inlineStr">
        <is>
          <t>400</t>
        </is>
      </c>
      <c r="AX1044" t="inlineStr">
        <is>
          <t>77.7</t>
        </is>
      </c>
      <c r="AY1044" t="inlineStr">
        <is>
          <t>54</t>
        </is>
      </c>
      <c r="AZ1044" t="inlineStr">
        <is>
          <t>50.9</t>
        </is>
      </c>
      <c r="BA1044" t="inlineStr">
        <is>
          <t>301=</t>
        </is>
      </c>
    </row>
    <row r="1045">
      <c r="A1045" t="inlineStr">
        <is>
          <t>The Herzen State Pedagogical University of Russia</t>
        </is>
      </c>
      <c r="B1045" t="inlineStr">
        <is>
          <t>Russia</t>
        </is>
      </c>
      <c r="C1045" t="inlineStr">
        <is>
          <t>RU</t>
        </is>
      </c>
      <c r="D1045" t="inlineStr"/>
      <c r="E1045" t="inlineStr">
        <is>
          <t>L</t>
        </is>
      </c>
      <c r="F1045" t="inlineStr">
        <is>
          <t>FO</t>
        </is>
      </c>
      <c r="G1045" t="inlineStr">
        <is>
          <t>HI</t>
        </is>
      </c>
      <c r="H1045" t="inlineStr">
        <is>
          <t>5</t>
        </is>
      </c>
      <c r="I1045" t="inlineStr">
        <is>
          <t>A</t>
        </is>
      </c>
      <c r="J1045" t="inlineStr"/>
      <c r="K1045" t="inlineStr"/>
      <c r="L1045" t="inlineStr">
        <is>
          <t>1201-1400</t>
        </is>
      </c>
      <c r="M1045" t="inlineStr">
        <is>
          <t>1001-1200</t>
        </is>
      </c>
      <c r="N1045" t="inlineStr"/>
      <c r="O1045" t="inlineStr">
        <is>
          <t>-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4.0</t>
        </is>
      </c>
      <c r="AK1045" t="inlineStr">
        <is>
          <t>601+</t>
        </is>
      </c>
      <c r="AL1045" t="inlineStr">
        <is>
          <t>1.9</t>
        </is>
      </c>
      <c r="AM1045" t="inlineStr">
        <is>
          <t>601+</t>
        </is>
      </c>
      <c r="AN1045" t="inlineStr">
        <is>
          <t>24.9</t>
        </is>
      </c>
      <c r="AO1045" t="inlineStr">
        <is>
          <t>586</t>
        </is>
      </c>
      <c r="AP1045" t="inlineStr">
        <is>
          <t>1.2</t>
        </is>
      </c>
      <c r="AQ1045" t="inlineStr">
        <is>
          <t>701+</t>
        </is>
      </c>
      <c r="AR1045" t="inlineStr">
        <is>
          <t>1.5</t>
        </is>
      </c>
      <c r="AS1045" t="inlineStr">
        <is>
          <t>701+</t>
        </is>
      </c>
      <c r="AT1045" t="inlineStr">
        <is>
          <t>38.9</t>
        </is>
      </c>
      <c r="AU1045" t="inlineStr">
        <is>
          <t>353</t>
        </is>
      </c>
      <c r="AV1045" t="inlineStr">
        <is>
          <t>1.0</t>
        </is>
      </c>
      <c r="AW1045" t="inlineStr">
        <is>
          <t>701+</t>
        </is>
      </c>
      <c r="AX1045" t="inlineStr">
        <is>
          <t>8.8</t>
        </is>
      </c>
      <c r="AY1045" t="inlineStr">
        <is>
          <t>701+</t>
        </is>
      </c>
      <c r="AZ1045" t="inlineStr">
        <is>
          <t>1.5</t>
        </is>
      </c>
      <c r="BA1045" t="inlineStr">
        <is>
          <t>701+</t>
        </is>
      </c>
    </row>
    <row r="1046">
      <c r="A1046" t="inlineStr">
        <is>
          <t>The Hong Kong Polytechnic University</t>
        </is>
      </c>
      <c r="B1046" t="inlineStr">
        <is>
          <t>Hong Kong</t>
        </is>
      </c>
      <c r="C1046" t="inlineStr">
        <is>
          <t>HK</t>
        </is>
      </c>
      <c r="D1046" t="inlineStr"/>
      <c r="E1046" t="inlineStr">
        <is>
          <t>L</t>
        </is>
      </c>
      <c r="F1046" t="inlineStr">
        <is>
          <t>CO</t>
        </is>
      </c>
      <c r="G1046" t="inlineStr">
        <is>
          <t>VH</t>
        </is>
      </c>
      <c r="H1046" t="inlineStr">
        <is>
          <t>3</t>
        </is>
      </c>
      <c r="I1046" t="inlineStr">
        <is>
          <t>A</t>
        </is>
      </c>
      <c r="J1046" t="inlineStr"/>
      <c r="K1046" t="inlineStr"/>
      <c r="L1046">
        <f>65</f>
        <v/>
      </c>
      <c r="M1046" t="inlineStr">
        <is>
          <t>65=</t>
        </is>
      </c>
      <c r="N1046" t="inlineStr"/>
      <c r="O1046" t="inlineStr">
        <is>
          <t>68.7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68.1</t>
        </is>
      </c>
      <c r="AK1046" t="inlineStr">
        <is>
          <t>97</t>
        </is>
      </c>
      <c r="AL1046" t="inlineStr">
        <is>
          <t>30.2</t>
        </is>
      </c>
      <c r="AM1046" t="inlineStr">
        <is>
          <t>323</t>
        </is>
      </c>
      <c r="AN1046" t="inlineStr">
        <is>
          <t>68.0</t>
        </is>
      </c>
      <c r="AO1046" t="inlineStr">
        <is>
          <t>192</t>
        </is>
      </c>
      <c r="AP1046" t="inlineStr">
        <is>
          <t>88.8</t>
        </is>
      </c>
      <c r="AQ1046" t="inlineStr">
        <is>
          <t>77</t>
        </is>
      </c>
      <c r="AR1046" t="inlineStr">
        <is>
          <t>100.0</t>
        </is>
      </c>
      <c r="AS1046" t="inlineStr">
        <is>
          <t>40</t>
        </is>
      </c>
      <c r="AT1046" t="inlineStr">
        <is>
          <t>87.4</t>
        </is>
      </c>
      <c r="AU1046" t="inlineStr">
        <is>
          <t>133</t>
        </is>
      </c>
      <c r="AV1046" t="inlineStr">
        <is>
          <t>42.0</t>
        </is>
      </c>
      <c r="AW1046" t="inlineStr">
        <is>
          <t>362</t>
        </is>
      </c>
      <c r="AX1046" t="inlineStr">
        <is>
          <t>49.2</t>
        </is>
      </c>
      <c r="AY1046" t="inlineStr">
        <is>
          <t>138</t>
        </is>
      </c>
      <c r="AZ1046" t="inlineStr">
        <is>
          <t>92.8</t>
        </is>
      </c>
      <c r="BA1046" t="inlineStr">
        <is>
          <t>73</t>
        </is>
      </c>
    </row>
    <row r="1047">
      <c r="A1047" t="inlineStr">
        <is>
          <t>The Hong Kong Polytechnic University</t>
        </is>
      </c>
      <c r="B1047" t="inlineStr">
        <is>
          <t>Hong Kong SAR, China</t>
        </is>
      </c>
      <c r="C1047" t="inlineStr"/>
      <c r="D1047" t="inlineStr">
        <is>
          <t>Asia</t>
        </is>
      </c>
      <c r="E1047" t="inlineStr">
        <is>
          <t>L</t>
        </is>
      </c>
      <c r="F1047" t="inlineStr">
        <is>
          <t>CO</t>
        </is>
      </c>
      <c r="G1047" t="inlineStr">
        <is>
          <t>VH</t>
        </is>
      </c>
      <c r="H1047" t="inlineStr"/>
      <c r="I1047" t="inlineStr">
        <is>
          <t>Public</t>
        </is>
      </c>
      <c r="J1047" t="inlineStr">
        <is>
          <t>54</t>
        </is>
      </c>
      <c r="K1047" t="inlineStr">
        <is>
          <t>57</t>
        </is>
      </c>
      <c r="L1047" t="inlineStr"/>
      <c r="M1047" t="inlineStr"/>
      <c r="N1047" t="inlineStr">
        <is>
          <t>81.2</t>
        </is>
      </c>
      <c r="O1047" t="inlineStr"/>
      <c r="P1047" t="n">
        <v>81.2</v>
      </c>
      <c r="Q1047" t="inlineStr">
        <is>
          <t>93</t>
        </is>
      </c>
      <c r="R1047" t="n">
        <v>47.5</v>
      </c>
      <c r="S1047" t="inlineStr">
        <is>
          <t>275</t>
        </is>
      </c>
      <c r="T1047" t="n">
        <v>77.09999999999999</v>
      </c>
      <c r="U1047" t="inlineStr">
        <is>
          <t>182</t>
        </is>
      </c>
      <c r="V1047" t="n">
        <v>98.7</v>
      </c>
      <c r="W1047" t="inlineStr">
        <is>
          <t>41</t>
        </is>
      </c>
      <c r="X1047" t="n">
        <v>100</v>
      </c>
      <c r="Y1047" t="inlineStr">
        <is>
          <t>34</t>
        </is>
      </c>
      <c r="Z1047" t="n">
        <v>98.8</v>
      </c>
      <c r="AA1047" t="inlineStr">
        <is>
          <t>76</t>
        </is>
      </c>
      <c r="AB1047" t="n">
        <v>97.90000000000001</v>
      </c>
      <c r="AC1047" t="inlineStr">
        <is>
          <t>81</t>
        </is>
      </c>
      <c r="AD1047" t="n">
        <v>82.8</v>
      </c>
      <c r="AE1047" t="inlineStr">
        <is>
          <t>296</t>
        </is>
      </c>
      <c r="AF1047" t="n">
        <v>74.09999999999999</v>
      </c>
      <c r="AG1047" t="inlineStr">
        <is>
          <t>187</t>
        </is>
      </c>
      <c r="AH1047" t="n">
        <v>80.8</v>
      </c>
      <c r="AI1047" t="inlineStr">
        <is>
          <t>160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</row>
    <row r="1048">
      <c r="A1048" t="inlineStr">
        <is>
          <t>The Hong Kong University of Science and Technology</t>
        </is>
      </c>
      <c r="B1048" t="inlineStr">
        <is>
          <t>Hong Kong</t>
        </is>
      </c>
      <c r="C1048" t="inlineStr">
        <is>
          <t>HK</t>
        </is>
      </c>
      <c r="D1048" t="inlineStr"/>
      <c r="E1048" t="inlineStr">
        <is>
          <t>M</t>
        </is>
      </c>
      <c r="F1048" t="inlineStr">
        <is>
          <t>CO</t>
        </is>
      </c>
      <c r="G1048" t="inlineStr">
        <is>
          <t>VH</t>
        </is>
      </c>
      <c r="H1048" t="inlineStr">
        <is>
          <t>3</t>
        </is>
      </c>
      <c r="I1048" t="inlineStr">
        <is>
          <t>A</t>
        </is>
      </c>
      <c r="J1048" t="inlineStr"/>
      <c r="K1048" t="inlineStr"/>
      <c r="L1048" t="inlineStr">
        <is>
          <t>60</t>
        </is>
      </c>
      <c r="M1048" t="inlineStr">
        <is>
          <t>40</t>
        </is>
      </c>
      <c r="N1048" t="inlineStr"/>
      <c r="O1048" t="inlineStr">
        <is>
          <t>71.1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83.3</t>
        </is>
      </c>
      <c r="AK1048" t="inlineStr">
        <is>
          <t>63</t>
        </is>
      </c>
      <c r="AL1048" t="inlineStr">
        <is>
          <t>42.6</t>
        </is>
      </c>
      <c r="AM1048" t="inlineStr">
        <is>
          <t>216</t>
        </is>
      </c>
      <c r="AN1048" t="inlineStr">
        <is>
          <t>53.6</t>
        </is>
      </c>
      <c r="AO1048" t="inlineStr">
        <is>
          <t>289</t>
        </is>
      </c>
      <c r="AP1048" t="inlineStr">
        <is>
          <t>99.1</t>
        </is>
      </c>
      <c r="AQ1048" t="inlineStr">
        <is>
          <t>20</t>
        </is>
      </c>
      <c r="AR1048" t="inlineStr">
        <is>
          <t>100.0</t>
        </is>
      </c>
      <c r="AS1048" t="inlineStr">
        <is>
          <t>19</t>
        </is>
      </c>
      <c r="AT1048" t="inlineStr">
        <is>
          <t>91.4</t>
        </is>
      </c>
      <c r="AU1048" t="inlineStr">
        <is>
          <t>111</t>
        </is>
      </c>
      <c r="AV1048" t="inlineStr">
        <is>
          <t>5.3</t>
        </is>
      </c>
      <c r="AW1048" t="inlineStr">
        <is>
          <t>701+</t>
        </is>
      </c>
      <c r="AX1048" t="inlineStr">
        <is>
          <t>50.3</t>
        </is>
      </c>
      <c r="AY1048" t="inlineStr">
        <is>
          <t>131</t>
        </is>
      </c>
      <c r="AZ1048" t="inlineStr">
        <is>
          <t>31</t>
        </is>
      </c>
      <c r="BA1048" t="inlineStr">
        <is>
          <t>432=</t>
        </is>
      </c>
    </row>
    <row r="1049">
      <c r="A1049" t="inlineStr">
        <is>
          <t>The Hong Kong University of Science and Technology</t>
        </is>
      </c>
      <c r="B1049" t="inlineStr">
        <is>
          <t>Hong Kong SAR, China</t>
        </is>
      </c>
      <c r="C1049" t="inlineStr"/>
      <c r="D1049" t="inlineStr">
        <is>
          <t>Asia</t>
        </is>
      </c>
      <c r="E1049" t="inlineStr">
        <is>
          <t>M</t>
        </is>
      </c>
      <c r="F1049" t="inlineStr">
        <is>
          <t>FO</t>
        </is>
      </c>
      <c r="G1049" t="inlineStr">
        <is>
          <t>VH</t>
        </is>
      </c>
      <c r="H1049" t="inlineStr"/>
      <c r="I1049" t="inlineStr">
        <is>
          <t>Public</t>
        </is>
      </c>
      <c r="J1049" t="inlineStr">
        <is>
          <t>44</t>
        </is>
      </c>
      <c r="K1049" t="inlineStr">
        <is>
          <t>47</t>
        </is>
      </c>
      <c r="L1049" t="inlineStr"/>
      <c r="M1049" t="inlineStr"/>
      <c r="N1049" t="inlineStr">
        <is>
          <t>84.8</t>
        </is>
      </c>
      <c r="O1049" t="inlineStr"/>
      <c r="P1049" t="n">
        <v>89.40000000000001</v>
      </c>
      <c r="Q1049" t="inlineStr">
        <is>
          <t>69</t>
        </is>
      </c>
      <c r="R1049" t="n">
        <v>69.7</v>
      </c>
      <c r="S1049" t="inlineStr">
        <is>
          <t>149</t>
        </is>
      </c>
      <c r="T1049" t="n">
        <v>67.5</v>
      </c>
      <c r="U1049" t="inlineStr">
        <is>
          <t>247</t>
        </is>
      </c>
      <c r="V1049" t="n">
        <v>100</v>
      </c>
      <c r="W1049" t="inlineStr">
        <is>
          <t>12</t>
        </is>
      </c>
      <c r="X1049" t="n">
        <v>100</v>
      </c>
      <c r="Y1049" t="inlineStr">
        <is>
          <t>23</t>
        </is>
      </c>
      <c r="Z1049" t="n">
        <v>99.3</v>
      </c>
      <c r="AA1049" t="inlineStr">
        <is>
          <t>59</t>
        </is>
      </c>
      <c r="AB1049" t="n">
        <v>99</v>
      </c>
      <c r="AC1049" t="inlineStr">
        <is>
          <t>60</t>
        </is>
      </c>
      <c r="AD1049" t="n">
        <v>49.5</v>
      </c>
      <c r="AE1049" t="inlineStr">
        <is>
          <t>801+</t>
        </is>
      </c>
      <c r="AF1049" t="n">
        <v>76.59999999999999</v>
      </c>
      <c r="AG1049" t="inlineStr">
        <is>
          <t>173</t>
        </is>
      </c>
      <c r="AH1049" t="n">
        <v>79.7</v>
      </c>
      <c r="AI1049" t="inlineStr">
        <is>
          <t>175=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</row>
    <row r="1050">
      <c r="A1050" t="inlineStr">
        <is>
          <t>The Islamia University of Bahawalpur,Pakistan</t>
        </is>
      </c>
      <c r="B1050" t="inlineStr">
        <is>
          <t>Pakistan</t>
        </is>
      </c>
      <c r="C1050" t="inlineStr"/>
      <c r="D1050" t="inlineStr">
        <is>
          <t>Asia</t>
        </is>
      </c>
      <c r="E1050" t="inlineStr">
        <is>
          <t>XL</t>
        </is>
      </c>
      <c r="F1050" t="inlineStr">
        <is>
          <t>CO</t>
        </is>
      </c>
      <c r="G1050" t="inlineStr">
        <is>
          <t>HI</t>
        </is>
      </c>
      <c r="H1050" t="inlineStr"/>
      <c r="I1050" t="inlineStr">
        <is>
          <t>Public</t>
        </is>
      </c>
      <c r="J1050" t="inlineStr">
        <is>
          <t>1401+</t>
        </is>
      </c>
      <c r="K1050" t="inlineStr"/>
      <c r="L1050" t="inlineStr"/>
      <c r="M1050" t="inlineStr"/>
      <c r="N1050" t="inlineStr">
        <is>
          <t>-</t>
        </is>
      </c>
      <c r="O1050" t="inlineStr"/>
      <c r="P1050" t="n">
        <v>6.2</v>
      </c>
      <c r="Q1050" t="inlineStr">
        <is>
          <t>701+</t>
        </is>
      </c>
      <c r="R1050" t="n">
        <v>7</v>
      </c>
      <c r="S1050" t="inlineStr">
        <is>
          <t>701+</t>
        </is>
      </c>
      <c r="T1050" t="n">
        <v>4.7</v>
      </c>
      <c r="U1050" t="inlineStr">
        <is>
          <t>801+</t>
        </is>
      </c>
      <c r="V1050" t="n">
        <v>9.1</v>
      </c>
      <c r="W1050" t="inlineStr">
        <is>
          <t>801+</t>
        </is>
      </c>
      <c r="X1050" t="inlineStr"/>
      <c r="Y1050" t="inlineStr"/>
      <c r="Z1050" t="inlineStr"/>
      <c r="AA1050" t="inlineStr"/>
      <c r="AB1050" t="inlineStr"/>
      <c r="AC1050" t="inlineStr"/>
      <c r="AD1050" t="n">
        <v>55.8</v>
      </c>
      <c r="AE1050" t="inlineStr">
        <is>
          <t>751</t>
        </is>
      </c>
      <c r="AF1050" t="n">
        <v>3.1</v>
      </c>
      <c r="AG1050" t="inlineStr">
        <is>
          <t>801+</t>
        </is>
      </c>
      <c r="AH1050" t="n">
        <v>36.2</v>
      </c>
      <c r="AI1050" t="inlineStr">
        <is>
          <t>801+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</row>
    <row r="1051">
      <c r="A1051" t="inlineStr">
        <is>
          <t>The Josip Juraj Strossmayer University of Osijek</t>
        </is>
      </c>
      <c r="B1051" t="inlineStr">
        <is>
          <t>Croatia</t>
        </is>
      </c>
      <c r="C1051" t="inlineStr">
        <is>
          <t>HR</t>
        </is>
      </c>
      <c r="D1051" t="inlineStr"/>
      <c r="E1051" t="inlineStr">
        <is>
          <t>L</t>
        </is>
      </c>
      <c r="F1051" t="inlineStr">
        <is>
          <t>CO</t>
        </is>
      </c>
      <c r="G1051" t="inlineStr">
        <is>
          <t>HI</t>
        </is>
      </c>
      <c r="H1051" t="inlineStr">
        <is>
          <t>3</t>
        </is>
      </c>
      <c r="I1051" t="inlineStr">
        <is>
          <t>A</t>
        </is>
      </c>
      <c r="J1051" t="inlineStr"/>
      <c r="K1051" t="inlineStr"/>
      <c r="L1051" t="inlineStr">
        <is>
          <t>1201-1400</t>
        </is>
      </c>
      <c r="M1051" t="inlineStr">
        <is>
          <t>1001-1200</t>
        </is>
      </c>
      <c r="N1051" t="inlineStr"/>
      <c r="O1051" t="inlineStr">
        <is>
          <t>-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>
        <is>
          <t>4.3</t>
        </is>
      </c>
      <c r="AK1051" t="inlineStr">
        <is>
          <t>601+</t>
        </is>
      </c>
      <c r="AL1051" t="inlineStr"/>
      <c r="AM1051" t="inlineStr"/>
      <c r="AN1051" t="inlineStr">
        <is>
          <t>30.2</t>
        </is>
      </c>
      <c r="AO1051" t="inlineStr">
        <is>
          <t>519</t>
        </is>
      </c>
      <c r="AP1051" t="inlineStr">
        <is>
          <t>2.9</t>
        </is>
      </c>
      <c r="AQ1051" t="inlineStr">
        <is>
          <t>701+</t>
        </is>
      </c>
      <c r="AR1051" t="inlineStr"/>
      <c r="AS1051" t="inlineStr"/>
      <c r="AT1051" t="inlineStr"/>
      <c r="AU1051" t="inlineStr"/>
      <c r="AV1051" t="inlineStr">
        <is>
          <t>5.3</t>
        </is>
      </c>
      <c r="AW1051" t="inlineStr">
        <is>
          <t>701+</t>
        </is>
      </c>
      <c r="AX1051" t="inlineStr">
        <is>
          <t>9.9</t>
        </is>
      </c>
      <c r="AY1051" t="inlineStr">
        <is>
          <t>701+</t>
        </is>
      </c>
      <c r="AZ1051" t="inlineStr">
        <is>
          <t>1</t>
        </is>
      </c>
      <c r="BA1051" t="inlineStr">
        <is>
          <t>701+</t>
        </is>
      </c>
    </row>
    <row r="1052">
      <c r="A1052" t="inlineStr">
        <is>
          <t>The London School of Economics and Political Science (LSE)</t>
        </is>
      </c>
      <c r="B1052" t="inlineStr">
        <is>
          <t>United Kingdom</t>
        </is>
      </c>
      <c r="C1052" t="inlineStr">
        <is>
          <t>UK</t>
        </is>
      </c>
      <c r="D1052" t="inlineStr"/>
      <c r="E1052" t="inlineStr">
        <is>
          <t>M</t>
        </is>
      </c>
      <c r="F1052" t="inlineStr">
        <is>
          <t>SP</t>
        </is>
      </c>
      <c r="G1052" t="inlineStr">
        <is>
          <t>VH</t>
        </is>
      </c>
      <c r="H1052" t="inlineStr">
        <is>
          <t>5</t>
        </is>
      </c>
      <c r="I1052" t="inlineStr">
        <is>
          <t>A</t>
        </is>
      </c>
      <c r="J1052" t="inlineStr"/>
      <c r="K1052" t="inlineStr"/>
      <c r="L1052" t="inlineStr">
        <is>
          <t>45</t>
        </is>
      </c>
      <c r="M1052" t="inlineStr">
        <is>
          <t>56</t>
        </is>
      </c>
      <c r="N1052" t="inlineStr"/>
      <c r="O1052" t="inlineStr">
        <is>
          <t>76.9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>
        <is>
          <t>67.7</t>
        </is>
      </c>
      <c r="AK1052" t="inlineStr">
        <is>
          <t>98</t>
        </is>
      </c>
      <c r="AL1052" t="inlineStr">
        <is>
          <t>96.1</t>
        </is>
      </c>
      <c r="AM1052" t="inlineStr">
        <is>
          <t>32</t>
        </is>
      </c>
      <c r="AN1052" t="inlineStr">
        <is>
          <t>39.6</t>
        </is>
      </c>
      <c r="AO1052" t="inlineStr">
        <is>
          <t>401</t>
        </is>
      </c>
      <c r="AP1052" t="inlineStr">
        <is>
          <t>80.2</t>
        </is>
      </c>
      <c r="AQ1052" t="inlineStr">
        <is>
          <t>110</t>
        </is>
      </c>
      <c r="AR1052" t="inlineStr">
        <is>
          <t>100.0</t>
        </is>
      </c>
      <c r="AS1052" t="inlineStr">
        <is>
          <t>35</t>
        </is>
      </c>
      <c r="AT1052" t="inlineStr">
        <is>
          <t>100.0</t>
        </is>
      </c>
      <c r="AU1052" t="inlineStr">
        <is>
          <t>10</t>
        </is>
      </c>
      <c r="AV1052" t="inlineStr">
        <is>
          <t>32.4</t>
        </is>
      </c>
      <c r="AW1052" t="inlineStr">
        <is>
          <t>440</t>
        </is>
      </c>
      <c r="AX1052" t="inlineStr">
        <is>
          <t>98.6</t>
        </is>
      </c>
      <c r="AY1052" t="inlineStr">
        <is>
          <t>16</t>
        </is>
      </c>
      <c r="AZ1052" t="inlineStr">
        <is>
          <t>97.8</t>
        </is>
      </c>
      <c r="BA1052" t="inlineStr">
        <is>
          <t>28</t>
        </is>
      </c>
    </row>
    <row r="1053">
      <c r="A1053" t="inlineStr">
        <is>
          <t>The National Research University "Belgorod State University"</t>
        </is>
      </c>
      <c r="B1053" t="inlineStr">
        <is>
          <t>Russia</t>
        </is>
      </c>
      <c r="C1053" t="inlineStr">
        <is>
          <t>RU</t>
        </is>
      </c>
      <c r="D1053" t="inlineStr"/>
      <c r="E1053" t="inlineStr">
        <is>
          <t>L</t>
        </is>
      </c>
      <c r="F1053" t="inlineStr">
        <is>
          <t>FC</t>
        </is>
      </c>
      <c r="G1053" t="inlineStr">
        <is>
          <t>MD</t>
        </is>
      </c>
      <c r="H1053" t="inlineStr">
        <is>
          <t>5</t>
        </is>
      </c>
      <c r="I1053" t="inlineStr">
        <is>
          <t>A</t>
        </is>
      </c>
      <c r="J1053" t="inlineStr"/>
      <c r="K1053" t="inlineStr"/>
      <c r="L1053" t="inlineStr">
        <is>
          <t>1201-1400</t>
        </is>
      </c>
      <c r="M1053" t="inlineStr">
        <is>
          <t>1001-1200</t>
        </is>
      </c>
      <c r="N1053" t="inlineStr"/>
      <c r="O1053" t="inlineStr">
        <is>
          <t>-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>
        <is>
          <t>4.0</t>
        </is>
      </c>
      <c r="AK1053" t="inlineStr">
        <is>
          <t>601+</t>
        </is>
      </c>
      <c r="AL1053" t="inlineStr">
        <is>
          <t>1.3</t>
        </is>
      </c>
      <c r="AM1053" t="inlineStr">
        <is>
          <t>601+</t>
        </is>
      </c>
      <c r="AN1053" t="inlineStr">
        <is>
          <t>18.4</t>
        </is>
      </c>
      <c r="AO1053" t="inlineStr">
        <is>
          <t>701+</t>
        </is>
      </c>
      <c r="AP1053" t="inlineStr">
        <is>
          <t>2.0</t>
        </is>
      </c>
      <c r="AQ1053" t="inlineStr">
        <is>
          <t>701+</t>
        </is>
      </c>
      <c r="AR1053" t="inlineStr">
        <is>
          <t>2.4</t>
        </is>
      </c>
      <c r="AS1053" t="inlineStr">
        <is>
          <t>701+</t>
        </is>
      </c>
      <c r="AT1053" t="inlineStr">
        <is>
          <t>52.9</t>
        </is>
      </c>
      <c r="AU1053" t="inlineStr">
        <is>
          <t>275</t>
        </is>
      </c>
      <c r="AV1053" t="inlineStr">
        <is>
          <t>1.2</t>
        </is>
      </c>
      <c r="AW1053" t="inlineStr">
        <is>
          <t>701+</t>
        </is>
      </c>
      <c r="AX1053" t="inlineStr">
        <is>
          <t>7.9</t>
        </is>
      </c>
      <c r="AY1053" t="inlineStr">
        <is>
          <t>701+</t>
        </is>
      </c>
      <c r="AZ1053" t="inlineStr">
        <is>
          <t>3.5</t>
        </is>
      </c>
      <c r="BA1053" t="inlineStr">
        <is>
          <t>701+</t>
        </is>
      </c>
    </row>
    <row r="1054">
      <c r="A1054" t="inlineStr">
        <is>
          <t>The National University of Science and Technology MISIS</t>
        </is>
      </c>
      <c r="B1054" t="inlineStr">
        <is>
          <t>Russia</t>
        </is>
      </c>
      <c r="C1054" t="inlineStr">
        <is>
          <t>RU</t>
        </is>
      </c>
      <c r="D1054" t="inlineStr"/>
      <c r="E1054" t="inlineStr">
        <is>
          <t>M</t>
        </is>
      </c>
      <c r="F1054" t="inlineStr">
        <is>
          <t>SP</t>
        </is>
      </c>
      <c r="G1054" t="inlineStr"/>
      <c r="H1054" t="inlineStr">
        <is>
          <t>2</t>
        </is>
      </c>
      <c r="I1054" t="inlineStr">
        <is>
          <t>A</t>
        </is>
      </c>
      <c r="J1054" t="inlineStr"/>
      <c r="K1054" t="inlineStr"/>
      <c r="L1054" t="inlineStr">
        <is>
          <t>681-690</t>
        </is>
      </c>
      <c r="M1054" t="inlineStr">
        <is>
          <t>467=</t>
        </is>
      </c>
      <c r="N1054" t="inlineStr"/>
      <c r="O1054" t="inlineStr">
        <is>
          <t>-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6.5</t>
        </is>
      </c>
      <c r="AK1054" t="inlineStr">
        <is>
          <t>601+</t>
        </is>
      </c>
      <c r="AL1054" t="inlineStr">
        <is>
          <t>8.0</t>
        </is>
      </c>
      <c r="AM1054" t="inlineStr">
        <is>
          <t>601+</t>
        </is>
      </c>
      <c r="AN1054" t="inlineStr">
        <is>
          <t>75.5</t>
        </is>
      </c>
      <c r="AO1054" t="inlineStr">
        <is>
          <t>163</t>
        </is>
      </c>
      <c r="AP1054" t="inlineStr">
        <is>
          <t>14.7</t>
        </is>
      </c>
      <c r="AQ1054" t="inlineStr">
        <is>
          <t>642</t>
        </is>
      </c>
      <c r="AR1054" t="inlineStr">
        <is>
          <t>7.9</t>
        </is>
      </c>
      <c r="AS1054" t="inlineStr">
        <is>
          <t>701+</t>
        </is>
      </c>
      <c r="AT1054" t="inlineStr">
        <is>
          <t>49.9</t>
        </is>
      </c>
      <c r="AU1054" t="inlineStr">
        <is>
          <t>295</t>
        </is>
      </c>
      <c r="AV1054" t="inlineStr">
        <is>
          <t>3.6</t>
        </is>
      </c>
      <c r="AW1054" t="inlineStr">
        <is>
          <t>701+</t>
        </is>
      </c>
      <c r="AX1054" t="inlineStr">
        <is>
          <t>9.8</t>
        </is>
      </c>
      <c r="AY1054" t="inlineStr">
        <is>
          <t>701+</t>
        </is>
      </c>
      <c r="AZ1054" t="inlineStr">
        <is>
          <t>1.1</t>
        </is>
      </c>
      <c r="BA1054" t="inlineStr">
        <is>
          <t>701+</t>
        </is>
      </c>
    </row>
    <row r="1055">
      <c r="A1055" t="inlineStr">
        <is>
          <t>The New School</t>
        </is>
      </c>
      <c r="B1055" t="inlineStr">
        <is>
          <t>United States</t>
        </is>
      </c>
      <c r="C1055" t="inlineStr">
        <is>
          <t>US</t>
        </is>
      </c>
      <c r="D1055" t="inlineStr"/>
      <c r="E1055" t="inlineStr">
        <is>
          <t>M</t>
        </is>
      </c>
      <c r="F1055" t="inlineStr">
        <is>
          <t>FO</t>
        </is>
      </c>
      <c r="G1055" t="inlineStr">
        <is>
          <t>VH</t>
        </is>
      </c>
      <c r="H1055" t="inlineStr">
        <is>
          <t>5</t>
        </is>
      </c>
      <c r="I1055" t="inlineStr">
        <is>
          <t>B</t>
        </is>
      </c>
      <c r="J1055" t="inlineStr"/>
      <c r="K1055" t="inlineStr"/>
      <c r="L1055" t="inlineStr">
        <is>
          <t>641-650</t>
        </is>
      </c>
      <c r="M1055" t="inlineStr">
        <is>
          <t>521-530</t>
        </is>
      </c>
      <c r="N1055" t="inlineStr"/>
      <c r="O1055" t="inlineStr">
        <is>
          <t>-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15.9</t>
        </is>
      </c>
      <c r="AK1055" t="inlineStr">
        <is>
          <t>549</t>
        </is>
      </c>
      <c r="AL1055" t="inlineStr">
        <is>
          <t>14.9</t>
        </is>
      </c>
      <c r="AM1055" t="inlineStr">
        <is>
          <t>551</t>
        </is>
      </c>
      <c r="AN1055" t="inlineStr">
        <is>
          <t>44.3</t>
        </is>
      </c>
      <c r="AO1055" t="inlineStr">
        <is>
          <t>355</t>
        </is>
      </c>
      <c r="AP1055" t="inlineStr">
        <is>
          <t>2.8</t>
        </is>
      </c>
      <c r="AQ1055" t="inlineStr">
        <is>
          <t>701+</t>
        </is>
      </c>
      <c r="AR1055" t="inlineStr">
        <is>
          <t>6.0</t>
        </is>
      </c>
      <c r="AS1055" t="inlineStr">
        <is>
          <t>701+</t>
        </is>
      </c>
      <c r="AT1055" t="inlineStr">
        <is>
          <t>91.7</t>
        </is>
      </c>
      <c r="AU1055" t="inlineStr">
        <is>
          <t>107</t>
        </is>
      </c>
      <c r="AV1055" t="inlineStr">
        <is>
          <t>1.2</t>
        </is>
      </c>
      <c r="AW1055" t="inlineStr">
        <is>
          <t>701+</t>
        </is>
      </c>
      <c r="AX1055" t="inlineStr">
        <is>
          <t>24.7</t>
        </is>
      </c>
      <c r="AY1055" t="inlineStr">
        <is>
          <t>337</t>
        </is>
      </c>
      <c r="AZ1055" t="inlineStr">
        <is>
          <t>1.1</t>
        </is>
      </c>
      <c r="BA1055" t="inlineStr">
        <is>
          <t>701+</t>
        </is>
      </c>
    </row>
    <row r="1056">
      <c r="A1056" t="inlineStr">
        <is>
          <t>The New School, New York City and Paris</t>
        </is>
      </c>
      <c r="B1056" t="inlineStr">
        <is>
          <t>United States</t>
        </is>
      </c>
      <c r="C1056" t="inlineStr"/>
      <c r="D1056" t="inlineStr">
        <is>
          <t>Americas</t>
        </is>
      </c>
      <c r="E1056" t="inlineStr">
        <is>
          <t>M</t>
        </is>
      </c>
      <c r="F1056" t="inlineStr">
        <is>
          <t>FO</t>
        </is>
      </c>
      <c r="G1056" t="inlineStr">
        <is>
          <t>VH</t>
        </is>
      </c>
      <c r="H1056" t="inlineStr"/>
      <c r="I1056" t="inlineStr">
        <is>
          <t>Private not for Profit</t>
        </is>
      </c>
      <c r="J1056" t="inlineStr">
        <is>
          <t>801-850</t>
        </is>
      </c>
      <c r="K1056" t="inlineStr">
        <is>
          <t>781-790</t>
        </is>
      </c>
      <c r="L1056" t="inlineStr"/>
      <c r="M1056" t="inlineStr"/>
      <c r="N1056" t="inlineStr">
        <is>
          <t>-</t>
        </is>
      </c>
      <c r="O1056" t="inlineStr"/>
      <c r="P1056" t="n">
        <v>20.4</v>
      </c>
      <c r="Q1056" t="inlineStr">
        <is>
          <t>603</t>
        </is>
      </c>
      <c r="R1056" t="n">
        <v>17.9</v>
      </c>
      <c r="S1056" t="inlineStr">
        <is>
          <t>701+</t>
        </is>
      </c>
      <c r="T1056" t="n">
        <v>47.6</v>
      </c>
      <c r="U1056" t="inlineStr">
        <is>
          <t>411</t>
        </is>
      </c>
      <c r="V1056" t="n">
        <v>4.6</v>
      </c>
      <c r="W1056" t="inlineStr">
        <is>
          <t>801+</t>
        </is>
      </c>
      <c r="X1056" t="n">
        <v>8.199999999999999</v>
      </c>
      <c r="Y1056" t="inlineStr">
        <is>
          <t>801+</t>
        </is>
      </c>
      <c r="Z1056" t="n">
        <v>97.90000000000001</v>
      </c>
      <c r="AA1056" t="inlineStr">
        <is>
          <t>92</t>
        </is>
      </c>
      <c r="AB1056" t="n">
        <v>98</v>
      </c>
      <c r="AC1056" t="inlineStr">
        <is>
          <t>80</t>
        </is>
      </c>
      <c r="AD1056" t="n">
        <v>21.1</v>
      </c>
      <c r="AE1056" t="inlineStr">
        <is>
          <t>801+</t>
        </is>
      </c>
      <c r="AF1056" t="n">
        <v>24.9</v>
      </c>
      <c r="AG1056" t="inlineStr">
        <is>
          <t>641</t>
        </is>
      </c>
      <c r="AH1056" t="n">
        <v>24.1</v>
      </c>
      <c r="AI1056" t="inlineStr">
        <is>
          <t>801+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</row>
    <row r="1057">
      <c r="A1057" t="inlineStr">
        <is>
          <t>The Ohio State University</t>
        </is>
      </c>
      <c r="B1057" t="inlineStr">
        <is>
          <t>United States</t>
        </is>
      </c>
      <c r="C1057" t="inlineStr">
        <is>
          <t>US</t>
        </is>
      </c>
      <c r="D1057" t="inlineStr"/>
      <c r="E1057" t="inlineStr">
        <is>
          <t>XL</t>
        </is>
      </c>
      <c r="F1057" t="inlineStr">
        <is>
          <t>FC</t>
        </is>
      </c>
      <c r="G1057" t="inlineStr">
        <is>
          <t>VH</t>
        </is>
      </c>
      <c r="H1057" t="inlineStr">
        <is>
          <t>5</t>
        </is>
      </c>
      <c r="I1057" t="inlineStr">
        <is>
          <t>A</t>
        </is>
      </c>
      <c r="J1057" t="inlineStr"/>
      <c r="K1057" t="inlineStr"/>
      <c r="L1057">
        <f>151</f>
        <v/>
      </c>
      <c r="M1057" t="inlineStr">
        <is>
          <t>140</t>
        </is>
      </c>
      <c r="N1057" t="inlineStr"/>
      <c r="O1057" t="inlineStr">
        <is>
          <t>51.3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59.4</t>
        </is>
      </c>
      <c r="AK1057" t="inlineStr">
        <is>
          <t>125</t>
        </is>
      </c>
      <c r="AL1057" t="inlineStr">
        <is>
          <t>55.8</t>
        </is>
      </c>
      <c r="AM1057" t="inlineStr">
        <is>
          <t>148</t>
        </is>
      </c>
      <c r="AN1057" t="inlineStr">
        <is>
          <t>53.8</t>
        </is>
      </c>
      <c r="AO1057" t="inlineStr">
        <is>
          <t>287</t>
        </is>
      </c>
      <c r="AP1057" t="inlineStr">
        <is>
          <t>30.8</t>
        </is>
      </c>
      <c r="AQ1057" t="inlineStr">
        <is>
          <t>429</t>
        </is>
      </c>
      <c r="AR1057" t="inlineStr">
        <is>
          <t>49.7</t>
        </is>
      </c>
      <c r="AS1057" t="inlineStr">
        <is>
          <t>359</t>
        </is>
      </c>
      <c r="AT1057" t="inlineStr">
        <is>
          <t>16.5</t>
        </is>
      </c>
      <c r="AU1057" t="inlineStr">
        <is>
          <t>590</t>
        </is>
      </c>
      <c r="AV1057" t="inlineStr">
        <is>
          <t>85.0</t>
        </is>
      </c>
      <c r="AW1057" t="inlineStr">
        <is>
          <t>116</t>
        </is>
      </c>
      <c r="AX1057" t="inlineStr">
        <is>
          <t>35.2</t>
        </is>
      </c>
      <c r="AY1057" t="inlineStr">
        <is>
          <t>216</t>
        </is>
      </c>
      <c r="AZ1057" t="inlineStr">
        <is>
          <t>78.4</t>
        </is>
      </c>
      <c r="BA1057" t="inlineStr">
        <is>
          <t>158=</t>
        </is>
      </c>
    </row>
    <row r="1058">
      <c r="A1058" t="inlineStr">
        <is>
          <t>The Robert Gordon University</t>
        </is>
      </c>
      <c r="B1058" t="inlineStr">
        <is>
          <t>United Kingdom</t>
        </is>
      </c>
      <c r="C1058" t="inlineStr"/>
      <c r="D1058" t="inlineStr">
        <is>
          <t>Europe</t>
        </is>
      </c>
      <c r="E1058" t="inlineStr">
        <is>
          <t>L</t>
        </is>
      </c>
      <c r="F1058" t="inlineStr">
        <is>
          <t>CO</t>
        </is>
      </c>
      <c r="G1058" t="inlineStr">
        <is>
          <t>HI</t>
        </is>
      </c>
      <c r="H1058" t="inlineStr"/>
      <c r="I1058" t="inlineStr">
        <is>
          <t>Public</t>
        </is>
      </c>
      <c r="J1058" t="inlineStr">
        <is>
          <t>951-1000</t>
        </is>
      </c>
      <c r="K1058" t="inlineStr">
        <is>
          <t>901-950</t>
        </is>
      </c>
      <c r="L1058" t="inlineStr"/>
      <c r="M1058" t="inlineStr"/>
      <c r="N1058" t="inlineStr">
        <is>
          <t>-</t>
        </is>
      </c>
      <c r="O1058" t="inlineStr"/>
      <c r="P1058" t="n">
        <v>4</v>
      </c>
      <c r="Q1058" t="inlineStr">
        <is>
          <t>701+</t>
        </is>
      </c>
      <c r="R1058" t="n">
        <v>19.4</v>
      </c>
      <c r="S1058" t="inlineStr">
        <is>
          <t>671</t>
        </is>
      </c>
      <c r="T1058" t="n">
        <v>6.7</v>
      </c>
      <c r="U1058" t="inlineStr">
        <is>
          <t>801+</t>
        </is>
      </c>
      <c r="V1058" t="n">
        <v>11.4</v>
      </c>
      <c r="W1058" t="inlineStr">
        <is>
          <t>801+</t>
        </is>
      </c>
      <c r="X1058" t="n">
        <v>78.5</v>
      </c>
      <c r="Y1058" t="inlineStr">
        <is>
          <t>303</t>
        </is>
      </c>
      <c r="Z1058" t="n">
        <v>84.40000000000001</v>
      </c>
      <c r="AA1058" t="inlineStr">
        <is>
          <t>199</t>
        </is>
      </c>
      <c r="AB1058" t="n">
        <v>85.8</v>
      </c>
      <c r="AC1058" t="inlineStr">
        <is>
          <t>170</t>
        </is>
      </c>
      <c r="AD1058" t="n">
        <v>34.2</v>
      </c>
      <c r="AE1058" t="inlineStr">
        <is>
          <t>801+</t>
        </is>
      </c>
      <c r="AF1058" t="n">
        <v>9.4</v>
      </c>
      <c r="AG1058" t="inlineStr">
        <is>
          <t>801+</t>
        </is>
      </c>
      <c r="AH1058" t="n">
        <v>46.9</v>
      </c>
      <c r="AI1058" t="inlineStr">
        <is>
          <t>793=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</row>
    <row r="1059">
      <c r="A1059" t="inlineStr">
        <is>
          <t>The Russian Presidential Academy of National Economy and Public Administration</t>
        </is>
      </c>
      <c r="B1059" t="inlineStr">
        <is>
          <t>Russia</t>
        </is>
      </c>
      <c r="C1059" t="inlineStr"/>
      <c r="D1059" t="inlineStr">
        <is>
          <t>Europe</t>
        </is>
      </c>
      <c r="E1059" t="inlineStr">
        <is>
          <t>XL</t>
        </is>
      </c>
      <c r="F1059" t="inlineStr">
        <is>
          <t>FO</t>
        </is>
      </c>
      <c r="G1059" t="inlineStr">
        <is>
          <t>VH</t>
        </is>
      </c>
      <c r="H1059" t="inlineStr"/>
      <c r="I1059" t="inlineStr">
        <is>
          <t>Public</t>
        </is>
      </c>
      <c r="J1059" t="inlineStr">
        <is>
          <t>1201-1400</t>
        </is>
      </c>
      <c r="K1059" t="inlineStr">
        <is>
          <t>1001-1200</t>
        </is>
      </c>
      <c r="L1059" t="inlineStr"/>
      <c r="M1059" t="inlineStr"/>
      <c r="N1059" t="inlineStr">
        <is>
          <t>-</t>
        </is>
      </c>
      <c r="O1059" t="inlineStr"/>
      <c r="P1059" t="n">
        <v>5.6</v>
      </c>
      <c r="Q1059" t="inlineStr">
        <is>
          <t>701+</t>
        </is>
      </c>
      <c r="R1059" t="n">
        <v>14.9</v>
      </c>
      <c r="S1059" t="inlineStr">
        <is>
          <t>701+</t>
        </is>
      </c>
      <c r="T1059" t="n">
        <v>48.4</v>
      </c>
      <c r="U1059" t="inlineStr">
        <is>
          <t>401</t>
        </is>
      </c>
      <c r="V1059" t="n">
        <v>1.2</v>
      </c>
      <c r="W1059" t="inlineStr">
        <is>
          <t>801+</t>
        </is>
      </c>
      <c r="X1059" t="n">
        <v>2.1</v>
      </c>
      <c r="Y1059" t="inlineStr">
        <is>
          <t>801+</t>
        </is>
      </c>
      <c r="Z1059" t="n">
        <v>4.6</v>
      </c>
      <c r="AA1059" t="inlineStr">
        <is>
          <t>801+</t>
        </is>
      </c>
      <c r="AB1059" t="n">
        <v>9.300000000000001</v>
      </c>
      <c r="AC1059" t="inlineStr">
        <is>
          <t>801+</t>
        </is>
      </c>
      <c r="AD1059" t="n">
        <v>21.8</v>
      </c>
      <c r="AE1059" t="inlineStr">
        <is>
          <t>801+</t>
        </is>
      </c>
      <c r="AF1059" t="n">
        <v>53.7</v>
      </c>
      <c r="AG1059" t="inlineStr">
        <is>
          <t>312</t>
        </is>
      </c>
      <c r="AH1059" t="n">
        <v>14.3</v>
      </c>
      <c r="AI1059" t="inlineStr">
        <is>
          <t>801+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</row>
    <row r="1060">
      <c r="A1060" t="inlineStr">
        <is>
          <t>The University of Adelaide</t>
        </is>
      </c>
      <c r="B1060" t="inlineStr">
        <is>
          <t>Australia</t>
        </is>
      </c>
      <c r="C1060" t="inlineStr">
        <is>
          <t>AU</t>
        </is>
      </c>
      <c r="D1060" t="inlineStr"/>
      <c r="E1060" t="inlineStr">
        <is>
          <t>L</t>
        </is>
      </c>
      <c r="F1060" t="inlineStr">
        <is>
          <t>FC</t>
        </is>
      </c>
      <c r="G1060" t="inlineStr">
        <is>
          <t>VH</t>
        </is>
      </c>
      <c r="H1060" t="inlineStr">
        <is>
          <t>5</t>
        </is>
      </c>
      <c r="I1060" t="inlineStr">
        <is>
          <t>A</t>
        </is>
      </c>
      <c r="J1060" t="inlineStr"/>
      <c r="K1060" t="inlineStr"/>
      <c r="L1060" t="inlineStr">
        <is>
          <t>89</t>
        </is>
      </c>
      <c r="M1060" t="inlineStr">
        <is>
          <t>109</t>
        </is>
      </c>
      <c r="N1060" t="inlineStr"/>
      <c r="O1060" t="inlineStr">
        <is>
          <t>62.0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>
        <is>
          <t>54.2</t>
        </is>
      </c>
      <c r="AK1060" t="inlineStr">
        <is>
          <t>144</t>
        </is>
      </c>
      <c r="AL1060" t="inlineStr">
        <is>
          <t>36.5</t>
        </is>
      </c>
      <c r="AM1060" t="inlineStr">
        <is>
          <t>267</t>
        </is>
      </c>
      <c r="AN1060" t="inlineStr">
        <is>
          <t>16.2</t>
        </is>
      </c>
      <c r="AO1060" t="inlineStr">
        <is>
          <t>701+</t>
        </is>
      </c>
      <c r="AP1060" t="inlineStr">
        <is>
          <t>87.1</t>
        </is>
      </c>
      <c r="AQ1060" t="inlineStr">
        <is>
          <t>83</t>
        </is>
      </c>
      <c r="AR1060" t="inlineStr">
        <is>
          <t>100.0</t>
        </is>
      </c>
      <c r="AS1060" t="inlineStr">
        <is>
          <t>69</t>
        </is>
      </c>
      <c r="AT1060" t="inlineStr">
        <is>
          <t>99.6</t>
        </is>
      </c>
      <c r="AU1060" t="inlineStr">
        <is>
          <t>40</t>
        </is>
      </c>
      <c r="AV1060" t="inlineStr">
        <is>
          <t>78.8</t>
        </is>
      </c>
      <c r="AW1060" t="inlineStr">
        <is>
          <t>154</t>
        </is>
      </c>
      <c r="AX1060" t="inlineStr">
        <is>
          <t>38.4</t>
        </is>
      </c>
      <c r="AY1060" t="inlineStr">
        <is>
          <t>191</t>
        </is>
      </c>
      <c r="AZ1060" t="inlineStr">
        <is>
          <t>96.3</t>
        </is>
      </c>
      <c r="BA1060" t="inlineStr">
        <is>
          <t>42</t>
        </is>
      </c>
    </row>
    <row r="1061">
      <c r="A1061" t="inlineStr">
        <is>
          <t>The University of Alabama</t>
        </is>
      </c>
      <c r="B1061" t="inlineStr">
        <is>
          <t>United States</t>
        </is>
      </c>
      <c r="C1061" t="inlineStr">
        <is>
          <t>US</t>
        </is>
      </c>
      <c r="D1061" t="inlineStr"/>
      <c r="E1061" t="inlineStr">
        <is>
          <t>XL</t>
        </is>
      </c>
      <c r="F1061" t="inlineStr">
        <is>
          <t>CO</t>
        </is>
      </c>
      <c r="G1061" t="inlineStr">
        <is>
          <t>VH</t>
        </is>
      </c>
      <c r="H1061" t="inlineStr">
        <is>
          <t>5</t>
        </is>
      </c>
      <c r="I1061" t="inlineStr">
        <is>
          <t>A</t>
        </is>
      </c>
      <c r="J1061" t="inlineStr"/>
      <c r="K1061" t="inlineStr"/>
      <c r="L1061" t="inlineStr">
        <is>
          <t>951-1000</t>
        </is>
      </c>
      <c r="M1061" t="inlineStr">
        <is>
          <t>1001-1200</t>
        </is>
      </c>
      <c r="N1061" t="inlineStr"/>
      <c r="O1061" t="inlineStr">
        <is>
          <t>-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>
        <is>
          <t>9.7</t>
        </is>
      </c>
      <c r="AK1061" t="inlineStr">
        <is>
          <t>601+</t>
        </is>
      </c>
      <c r="AL1061" t="inlineStr">
        <is>
          <t>19.0</t>
        </is>
      </c>
      <c r="AM1061" t="inlineStr">
        <is>
          <t>471</t>
        </is>
      </c>
      <c r="AN1061" t="inlineStr">
        <is>
          <t>5.9</t>
        </is>
      </c>
      <c r="AO1061" t="inlineStr">
        <is>
          <t>701+</t>
        </is>
      </c>
      <c r="AP1061" t="inlineStr">
        <is>
          <t>12.8</t>
        </is>
      </c>
      <c r="AQ1061" t="inlineStr">
        <is>
          <t>681</t>
        </is>
      </c>
      <c r="AR1061" t="inlineStr">
        <is>
          <t>8.9</t>
        </is>
      </c>
      <c r="AS1061" t="inlineStr">
        <is>
          <t>701+</t>
        </is>
      </c>
      <c r="AT1061" t="inlineStr">
        <is>
          <t>2.7</t>
        </is>
      </c>
      <c r="AU1061" t="inlineStr">
        <is>
          <t>701+</t>
        </is>
      </c>
      <c r="AV1061" t="inlineStr">
        <is>
          <t>8.8</t>
        </is>
      </c>
      <c r="AW1061" t="inlineStr">
        <is>
          <t>701+</t>
        </is>
      </c>
      <c r="AX1061" t="inlineStr">
        <is>
          <t>13.3</t>
        </is>
      </c>
      <c r="AY1061" t="inlineStr">
        <is>
          <t>646</t>
        </is>
      </c>
      <c r="AZ1061" t="inlineStr">
        <is>
          <t>16.3</t>
        </is>
      </c>
      <c r="BA1061" t="inlineStr">
        <is>
          <t>588=</t>
        </is>
      </c>
    </row>
    <row r="1062">
      <c r="A1062" t="inlineStr">
        <is>
          <t>The University of Amsterdam</t>
        </is>
      </c>
      <c r="B1062" t="inlineStr">
        <is>
          <t>Netherlands</t>
        </is>
      </c>
      <c r="C1062" t="inlineStr"/>
      <c r="D1062" t="inlineStr">
        <is>
          <t>Europe</t>
        </is>
      </c>
      <c r="E1062" t="inlineStr">
        <is>
          <t>XL</t>
        </is>
      </c>
      <c r="F1062" t="inlineStr">
        <is>
          <t>FC</t>
        </is>
      </c>
      <c r="G1062" t="inlineStr">
        <is>
          <t>VH</t>
        </is>
      </c>
      <c r="H1062" t="inlineStr"/>
      <c r="I1062" t="inlineStr">
        <is>
          <t>Public</t>
        </is>
      </c>
      <c r="J1062" t="inlineStr">
        <is>
          <t>53</t>
        </is>
      </c>
      <c r="K1062" t="inlineStr">
        <is>
          <t>55</t>
        </is>
      </c>
      <c r="L1062" t="inlineStr"/>
      <c r="M1062" t="inlineStr"/>
      <c r="N1062" t="inlineStr">
        <is>
          <t>81.5</t>
        </is>
      </c>
      <c r="O1062" t="inlineStr"/>
      <c r="P1062" t="n">
        <v>92.5</v>
      </c>
      <c r="Q1062" t="inlineStr">
        <is>
          <t>57</t>
        </is>
      </c>
      <c r="R1062" t="n">
        <v>72.59999999999999</v>
      </c>
      <c r="S1062" t="inlineStr">
        <is>
          <t>135</t>
        </is>
      </c>
      <c r="T1062" t="n">
        <v>27.5</v>
      </c>
      <c r="U1062" t="inlineStr">
        <is>
          <t>688</t>
        </is>
      </c>
      <c r="V1062" t="n">
        <v>87.2</v>
      </c>
      <c r="W1062" t="inlineStr">
        <is>
          <t>113</t>
        </is>
      </c>
      <c r="X1062" t="n">
        <v>98.8</v>
      </c>
      <c r="Y1062" t="inlineStr">
        <is>
          <t>133</t>
        </is>
      </c>
      <c r="Z1062" t="n">
        <v>95.8</v>
      </c>
      <c r="AA1062" t="inlineStr">
        <is>
          <t>117</t>
        </is>
      </c>
      <c r="AB1062" t="n">
        <v>71.3</v>
      </c>
      <c r="AC1062" t="inlineStr">
        <is>
          <t>259</t>
        </is>
      </c>
      <c r="AD1062" t="n">
        <v>95.09999999999999</v>
      </c>
      <c r="AE1062" t="inlineStr">
        <is>
          <t>82</t>
        </is>
      </c>
      <c r="AF1062" t="n">
        <v>90.3</v>
      </c>
      <c r="AG1062" t="inlineStr">
        <is>
          <t>104</t>
        </is>
      </c>
      <c r="AH1062" t="n">
        <v>64</v>
      </c>
      <c r="AI1062" t="inlineStr">
        <is>
          <t>422=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</row>
    <row r="1063">
      <c r="A1063" t="inlineStr">
        <is>
          <t>The University of Arizona</t>
        </is>
      </c>
      <c r="B1063" t="inlineStr">
        <is>
          <t>United States</t>
        </is>
      </c>
      <c r="C1063" t="inlineStr">
        <is>
          <t>US</t>
        </is>
      </c>
      <c r="D1063" t="inlineStr"/>
      <c r="E1063" t="inlineStr">
        <is>
          <t>XL</t>
        </is>
      </c>
      <c r="F1063" t="inlineStr">
        <is>
          <t>FC</t>
        </is>
      </c>
      <c r="G1063" t="inlineStr">
        <is>
          <t>VH</t>
        </is>
      </c>
      <c r="H1063" t="inlineStr">
        <is>
          <t>5</t>
        </is>
      </c>
      <c r="I1063" t="inlineStr">
        <is>
          <t>A</t>
        </is>
      </c>
      <c r="J1063" t="inlineStr"/>
      <c r="K1063" t="inlineStr"/>
      <c r="L1063">
        <f>285</f>
        <v/>
      </c>
      <c r="M1063" t="inlineStr">
        <is>
          <t>262=</t>
        </is>
      </c>
      <c r="N1063" t="inlineStr"/>
      <c r="O1063" t="inlineStr">
        <is>
          <t>36.1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>
        <is>
          <t>38.5</t>
        </is>
      </c>
      <c r="AK1063" t="inlineStr">
        <is>
          <t>226</t>
        </is>
      </c>
      <c r="AL1063" t="inlineStr">
        <is>
          <t>18.4</t>
        </is>
      </c>
      <c r="AM1063" t="inlineStr">
        <is>
          <t>476</t>
        </is>
      </c>
      <c r="AN1063" t="inlineStr">
        <is>
          <t>72.5</t>
        </is>
      </c>
      <c r="AO1063" t="inlineStr">
        <is>
          <t>175</t>
        </is>
      </c>
      <c r="AP1063" t="inlineStr">
        <is>
          <t>19.5</t>
        </is>
      </c>
      <c r="AQ1063" t="inlineStr">
        <is>
          <t>562</t>
        </is>
      </c>
      <c r="AR1063" t="inlineStr">
        <is>
          <t>11.0</t>
        </is>
      </c>
      <c r="AS1063" t="inlineStr">
        <is>
          <t>701+</t>
        </is>
      </c>
      <c r="AT1063" t="inlineStr">
        <is>
          <t>9.3</t>
        </is>
      </c>
      <c r="AU1063" t="inlineStr">
        <is>
          <t>701+</t>
        </is>
      </c>
      <c r="AV1063" t="inlineStr">
        <is>
          <t>88.0</t>
        </is>
      </c>
      <c r="AW1063" t="inlineStr">
        <is>
          <t>96</t>
        </is>
      </c>
      <c r="AX1063" t="inlineStr">
        <is>
          <t>31</t>
        </is>
      </c>
      <c r="AY1063" t="inlineStr">
        <is>
          <t>245</t>
        </is>
      </c>
      <c r="AZ1063" t="inlineStr">
        <is>
          <t>71.5</t>
        </is>
      </c>
      <c r="BA1063" t="inlineStr">
        <is>
          <t>196=</t>
        </is>
      </c>
    </row>
    <row r="1064">
      <c r="A1064" t="inlineStr">
        <is>
          <t>The University of Auckland</t>
        </is>
      </c>
      <c r="B1064" t="inlineStr">
        <is>
          <t>New Zealand</t>
        </is>
      </c>
      <c r="C1064" t="inlineStr">
        <is>
          <t>NZ</t>
        </is>
      </c>
      <c r="D1064" t="inlineStr">
        <is>
          <t>Oceania</t>
        </is>
      </c>
      <c r="E1064" t="inlineStr">
        <is>
          <t>XL</t>
        </is>
      </c>
      <c r="F1064" t="inlineStr">
        <is>
          <t>FC</t>
        </is>
      </c>
      <c r="G1064" t="inlineStr">
        <is>
          <t>VH</t>
        </is>
      </c>
      <c r="H1064" t="inlineStr">
        <is>
          <t>5</t>
        </is>
      </c>
      <c r="I1064" t="inlineStr">
        <is>
          <t>Public</t>
        </is>
      </c>
      <c r="J1064" t="inlineStr">
        <is>
          <t>65</t>
        </is>
      </c>
      <c r="K1064" t="inlineStr">
        <is>
          <t>65</t>
        </is>
      </c>
      <c r="L1064" t="inlineStr">
        <is>
          <t>68</t>
        </is>
      </c>
      <c r="M1064" t="inlineStr">
        <is>
          <t>87</t>
        </is>
      </c>
      <c r="N1064" t="inlineStr">
        <is>
          <t>77.5</t>
        </is>
      </c>
      <c r="O1064" t="inlineStr">
        <is>
          <t>68.0</t>
        </is>
      </c>
      <c r="P1064" t="n">
        <v>91.7</v>
      </c>
      <c r="Q1064" t="inlineStr">
        <is>
          <t>63</t>
        </is>
      </c>
      <c r="R1064" t="n">
        <v>55.2</v>
      </c>
      <c r="S1064" t="inlineStr">
        <is>
          <t>220</t>
        </is>
      </c>
      <c r="T1064" t="n">
        <v>17.6</v>
      </c>
      <c r="U1064" t="inlineStr">
        <is>
          <t>801+</t>
        </is>
      </c>
      <c r="V1064" t="n">
        <v>79.09999999999999</v>
      </c>
      <c r="W1064" t="inlineStr">
        <is>
          <t>162</t>
        </is>
      </c>
      <c r="X1064" t="n">
        <v>100</v>
      </c>
      <c r="Y1064" t="inlineStr">
        <is>
          <t>83</t>
        </is>
      </c>
      <c r="Z1064" t="n">
        <v>95.5</v>
      </c>
      <c r="AA1064" t="inlineStr">
        <is>
          <t>122</t>
        </is>
      </c>
      <c r="AB1064" t="n">
        <v>95.8</v>
      </c>
      <c r="AC1064" t="inlineStr">
        <is>
          <t>104</t>
        </is>
      </c>
      <c r="AD1064" t="n">
        <v>88.8</v>
      </c>
      <c r="AE1064" t="inlineStr">
        <is>
          <t>194</t>
        </is>
      </c>
      <c r="AF1064" t="n">
        <v>96.90000000000001</v>
      </c>
      <c r="AG1064" t="inlineStr">
        <is>
          <t>61</t>
        </is>
      </c>
      <c r="AH1064" t="n">
        <v>95.7</v>
      </c>
      <c r="AI1064" t="inlineStr">
        <is>
          <t>17</t>
        </is>
      </c>
      <c r="AJ1064" t="inlineStr">
        <is>
          <t>81.6</t>
        </is>
      </c>
      <c r="AK1064" t="inlineStr">
        <is>
          <t>65</t>
        </is>
      </c>
      <c r="AL1064" t="inlineStr">
        <is>
          <t>40.8</t>
        </is>
      </c>
      <c r="AM1064" t="inlineStr">
        <is>
          <t>231</t>
        </is>
      </c>
      <c r="AN1064" t="inlineStr">
        <is>
          <t>19.3</t>
        </is>
      </c>
      <c r="AO1064" t="inlineStr">
        <is>
          <t>687</t>
        </is>
      </c>
      <c r="AP1064" t="inlineStr">
        <is>
          <t>61.7</t>
        </is>
      </c>
      <c r="AQ1064" t="inlineStr">
        <is>
          <t>198</t>
        </is>
      </c>
      <c r="AR1064" t="inlineStr">
        <is>
          <t>100.0</t>
        </is>
      </c>
      <c r="AS1064" t="inlineStr">
        <is>
          <t>68</t>
        </is>
      </c>
      <c r="AT1064" t="inlineStr">
        <is>
          <t>91.6</t>
        </is>
      </c>
      <c r="AU1064" t="inlineStr">
        <is>
          <t>108</t>
        </is>
      </c>
      <c r="AV1064" t="inlineStr">
        <is>
          <t>64.4</t>
        </is>
      </c>
      <c r="AW1064" t="inlineStr">
        <is>
          <t>220</t>
        </is>
      </c>
      <c r="AX1064" t="inlineStr">
        <is>
          <t>94.3</t>
        </is>
      </c>
      <c r="AY1064" t="inlineStr">
        <is>
          <t>28</t>
        </is>
      </c>
      <c r="AZ1064" t="inlineStr">
        <is>
          <t>99.6</t>
        </is>
      </c>
      <c r="BA1064" t="inlineStr">
        <is>
          <t>9</t>
        </is>
      </c>
    </row>
    <row r="1065">
      <c r="A1065" t="inlineStr">
        <is>
          <t>The University of Edinburgh</t>
        </is>
      </c>
      <c r="B1065" t="inlineStr">
        <is>
          <t>United Kingdom</t>
        </is>
      </c>
      <c r="C1065" t="inlineStr">
        <is>
          <t>UK</t>
        </is>
      </c>
      <c r="D1065" t="inlineStr"/>
      <c r="E1065" t="inlineStr">
        <is>
          <t>XL</t>
        </is>
      </c>
      <c r="F1065" t="inlineStr">
        <is>
          <t>FC</t>
        </is>
      </c>
      <c r="G1065" t="inlineStr">
        <is>
          <t>VH</t>
        </is>
      </c>
      <c r="H1065" t="inlineStr">
        <is>
          <t>5</t>
        </is>
      </c>
      <c r="I1065" t="inlineStr">
        <is>
          <t>A</t>
        </is>
      </c>
      <c r="J1065" t="inlineStr"/>
      <c r="K1065" t="inlineStr"/>
      <c r="L1065" t="inlineStr">
        <is>
          <t>22</t>
        </is>
      </c>
      <c r="M1065" t="inlineStr">
        <is>
          <t>15</t>
        </is>
      </c>
      <c r="N1065" t="inlineStr"/>
      <c r="O1065" t="inlineStr">
        <is>
          <t>86.1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>
        <is>
          <t>98.1</t>
        </is>
      </c>
      <c r="AK1065" t="inlineStr">
        <is>
          <t>25</t>
        </is>
      </c>
      <c r="AL1065" t="inlineStr">
        <is>
          <t>96.9</t>
        </is>
      </c>
      <c r="AM1065" t="inlineStr">
        <is>
          <t>26</t>
        </is>
      </c>
      <c r="AN1065" t="inlineStr">
        <is>
          <t>72.4</t>
        </is>
      </c>
      <c r="AO1065" t="inlineStr">
        <is>
          <t>176</t>
        </is>
      </c>
      <c r="AP1065" t="inlineStr">
        <is>
          <t>58.7</t>
        </is>
      </c>
      <c r="AQ1065" t="inlineStr">
        <is>
          <t>216</t>
        </is>
      </c>
      <c r="AR1065" t="inlineStr">
        <is>
          <t>98.8</t>
        </is>
      </c>
      <c r="AS1065" t="inlineStr">
        <is>
          <t>100</t>
        </is>
      </c>
      <c r="AT1065" t="inlineStr">
        <is>
          <t>99.9</t>
        </is>
      </c>
      <c r="AU1065" t="inlineStr">
        <is>
          <t>33</t>
        </is>
      </c>
      <c r="AV1065" t="inlineStr">
        <is>
          <t>99.6</t>
        </is>
      </c>
      <c r="AW1065" t="inlineStr">
        <is>
          <t>12</t>
        </is>
      </c>
      <c r="AX1065" t="inlineStr">
        <is>
          <t>48.1</t>
        </is>
      </c>
      <c r="AY1065" t="inlineStr">
        <is>
          <t>141</t>
        </is>
      </c>
      <c r="AZ1065" t="inlineStr">
        <is>
          <t>99.7</t>
        </is>
      </c>
      <c r="BA1065" t="inlineStr">
        <is>
          <t>6</t>
        </is>
      </c>
    </row>
    <row r="1066">
      <c r="A1066" t="inlineStr">
        <is>
          <t>The University of Exeter</t>
        </is>
      </c>
      <c r="B1066" t="inlineStr">
        <is>
          <t>United Kingdom</t>
        </is>
      </c>
      <c r="C1066" t="inlineStr">
        <is>
          <t>UK</t>
        </is>
      </c>
      <c r="D1066" t="inlineStr"/>
      <c r="E1066" t="inlineStr">
        <is>
          <t>L</t>
        </is>
      </c>
      <c r="F1066" t="inlineStr">
        <is>
          <t>FC</t>
        </is>
      </c>
      <c r="G1066" t="inlineStr">
        <is>
          <t>VH</t>
        </is>
      </c>
      <c r="H1066" t="inlineStr">
        <is>
          <t>4</t>
        </is>
      </c>
      <c r="I1066" t="inlineStr">
        <is>
          <t>A</t>
        </is>
      </c>
      <c r="J1066" t="inlineStr"/>
      <c r="K1066" t="inlineStr"/>
      <c r="L1066" t="inlineStr">
        <is>
          <t>153</t>
        </is>
      </c>
      <c r="M1066" t="inlineStr">
        <is>
          <t>163</t>
        </is>
      </c>
      <c r="N1066" t="inlineStr"/>
      <c r="O1066" t="inlineStr">
        <is>
          <t>50.9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>
        <is>
          <t>43.0</t>
        </is>
      </c>
      <c r="AK1066" t="inlineStr">
        <is>
          <t>199</t>
        </is>
      </c>
      <c r="AL1066" t="inlineStr">
        <is>
          <t>51.1</t>
        </is>
      </c>
      <c r="AM1066" t="inlineStr">
        <is>
          <t>161</t>
        </is>
      </c>
      <c r="AN1066" t="inlineStr">
        <is>
          <t>27.4</t>
        </is>
      </c>
      <c r="AO1066" t="inlineStr">
        <is>
          <t>555</t>
        </is>
      </c>
      <c r="AP1066" t="inlineStr">
        <is>
          <t>43.3</t>
        </is>
      </c>
      <c r="AQ1066" t="inlineStr">
        <is>
          <t>308</t>
        </is>
      </c>
      <c r="AR1066" t="inlineStr">
        <is>
          <t>91.6</t>
        </is>
      </c>
      <c r="AS1066" t="inlineStr">
        <is>
          <t>174</t>
        </is>
      </c>
      <c r="AT1066" t="inlineStr">
        <is>
          <t>76.2</t>
        </is>
      </c>
      <c r="AU1066" t="inlineStr">
        <is>
          <t>180</t>
        </is>
      </c>
      <c r="AV1066" t="inlineStr">
        <is>
          <t>89.8</t>
        </is>
      </c>
      <c r="AW1066" t="inlineStr">
        <is>
          <t>85</t>
        </is>
      </c>
      <c r="AX1066" t="inlineStr">
        <is>
          <t>19.7</t>
        </is>
      </c>
      <c r="AY1066" t="inlineStr">
        <is>
          <t>424</t>
        </is>
      </c>
      <c r="AZ1066" t="inlineStr">
        <is>
          <t>94.8</t>
        </is>
      </c>
      <c r="BA1066" t="inlineStr">
        <is>
          <t>57</t>
        </is>
      </c>
    </row>
    <row r="1067">
      <c r="A1067" t="inlineStr">
        <is>
          <t>The University of Georgia</t>
        </is>
      </c>
      <c r="B1067" t="inlineStr">
        <is>
          <t>United States</t>
        </is>
      </c>
      <c r="C1067" t="inlineStr">
        <is>
          <t>US</t>
        </is>
      </c>
      <c r="D1067" t="inlineStr">
        <is>
          <t>Americas</t>
        </is>
      </c>
      <c r="E1067" t="inlineStr">
        <is>
          <t>XL</t>
        </is>
      </c>
      <c r="F1067" t="inlineStr">
        <is>
          <t>FC</t>
        </is>
      </c>
      <c r="G1067" t="inlineStr">
        <is>
          <t>VH</t>
        </is>
      </c>
      <c r="H1067" t="inlineStr">
        <is>
          <t>5</t>
        </is>
      </c>
      <c r="I1067" t="inlineStr">
        <is>
          <t>Public</t>
        </is>
      </c>
      <c r="J1067" t="inlineStr">
        <is>
          <t>525</t>
        </is>
      </c>
      <c r="K1067" t="inlineStr">
        <is>
          <t>587</t>
        </is>
      </c>
      <c r="L1067">
        <f>514</f>
        <v/>
      </c>
      <c r="M1067" t="inlineStr">
        <is>
          <t>601-650</t>
        </is>
      </c>
      <c r="N1067" t="inlineStr">
        <is>
          <t>31.1</t>
        </is>
      </c>
      <c r="O1067" t="inlineStr">
        <is>
          <t>22.7</t>
        </is>
      </c>
      <c r="P1067" t="n">
        <v>27.9</v>
      </c>
      <c r="Q1067" t="inlineStr">
        <is>
          <t>452</t>
        </is>
      </c>
      <c r="R1067" t="n">
        <v>36.7</v>
      </c>
      <c r="S1067" t="inlineStr">
        <is>
          <t>388</t>
        </is>
      </c>
      <c r="T1067" t="n">
        <v>14</v>
      </c>
      <c r="U1067" t="inlineStr">
        <is>
          <t>801+</t>
        </is>
      </c>
      <c r="V1067" t="n">
        <v>33</v>
      </c>
      <c r="W1067" t="inlineStr">
        <is>
          <t>552</t>
        </is>
      </c>
      <c r="X1067" t="n">
        <v>11.1</v>
      </c>
      <c r="Y1067" t="inlineStr">
        <is>
          <t>801+</t>
        </is>
      </c>
      <c r="Z1067" t="n">
        <v>8.800000000000001</v>
      </c>
      <c r="AA1067" t="inlineStr">
        <is>
          <t>801+</t>
        </is>
      </c>
      <c r="AB1067" t="n">
        <v>6.8</v>
      </c>
      <c r="AC1067" t="inlineStr">
        <is>
          <t>801+</t>
        </is>
      </c>
      <c r="AD1067" t="n">
        <v>85</v>
      </c>
      <c r="AE1067" t="inlineStr">
        <is>
          <t>254</t>
        </is>
      </c>
      <c r="AF1067" t="n">
        <v>35.8</v>
      </c>
      <c r="AG1067" t="inlineStr">
        <is>
          <t>478</t>
        </is>
      </c>
      <c r="AH1067" t="n">
        <v>65.90000000000001</v>
      </c>
      <c r="AI1067" t="inlineStr">
        <is>
          <t>385=</t>
        </is>
      </c>
      <c r="AJ1067" t="inlineStr">
        <is>
          <t>20.9</t>
        </is>
      </c>
      <c r="AK1067" t="inlineStr">
        <is>
          <t>421</t>
        </is>
      </c>
      <c r="AL1067" t="inlineStr">
        <is>
          <t>18.2</t>
        </is>
      </c>
      <c r="AM1067" t="inlineStr">
        <is>
          <t>481</t>
        </is>
      </c>
      <c r="AN1067" t="inlineStr">
        <is>
          <t>9.7</t>
        </is>
      </c>
      <c r="AO1067" t="inlineStr">
        <is>
          <t>701+</t>
        </is>
      </c>
      <c r="AP1067" t="inlineStr">
        <is>
          <t>29.7</t>
        </is>
      </c>
      <c r="AQ1067" t="inlineStr">
        <is>
          <t>435</t>
        </is>
      </c>
      <c r="AR1067" t="inlineStr">
        <is>
          <t>9.7</t>
        </is>
      </c>
      <c r="AS1067" t="inlineStr">
        <is>
          <t>701+</t>
        </is>
      </c>
      <c r="AT1067" t="inlineStr">
        <is>
          <t>4.5</t>
        </is>
      </c>
      <c r="AU1067" t="inlineStr">
        <is>
          <t>701+</t>
        </is>
      </c>
      <c r="AV1067" t="inlineStr">
        <is>
          <t>59.1</t>
        </is>
      </c>
      <c r="AW1067" t="inlineStr">
        <is>
          <t>253</t>
        </is>
      </c>
      <c r="AX1067" t="inlineStr">
        <is>
          <t>17.7</t>
        </is>
      </c>
      <c r="AY1067" t="inlineStr">
        <is>
          <t>470</t>
        </is>
      </c>
      <c r="AZ1067" t="inlineStr">
        <is>
          <t>46.6</t>
        </is>
      </c>
      <c r="BA1067" t="inlineStr">
        <is>
          <t>327=</t>
        </is>
      </c>
    </row>
    <row r="1068">
      <c r="A1068" t="inlineStr">
        <is>
          <t>The University of Hong Kong</t>
        </is>
      </c>
      <c r="B1068" t="inlineStr">
        <is>
          <t>Hong Kong</t>
        </is>
      </c>
      <c r="C1068" t="inlineStr">
        <is>
          <t>HK</t>
        </is>
      </c>
      <c r="D1068" t="inlineStr"/>
      <c r="E1068" t="inlineStr">
        <is>
          <t>L</t>
        </is>
      </c>
      <c r="F1068" t="inlineStr">
        <is>
          <t>FC</t>
        </is>
      </c>
      <c r="G1068" t="inlineStr">
        <is>
          <t>VH</t>
        </is>
      </c>
      <c r="H1068" t="inlineStr">
        <is>
          <t>5</t>
        </is>
      </c>
      <c r="I1068" t="inlineStr">
        <is>
          <t>A</t>
        </is>
      </c>
      <c r="J1068" t="inlineStr"/>
      <c r="K1068" t="inlineStr"/>
      <c r="L1068">
        <f>26</f>
        <v/>
      </c>
      <c r="M1068" t="inlineStr">
        <is>
          <t>21</t>
        </is>
      </c>
      <c r="N1068" t="inlineStr"/>
      <c r="O1068" t="inlineStr">
        <is>
          <t>84.5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97.6</t>
        </is>
      </c>
      <c r="AK1068" t="inlineStr">
        <is>
          <t>27</t>
        </is>
      </c>
      <c r="AL1068" t="inlineStr">
        <is>
          <t>51.4</t>
        </is>
      </c>
      <c r="AM1068" t="inlineStr">
        <is>
          <t>159</t>
        </is>
      </c>
      <c r="AN1068" t="inlineStr">
        <is>
          <t>82.9</t>
        </is>
      </c>
      <c r="AO1068" t="inlineStr">
        <is>
          <t>121</t>
        </is>
      </c>
      <c r="AP1068" t="inlineStr">
        <is>
          <t>82.3</t>
        </is>
      </c>
      <c r="AQ1068" t="inlineStr">
        <is>
          <t>102</t>
        </is>
      </c>
      <c r="AR1068" t="inlineStr">
        <is>
          <t>100.0</t>
        </is>
      </c>
      <c r="AS1068" t="inlineStr">
        <is>
          <t>28</t>
        </is>
      </c>
      <c r="AT1068" t="inlineStr">
        <is>
          <t>99.0</t>
        </is>
      </c>
      <c r="AU1068" t="inlineStr">
        <is>
          <t>52</t>
        </is>
      </c>
      <c r="AV1068" t="inlineStr">
        <is>
          <t>42.7</t>
        </is>
      </c>
      <c r="AW1068" t="inlineStr">
        <is>
          <t>355</t>
        </is>
      </c>
      <c r="AX1068" t="inlineStr">
        <is>
          <t>99.5</t>
        </is>
      </c>
      <c r="AY1068" t="inlineStr">
        <is>
          <t>14</t>
        </is>
      </c>
      <c r="AZ1068" t="inlineStr">
        <is>
          <t>97.3</t>
        </is>
      </c>
      <c r="BA1068" t="inlineStr">
        <is>
          <t>32</t>
        </is>
      </c>
    </row>
    <row r="1069">
      <c r="A1069" t="inlineStr">
        <is>
          <t>The University of Hong Kong</t>
        </is>
      </c>
      <c r="B1069" t="inlineStr">
        <is>
          <t>Hong Kong SAR, China</t>
        </is>
      </c>
      <c r="C1069" t="inlineStr"/>
      <c r="D1069" t="inlineStr">
        <is>
          <t>Asia</t>
        </is>
      </c>
      <c r="E1069" t="inlineStr">
        <is>
          <t>L</t>
        </is>
      </c>
      <c r="F1069" t="inlineStr">
        <is>
          <t>FC</t>
        </is>
      </c>
      <c r="G1069" t="inlineStr">
        <is>
          <t>VH</t>
        </is>
      </c>
      <c r="H1069" t="inlineStr"/>
      <c r="I1069" t="inlineStr">
        <is>
          <t>Public</t>
        </is>
      </c>
      <c r="J1069" t="inlineStr">
        <is>
          <t>11</t>
        </is>
      </c>
      <c r="K1069" t="inlineStr">
        <is>
          <t>17</t>
        </is>
      </c>
      <c r="L1069" t="inlineStr"/>
      <c r="M1069" t="inlineStr"/>
      <c r="N1069" t="inlineStr">
        <is>
          <t>94.2</t>
        </is>
      </c>
      <c r="O1069" t="inlineStr"/>
      <c r="P1069" t="n">
        <v>99.3</v>
      </c>
      <c r="Q1069" t="inlineStr">
        <is>
          <t>27</t>
        </is>
      </c>
      <c r="R1069" t="n">
        <v>82.5</v>
      </c>
      <c r="S1069" t="inlineStr">
        <is>
          <t>97</t>
        </is>
      </c>
      <c r="T1069" t="n">
        <v>85.3</v>
      </c>
      <c r="U1069" t="inlineStr">
        <is>
          <t>131</t>
        </is>
      </c>
      <c r="V1069" t="n">
        <v>96.59999999999999</v>
      </c>
      <c r="W1069" t="inlineStr">
        <is>
          <t>60</t>
        </is>
      </c>
      <c r="X1069" t="n">
        <v>100</v>
      </c>
      <c r="Y1069" t="inlineStr">
        <is>
          <t>31</t>
        </is>
      </c>
      <c r="Z1069" t="n">
        <v>100</v>
      </c>
      <c r="AA1069" t="inlineStr">
        <is>
          <t>38</t>
        </is>
      </c>
      <c r="AB1069" t="n">
        <v>100</v>
      </c>
      <c r="AC1069" t="inlineStr">
        <is>
          <t>24</t>
        </is>
      </c>
      <c r="AD1069" t="n">
        <v>82.3</v>
      </c>
      <c r="AE1069" t="inlineStr">
        <is>
          <t>305</t>
        </is>
      </c>
      <c r="AF1069" t="n">
        <v>99.8</v>
      </c>
      <c r="AG1069" t="inlineStr">
        <is>
          <t>15</t>
        </is>
      </c>
      <c r="AH1069" t="n">
        <v>84.8</v>
      </c>
      <c r="AI1069" t="inlineStr">
        <is>
          <t>112=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</row>
    <row r="1070">
      <c r="A1070" t="inlineStr">
        <is>
          <t>The University of Lahore</t>
        </is>
      </c>
      <c r="B1070" t="inlineStr">
        <is>
          <t>Pakistan</t>
        </is>
      </c>
      <c r="C1070" t="inlineStr">
        <is>
          <t>PK</t>
        </is>
      </c>
      <c r="D1070" t="inlineStr"/>
      <c r="E1070" t="inlineStr">
        <is>
          <t>L</t>
        </is>
      </c>
      <c r="F1070" t="inlineStr">
        <is>
          <t>FO</t>
        </is>
      </c>
      <c r="G1070" t="inlineStr">
        <is>
          <t>VH</t>
        </is>
      </c>
      <c r="H1070" t="inlineStr">
        <is>
          <t>2</t>
        </is>
      </c>
      <c r="I1070" t="inlineStr">
        <is>
          <t>B</t>
        </is>
      </c>
      <c r="J1070" t="inlineStr"/>
      <c r="K1070" t="inlineStr"/>
      <c r="L1070" t="inlineStr">
        <is>
          <t>1001-1200</t>
        </is>
      </c>
      <c r="M1070" t="inlineStr">
        <is>
          <t>1001-1200</t>
        </is>
      </c>
      <c r="N1070" t="inlineStr"/>
      <c r="O1070" t="inlineStr">
        <is>
          <t>-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>
        <is>
          <t>9.4</t>
        </is>
      </c>
      <c r="AK1070" t="inlineStr">
        <is>
          <t>601+</t>
        </is>
      </c>
      <c r="AL1070" t="inlineStr">
        <is>
          <t>17.5</t>
        </is>
      </c>
      <c r="AM1070" t="inlineStr">
        <is>
          <t>499</t>
        </is>
      </c>
      <c r="AN1070" t="inlineStr">
        <is>
          <t>15.3</t>
        </is>
      </c>
      <c r="AO1070" t="inlineStr">
        <is>
          <t>701+</t>
        </is>
      </c>
      <c r="AP1070" t="inlineStr">
        <is>
          <t>2.6</t>
        </is>
      </c>
      <c r="AQ1070" t="inlineStr">
        <is>
          <t>701+</t>
        </is>
      </c>
      <c r="AR1070" t="inlineStr">
        <is>
          <t>3.0</t>
        </is>
      </c>
      <c r="AS1070" t="inlineStr">
        <is>
          <t>701+</t>
        </is>
      </c>
      <c r="AT1070" t="inlineStr">
        <is>
          <t>2.5</t>
        </is>
      </c>
      <c r="AU1070" t="inlineStr">
        <is>
          <t>701+</t>
        </is>
      </c>
      <c r="AV1070" t="inlineStr">
        <is>
          <t>6.9</t>
        </is>
      </c>
      <c r="AW1070" t="inlineStr">
        <is>
          <t>701+</t>
        </is>
      </c>
      <c r="AX1070" t="inlineStr">
        <is>
          <t>9.1</t>
        </is>
      </c>
      <c r="AY1070" t="inlineStr">
        <is>
          <t>701+</t>
        </is>
      </c>
      <c r="AZ1070" t="inlineStr">
        <is>
          <t>10.6</t>
        </is>
      </c>
      <c r="BA1070" t="inlineStr">
        <is>
          <t>661=</t>
        </is>
      </c>
    </row>
    <row r="1071">
      <c r="A1071" t="inlineStr">
        <is>
          <t>The University of Manchester</t>
        </is>
      </c>
      <c r="B1071" t="inlineStr">
        <is>
          <t>United Kingdom</t>
        </is>
      </c>
      <c r="C1071" t="inlineStr">
        <is>
          <t>UK</t>
        </is>
      </c>
      <c r="D1071" t="inlineStr">
        <is>
          <t>Europe</t>
        </is>
      </c>
      <c r="E1071" t="inlineStr">
        <is>
          <t>XL</t>
        </is>
      </c>
      <c r="F1071" t="inlineStr">
        <is>
          <t>FC</t>
        </is>
      </c>
      <c r="G1071" t="inlineStr">
        <is>
          <t>VH</t>
        </is>
      </c>
      <c r="H1071" t="inlineStr">
        <is>
          <t>5</t>
        </is>
      </c>
      <c r="I1071" t="inlineStr">
        <is>
          <t>Public</t>
        </is>
      </c>
      <c r="J1071" t="inlineStr">
        <is>
          <t>35</t>
        </is>
      </c>
      <c r="K1071" t="inlineStr">
        <is>
          <t>34</t>
        </is>
      </c>
      <c r="L1071" t="inlineStr">
        <is>
          <t>32</t>
        </is>
      </c>
      <c r="M1071" t="inlineStr">
        <is>
          <t>28</t>
        </is>
      </c>
      <c r="N1071" t="inlineStr">
        <is>
          <t>86.4</t>
        </is>
      </c>
      <c r="O1071" t="inlineStr">
        <is>
          <t>82.2</t>
        </is>
      </c>
      <c r="P1071" t="n">
        <v>98.59999999999999</v>
      </c>
      <c r="Q1071" t="inlineStr">
        <is>
          <t>31</t>
        </is>
      </c>
      <c r="R1071" t="n">
        <v>98.8</v>
      </c>
      <c r="S1071" t="inlineStr">
        <is>
          <t>26</t>
        </is>
      </c>
      <c r="T1071" t="n">
        <v>58.2</v>
      </c>
      <c r="U1071" t="inlineStr">
        <is>
          <t>310</t>
        </is>
      </c>
      <c r="V1071" t="n">
        <v>56.8</v>
      </c>
      <c r="W1071" t="inlineStr">
        <is>
          <t>308</t>
        </is>
      </c>
      <c r="X1071" t="n">
        <v>95.3</v>
      </c>
      <c r="Y1071" t="inlineStr">
        <is>
          <t>176</t>
        </is>
      </c>
      <c r="Z1071" t="n">
        <v>99.5</v>
      </c>
      <c r="AA1071" t="inlineStr">
        <is>
          <t>56</t>
        </is>
      </c>
      <c r="AB1071" t="n">
        <v>99.5</v>
      </c>
      <c r="AC1071" t="inlineStr">
        <is>
          <t>45</t>
        </is>
      </c>
      <c r="AD1071" t="n">
        <v>99.40000000000001</v>
      </c>
      <c r="AE1071" t="inlineStr">
        <is>
          <t>7</t>
        </is>
      </c>
      <c r="AF1071" t="n">
        <v>91.90000000000001</v>
      </c>
      <c r="AG1071" t="inlineStr">
        <is>
          <t>90</t>
        </is>
      </c>
      <c r="AH1071" t="n">
        <v>98.2</v>
      </c>
      <c r="AI1071" t="inlineStr">
        <is>
          <t>9=</t>
        </is>
      </c>
      <c r="AJ1071" t="inlineStr">
        <is>
          <t>95.4</t>
        </is>
      </c>
      <c r="AK1071" t="inlineStr">
        <is>
          <t>33</t>
        </is>
      </c>
      <c r="AL1071" t="inlineStr">
        <is>
          <t>98.0</t>
        </is>
      </c>
      <c r="AM1071" t="inlineStr">
        <is>
          <t>21</t>
        </is>
      </c>
      <c r="AN1071" t="inlineStr">
        <is>
          <t>53.8</t>
        </is>
      </c>
      <c r="AO1071" t="inlineStr">
        <is>
          <t>288</t>
        </is>
      </c>
      <c r="AP1071" t="inlineStr">
        <is>
          <t>49.1</t>
        </is>
      </c>
      <c r="AQ1071" t="inlineStr">
        <is>
          <t>274</t>
        </is>
      </c>
      <c r="AR1071" t="inlineStr">
        <is>
          <t>93.5</t>
        </is>
      </c>
      <c r="AS1071" t="inlineStr">
        <is>
          <t>160</t>
        </is>
      </c>
      <c r="AT1071" t="inlineStr">
        <is>
          <t>99.4</t>
        </is>
      </c>
      <c r="AU1071" t="inlineStr">
        <is>
          <t>44</t>
        </is>
      </c>
      <c r="AV1071" t="inlineStr">
        <is>
          <t>99.7</t>
        </is>
      </c>
      <c r="AW1071" t="inlineStr">
        <is>
          <t>10</t>
        </is>
      </c>
      <c r="AX1071" t="inlineStr">
        <is>
          <t>71.9</t>
        </is>
      </c>
      <c r="AY1071" t="inlineStr">
        <is>
          <t>66</t>
        </is>
      </c>
      <c r="AZ1071" t="inlineStr">
        <is>
          <t>92.3</t>
        </is>
      </c>
      <c r="BA1071" t="inlineStr">
        <is>
          <t>75=</t>
        </is>
      </c>
    </row>
    <row r="1072">
      <c r="A1072" t="inlineStr">
        <is>
          <t>The University of Melbourne</t>
        </is>
      </c>
      <c r="B1072" t="inlineStr">
        <is>
          <t>Australia</t>
        </is>
      </c>
      <c r="C1072" t="inlineStr">
        <is>
          <t>AU</t>
        </is>
      </c>
      <c r="D1072" t="inlineStr">
        <is>
          <t>Oceania</t>
        </is>
      </c>
      <c r="E1072" t="inlineStr">
        <is>
          <t>XL</t>
        </is>
      </c>
      <c r="F1072" t="inlineStr">
        <is>
          <t>FC</t>
        </is>
      </c>
      <c r="G1072" t="inlineStr">
        <is>
          <t>VH</t>
        </is>
      </c>
      <c r="H1072" t="inlineStr">
        <is>
          <t>5</t>
        </is>
      </c>
      <c r="I1072" t="inlineStr">
        <is>
          <t>Public</t>
        </is>
      </c>
      <c r="J1072" t="inlineStr">
        <is>
          <t>19</t>
        </is>
      </c>
      <c r="K1072" t="inlineStr">
        <is>
          <t>13</t>
        </is>
      </c>
      <c r="L1072" t="inlineStr">
        <is>
          <t>14</t>
        </is>
      </c>
      <c r="M1072" t="inlineStr">
        <is>
          <t>33</t>
        </is>
      </c>
      <c r="N1072" t="inlineStr">
        <is>
          <t>90.8</t>
        </is>
      </c>
      <c r="O1072" t="inlineStr">
        <is>
          <t>87.9</t>
        </is>
      </c>
      <c r="P1072" t="n">
        <v>99.7</v>
      </c>
      <c r="Q1072" t="inlineStr">
        <is>
          <t>21</t>
        </is>
      </c>
      <c r="R1072" t="n">
        <v>97.40000000000001</v>
      </c>
      <c r="S1072" t="inlineStr">
        <is>
          <t>35</t>
        </is>
      </c>
      <c r="T1072" t="n">
        <v>20.5</v>
      </c>
      <c r="U1072" t="inlineStr">
        <is>
          <t>801+</t>
        </is>
      </c>
      <c r="V1072" t="n">
        <v>94.8</v>
      </c>
      <c r="W1072" t="inlineStr">
        <is>
          <t>72</t>
        </is>
      </c>
      <c r="X1072" t="n">
        <v>96.7</v>
      </c>
      <c r="Y1072" t="inlineStr">
        <is>
          <t>156</t>
        </is>
      </c>
      <c r="Z1072" t="n">
        <v>100</v>
      </c>
      <c r="AA1072" t="inlineStr">
        <is>
          <t>37</t>
        </is>
      </c>
      <c r="AB1072" t="n">
        <v>74.40000000000001</v>
      </c>
      <c r="AC1072" t="inlineStr">
        <is>
          <t>239</t>
        </is>
      </c>
      <c r="AD1072" t="n">
        <v>96.90000000000001</v>
      </c>
      <c r="AE1072" t="inlineStr">
        <is>
          <t>40</t>
        </is>
      </c>
      <c r="AF1072" t="n">
        <v>98.3</v>
      </c>
      <c r="AG1072" t="inlineStr">
        <is>
          <t>39</t>
        </is>
      </c>
      <c r="AH1072" t="n">
        <v>98.2</v>
      </c>
      <c r="AI1072" t="inlineStr">
        <is>
          <t>9=</t>
        </is>
      </c>
      <c r="AJ1072" t="inlineStr">
        <is>
          <t>98.4</t>
        </is>
      </c>
      <c r="AK1072" t="inlineStr">
        <is>
          <t>21</t>
        </is>
      </c>
      <c r="AL1072" t="inlineStr">
        <is>
          <t>92.3</t>
        </is>
      </c>
      <c r="AM1072" t="inlineStr">
        <is>
          <t>45</t>
        </is>
      </c>
      <c r="AN1072" t="inlineStr">
        <is>
          <t>15.4</t>
        </is>
      </c>
      <c r="AO1072" t="inlineStr">
        <is>
          <t>701+</t>
        </is>
      </c>
      <c r="AP1072" t="inlineStr">
        <is>
          <t>92.1</t>
        </is>
      </c>
      <c r="AQ1072" t="inlineStr">
        <is>
          <t>69</t>
        </is>
      </c>
      <c r="AR1072" t="inlineStr">
        <is>
          <t>92.9</t>
        </is>
      </c>
      <c r="AS1072" t="inlineStr">
        <is>
          <t>166</t>
        </is>
      </c>
      <c r="AT1072" t="inlineStr">
        <is>
          <t>99.7</t>
        </is>
      </c>
      <c r="AU1072" t="inlineStr">
        <is>
          <t>36</t>
        </is>
      </c>
      <c r="AV1072" t="inlineStr">
        <is>
          <t>97.2</t>
        </is>
      </c>
      <c r="AW1072" t="inlineStr">
        <is>
          <t>30</t>
        </is>
      </c>
      <c r="AX1072" t="inlineStr">
        <is>
          <t>93.3</t>
        </is>
      </c>
      <c r="AY1072" t="inlineStr">
        <is>
          <t>31</t>
        </is>
      </c>
      <c r="AZ1072" t="inlineStr">
        <is>
          <t>90.4</t>
        </is>
      </c>
      <c r="BA1072" t="inlineStr">
        <is>
          <t>92=</t>
        </is>
      </c>
    </row>
    <row r="1073">
      <c r="A1073" t="inlineStr">
        <is>
          <t>The University of New South Wales</t>
        </is>
      </c>
      <c r="B1073" t="inlineStr">
        <is>
          <t>Australia</t>
        </is>
      </c>
      <c r="C1073" t="inlineStr"/>
      <c r="D1073" t="inlineStr">
        <is>
          <t>Oceania</t>
        </is>
      </c>
      <c r="E1073" t="inlineStr">
        <is>
          <t>XL</t>
        </is>
      </c>
      <c r="F1073" t="inlineStr">
        <is>
          <t>FC</t>
        </is>
      </c>
      <c r="G1073" t="inlineStr">
        <is>
          <t>VH</t>
        </is>
      </c>
      <c r="H1073" t="inlineStr"/>
      <c r="I1073" t="inlineStr">
        <is>
          <t>Public</t>
        </is>
      </c>
      <c r="J1073" t="inlineStr">
        <is>
          <t>20</t>
        </is>
      </c>
      <c r="K1073" t="inlineStr">
        <is>
          <t>19</t>
        </is>
      </c>
      <c r="L1073" t="inlineStr"/>
      <c r="M1073" t="inlineStr"/>
      <c r="N1073" t="inlineStr">
        <is>
          <t>90.7</t>
        </is>
      </c>
      <c r="O1073" t="inlineStr"/>
      <c r="P1073" t="n">
        <v>96.3</v>
      </c>
      <c r="Q1073" t="inlineStr">
        <is>
          <t>43</t>
        </is>
      </c>
      <c r="R1073" t="n">
        <v>93.5</v>
      </c>
      <c r="S1073" t="inlineStr">
        <is>
          <t>59</t>
        </is>
      </c>
      <c r="T1073" t="n">
        <v>29.9</v>
      </c>
      <c r="U1073" t="inlineStr">
        <is>
          <t>632</t>
        </is>
      </c>
      <c r="V1073" t="n">
        <v>96.90000000000001</v>
      </c>
      <c r="W1073" t="inlineStr">
        <is>
          <t>58</t>
        </is>
      </c>
      <c r="X1073" t="n">
        <v>100</v>
      </c>
      <c r="Y1073" t="inlineStr">
        <is>
          <t>69</t>
        </is>
      </c>
      <c r="Z1073" t="n">
        <v>99.90000000000001</v>
      </c>
      <c r="AA1073" t="inlineStr">
        <is>
          <t>41</t>
        </is>
      </c>
      <c r="AB1073" t="n">
        <v>99.90000000000001</v>
      </c>
      <c r="AC1073" t="inlineStr">
        <is>
          <t>30</t>
        </is>
      </c>
      <c r="AD1073" t="n">
        <v>97.59999999999999</v>
      </c>
      <c r="AE1073" t="inlineStr">
        <is>
          <t>25</t>
        </is>
      </c>
      <c r="AF1073" t="n">
        <v>98.7</v>
      </c>
      <c r="AG1073" t="inlineStr">
        <is>
          <t>32</t>
        </is>
      </c>
      <c r="AH1073" t="n">
        <v>97</v>
      </c>
      <c r="AI1073" t="inlineStr">
        <is>
          <t>12=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</row>
    <row r="1074">
      <c r="A1074" t="inlineStr">
        <is>
          <t>The University of New South Wales (UNSW Sydney)</t>
        </is>
      </c>
      <c r="B1074" t="inlineStr">
        <is>
          <t>Australia</t>
        </is>
      </c>
      <c r="C1074" t="inlineStr">
        <is>
          <t>AU</t>
        </is>
      </c>
      <c r="D1074" t="inlineStr"/>
      <c r="E1074" t="inlineStr">
        <is>
          <t>XL</t>
        </is>
      </c>
      <c r="F1074" t="inlineStr">
        <is>
          <t>FC</t>
        </is>
      </c>
      <c r="G1074" t="inlineStr">
        <is>
          <t>VH</t>
        </is>
      </c>
      <c r="H1074" t="inlineStr">
        <is>
          <t>4</t>
        </is>
      </c>
      <c r="I1074" t="inlineStr">
        <is>
          <t>A</t>
        </is>
      </c>
      <c r="J1074" t="inlineStr"/>
      <c r="K1074" t="inlineStr"/>
      <c r="L1074">
        <f>19</f>
        <v/>
      </c>
      <c r="M1074" t="inlineStr">
        <is>
          <t>45</t>
        </is>
      </c>
      <c r="N1074" t="inlineStr"/>
      <c r="O1074" t="inlineStr">
        <is>
          <t>86.7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>
        <is>
          <t>89.7</t>
        </is>
      </c>
      <c r="AK1074" t="inlineStr">
        <is>
          <t>45</t>
        </is>
      </c>
      <c r="AL1074" t="inlineStr">
        <is>
          <t>88.1</t>
        </is>
      </c>
      <c r="AM1074" t="inlineStr">
        <is>
          <t>55</t>
        </is>
      </c>
      <c r="AN1074" t="inlineStr">
        <is>
          <t>18.2</t>
        </is>
      </c>
      <c r="AO1074" t="inlineStr">
        <is>
          <t>701+</t>
        </is>
      </c>
      <c r="AP1074" t="inlineStr">
        <is>
          <t>95.9</t>
        </is>
      </c>
      <c r="AQ1074" t="inlineStr">
        <is>
          <t>47</t>
        </is>
      </c>
      <c r="AR1074" t="inlineStr">
        <is>
          <t>100.0</t>
        </is>
      </c>
      <c r="AS1074" t="inlineStr">
        <is>
          <t>55</t>
        </is>
      </c>
      <c r="AT1074" t="inlineStr">
        <is>
          <t>99.1</t>
        </is>
      </c>
      <c r="AU1074" t="inlineStr">
        <is>
          <t>50</t>
        </is>
      </c>
      <c r="AV1074" t="inlineStr">
        <is>
          <t>99.0</t>
        </is>
      </c>
      <c r="AW1074" t="inlineStr">
        <is>
          <t>15</t>
        </is>
      </c>
      <c r="AX1074" t="inlineStr">
        <is>
          <t>95.5</t>
        </is>
      </c>
      <c r="AY1074" t="inlineStr">
        <is>
          <t>25</t>
        </is>
      </c>
      <c r="AZ1074" t="inlineStr">
        <is>
          <t>99.6</t>
        </is>
      </c>
      <c r="BA1074" t="inlineStr">
        <is>
          <t>10</t>
        </is>
      </c>
    </row>
    <row r="1075">
      <c r="A1075" t="inlineStr">
        <is>
          <t>The University of Newcastle</t>
        </is>
      </c>
      <c r="B1075" t="inlineStr">
        <is>
          <t>Australia</t>
        </is>
      </c>
      <c r="C1075" t="inlineStr"/>
      <c r="D1075" t="inlineStr">
        <is>
          <t>Oceania</t>
        </is>
      </c>
      <c r="E1075" t="inlineStr">
        <is>
          <t>L</t>
        </is>
      </c>
      <c r="F1075" t="inlineStr">
        <is>
          <t>FC</t>
        </is>
      </c>
      <c r="G1075" t="inlineStr">
        <is>
          <t>VH</t>
        </is>
      </c>
      <c r="H1075" t="inlineStr"/>
      <c r="I1075" t="inlineStr">
        <is>
          <t>Public</t>
        </is>
      </c>
      <c r="J1075" t="inlineStr">
        <is>
          <t>227</t>
        </is>
      </c>
      <c r="K1075" t="inlineStr">
        <is>
          <t>179</t>
        </is>
      </c>
      <c r="L1075" t="inlineStr"/>
      <c r="M1075" t="inlineStr"/>
      <c r="N1075" t="inlineStr">
        <is>
          <t>53.1</t>
        </is>
      </c>
      <c r="O1075" t="inlineStr"/>
      <c r="P1075" t="n">
        <v>36</v>
      </c>
      <c r="Q1075" t="inlineStr">
        <is>
          <t>336</t>
        </is>
      </c>
      <c r="R1075" t="n">
        <v>30.5</v>
      </c>
      <c r="S1075" t="inlineStr">
        <is>
          <t>466</t>
        </is>
      </c>
      <c r="T1075" t="n">
        <v>29.7</v>
      </c>
      <c r="U1075" t="inlineStr">
        <is>
          <t>638</t>
        </is>
      </c>
      <c r="V1075" t="n">
        <v>95.2</v>
      </c>
      <c r="W1075" t="inlineStr">
        <is>
          <t>67</t>
        </is>
      </c>
      <c r="X1075" t="n">
        <v>100</v>
      </c>
      <c r="Y1075" t="inlineStr">
        <is>
          <t>92</t>
        </is>
      </c>
      <c r="Z1075" t="n">
        <v>36.2</v>
      </c>
      <c r="AA1075" t="inlineStr">
        <is>
          <t>533</t>
        </is>
      </c>
      <c r="AB1075" t="n">
        <v>41.8</v>
      </c>
      <c r="AC1075" t="inlineStr">
        <is>
          <t>494</t>
        </is>
      </c>
      <c r="AD1075" t="n">
        <v>81.8</v>
      </c>
      <c r="AE1075" t="inlineStr">
        <is>
          <t>319</t>
        </is>
      </c>
      <c r="AF1075" t="n">
        <v>20.8</v>
      </c>
      <c r="AG1075" t="inlineStr">
        <is>
          <t>712</t>
        </is>
      </c>
      <c r="AH1075" t="n">
        <v>84.8</v>
      </c>
      <c r="AI1075" t="inlineStr">
        <is>
          <t>112=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</row>
    <row r="1076">
      <c r="A1076" t="inlineStr">
        <is>
          <t>The University of Newcastle, Australia (UON)</t>
        </is>
      </c>
      <c r="B1076" t="inlineStr">
        <is>
          <t>Australia</t>
        </is>
      </c>
      <c r="C1076" t="inlineStr">
        <is>
          <t>AU</t>
        </is>
      </c>
      <c r="D1076" t="inlineStr"/>
      <c r="E1076" t="inlineStr">
        <is>
          <t>M</t>
        </is>
      </c>
      <c r="F1076" t="inlineStr">
        <is>
          <t>FC</t>
        </is>
      </c>
      <c r="G1076" t="inlineStr">
        <is>
          <t>VH</t>
        </is>
      </c>
      <c r="H1076" t="inlineStr">
        <is>
          <t>4</t>
        </is>
      </c>
      <c r="I1076" t="inlineStr">
        <is>
          <t>A</t>
        </is>
      </c>
      <c r="J1076" t="inlineStr"/>
      <c r="K1076" t="inlineStr"/>
      <c r="L1076">
        <f>173</f>
        <v/>
      </c>
      <c r="M1076" t="inlineStr">
        <is>
          <t>192</t>
        </is>
      </c>
      <c r="N1076" t="inlineStr"/>
      <c r="O1076" t="inlineStr">
        <is>
          <t>48.7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>
        <is>
          <t>29.3</t>
        </is>
      </c>
      <c r="AK1076" t="inlineStr">
        <is>
          <t>296</t>
        </is>
      </c>
      <c r="AL1076" t="inlineStr">
        <is>
          <t>26.9</t>
        </is>
      </c>
      <c r="AM1076" t="inlineStr">
        <is>
          <t>361</t>
        </is>
      </c>
      <c r="AN1076" t="inlineStr">
        <is>
          <t>36.5</t>
        </is>
      </c>
      <c r="AO1076" t="inlineStr">
        <is>
          <t>436</t>
        </is>
      </c>
      <c r="AP1076" t="inlineStr">
        <is>
          <t>91.4</t>
        </is>
      </c>
      <c r="AQ1076" t="inlineStr">
        <is>
          <t>71</t>
        </is>
      </c>
      <c r="AR1076" t="inlineStr">
        <is>
          <t>100.0</t>
        </is>
      </c>
      <c r="AS1076" t="inlineStr">
        <is>
          <t>73=</t>
        </is>
      </c>
      <c r="AT1076" t="inlineStr">
        <is>
          <t>17.3</t>
        </is>
      </c>
      <c r="AU1076" t="inlineStr">
        <is>
          <t>584</t>
        </is>
      </c>
      <c r="AV1076" t="inlineStr">
        <is>
          <t>49.2</t>
        </is>
      </c>
      <c r="AW1076" t="inlineStr">
        <is>
          <t>319</t>
        </is>
      </c>
      <c r="AX1076" t="inlineStr">
        <is>
          <t>12.5</t>
        </is>
      </c>
      <c r="AY1076" t="inlineStr">
        <is>
          <t>696</t>
        </is>
      </c>
      <c r="AZ1076" t="inlineStr">
        <is>
          <t>93.2</t>
        </is>
      </c>
      <c r="BA1076" t="inlineStr">
        <is>
          <t>70=</t>
        </is>
      </c>
    </row>
    <row r="1077">
      <c r="A1077" t="inlineStr">
        <is>
          <t>The University of Northampton</t>
        </is>
      </c>
      <c r="B1077" t="inlineStr">
        <is>
          <t>United Kingdom</t>
        </is>
      </c>
      <c r="C1077" t="inlineStr">
        <is>
          <t>UK</t>
        </is>
      </c>
      <c r="D1077" t="inlineStr">
        <is>
          <t>Europe</t>
        </is>
      </c>
      <c r="E1077" t="inlineStr">
        <is>
          <t>L</t>
        </is>
      </c>
      <c r="F1077" t="inlineStr">
        <is>
          <t>CO</t>
        </is>
      </c>
      <c r="G1077" t="inlineStr">
        <is>
          <t>MD</t>
        </is>
      </c>
      <c r="H1077" t="inlineStr">
        <is>
          <t>2</t>
        </is>
      </c>
      <c r="I1077" t="inlineStr">
        <is>
          <t>Public</t>
        </is>
      </c>
      <c r="J1077" t="inlineStr">
        <is>
          <t>1201-1400</t>
        </is>
      </c>
      <c r="K1077" t="inlineStr">
        <is>
          <t>1001-1200</t>
        </is>
      </c>
      <c r="L1077" t="inlineStr">
        <is>
          <t>1001-1200</t>
        </is>
      </c>
      <c r="M1077" t="inlineStr">
        <is>
          <t>1001-1200</t>
        </is>
      </c>
      <c r="N1077" t="inlineStr">
        <is>
          <t>-</t>
        </is>
      </c>
      <c r="O1077" t="inlineStr">
        <is>
          <t>-</t>
        </is>
      </c>
      <c r="P1077" t="n">
        <v>3.4</v>
      </c>
      <c r="Q1077" t="inlineStr">
        <is>
          <t>701+</t>
        </is>
      </c>
      <c r="R1077" t="n">
        <v>3.9</v>
      </c>
      <c r="S1077" t="inlineStr">
        <is>
          <t>701+</t>
        </is>
      </c>
      <c r="T1077" t="n">
        <v>6.4</v>
      </c>
      <c r="U1077" t="inlineStr">
        <is>
          <t>801+</t>
        </is>
      </c>
      <c r="V1077" t="n">
        <v>4.4</v>
      </c>
      <c r="W1077" t="inlineStr">
        <is>
          <t>801+</t>
        </is>
      </c>
      <c r="X1077" t="n">
        <v>51.5</v>
      </c>
      <c r="Y1077" t="inlineStr">
        <is>
          <t>431</t>
        </is>
      </c>
      <c r="Z1077" t="n">
        <v>93.40000000000001</v>
      </c>
      <c r="AA1077" t="inlineStr">
        <is>
          <t>140</t>
        </is>
      </c>
      <c r="AB1077" t="n">
        <v>93.90000000000001</v>
      </c>
      <c r="AC1077" t="inlineStr">
        <is>
          <t>116</t>
        </is>
      </c>
      <c r="AD1077" t="n">
        <v>16.8</v>
      </c>
      <c r="AE1077" t="inlineStr">
        <is>
          <t>801+</t>
        </is>
      </c>
      <c r="AF1077" t="n">
        <v>5.9</v>
      </c>
      <c r="AG1077" t="inlineStr">
        <is>
          <t>801+</t>
        </is>
      </c>
      <c r="AH1077" t="n">
        <v>19</v>
      </c>
      <c r="AI1077" t="inlineStr">
        <is>
          <t>801+</t>
        </is>
      </c>
      <c r="AJ1077" t="inlineStr">
        <is>
          <t>3.4</t>
        </is>
      </c>
      <c r="AK1077" t="inlineStr">
        <is>
          <t>601+</t>
        </is>
      </c>
      <c r="AL1077" t="inlineStr">
        <is>
          <t>2.9</t>
        </is>
      </c>
      <c r="AM1077" t="inlineStr">
        <is>
          <t>601+</t>
        </is>
      </c>
      <c r="AN1077" t="inlineStr">
        <is>
          <t>5.7</t>
        </is>
      </c>
      <c r="AO1077" t="inlineStr">
        <is>
          <t>701+</t>
        </is>
      </c>
      <c r="AP1077" t="inlineStr">
        <is>
          <t>2.9</t>
        </is>
      </c>
      <c r="AQ1077" t="inlineStr">
        <is>
          <t>701+</t>
        </is>
      </c>
      <c r="AR1077" t="inlineStr">
        <is>
          <t>37.8</t>
        </is>
      </c>
      <c r="AS1077" t="inlineStr">
        <is>
          <t>426</t>
        </is>
      </c>
      <c r="AT1077" t="inlineStr">
        <is>
          <t>96.7</t>
        </is>
      </c>
      <c r="AU1077" t="inlineStr">
        <is>
          <t>78</t>
        </is>
      </c>
      <c r="AV1077" t="inlineStr">
        <is>
          <t>1.0</t>
        </is>
      </c>
      <c r="AW1077" t="inlineStr">
        <is>
          <t>701+</t>
        </is>
      </c>
      <c r="AX1077" t="inlineStr">
        <is>
          <t>9.6</t>
        </is>
      </c>
      <c r="AY1077" t="inlineStr">
        <is>
          <t>701+</t>
        </is>
      </c>
      <c r="AZ1077" t="inlineStr">
        <is>
          <t>1</t>
        </is>
      </c>
      <c r="BA1077" t="inlineStr">
        <is>
          <t>701+</t>
        </is>
      </c>
    </row>
    <row r="1078">
      <c r="A1078" t="inlineStr">
        <is>
          <t>The University of Notre Dame, Australia</t>
        </is>
      </c>
      <c r="B1078" t="inlineStr">
        <is>
          <t>Australia</t>
        </is>
      </c>
      <c r="C1078" t="inlineStr">
        <is>
          <t>AU</t>
        </is>
      </c>
      <c r="D1078" t="inlineStr">
        <is>
          <t>Oceania</t>
        </is>
      </c>
      <c r="E1078" t="inlineStr">
        <is>
          <t>M</t>
        </is>
      </c>
      <c r="F1078" t="inlineStr">
        <is>
          <t>FC</t>
        </is>
      </c>
      <c r="G1078" t="inlineStr">
        <is>
          <t>HI</t>
        </is>
      </c>
      <c r="H1078" t="inlineStr">
        <is>
          <t>3</t>
        </is>
      </c>
      <c r="I1078" t="inlineStr">
        <is>
          <t>Private not for Profit</t>
        </is>
      </c>
      <c r="J1078" t="inlineStr">
        <is>
          <t>1201-1400</t>
        </is>
      </c>
      <c r="K1078" t="inlineStr">
        <is>
          <t>1401+</t>
        </is>
      </c>
      <c r="L1078" t="inlineStr">
        <is>
          <t>1401+</t>
        </is>
      </c>
      <c r="M1078" t="inlineStr">
        <is>
          <t>1201-1400</t>
        </is>
      </c>
      <c r="N1078" t="inlineStr">
        <is>
          <t>-</t>
        </is>
      </c>
      <c r="O1078" t="inlineStr">
        <is>
          <t>-</t>
        </is>
      </c>
      <c r="P1078" t="n">
        <v>3.4</v>
      </c>
      <c r="Q1078" t="inlineStr">
        <is>
          <t>701+</t>
        </is>
      </c>
      <c r="R1078" t="n">
        <v>5.9</v>
      </c>
      <c r="S1078" t="inlineStr">
        <is>
          <t>701+</t>
        </is>
      </c>
      <c r="T1078" t="n">
        <v>6.3</v>
      </c>
      <c r="U1078" t="inlineStr">
        <is>
          <t>801+</t>
        </is>
      </c>
      <c r="V1078" t="n">
        <v>10.2</v>
      </c>
      <c r="W1078" t="inlineStr">
        <is>
          <t>801+</t>
        </is>
      </c>
      <c r="X1078" t="n">
        <v>53.7</v>
      </c>
      <c r="Y1078" t="inlineStr">
        <is>
          <t>421</t>
        </is>
      </c>
      <c r="Z1078" t="n">
        <v>21.9</v>
      </c>
      <c r="AA1078" t="inlineStr">
        <is>
          <t>700</t>
        </is>
      </c>
      <c r="AB1078" t="n">
        <v>28</v>
      </c>
      <c r="AC1078" t="inlineStr">
        <is>
          <t>637</t>
        </is>
      </c>
      <c r="AD1078" t="n">
        <v>11.5</v>
      </c>
      <c r="AE1078" t="inlineStr">
        <is>
          <t>801+</t>
        </is>
      </c>
      <c r="AF1078" t="n">
        <v>1.7</v>
      </c>
      <c r="AG1078" t="inlineStr">
        <is>
          <t>801+</t>
        </is>
      </c>
      <c r="AH1078" t="n">
        <v>34.1</v>
      </c>
      <c r="AI1078" t="inlineStr">
        <is>
          <t>801+</t>
        </is>
      </c>
      <c r="AJ1078" t="inlineStr">
        <is>
          <t>3.2</t>
        </is>
      </c>
      <c r="AK1078" t="inlineStr">
        <is>
          <t>601+</t>
        </is>
      </c>
      <c r="AL1078" t="inlineStr">
        <is>
          <t>4.2</t>
        </is>
      </c>
      <c r="AM1078" t="inlineStr">
        <is>
          <t>601+</t>
        </is>
      </c>
      <c r="AN1078" t="inlineStr">
        <is>
          <t>3.1</t>
        </is>
      </c>
      <c r="AO1078" t="inlineStr">
        <is>
          <t>701+</t>
        </is>
      </c>
      <c r="AP1078" t="inlineStr">
        <is>
          <t>7.6</t>
        </is>
      </c>
      <c r="AQ1078" t="inlineStr">
        <is>
          <t>701+</t>
        </is>
      </c>
      <c r="AR1078" t="inlineStr">
        <is>
          <t>2.9</t>
        </is>
      </c>
      <c r="AS1078" t="inlineStr">
        <is>
          <t>701+</t>
        </is>
      </c>
      <c r="AT1078" t="inlineStr">
        <is>
          <t>1.5</t>
        </is>
      </c>
      <c r="AU1078" t="inlineStr">
        <is>
          <t>701+</t>
        </is>
      </c>
      <c r="AV1078" t="inlineStr">
        <is>
          <t>1.0</t>
        </is>
      </c>
      <c r="AW1078" t="inlineStr">
        <is>
          <t>701+</t>
        </is>
      </c>
      <c r="AX1078" t="inlineStr">
        <is>
          <t>6.2</t>
        </is>
      </c>
      <c r="AY1078" t="inlineStr">
        <is>
          <t>701+</t>
        </is>
      </c>
      <c r="AZ1078" t="inlineStr">
        <is>
          <t>1</t>
        </is>
      </c>
      <c r="BA1078" t="inlineStr">
        <is>
          <t>701+</t>
        </is>
      </c>
    </row>
    <row r="1079">
      <c r="A1079" t="inlineStr">
        <is>
          <t>The University of Nottingham</t>
        </is>
      </c>
      <c r="B1079" t="inlineStr">
        <is>
          <t>United Kingdom</t>
        </is>
      </c>
      <c r="C1079" t="inlineStr"/>
      <c r="D1079" t="inlineStr">
        <is>
          <t>Europe</t>
        </is>
      </c>
      <c r="E1079" t="inlineStr">
        <is>
          <t>XL</t>
        </is>
      </c>
      <c r="F1079" t="inlineStr">
        <is>
          <t>FC</t>
        </is>
      </c>
      <c r="G1079" t="inlineStr">
        <is>
          <t>VH</t>
        </is>
      </c>
      <c r="H1079" t="inlineStr"/>
      <c r="I1079" t="inlineStr">
        <is>
          <t>Public</t>
        </is>
      </c>
      <c r="J1079" t="inlineStr">
        <is>
          <t>97</t>
        </is>
      </c>
      <c r="K1079" t="inlineStr">
        <is>
          <t>108</t>
        </is>
      </c>
      <c r="L1079" t="inlineStr"/>
      <c r="M1079" t="inlineStr"/>
      <c r="N1079" t="inlineStr">
        <is>
          <t>69.4</t>
        </is>
      </c>
      <c r="O1079" t="inlineStr"/>
      <c r="P1079" t="n">
        <v>75.40000000000001</v>
      </c>
      <c r="Q1079" t="inlineStr">
        <is>
          <t>110</t>
        </is>
      </c>
      <c r="R1079" t="n">
        <v>78.40000000000001</v>
      </c>
      <c r="S1079" t="inlineStr">
        <is>
          <t>110</t>
        </is>
      </c>
      <c r="T1079" t="n">
        <v>44.5</v>
      </c>
      <c r="U1079" t="inlineStr">
        <is>
          <t>444</t>
        </is>
      </c>
      <c r="V1079" t="n">
        <v>48.6</v>
      </c>
      <c r="W1079" t="inlineStr">
        <is>
          <t>382</t>
        </is>
      </c>
      <c r="X1079" t="n">
        <v>92.7</v>
      </c>
      <c r="Y1079" t="inlineStr">
        <is>
          <t>202</t>
        </is>
      </c>
      <c r="Z1079" t="n">
        <v>78.5</v>
      </c>
      <c r="AA1079" t="inlineStr">
        <is>
          <t>231</t>
        </is>
      </c>
      <c r="AB1079" t="n">
        <v>80.59999999999999</v>
      </c>
      <c r="AC1079" t="inlineStr">
        <is>
          <t>201</t>
        </is>
      </c>
      <c r="AD1079" t="n">
        <v>97.40000000000001</v>
      </c>
      <c r="AE1079" t="inlineStr">
        <is>
          <t>30</t>
        </is>
      </c>
      <c r="AF1079" t="n">
        <v>53.7</v>
      </c>
      <c r="AG1079" t="inlineStr">
        <is>
          <t>313</t>
        </is>
      </c>
      <c r="AH1079" t="n">
        <v>92.90000000000001</v>
      </c>
      <c r="AI1079" t="inlineStr">
        <is>
          <t>36=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</row>
    <row r="1080">
      <c r="A1080" t="inlineStr">
        <is>
          <t>The University of Osaka</t>
        </is>
      </c>
      <c r="B1080" t="inlineStr">
        <is>
          <t>Japan</t>
        </is>
      </c>
      <c r="C1080" t="inlineStr"/>
      <c r="D1080" t="inlineStr">
        <is>
          <t>Asia</t>
        </is>
      </c>
      <c r="E1080" t="inlineStr">
        <is>
          <t>L</t>
        </is>
      </c>
      <c r="F1080" t="inlineStr">
        <is>
          <t>FC</t>
        </is>
      </c>
      <c r="G1080" t="inlineStr">
        <is>
          <t>VH</t>
        </is>
      </c>
      <c r="H1080" t="inlineStr"/>
      <c r="I1080" t="inlineStr">
        <is>
          <t>Public</t>
        </is>
      </c>
      <c r="J1080" t="inlineStr">
        <is>
          <t>91</t>
        </is>
      </c>
      <c r="K1080" t="inlineStr">
        <is>
          <t>86</t>
        </is>
      </c>
      <c r="L1080" t="inlineStr"/>
      <c r="M1080" t="inlineStr"/>
      <c r="N1080" t="inlineStr">
        <is>
          <t>71</t>
        </is>
      </c>
      <c r="O1080" t="inlineStr"/>
      <c r="P1080" t="n">
        <v>90.5</v>
      </c>
      <c r="Q1080" t="inlineStr">
        <is>
          <t>67</t>
        </is>
      </c>
      <c r="R1080" t="n">
        <v>90</v>
      </c>
      <c r="S1080" t="inlineStr">
        <is>
          <t>73</t>
        </is>
      </c>
      <c r="T1080" t="n">
        <v>45.6</v>
      </c>
      <c r="U1080" t="inlineStr">
        <is>
          <t>430</t>
        </is>
      </c>
      <c r="V1080" t="n">
        <v>65.8</v>
      </c>
      <c r="W1080" t="inlineStr">
        <is>
          <t>242</t>
        </is>
      </c>
      <c r="X1080" t="n">
        <v>25.2</v>
      </c>
      <c r="Y1080" t="inlineStr">
        <is>
          <t>649</t>
        </is>
      </c>
      <c r="Z1080" t="n">
        <v>21.1</v>
      </c>
      <c r="AA1080" t="inlineStr">
        <is>
          <t>709</t>
        </is>
      </c>
      <c r="AB1080" t="n">
        <v>27.2</v>
      </c>
      <c r="AC1080" t="inlineStr">
        <is>
          <t>651</t>
        </is>
      </c>
      <c r="AD1080" t="n">
        <v>72</v>
      </c>
      <c r="AE1080" t="inlineStr">
        <is>
          <t>500</t>
        </is>
      </c>
      <c r="AF1080" t="n">
        <v>51.4</v>
      </c>
      <c r="AG1080" t="inlineStr">
        <is>
          <t>330</t>
        </is>
      </c>
      <c r="AH1080" t="n">
        <v>79.5</v>
      </c>
      <c r="AI1080" t="inlineStr">
        <is>
          <t>180=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</row>
    <row r="1081">
      <c r="A1081" t="inlineStr">
        <is>
          <t>The University of Queensland</t>
        </is>
      </c>
      <c r="B1081" t="inlineStr">
        <is>
          <t>Australia</t>
        </is>
      </c>
      <c r="C1081" t="inlineStr">
        <is>
          <t>AU</t>
        </is>
      </c>
      <c r="D1081" t="inlineStr">
        <is>
          <t>Oceania</t>
        </is>
      </c>
      <c r="E1081" t="inlineStr">
        <is>
          <t>XL</t>
        </is>
      </c>
      <c r="F1081" t="inlineStr">
        <is>
          <t>FC</t>
        </is>
      </c>
      <c r="G1081" t="inlineStr">
        <is>
          <t>VH</t>
        </is>
      </c>
      <c r="H1081" t="inlineStr">
        <is>
          <t>5</t>
        </is>
      </c>
      <c r="I1081" t="inlineStr">
        <is>
          <t>Public</t>
        </is>
      </c>
      <c r="J1081" t="inlineStr">
        <is>
          <t>42</t>
        </is>
      </c>
      <c r="K1081" t="inlineStr">
        <is>
          <t>40</t>
        </is>
      </c>
      <c r="L1081" t="inlineStr">
        <is>
          <t>43</t>
        </is>
      </c>
      <c r="M1081" t="inlineStr">
        <is>
          <t>50=</t>
        </is>
      </c>
      <c r="N1081" t="inlineStr">
        <is>
          <t>85.1</t>
        </is>
      </c>
      <c r="O1081" t="inlineStr">
        <is>
          <t>78.1</t>
        </is>
      </c>
      <c r="P1081" t="n">
        <v>94.3</v>
      </c>
      <c r="Q1081" t="inlineStr">
        <is>
          <t>46</t>
        </is>
      </c>
      <c r="R1081" t="n">
        <v>79.5</v>
      </c>
      <c r="S1081" t="inlineStr">
        <is>
          <t>105</t>
        </is>
      </c>
      <c r="T1081" t="n">
        <v>26.5</v>
      </c>
      <c r="U1081" t="inlineStr">
        <is>
          <t>705</t>
        </is>
      </c>
      <c r="V1081" t="n">
        <v>94.2</v>
      </c>
      <c r="W1081" t="inlineStr">
        <is>
          <t>79</t>
        </is>
      </c>
      <c r="X1081" t="n">
        <v>100</v>
      </c>
      <c r="Y1081" t="inlineStr">
        <is>
          <t>60</t>
        </is>
      </c>
      <c r="Z1081" t="n">
        <v>100</v>
      </c>
      <c r="AA1081" t="inlineStr">
        <is>
          <t>28</t>
        </is>
      </c>
      <c r="AB1081" t="n">
        <v>100</v>
      </c>
      <c r="AC1081" t="inlineStr">
        <is>
          <t>18</t>
        </is>
      </c>
      <c r="AD1081" t="n">
        <v>97</v>
      </c>
      <c r="AE1081" t="inlineStr">
        <is>
          <t>36</t>
        </is>
      </c>
      <c r="AF1081" t="n">
        <v>66.59999999999999</v>
      </c>
      <c r="AG1081" t="inlineStr">
        <is>
          <t>233</t>
        </is>
      </c>
      <c r="AH1081" t="n">
        <v>92.5</v>
      </c>
      <c r="AI1081" t="inlineStr">
        <is>
          <t>41</t>
        </is>
      </c>
      <c r="AJ1081" t="inlineStr">
        <is>
          <t>87.1</t>
        </is>
      </c>
      <c r="AK1081" t="inlineStr">
        <is>
          <t>52</t>
        </is>
      </c>
      <c r="AL1081" t="inlineStr">
        <is>
          <t>73.7</t>
        </is>
      </c>
      <c r="AM1081" t="inlineStr">
        <is>
          <t>89</t>
        </is>
      </c>
      <c r="AN1081" t="inlineStr">
        <is>
          <t>21.6</t>
        </is>
      </c>
      <c r="AO1081" t="inlineStr">
        <is>
          <t>635</t>
        </is>
      </c>
      <c r="AP1081" t="inlineStr">
        <is>
          <t>87.0</t>
        </is>
      </c>
      <c r="AQ1081" t="inlineStr">
        <is>
          <t>84</t>
        </is>
      </c>
      <c r="AR1081" t="inlineStr">
        <is>
          <t>100.0</t>
        </is>
      </c>
      <c r="AS1081" t="inlineStr">
        <is>
          <t>41</t>
        </is>
      </c>
      <c r="AT1081" t="inlineStr">
        <is>
          <t>100.0</t>
        </is>
      </c>
      <c r="AU1081" t="inlineStr">
        <is>
          <t>22</t>
        </is>
      </c>
      <c r="AV1081" t="inlineStr">
        <is>
          <t>95.0</t>
        </is>
      </c>
      <c r="AW1081" t="inlineStr">
        <is>
          <t>53</t>
        </is>
      </c>
      <c r="AX1081" t="inlineStr">
        <is>
          <t>44.4</t>
        </is>
      </c>
      <c r="AY1081" t="inlineStr">
        <is>
          <t>163</t>
        </is>
      </c>
      <c r="AZ1081" t="inlineStr">
        <is>
          <t>73.1</t>
        </is>
      </c>
      <c r="BA1081" t="inlineStr">
        <is>
          <t>187=</t>
        </is>
      </c>
    </row>
    <row r="1082">
      <c r="A1082" t="inlineStr">
        <is>
          <t>The University of Sheffield</t>
        </is>
      </c>
      <c r="B1082" t="inlineStr">
        <is>
          <t>United Kingdom</t>
        </is>
      </c>
      <c r="C1082" t="inlineStr">
        <is>
          <t>UK</t>
        </is>
      </c>
      <c r="D1082" t="inlineStr">
        <is>
          <t>Europe</t>
        </is>
      </c>
      <c r="E1082" t="inlineStr">
        <is>
          <t>L</t>
        </is>
      </c>
      <c r="F1082" t="inlineStr">
        <is>
          <t>FC</t>
        </is>
      </c>
      <c r="G1082" t="inlineStr">
        <is>
          <t>VH</t>
        </is>
      </c>
      <c r="H1082" t="inlineStr">
        <is>
          <t>5</t>
        </is>
      </c>
      <c r="I1082" t="inlineStr">
        <is>
          <t>Public</t>
        </is>
      </c>
      <c r="J1082" t="inlineStr">
        <is>
          <t>92</t>
        </is>
      </c>
      <c r="K1082" t="inlineStr">
        <is>
          <t>105</t>
        </is>
      </c>
      <c r="L1082" t="inlineStr">
        <is>
          <t>104</t>
        </is>
      </c>
      <c r="M1082" t="inlineStr">
        <is>
          <t>96=</t>
        </is>
      </c>
      <c r="N1082" t="inlineStr">
        <is>
          <t>70.9</t>
        </is>
      </c>
      <c r="O1082" t="inlineStr">
        <is>
          <t>59.7</t>
        </is>
      </c>
      <c r="P1082" t="n">
        <v>73</v>
      </c>
      <c r="Q1082" t="inlineStr">
        <is>
          <t>122</t>
        </is>
      </c>
      <c r="R1082" t="n">
        <v>61.7</v>
      </c>
      <c r="S1082" t="inlineStr">
        <is>
          <t>186</t>
        </is>
      </c>
      <c r="T1082" t="n">
        <v>50.3</v>
      </c>
      <c r="U1082" t="inlineStr">
        <is>
          <t>378</t>
        </is>
      </c>
      <c r="V1082" t="n">
        <v>68.40000000000001</v>
      </c>
      <c r="W1082" t="inlineStr">
        <is>
          <t>226</t>
        </is>
      </c>
      <c r="X1082" t="n">
        <v>81.59999999999999</v>
      </c>
      <c r="Y1082" t="inlineStr">
        <is>
          <t>281</t>
        </is>
      </c>
      <c r="Z1082" t="n">
        <v>98</v>
      </c>
      <c r="AA1082" t="inlineStr">
        <is>
          <t>89</t>
        </is>
      </c>
      <c r="AB1082" t="n">
        <v>98.09999999999999</v>
      </c>
      <c r="AC1082" t="inlineStr">
        <is>
          <t>76</t>
        </is>
      </c>
      <c r="AD1082" t="n">
        <v>96.8</v>
      </c>
      <c r="AE1082" t="inlineStr">
        <is>
          <t>42</t>
        </is>
      </c>
      <c r="AF1082" t="n">
        <v>47.9</v>
      </c>
      <c r="AG1082" t="inlineStr">
        <is>
          <t>363</t>
        </is>
      </c>
      <c r="AH1082" t="n">
        <v>94.3</v>
      </c>
      <c r="AI1082" t="inlineStr">
        <is>
          <t>27</t>
        </is>
      </c>
      <c r="AJ1082" t="inlineStr">
        <is>
          <t>58.7</t>
        </is>
      </c>
      <c r="AK1082" t="inlineStr">
        <is>
          <t>130</t>
        </is>
      </c>
      <c r="AL1082" t="inlineStr">
        <is>
          <t>52.3</t>
        </is>
      </c>
      <c r="AM1082" t="inlineStr">
        <is>
          <t>153</t>
        </is>
      </c>
      <c r="AN1082" t="inlineStr">
        <is>
          <t>54.7</t>
        </is>
      </c>
      <c r="AO1082" t="inlineStr">
        <is>
          <t>278</t>
        </is>
      </c>
      <c r="AP1082" t="inlineStr">
        <is>
          <t>46.9</t>
        </is>
      </c>
      <c r="AQ1082" t="inlineStr">
        <is>
          <t>289</t>
        </is>
      </c>
      <c r="AR1082" t="inlineStr">
        <is>
          <t>84.0</t>
        </is>
      </c>
      <c r="AS1082" t="inlineStr">
        <is>
          <t>218</t>
        </is>
      </c>
      <c r="AT1082" t="inlineStr">
        <is>
          <t>97.5</t>
        </is>
      </c>
      <c r="AU1082" t="inlineStr">
        <is>
          <t>69</t>
        </is>
      </c>
      <c r="AV1082" t="inlineStr">
        <is>
          <t>96.1</t>
        </is>
      </c>
      <c r="AW1082" t="inlineStr">
        <is>
          <t>38</t>
        </is>
      </c>
      <c r="AX1082" t="inlineStr">
        <is>
          <t>24.9</t>
        </is>
      </c>
      <c r="AY1082" t="inlineStr">
        <is>
          <t>332</t>
        </is>
      </c>
      <c r="AZ1082" t="inlineStr">
        <is>
          <t>76.3</t>
        </is>
      </c>
      <c r="BA1082" t="inlineStr">
        <is>
          <t>169</t>
        </is>
      </c>
    </row>
    <row r="1083">
      <c r="A1083" t="inlineStr">
        <is>
          <t>The University of Sydney</t>
        </is>
      </c>
      <c r="B1083" t="inlineStr">
        <is>
          <t>Australia</t>
        </is>
      </c>
      <c r="C1083" t="inlineStr">
        <is>
          <t>AU</t>
        </is>
      </c>
      <c r="D1083" t="inlineStr">
        <is>
          <t>Oceania</t>
        </is>
      </c>
      <c r="E1083" t="inlineStr">
        <is>
          <t>XL</t>
        </is>
      </c>
      <c r="F1083" t="inlineStr">
        <is>
          <t>FC</t>
        </is>
      </c>
      <c r="G1083" t="inlineStr">
        <is>
          <t>VH</t>
        </is>
      </c>
      <c r="H1083" t="inlineStr">
        <is>
          <t>5</t>
        </is>
      </c>
      <c r="I1083" t="inlineStr">
        <is>
          <t>Public</t>
        </is>
      </c>
      <c r="J1083" t="inlineStr">
        <is>
          <t>25</t>
        </is>
      </c>
      <c r="K1083" t="inlineStr">
        <is>
          <t>18</t>
        </is>
      </c>
      <c r="L1083">
        <f>19</f>
        <v/>
      </c>
      <c r="M1083" t="inlineStr">
        <is>
          <t>41</t>
        </is>
      </c>
      <c r="N1083" t="inlineStr">
        <is>
          <t>89.4</t>
        </is>
      </c>
      <c r="O1083" t="inlineStr">
        <is>
          <t>86.7</t>
        </is>
      </c>
      <c r="P1083" t="n">
        <v>98.90000000000001</v>
      </c>
      <c r="Q1083" t="inlineStr">
        <is>
          <t>29</t>
        </is>
      </c>
      <c r="R1083" t="n">
        <v>94.2</v>
      </c>
      <c r="S1083" t="inlineStr">
        <is>
          <t>53</t>
        </is>
      </c>
      <c r="T1083" t="n">
        <v>15.7</v>
      </c>
      <c r="U1083" t="inlineStr">
        <is>
          <t>801+</t>
        </is>
      </c>
      <c r="V1083" t="n">
        <v>94.3</v>
      </c>
      <c r="W1083" t="inlineStr">
        <is>
          <t>78</t>
        </is>
      </c>
      <c r="X1083" t="n">
        <v>99.90000000000001</v>
      </c>
      <c r="Y1083" t="inlineStr">
        <is>
          <t>101</t>
        </is>
      </c>
      <c r="Z1083" t="n">
        <v>100</v>
      </c>
      <c r="AA1083" t="inlineStr">
        <is>
          <t>18</t>
        </is>
      </c>
      <c r="AB1083" t="n">
        <v>100</v>
      </c>
      <c r="AC1083" t="inlineStr">
        <is>
          <t>12</t>
        </is>
      </c>
      <c r="AD1083" t="n">
        <v>95.5</v>
      </c>
      <c r="AE1083" t="inlineStr">
        <is>
          <t>71</t>
        </is>
      </c>
      <c r="AF1083" t="n">
        <v>95.8</v>
      </c>
      <c r="AG1083" t="inlineStr">
        <is>
          <t>70</t>
        </is>
      </c>
      <c r="AH1083" t="n">
        <v>97.59999999999999</v>
      </c>
      <c r="AI1083" t="inlineStr">
        <is>
          <t>11</t>
        </is>
      </c>
      <c r="AJ1083" t="inlineStr">
        <is>
          <t>96.0</t>
        </is>
      </c>
      <c r="AK1083" t="inlineStr">
        <is>
          <t>31</t>
        </is>
      </c>
      <c r="AL1083" t="inlineStr">
        <is>
          <t>87.7</t>
        </is>
      </c>
      <c r="AM1083" t="inlineStr">
        <is>
          <t>57</t>
        </is>
      </c>
      <c r="AN1083" t="inlineStr">
        <is>
          <t>11.8</t>
        </is>
      </c>
      <c r="AO1083" t="inlineStr">
        <is>
          <t>701+</t>
        </is>
      </c>
      <c r="AP1083" t="inlineStr">
        <is>
          <t>93.5</t>
        </is>
      </c>
      <c r="AQ1083" t="inlineStr">
        <is>
          <t>63</t>
        </is>
      </c>
      <c r="AR1083" t="inlineStr">
        <is>
          <t>99.5</t>
        </is>
      </c>
      <c r="AS1083" t="inlineStr">
        <is>
          <t>89</t>
        </is>
      </c>
      <c r="AT1083" t="inlineStr">
        <is>
          <t>100.0</t>
        </is>
      </c>
      <c r="AU1083" t="inlineStr">
        <is>
          <t>13</t>
        </is>
      </c>
      <c r="AV1083" t="inlineStr">
        <is>
          <t>91.9</t>
        </is>
      </c>
      <c r="AW1083" t="inlineStr">
        <is>
          <t>70</t>
        </is>
      </c>
      <c r="AX1083" t="inlineStr">
        <is>
          <t>88.1</t>
        </is>
      </c>
      <c r="AY1083" t="inlineStr">
        <is>
          <t>42</t>
        </is>
      </c>
      <c r="AZ1083" t="inlineStr">
        <is>
          <t>99.7</t>
        </is>
      </c>
      <c r="BA1083" t="inlineStr">
        <is>
          <t>7</t>
        </is>
      </c>
    </row>
    <row r="1084">
      <c r="A1084" t="inlineStr">
        <is>
          <t>The University of Tennessee, Knoxville</t>
        </is>
      </c>
      <c r="B1084" t="inlineStr">
        <is>
          <t>United States</t>
        </is>
      </c>
      <c r="C1084" t="inlineStr">
        <is>
          <t>US</t>
        </is>
      </c>
      <c r="D1084" t="inlineStr"/>
      <c r="E1084" t="inlineStr">
        <is>
          <t>L</t>
        </is>
      </c>
      <c r="F1084" t="inlineStr">
        <is>
          <t>FC</t>
        </is>
      </c>
      <c r="G1084" t="inlineStr">
        <is>
          <t>VH</t>
        </is>
      </c>
      <c r="H1084" t="inlineStr">
        <is>
          <t>5</t>
        </is>
      </c>
      <c r="I1084" t="inlineStr">
        <is>
          <t>A</t>
        </is>
      </c>
      <c r="J1084" t="inlineStr"/>
      <c r="K1084" t="inlineStr"/>
      <c r="L1084">
        <f>446</f>
        <v/>
      </c>
      <c r="M1084" t="inlineStr">
        <is>
          <t>601-650</t>
        </is>
      </c>
      <c r="N1084" t="inlineStr"/>
      <c r="O1084" t="inlineStr">
        <is>
          <t>25.7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>
        <is>
          <t>10.3</t>
        </is>
      </c>
      <c r="AK1084" t="inlineStr">
        <is>
          <t>601+</t>
        </is>
      </c>
      <c r="AL1084" t="inlineStr">
        <is>
          <t>15.4</t>
        </is>
      </c>
      <c r="AM1084" t="inlineStr">
        <is>
          <t>534</t>
        </is>
      </c>
      <c r="AN1084" t="inlineStr">
        <is>
          <t>10.8</t>
        </is>
      </c>
      <c r="AO1084" t="inlineStr">
        <is>
          <t>701+</t>
        </is>
      </c>
      <c r="AP1084" t="inlineStr">
        <is>
          <t>72.5</t>
        </is>
      </c>
      <c r="AQ1084" t="inlineStr">
        <is>
          <t>135</t>
        </is>
      </c>
      <c r="AR1084" t="inlineStr">
        <is>
          <t>4.2</t>
        </is>
      </c>
      <c r="AS1084" t="inlineStr">
        <is>
          <t>701+</t>
        </is>
      </c>
      <c r="AT1084" t="inlineStr">
        <is>
          <t>2.5</t>
        </is>
      </c>
      <c r="AU1084" t="inlineStr">
        <is>
          <t>701+</t>
        </is>
      </c>
      <c r="AV1084" t="inlineStr">
        <is>
          <t>45.2</t>
        </is>
      </c>
      <c r="AW1084" t="inlineStr">
        <is>
          <t>345</t>
        </is>
      </c>
      <c r="AX1084" t="inlineStr">
        <is>
          <t>11.9</t>
        </is>
      </c>
      <c r="AY1084" t="inlineStr">
        <is>
          <t>701+</t>
        </is>
      </c>
      <c r="AZ1084" t="inlineStr">
        <is>
          <t>30.7</t>
        </is>
      </c>
      <c r="BA1084" t="inlineStr">
        <is>
          <t>438=</t>
        </is>
      </c>
    </row>
    <row r="1085">
      <c r="A1085" t="inlineStr">
        <is>
          <t>The University of Texas at Arlington</t>
        </is>
      </c>
      <c r="B1085" t="inlineStr">
        <is>
          <t>United States</t>
        </is>
      </c>
      <c r="C1085" t="inlineStr">
        <is>
          <t>US</t>
        </is>
      </c>
      <c r="D1085" t="inlineStr"/>
      <c r="E1085" t="inlineStr">
        <is>
          <t>XL</t>
        </is>
      </c>
      <c r="F1085" t="inlineStr">
        <is>
          <t>CO</t>
        </is>
      </c>
      <c r="G1085" t="inlineStr">
        <is>
          <t>VH</t>
        </is>
      </c>
      <c r="H1085" t="inlineStr">
        <is>
          <t>5</t>
        </is>
      </c>
      <c r="I1085" t="inlineStr">
        <is>
          <t>A</t>
        </is>
      </c>
      <c r="J1085" t="inlineStr"/>
      <c r="K1085" t="inlineStr"/>
      <c r="L1085" t="inlineStr">
        <is>
          <t>1001-1200</t>
        </is>
      </c>
      <c r="M1085" t="inlineStr">
        <is>
          <t>1201-1400</t>
        </is>
      </c>
      <c r="N1085" t="inlineStr"/>
      <c r="O1085" t="inlineStr">
        <is>
          <t>-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>
        <is>
          <t>5.2</t>
        </is>
      </c>
      <c r="AK1085" t="inlineStr">
        <is>
          <t>601+</t>
        </is>
      </c>
      <c r="AL1085" t="inlineStr">
        <is>
          <t>4.7</t>
        </is>
      </c>
      <c r="AM1085" t="inlineStr">
        <is>
          <t>601+</t>
        </is>
      </c>
      <c r="AN1085" t="inlineStr">
        <is>
          <t>4.7</t>
        </is>
      </c>
      <c r="AO1085" t="inlineStr">
        <is>
          <t>701+</t>
        </is>
      </c>
      <c r="AP1085" t="inlineStr">
        <is>
          <t>10.4</t>
        </is>
      </c>
      <c r="AQ1085" t="inlineStr">
        <is>
          <t>701+</t>
        </is>
      </c>
      <c r="AR1085" t="inlineStr">
        <is>
          <t>2.3</t>
        </is>
      </c>
      <c r="AS1085" t="inlineStr">
        <is>
          <t>701+</t>
        </is>
      </c>
      <c r="AT1085" t="inlineStr">
        <is>
          <t>20.5</t>
        </is>
      </c>
      <c r="AU1085" t="inlineStr">
        <is>
          <t>541</t>
        </is>
      </c>
      <c r="AV1085" t="inlineStr">
        <is>
          <t>7.9</t>
        </is>
      </c>
      <c r="AW1085" t="inlineStr">
        <is>
          <t>701+</t>
        </is>
      </c>
      <c r="AX1085" t="inlineStr">
        <is>
          <t>10</t>
        </is>
      </c>
      <c r="AY1085" t="inlineStr">
        <is>
          <t>701+</t>
        </is>
      </c>
      <c r="AZ1085" t="inlineStr">
        <is>
          <t>34.3</t>
        </is>
      </c>
      <c r="BA1085" t="inlineStr">
        <is>
          <t>409=</t>
        </is>
      </c>
    </row>
    <row r="1086">
      <c r="A1086" t="inlineStr">
        <is>
          <t>The University of Tokyo</t>
        </is>
      </c>
      <c r="B1086" t="inlineStr">
        <is>
          <t>Japan</t>
        </is>
      </c>
      <c r="C1086" t="inlineStr">
        <is>
          <t>JP</t>
        </is>
      </c>
      <c r="D1086" t="inlineStr">
        <is>
          <t>Asia</t>
        </is>
      </c>
      <c r="E1086" t="inlineStr">
        <is>
          <t>L</t>
        </is>
      </c>
      <c r="F1086" t="inlineStr">
        <is>
          <t>FC</t>
        </is>
      </c>
      <c r="G1086" t="inlineStr">
        <is>
          <t>VH</t>
        </is>
      </c>
      <c r="H1086" t="inlineStr">
        <is>
          <t>5</t>
        </is>
      </c>
      <c r="I1086" t="inlineStr">
        <is>
          <t>Public</t>
        </is>
      </c>
      <c r="J1086" t="inlineStr">
        <is>
          <t>36</t>
        </is>
      </c>
      <c r="K1086" t="inlineStr">
        <is>
          <t>32</t>
        </is>
      </c>
      <c r="L1086" t="inlineStr">
        <is>
          <t>28</t>
        </is>
      </c>
      <c r="M1086" t="inlineStr">
        <is>
          <t>23</t>
        </is>
      </c>
      <c r="N1086" t="inlineStr">
        <is>
          <t>85.8</t>
        </is>
      </c>
      <c r="O1086" t="inlineStr">
        <is>
          <t>84.3</t>
        </is>
      </c>
      <c r="P1086" t="n">
        <v>100</v>
      </c>
      <c r="Q1086" t="inlineStr">
        <is>
          <t>7</t>
        </is>
      </c>
      <c r="R1086" t="n">
        <v>99.90000000000001</v>
      </c>
      <c r="S1086" t="inlineStr">
        <is>
          <t>10</t>
        </is>
      </c>
      <c r="T1086" t="n">
        <v>92.40000000000001</v>
      </c>
      <c r="U1086" t="inlineStr">
        <is>
          <t>94</t>
        </is>
      </c>
      <c r="V1086" t="n">
        <v>69.90000000000001</v>
      </c>
      <c r="W1086" t="inlineStr">
        <is>
          <t>217</t>
        </is>
      </c>
      <c r="X1086" t="n">
        <v>15.9</v>
      </c>
      <c r="Y1086" t="inlineStr">
        <is>
          <t>777</t>
        </is>
      </c>
      <c r="Z1086" t="n">
        <v>44</v>
      </c>
      <c r="AA1086" t="inlineStr">
        <is>
          <t>457</t>
        </is>
      </c>
      <c r="AB1086" t="n">
        <v>49.2</v>
      </c>
      <c r="AC1086" t="inlineStr">
        <is>
          <t>422</t>
        </is>
      </c>
      <c r="AD1086" t="n">
        <v>88.8</v>
      </c>
      <c r="AE1086" t="inlineStr">
        <is>
          <t>193</t>
        </is>
      </c>
      <c r="AF1086" t="n">
        <v>100</v>
      </c>
      <c r="AG1086" t="inlineStr">
        <is>
          <t>10</t>
        </is>
      </c>
      <c r="AH1086" t="n">
        <v>92.3</v>
      </c>
      <c r="AI1086" t="inlineStr">
        <is>
          <t>44</t>
        </is>
      </c>
      <c r="AJ1086" t="inlineStr">
        <is>
          <t>100.0</t>
        </is>
      </c>
      <c r="AK1086" t="inlineStr">
        <is>
          <t>7</t>
        </is>
      </c>
      <c r="AL1086" t="inlineStr">
        <is>
          <t>99.8</t>
        </is>
      </c>
      <c r="AM1086" t="inlineStr">
        <is>
          <t>9</t>
        </is>
      </c>
      <c r="AN1086" t="inlineStr">
        <is>
          <t>90.4</t>
        </is>
      </c>
      <c r="AO1086" t="inlineStr">
        <is>
          <t>84</t>
        </is>
      </c>
      <c r="AP1086" t="inlineStr">
        <is>
          <t>70.0</t>
        </is>
      </c>
      <c r="AQ1086" t="inlineStr">
        <is>
          <t>148</t>
        </is>
      </c>
      <c r="AR1086" t="inlineStr">
        <is>
          <t>10.3</t>
        </is>
      </c>
      <c r="AS1086" t="inlineStr">
        <is>
          <t>701+</t>
        </is>
      </c>
      <c r="AT1086" t="inlineStr">
        <is>
          <t>29.2</t>
        </is>
      </c>
      <c r="AU1086" t="inlineStr">
        <is>
          <t>427</t>
        </is>
      </c>
      <c r="AV1086" t="inlineStr">
        <is>
          <t>70.0</t>
        </is>
      </c>
      <c r="AW1086" t="inlineStr">
        <is>
          <t>196</t>
        </is>
      </c>
      <c r="AX1086" t="inlineStr">
        <is>
          <t>99.8</t>
        </is>
      </c>
      <c r="AY1086" t="inlineStr">
        <is>
          <t>11</t>
        </is>
      </c>
      <c r="AZ1086" t="inlineStr">
        <is>
          <t>99.7</t>
        </is>
      </c>
      <c r="BA1086" t="inlineStr">
        <is>
          <t>5</t>
        </is>
      </c>
    </row>
    <row r="1087">
      <c r="A1087" t="inlineStr">
        <is>
          <t>The University of Warwick</t>
        </is>
      </c>
      <c r="B1087" t="inlineStr">
        <is>
          <t>United Kingdom</t>
        </is>
      </c>
      <c r="C1087" t="inlineStr">
        <is>
          <t>UK</t>
        </is>
      </c>
      <c r="D1087" t="inlineStr">
        <is>
          <t>Europe</t>
        </is>
      </c>
      <c r="E1087" t="inlineStr">
        <is>
          <t>L</t>
        </is>
      </c>
      <c r="F1087" t="inlineStr">
        <is>
          <t>FC</t>
        </is>
      </c>
      <c r="G1087" t="inlineStr">
        <is>
          <t>VH</t>
        </is>
      </c>
      <c r="H1087" t="inlineStr">
        <is>
          <t>4</t>
        </is>
      </c>
      <c r="I1087" t="inlineStr">
        <is>
          <t>Public</t>
        </is>
      </c>
      <c r="J1087" t="inlineStr">
        <is>
          <t>74</t>
        </is>
      </c>
      <c r="K1087" t="inlineStr">
        <is>
          <t>69</t>
        </is>
      </c>
      <c r="L1087" t="inlineStr">
        <is>
          <t>67</t>
        </is>
      </c>
      <c r="M1087" t="inlineStr">
        <is>
          <t>64</t>
        </is>
      </c>
      <c r="N1087" t="inlineStr">
        <is>
          <t>75.2</t>
        </is>
      </c>
      <c r="O1087" t="inlineStr">
        <is>
          <t>68.6</t>
        </is>
      </c>
      <c r="P1087" t="n">
        <v>82.7</v>
      </c>
      <c r="Q1087" t="inlineStr">
        <is>
          <t>85</t>
        </is>
      </c>
      <c r="R1087" t="n">
        <v>93</v>
      </c>
      <c r="S1087" t="inlineStr">
        <is>
          <t>60</t>
        </is>
      </c>
      <c r="T1087" t="n">
        <v>48.3</v>
      </c>
      <c r="U1087" t="inlineStr">
        <is>
          <t>402</t>
        </is>
      </c>
      <c r="V1087" t="n">
        <v>43.6</v>
      </c>
      <c r="W1087" t="inlineStr">
        <is>
          <t>432</t>
        </is>
      </c>
      <c r="X1087" t="n">
        <v>99.5</v>
      </c>
      <c r="Y1087" t="inlineStr">
        <is>
          <t>111</t>
        </is>
      </c>
      <c r="Z1087" t="n">
        <v>99.2</v>
      </c>
      <c r="AA1087" t="inlineStr">
        <is>
          <t>60</t>
        </is>
      </c>
      <c r="AB1087" t="n">
        <v>99.3</v>
      </c>
      <c r="AC1087" t="inlineStr">
        <is>
          <t>49</t>
        </is>
      </c>
      <c r="AD1087" t="n">
        <v>93.8</v>
      </c>
      <c r="AE1087" t="inlineStr">
        <is>
          <t>101</t>
        </is>
      </c>
      <c r="AF1087" t="n">
        <v>75.3</v>
      </c>
      <c r="AG1087" t="inlineStr">
        <is>
          <t>182</t>
        </is>
      </c>
      <c r="AH1087" t="n">
        <v>84.59999999999999</v>
      </c>
      <c r="AI1087" t="inlineStr">
        <is>
          <t>117=</t>
        </is>
      </c>
      <c r="AJ1087" t="inlineStr">
        <is>
          <t>71.3</t>
        </is>
      </c>
      <c r="AK1087" t="inlineStr">
        <is>
          <t>86</t>
        </is>
      </c>
      <c r="AL1087" t="inlineStr">
        <is>
          <t>88.0</t>
        </is>
      </c>
      <c r="AM1087" t="inlineStr">
        <is>
          <t>56</t>
        </is>
      </c>
      <c r="AN1087" t="inlineStr">
        <is>
          <t>37.3</t>
        </is>
      </c>
      <c r="AO1087" t="inlineStr">
        <is>
          <t>420</t>
        </is>
      </c>
      <c r="AP1087" t="inlineStr">
        <is>
          <t>49.0</t>
        </is>
      </c>
      <c r="AQ1087" t="inlineStr">
        <is>
          <t>275</t>
        </is>
      </c>
      <c r="AR1087" t="inlineStr">
        <is>
          <t>98.2</t>
        </is>
      </c>
      <c r="AS1087" t="inlineStr">
        <is>
          <t>109</t>
        </is>
      </c>
      <c r="AT1087" t="inlineStr">
        <is>
          <t>99.3</t>
        </is>
      </c>
      <c r="AU1087" t="inlineStr">
        <is>
          <t>47</t>
        </is>
      </c>
      <c r="AV1087" t="inlineStr">
        <is>
          <t>89.7</t>
        </is>
      </c>
      <c r="AW1087" t="inlineStr">
        <is>
          <t>87</t>
        </is>
      </c>
      <c r="AX1087" t="inlineStr">
        <is>
          <t>47.2</t>
        </is>
      </c>
      <c r="AY1087" t="inlineStr">
        <is>
          <t>148</t>
        </is>
      </c>
      <c r="AZ1087" t="inlineStr">
        <is>
          <t>62.5</t>
        </is>
      </c>
      <c r="BA1087" t="inlineStr">
        <is>
          <t>239=</t>
        </is>
      </c>
    </row>
    <row r="1088">
      <c r="A1088" t="inlineStr">
        <is>
          <t>The University of Western Australia</t>
        </is>
      </c>
      <c r="B1088" t="inlineStr">
        <is>
          <t>Australia</t>
        </is>
      </c>
      <c r="C1088" t="inlineStr">
        <is>
          <t>AU</t>
        </is>
      </c>
      <c r="D1088" t="inlineStr">
        <is>
          <t>Oceania</t>
        </is>
      </c>
      <c r="E1088" t="inlineStr">
        <is>
          <t>L</t>
        </is>
      </c>
      <c r="F1088" t="inlineStr">
        <is>
          <t>FC</t>
        </is>
      </c>
      <c r="G1088" t="inlineStr">
        <is>
          <t>VH</t>
        </is>
      </c>
      <c r="H1088" t="inlineStr">
        <is>
          <t>5</t>
        </is>
      </c>
      <c r="I1088" t="inlineStr">
        <is>
          <t>Public</t>
        </is>
      </c>
      <c r="J1088" t="inlineStr">
        <is>
          <t>77</t>
        </is>
      </c>
      <c r="K1088" t="inlineStr">
        <is>
          <t>77</t>
        </is>
      </c>
      <c r="L1088" t="inlineStr">
        <is>
          <t>72</t>
        </is>
      </c>
      <c r="M1088" t="inlineStr">
        <is>
          <t>90</t>
        </is>
      </c>
      <c r="N1088" t="inlineStr">
        <is>
          <t>73.7</t>
        </is>
      </c>
      <c r="O1088" t="inlineStr">
        <is>
          <t>66.9</t>
        </is>
      </c>
      <c r="P1088" t="n">
        <v>69</v>
      </c>
      <c r="Q1088" t="inlineStr">
        <is>
          <t>137</t>
        </is>
      </c>
      <c r="R1088" t="n">
        <v>56.5</v>
      </c>
      <c r="S1088" t="inlineStr">
        <is>
          <t>209</t>
        </is>
      </c>
      <c r="T1088" t="n">
        <v>15.1</v>
      </c>
      <c r="U1088" t="inlineStr">
        <is>
          <t>801+</t>
        </is>
      </c>
      <c r="V1088" t="n">
        <v>99.2</v>
      </c>
      <c r="W1088" t="inlineStr">
        <is>
          <t>34</t>
        </is>
      </c>
      <c r="X1088" t="n">
        <v>100</v>
      </c>
      <c r="Y1088" t="inlineStr">
        <is>
          <t>77</t>
        </is>
      </c>
      <c r="Z1088" t="n">
        <v>100</v>
      </c>
      <c r="AA1088" t="inlineStr">
        <is>
          <t>36</t>
        </is>
      </c>
      <c r="AB1088" t="n">
        <v>100</v>
      </c>
      <c r="AC1088" t="inlineStr">
        <is>
          <t>23</t>
        </is>
      </c>
      <c r="AD1088" t="n">
        <v>93.2</v>
      </c>
      <c r="AE1088" t="inlineStr">
        <is>
          <t>122</t>
        </is>
      </c>
      <c r="AF1088" t="n">
        <v>82.59999999999999</v>
      </c>
      <c r="AG1088" t="inlineStr">
        <is>
          <t>147</t>
        </is>
      </c>
      <c r="AH1088" t="n">
        <v>83.7</v>
      </c>
      <c r="AI1088" t="inlineStr">
        <is>
          <t>129=</t>
        </is>
      </c>
      <c r="AJ1088" t="inlineStr">
        <is>
          <t>56.2</t>
        </is>
      </c>
      <c r="AK1088" t="inlineStr">
        <is>
          <t>138</t>
        </is>
      </c>
      <c r="AL1088" t="inlineStr">
        <is>
          <t>44.6</t>
        </is>
      </c>
      <c r="AM1088" t="inlineStr">
        <is>
          <t>200</t>
        </is>
      </c>
      <c r="AN1088" t="inlineStr">
        <is>
          <t>16.5</t>
        </is>
      </c>
      <c r="AO1088" t="inlineStr">
        <is>
          <t>701+</t>
        </is>
      </c>
      <c r="AP1088" t="inlineStr">
        <is>
          <t>98.9</t>
        </is>
      </c>
      <c r="AQ1088" t="inlineStr">
        <is>
          <t>23</t>
        </is>
      </c>
      <c r="AR1088" t="inlineStr">
        <is>
          <t>100.0</t>
        </is>
      </c>
      <c r="AS1088" t="inlineStr">
        <is>
          <t>29</t>
        </is>
      </c>
      <c r="AT1088" t="inlineStr">
        <is>
          <t>99.8</t>
        </is>
      </c>
      <c r="AU1088" t="inlineStr">
        <is>
          <t>34</t>
        </is>
      </c>
      <c r="AV1088" t="inlineStr">
        <is>
          <t>90.0</t>
        </is>
      </c>
      <c r="AW1088" t="inlineStr">
        <is>
          <t>83</t>
        </is>
      </c>
      <c r="AX1088" t="inlineStr">
        <is>
          <t>66</t>
        </is>
      </c>
      <c r="AY1088" t="inlineStr">
        <is>
          <t>82</t>
        </is>
      </c>
      <c r="AZ1088" t="inlineStr">
        <is>
          <t>70.1</t>
        </is>
      </c>
      <c r="BA1088" t="inlineStr">
        <is>
          <t>204=</t>
        </is>
      </c>
    </row>
    <row r="1089">
      <c r="A1089" t="inlineStr">
        <is>
          <t>Tianjin University</t>
        </is>
      </c>
      <c r="B1089" t="inlineStr">
        <is>
          <t>China (Mainland)</t>
        </is>
      </c>
      <c r="C1089" t="inlineStr">
        <is>
          <t>CN</t>
        </is>
      </c>
      <c r="D1089" t="inlineStr">
        <is>
          <t>Asia</t>
        </is>
      </c>
      <c r="E1089" t="inlineStr">
        <is>
          <t>L</t>
        </is>
      </c>
      <c r="F1089" t="inlineStr">
        <is>
          <t>CO</t>
        </is>
      </c>
      <c r="G1089" t="inlineStr">
        <is>
          <t>VH</t>
        </is>
      </c>
      <c r="H1089" t="inlineStr">
        <is>
          <t>4</t>
        </is>
      </c>
      <c r="I1089" t="inlineStr">
        <is>
          <t>Public</t>
        </is>
      </c>
      <c r="J1089" t="inlineStr">
        <is>
          <t>257</t>
        </is>
      </c>
      <c r="K1089" t="inlineStr">
        <is>
          <t>269</t>
        </is>
      </c>
      <c r="L1089">
        <f>285</f>
        <v/>
      </c>
      <c r="M1089" t="inlineStr">
        <is>
          <t>307</t>
        </is>
      </c>
      <c r="N1089" t="inlineStr">
        <is>
          <t>49.7</t>
        </is>
      </c>
      <c r="O1089" t="inlineStr">
        <is>
          <t>36.1</t>
        </is>
      </c>
      <c r="P1089" t="n">
        <v>26.3</v>
      </c>
      <c r="Q1089" t="inlineStr">
        <is>
          <t>481</t>
        </is>
      </c>
      <c r="R1089" t="n">
        <v>37.6</v>
      </c>
      <c r="S1089" t="inlineStr">
        <is>
          <t>371</t>
        </is>
      </c>
      <c r="T1089" t="n">
        <v>51.6</v>
      </c>
      <c r="U1089" t="inlineStr">
        <is>
          <t>368</t>
        </is>
      </c>
      <c r="V1089" t="n">
        <v>99.90000000000001</v>
      </c>
      <c r="W1089" t="inlineStr">
        <is>
          <t>18</t>
        </is>
      </c>
      <c r="X1089" t="n">
        <v>29.9</v>
      </c>
      <c r="Y1089" t="inlineStr">
        <is>
          <t>586</t>
        </is>
      </c>
      <c r="Z1089" t="n">
        <v>33.5</v>
      </c>
      <c r="AA1089" t="inlineStr">
        <is>
          <t>550</t>
        </is>
      </c>
      <c r="AB1089" t="n">
        <v>25.1</v>
      </c>
      <c r="AC1089" t="inlineStr">
        <is>
          <t>682</t>
        </is>
      </c>
      <c r="AD1089" t="n">
        <v>72.5</v>
      </c>
      <c r="AE1089" t="inlineStr">
        <is>
          <t>491</t>
        </is>
      </c>
      <c r="AF1089" t="n">
        <v>38.7</v>
      </c>
      <c r="AG1089" t="inlineStr">
        <is>
          <t>449</t>
        </is>
      </c>
      <c r="AH1089" t="n">
        <v>56.2</v>
      </c>
      <c r="AI1089" t="inlineStr">
        <is>
          <t>576=</t>
        </is>
      </c>
      <c r="AJ1089" t="inlineStr">
        <is>
          <t>18.7</t>
        </is>
      </c>
      <c r="AK1089" t="inlineStr">
        <is>
          <t>477</t>
        </is>
      </c>
      <c r="AL1089" t="inlineStr">
        <is>
          <t>8.6</t>
        </is>
      </c>
      <c r="AM1089" t="inlineStr">
        <is>
          <t>601+</t>
        </is>
      </c>
      <c r="AN1089" t="inlineStr">
        <is>
          <t>34.7</t>
        </is>
      </c>
      <c r="AO1089" t="inlineStr">
        <is>
          <t>461</t>
        </is>
      </c>
      <c r="AP1089" t="inlineStr">
        <is>
          <t>98.2</t>
        </is>
      </c>
      <c r="AQ1089" t="inlineStr">
        <is>
          <t>31</t>
        </is>
      </c>
      <c r="AR1089" t="inlineStr">
        <is>
          <t>24.3</t>
        </is>
      </c>
      <c r="AS1089" t="inlineStr">
        <is>
          <t>544</t>
        </is>
      </c>
      <c r="AT1089" t="inlineStr">
        <is>
          <t>27.4</t>
        </is>
      </c>
      <c r="AU1089" t="inlineStr">
        <is>
          <t>446</t>
        </is>
      </c>
      <c r="AV1089" t="inlineStr">
        <is>
          <t>18.6</t>
        </is>
      </c>
      <c r="AW1089" t="inlineStr">
        <is>
          <t>555</t>
        </is>
      </c>
      <c r="AX1089" t="inlineStr">
        <is>
          <t>24</t>
        </is>
      </c>
      <c r="AY1089" t="inlineStr">
        <is>
          <t>351</t>
        </is>
      </c>
      <c r="AZ1089" t="inlineStr">
        <is>
          <t>25.6</t>
        </is>
      </c>
      <c r="BA1089" t="inlineStr">
        <is>
          <t>488</t>
        </is>
      </c>
    </row>
    <row r="1090">
      <c r="A1090" t="inlineStr">
        <is>
          <t>Tilburg University</t>
        </is>
      </c>
      <c r="B1090" t="inlineStr">
        <is>
          <t>Netherlands</t>
        </is>
      </c>
      <c r="C1090" t="inlineStr">
        <is>
          <t>NL</t>
        </is>
      </c>
      <c r="D1090" t="inlineStr">
        <is>
          <t>Europe</t>
        </is>
      </c>
      <c r="E1090" t="inlineStr">
        <is>
          <t>L</t>
        </is>
      </c>
      <c r="F1090" t="inlineStr">
        <is>
          <t>SP</t>
        </is>
      </c>
      <c r="G1090" t="inlineStr">
        <is>
          <t>VH</t>
        </is>
      </c>
      <c r="H1090" t="inlineStr">
        <is>
          <t>4</t>
        </is>
      </c>
      <c r="I1090" t="inlineStr">
        <is>
          <t>Public</t>
        </is>
      </c>
      <c r="J1090" t="inlineStr">
        <is>
          <t>347</t>
        </is>
      </c>
      <c r="K1090" t="inlineStr">
        <is>
          <t>347</t>
        </is>
      </c>
      <c r="L1090">
        <f>371</f>
        <v/>
      </c>
      <c r="M1090" t="inlineStr">
        <is>
          <t>398=</t>
        </is>
      </c>
      <c r="N1090" t="inlineStr">
        <is>
          <t>41.6</t>
        </is>
      </c>
      <c r="O1090" t="inlineStr">
        <is>
          <t>29.9</t>
        </is>
      </c>
      <c r="P1090" t="n">
        <v>20.5</v>
      </c>
      <c r="Q1090" t="inlineStr">
        <is>
          <t>602</t>
        </is>
      </c>
      <c r="R1090" t="n">
        <v>37.1</v>
      </c>
      <c r="S1090" t="inlineStr">
        <is>
          <t>382</t>
        </is>
      </c>
      <c r="T1090" t="n">
        <v>16.8</v>
      </c>
      <c r="U1090" t="inlineStr">
        <is>
          <t>801+</t>
        </is>
      </c>
      <c r="V1090" t="n">
        <v>67.09999999999999</v>
      </c>
      <c r="W1090" t="inlineStr">
        <is>
          <t>236</t>
        </is>
      </c>
      <c r="X1090" t="n">
        <v>99</v>
      </c>
      <c r="Y1090" t="inlineStr">
        <is>
          <t>128</t>
        </is>
      </c>
      <c r="Z1090" t="n">
        <v>77.40000000000001</v>
      </c>
      <c r="AA1090" t="inlineStr">
        <is>
          <t>238</t>
        </is>
      </c>
      <c r="AB1090" t="n">
        <v>79.5</v>
      </c>
      <c r="AC1090" t="inlineStr">
        <is>
          <t>209</t>
        </is>
      </c>
      <c r="AD1090" t="n">
        <v>61.1</v>
      </c>
      <c r="AE1090" t="inlineStr">
        <is>
          <t>678</t>
        </is>
      </c>
      <c r="AF1090" t="n">
        <v>23.1</v>
      </c>
      <c r="AG1090" t="inlineStr">
        <is>
          <t>669</t>
        </is>
      </c>
      <c r="AH1090" t="n">
        <v>50.6</v>
      </c>
      <c r="AI1090" t="inlineStr">
        <is>
          <t>693=</t>
        </is>
      </c>
      <c r="AJ1090" t="inlineStr">
        <is>
          <t>15.2</t>
        </is>
      </c>
      <c r="AK1090" t="inlineStr">
        <is>
          <t>573</t>
        </is>
      </c>
      <c r="AL1090" t="inlineStr">
        <is>
          <t>33.4</t>
        </is>
      </c>
      <c r="AM1090" t="inlineStr">
        <is>
          <t>294</t>
        </is>
      </c>
      <c r="AN1090" t="inlineStr">
        <is>
          <t>10.4</t>
        </is>
      </c>
      <c r="AO1090" t="inlineStr">
        <is>
          <t>701+</t>
        </is>
      </c>
      <c r="AP1090" t="inlineStr">
        <is>
          <t>44.2</t>
        </is>
      </c>
      <c r="AQ1090" t="inlineStr">
        <is>
          <t>302</t>
        </is>
      </c>
      <c r="AR1090" t="inlineStr">
        <is>
          <t>96.6</t>
        </is>
      </c>
      <c r="AS1090" t="inlineStr">
        <is>
          <t>131</t>
        </is>
      </c>
      <c r="AT1090" t="inlineStr">
        <is>
          <t>58.4</t>
        </is>
      </c>
      <c r="AU1090" t="inlineStr">
        <is>
          <t>259</t>
        </is>
      </c>
      <c r="AV1090" t="inlineStr">
        <is>
          <t>9.4</t>
        </is>
      </c>
      <c r="AW1090" t="inlineStr">
        <is>
          <t>683</t>
        </is>
      </c>
      <c r="AX1090" t="inlineStr">
        <is>
          <t>14.1</t>
        </is>
      </c>
      <c r="AY1090" t="inlineStr">
        <is>
          <t>602</t>
        </is>
      </c>
      <c r="AZ1090" t="inlineStr">
        <is>
          <t>31</t>
        </is>
      </c>
      <c r="BA1090" t="inlineStr">
        <is>
          <t>432=</t>
        </is>
      </c>
    </row>
    <row r="1091">
      <c r="A1091" t="inlineStr">
        <is>
          <t>Tishk International University</t>
        </is>
      </c>
      <c r="B1091" t="inlineStr">
        <is>
          <t>Iraq</t>
        </is>
      </c>
      <c r="C1091" t="inlineStr"/>
      <c r="D1091" t="inlineStr">
        <is>
          <t>Asia</t>
        </is>
      </c>
      <c r="E1091" t="inlineStr">
        <is>
          <t>M</t>
        </is>
      </c>
      <c r="F1091" t="inlineStr">
        <is>
          <t>CO</t>
        </is>
      </c>
      <c r="G1091" t="inlineStr">
        <is>
          <t>HI</t>
        </is>
      </c>
      <c r="H1091" t="inlineStr"/>
      <c r="I1091" t="inlineStr">
        <is>
          <t>Private for Profit</t>
        </is>
      </c>
      <c r="J1091" t="inlineStr">
        <is>
          <t>1201-1400</t>
        </is>
      </c>
      <c r="K1091" t="inlineStr"/>
      <c r="L1091" t="inlineStr"/>
      <c r="M1091" t="inlineStr"/>
      <c r="N1091" t="inlineStr">
        <is>
          <t>-</t>
        </is>
      </c>
      <c r="O1091" t="inlineStr"/>
      <c r="P1091" t="n">
        <v>13.4</v>
      </c>
      <c r="Q1091" t="inlineStr">
        <is>
          <t>701+</t>
        </is>
      </c>
      <c r="R1091" t="n">
        <v>4</v>
      </c>
      <c r="S1091" t="inlineStr">
        <is>
          <t>701+</t>
        </is>
      </c>
      <c r="T1091" t="n">
        <v>8</v>
      </c>
      <c r="U1091" t="inlineStr">
        <is>
          <t>801+</t>
        </is>
      </c>
      <c r="V1091" t="n">
        <v>11.8</v>
      </c>
      <c r="W1091" t="inlineStr">
        <is>
          <t>801+</t>
        </is>
      </c>
      <c r="X1091" t="n">
        <v>74.2</v>
      </c>
      <c r="Y1091" t="inlineStr">
        <is>
          <t>318</t>
        </is>
      </c>
      <c r="Z1091" t="n">
        <v>1.6</v>
      </c>
      <c r="AA1091" t="inlineStr">
        <is>
          <t>801+</t>
        </is>
      </c>
      <c r="AB1091" t="n">
        <v>5.9</v>
      </c>
      <c r="AC1091" t="inlineStr">
        <is>
          <t>801+</t>
        </is>
      </c>
      <c r="AD1091" t="n">
        <v>33.5</v>
      </c>
      <c r="AE1091" t="inlineStr">
        <is>
          <t>801+</t>
        </is>
      </c>
      <c r="AF1091" t="n">
        <v>5.9</v>
      </c>
      <c r="AG1091" t="inlineStr">
        <is>
          <t>801+</t>
        </is>
      </c>
      <c r="AH1091" t="n">
        <v>17.3</v>
      </c>
      <c r="AI1091" t="inlineStr">
        <is>
          <t>801+</t>
        </is>
      </c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</row>
    <row r="1092">
      <c r="A1092" t="inlineStr">
        <is>
          <t>Tohoku University</t>
        </is>
      </c>
      <c r="B1092" t="inlineStr">
        <is>
          <t>Japan</t>
        </is>
      </c>
      <c r="C1092" t="inlineStr">
        <is>
          <t>JP</t>
        </is>
      </c>
      <c r="D1092" t="inlineStr">
        <is>
          <t>Asia</t>
        </is>
      </c>
      <c r="E1092" t="inlineStr">
        <is>
          <t>L</t>
        </is>
      </c>
      <c r="F1092" t="inlineStr">
        <is>
          <t>FC</t>
        </is>
      </c>
      <c r="G1092" t="inlineStr">
        <is>
          <t>VH</t>
        </is>
      </c>
      <c r="H1092" t="inlineStr">
        <is>
          <t>5</t>
        </is>
      </c>
      <c r="I1092" t="inlineStr">
        <is>
          <t>Public</t>
        </is>
      </c>
      <c r="J1092" t="inlineStr">
        <is>
          <t>109</t>
        </is>
      </c>
      <c r="K1092" t="inlineStr">
        <is>
          <t>107</t>
        </is>
      </c>
      <c r="L1092" t="inlineStr">
        <is>
          <t>113</t>
        </is>
      </c>
      <c r="M1092" t="inlineStr">
        <is>
          <t>79</t>
        </is>
      </c>
      <c r="N1092" t="inlineStr">
        <is>
          <t>66.7</t>
        </is>
      </c>
      <c r="O1092" t="inlineStr">
        <is>
          <t>58.0</t>
        </is>
      </c>
      <c r="P1092" t="n">
        <v>84.5</v>
      </c>
      <c r="Q1092" t="inlineStr">
        <is>
          <t>82</t>
        </is>
      </c>
      <c r="R1092" t="n">
        <v>86.5</v>
      </c>
      <c r="S1092" t="inlineStr">
        <is>
          <t>84</t>
        </is>
      </c>
      <c r="T1092" t="n">
        <v>98.2</v>
      </c>
      <c r="U1092" t="inlineStr">
        <is>
          <t>52</t>
        </is>
      </c>
      <c r="V1092" t="n">
        <v>35.5</v>
      </c>
      <c r="W1092" t="inlineStr">
        <is>
          <t>519</t>
        </is>
      </c>
      <c r="X1092" t="n">
        <v>20.5</v>
      </c>
      <c r="Y1092" t="inlineStr">
        <is>
          <t>705</t>
        </is>
      </c>
      <c r="Z1092" t="n">
        <v>19.4</v>
      </c>
      <c r="AA1092" t="inlineStr">
        <is>
          <t>739</t>
        </is>
      </c>
      <c r="AB1092" t="n">
        <v>25.5</v>
      </c>
      <c r="AC1092" t="inlineStr">
        <is>
          <t>678</t>
        </is>
      </c>
      <c r="AD1092" t="n">
        <v>70.09999999999999</v>
      </c>
      <c r="AE1092" t="inlineStr">
        <is>
          <t>529</t>
        </is>
      </c>
      <c r="AF1092" t="n">
        <v>36.5</v>
      </c>
      <c r="AG1092" t="inlineStr">
        <is>
          <t>474</t>
        </is>
      </c>
      <c r="AH1092" t="n">
        <v>82</v>
      </c>
      <c r="AI1092" t="inlineStr">
        <is>
          <t>149=</t>
        </is>
      </c>
      <c r="AJ1092" t="inlineStr">
        <is>
          <t>72.4</t>
        </is>
      </c>
      <c r="AK1092" t="inlineStr">
        <is>
          <t>85</t>
        </is>
      </c>
      <c r="AL1092" t="inlineStr">
        <is>
          <t>84.2</t>
        </is>
      </c>
      <c r="AM1092" t="inlineStr">
        <is>
          <t>61</t>
        </is>
      </c>
      <c r="AN1092" t="inlineStr">
        <is>
          <t>98.5</t>
        </is>
      </c>
      <c r="AO1092" t="inlineStr">
        <is>
          <t>41</t>
        </is>
      </c>
      <c r="AP1092" t="inlineStr">
        <is>
          <t>29.6</t>
        </is>
      </c>
      <c r="AQ1092" t="inlineStr">
        <is>
          <t>436</t>
        </is>
      </c>
      <c r="AR1092" t="inlineStr">
        <is>
          <t>14.2</t>
        </is>
      </c>
      <c r="AS1092" t="inlineStr">
        <is>
          <t>683</t>
        </is>
      </c>
      <c r="AT1092" t="inlineStr">
        <is>
          <t>13.8</t>
        </is>
      </c>
      <c r="AU1092" t="inlineStr">
        <is>
          <t>647</t>
        </is>
      </c>
      <c r="AV1092" t="inlineStr">
        <is>
          <t>27.6</t>
        </is>
      </c>
      <c r="AW1092" t="inlineStr">
        <is>
          <t>474</t>
        </is>
      </c>
      <c r="AX1092" t="inlineStr">
        <is>
          <t>17.2</t>
        </is>
      </c>
      <c r="AY1092" t="inlineStr">
        <is>
          <t>486</t>
        </is>
      </c>
      <c r="AZ1092" t="inlineStr">
        <is>
          <t>74.8</t>
        </is>
      </c>
      <c r="BA1092" t="inlineStr">
        <is>
          <t>177=</t>
        </is>
      </c>
    </row>
    <row r="1093">
      <c r="A1093" t="inlineStr">
        <is>
          <t>Tokai University</t>
        </is>
      </c>
      <c r="B1093" t="inlineStr">
        <is>
          <t>Japan</t>
        </is>
      </c>
      <c r="C1093" t="inlineStr">
        <is>
          <t>JP</t>
        </is>
      </c>
      <c r="D1093" t="inlineStr">
        <is>
          <t>Asia</t>
        </is>
      </c>
      <c r="E1093" t="inlineStr">
        <is>
          <t>L</t>
        </is>
      </c>
      <c r="F1093" t="inlineStr">
        <is>
          <t>FC</t>
        </is>
      </c>
      <c r="G1093" t="inlineStr">
        <is>
          <t>HI</t>
        </is>
      </c>
      <c r="H1093" t="inlineStr">
        <is>
          <t>2</t>
        </is>
      </c>
      <c r="I1093" t="inlineStr">
        <is>
          <t>Private not for Profit</t>
        </is>
      </c>
      <c r="J1093" t="inlineStr">
        <is>
          <t>1201-1400</t>
        </is>
      </c>
      <c r="K1093" t="inlineStr">
        <is>
          <t>1201-1400</t>
        </is>
      </c>
      <c r="L1093" t="inlineStr">
        <is>
          <t>1001-1200</t>
        </is>
      </c>
      <c r="M1093" t="inlineStr">
        <is>
          <t>1001-1200</t>
        </is>
      </c>
      <c r="N1093" t="inlineStr">
        <is>
          <t>-</t>
        </is>
      </c>
      <c r="O1093" t="inlineStr">
        <is>
          <t>-</t>
        </is>
      </c>
      <c r="P1093" t="n">
        <v>12.8</v>
      </c>
      <c r="Q1093" t="inlineStr">
        <is>
          <t>701+</t>
        </is>
      </c>
      <c r="R1093" t="n">
        <v>9</v>
      </c>
      <c r="S1093" t="inlineStr">
        <is>
          <t>701+</t>
        </is>
      </c>
      <c r="T1093" t="n">
        <v>18.1</v>
      </c>
      <c r="U1093" t="inlineStr">
        <is>
          <t>801+</t>
        </is>
      </c>
      <c r="V1093" t="n">
        <v>5.4</v>
      </c>
      <c r="W1093" t="inlineStr">
        <is>
          <t>801+</t>
        </is>
      </c>
      <c r="X1093" t="n">
        <v>7.7</v>
      </c>
      <c r="Y1093" t="inlineStr">
        <is>
          <t>801+</t>
        </is>
      </c>
      <c r="Z1093" t="n">
        <v>5.3</v>
      </c>
      <c r="AA1093" t="inlineStr">
        <is>
          <t>801+</t>
        </is>
      </c>
      <c r="AB1093" t="n">
        <v>4.2</v>
      </c>
      <c r="AC1093" t="inlineStr">
        <is>
          <t>801+</t>
        </is>
      </c>
      <c r="AD1093" t="n">
        <v>28.8</v>
      </c>
      <c r="AE1093" t="inlineStr">
        <is>
          <t>801+</t>
        </is>
      </c>
      <c r="AF1093" t="n">
        <v>3.4</v>
      </c>
      <c r="AG1093" t="inlineStr">
        <is>
          <t>801+</t>
        </is>
      </c>
      <c r="AH1093" t="n">
        <v>34.4</v>
      </c>
      <c r="AI1093" t="inlineStr">
        <is>
          <t>801+</t>
        </is>
      </c>
      <c r="AJ1093" t="inlineStr">
        <is>
          <t>11.4</t>
        </is>
      </c>
      <c r="AK1093" t="inlineStr">
        <is>
          <t>601+</t>
        </is>
      </c>
      <c r="AL1093" t="inlineStr">
        <is>
          <t>6.4</t>
        </is>
      </c>
      <c r="AM1093" t="inlineStr">
        <is>
          <t>601+</t>
        </is>
      </c>
      <c r="AN1093" t="inlineStr">
        <is>
          <t>14.4</t>
        </is>
      </c>
      <c r="AO1093" t="inlineStr">
        <is>
          <t>701+</t>
        </is>
      </c>
      <c r="AP1093" t="inlineStr">
        <is>
          <t>3.0</t>
        </is>
      </c>
      <c r="AQ1093" t="inlineStr">
        <is>
          <t>701+</t>
        </is>
      </c>
      <c r="AR1093" t="inlineStr">
        <is>
          <t>6.0</t>
        </is>
      </c>
      <c r="AS1093" t="inlineStr">
        <is>
          <t>701+</t>
        </is>
      </c>
      <c r="AT1093" t="inlineStr">
        <is>
          <t>3.1</t>
        </is>
      </c>
      <c r="AU1093" t="inlineStr">
        <is>
          <t>701+</t>
        </is>
      </c>
      <c r="AV1093" t="inlineStr">
        <is>
          <t>1.6</t>
        </is>
      </c>
      <c r="AW1093" t="inlineStr">
        <is>
          <t>701+</t>
        </is>
      </c>
      <c r="AX1093" t="inlineStr">
        <is>
          <t>7.8</t>
        </is>
      </c>
      <c r="AY1093" t="inlineStr">
        <is>
          <t>701+</t>
        </is>
      </c>
      <c r="AZ1093" t="inlineStr">
        <is>
          <t>1.2</t>
        </is>
      </c>
      <c r="BA1093" t="inlineStr">
        <is>
          <t>701+</t>
        </is>
      </c>
    </row>
    <row r="1094">
      <c r="A1094" t="inlineStr">
        <is>
          <t>Tokushima University</t>
        </is>
      </c>
      <c r="B1094" t="inlineStr">
        <is>
          <t>Japan</t>
        </is>
      </c>
      <c r="C1094" t="inlineStr">
        <is>
          <t>JP</t>
        </is>
      </c>
      <c r="D1094" t="inlineStr">
        <is>
          <t>Asia</t>
        </is>
      </c>
      <c r="E1094" t="inlineStr">
        <is>
          <t>M</t>
        </is>
      </c>
      <c r="F1094" t="inlineStr">
        <is>
          <t>SP</t>
        </is>
      </c>
      <c r="G1094" t="inlineStr">
        <is>
          <t>VH</t>
        </is>
      </c>
      <c r="H1094" t="inlineStr">
        <is>
          <t>4</t>
        </is>
      </c>
      <c r="I1094" t="inlineStr">
        <is>
          <t>Public</t>
        </is>
      </c>
      <c r="J1094" t="inlineStr">
        <is>
          <t>1201-1400</t>
        </is>
      </c>
      <c r="K1094" t="inlineStr">
        <is>
          <t>1001-1200</t>
        </is>
      </c>
      <c r="L1094" t="inlineStr">
        <is>
          <t>1001-1200</t>
        </is>
      </c>
      <c r="M1094" t="inlineStr">
        <is>
          <t>701-750</t>
        </is>
      </c>
      <c r="N1094" t="inlineStr">
        <is>
          <t>-</t>
        </is>
      </c>
      <c r="O1094" t="inlineStr">
        <is>
          <t>-</t>
        </is>
      </c>
      <c r="P1094" t="n">
        <v>5.4</v>
      </c>
      <c r="Q1094" t="inlineStr">
        <is>
          <t>701+</t>
        </is>
      </c>
      <c r="R1094" t="n">
        <v>3.2</v>
      </c>
      <c r="S1094" t="inlineStr">
        <is>
          <t>701+</t>
        </is>
      </c>
      <c r="T1094" t="n">
        <v>70.09999999999999</v>
      </c>
      <c r="U1094" t="inlineStr">
        <is>
          <t>231</t>
        </is>
      </c>
      <c r="V1094" t="n">
        <v>10.2</v>
      </c>
      <c r="W1094" t="inlineStr">
        <is>
          <t>801+</t>
        </is>
      </c>
      <c r="X1094" t="n">
        <v>3.3</v>
      </c>
      <c r="Y1094" t="inlineStr">
        <is>
          <t>801+</t>
        </is>
      </c>
      <c r="Z1094" t="n">
        <v>3.8</v>
      </c>
      <c r="AA1094" t="inlineStr">
        <is>
          <t>801+</t>
        </is>
      </c>
      <c r="AB1094" t="n">
        <v>7.8</v>
      </c>
      <c r="AC1094" t="inlineStr">
        <is>
          <t>801+</t>
        </is>
      </c>
      <c r="AD1094" t="n">
        <v>18.2</v>
      </c>
      <c r="AE1094" t="inlineStr">
        <is>
          <t>801+</t>
        </is>
      </c>
      <c r="AF1094" t="n">
        <v>6.4</v>
      </c>
      <c r="AG1094" t="inlineStr">
        <is>
          <t>801+</t>
        </is>
      </c>
      <c r="AH1094" t="n">
        <v>23.3</v>
      </c>
      <c r="AI1094" t="inlineStr">
        <is>
          <t>801+</t>
        </is>
      </c>
      <c r="AJ1094" t="inlineStr">
        <is>
          <t>4.8</t>
        </is>
      </c>
      <c r="AK1094" t="inlineStr">
        <is>
          <t>601+</t>
        </is>
      </c>
      <c r="AL1094" t="inlineStr">
        <is>
          <t>1.9</t>
        </is>
      </c>
      <c r="AM1094" t="inlineStr">
        <is>
          <t>601+</t>
        </is>
      </c>
      <c r="AN1094" t="inlineStr">
        <is>
          <t>66.3</t>
        </is>
      </c>
      <c r="AO1094" t="inlineStr">
        <is>
          <t>200</t>
        </is>
      </c>
      <c r="AP1094" t="inlineStr">
        <is>
          <t>6.6</t>
        </is>
      </c>
      <c r="AQ1094" t="inlineStr">
        <is>
          <t>701+</t>
        </is>
      </c>
      <c r="AR1094" t="inlineStr">
        <is>
          <t>2.7</t>
        </is>
      </c>
      <c r="AS1094" t="inlineStr">
        <is>
          <t>701+</t>
        </is>
      </c>
      <c r="AT1094" t="inlineStr">
        <is>
          <t>2.4</t>
        </is>
      </c>
      <c r="AU1094" t="inlineStr">
        <is>
          <t>701+</t>
        </is>
      </c>
      <c r="AV1094" t="inlineStr">
        <is>
          <t>1.2</t>
        </is>
      </c>
      <c r="AW1094" t="inlineStr">
        <is>
          <t>701+</t>
        </is>
      </c>
      <c r="AX1094" t="inlineStr">
        <is>
          <t>9</t>
        </is>
      </c>
      <c r="AY1094" t="inlineStr">
        <is>
          <t>701+</t>
        </is>
      </c>
      <c r="AZ1094" t="inlineStr">
        <is>
          <t>1</t>
        </is>
      </c>
      <c r="BA1094" t="inlineStr">
        <is>
          <t>701+</t>
        </is>
      </c>
    </row>
    <row r="1095">
      <c r="A1095" t="inlineStr">
        <is>
          <t>Tokyo Institute of Technology</t>
        </is>
      </c>
      <c r="B1095" t="inlineStr">
        <is>
          <t>Japan</t>
        </is>
      </c>
      <c r="C1095" t="inlineStr"/>
      <c r="D1095" t="inlineStr">
        <is>
          <t>Asia</t>
        </is>
      </c>
      <c r="E1095" t="inlineStr">
        <is>
          <t>M</t>
        </is>
      </c>
      <c r="F1095" t="inlineStr">
        <is>
          <t>FO</t>
        </is>
      </c>
      <c r="G1095" t="inlineStr">
        <is>
          <t>VH</t>
        </is>
      </c>
      <c r="H1095" t="inlineStr"/>
      <c r="I1095" t="inlineStr">
        <is>
          <t>Public</t>
        </is>
      </c>
      <c r="J1095" t="inlineStr">
        <is>
          <t>85</t>
        </is>
      </c>
      <c r="K1095" t="inlineStr">
        <is>
          <t>84</t>
        </is>
      </c>
      <c r="L1095" t="inlineStr"/>
      <c r="M1095" t="inlineStr"/>
      <c r="N1095" t="inlineStr">
        <is>
          <t>72.1</t>
        </is>
      </c>
      <c r="O1095" t="inlineStr"/>
      <c r="P1095" t="n">
        <v>85</v>
      </c>
      <c r="Q1095" t="inlineStr">
        <is>
          <t>80</t>
        </is>
      </c>
      <c r="R1095" t="n">
        <v>95.7</v>
      </c>
      <c r="S1095" t="inlineStr">
        <is>
          <t>45</t>
        </is>
      </c>
      <c r="T1095" t="n">
        <v>87.59999999999999</v>
      </c>
      <c r="U1095" t="inlineStr">
        <is>
          <t>115</t>
        </is>
      </c>
      <c r="V1095" t="n">
        <v>54.2</v>
      </c>
      <c r="W1095" t="inlineStr">
        <is>
          <t>339</t>
        </is>
      </c>
      <c r="X1095" t="n">
        <v>29.8</v>
      </c>
      <c r="Y1095" t="inlineStr">
        <is>
          <t>587</t>
        </is>
      </c>
      <c r="Z1095" t="n">
        <v>43.4</v>
      </c>
      <c r="AA1095" t="inlineStr">
        <is>
          <t>464</t>
        </is>
      </c>
      <c r="AB1095" t="n">
        <v>46.6</v>
      </c>
      <c r="AC1095" t="inlineStr">
        <is>
          <t>446</t>
        </is>
      </c>
      <c r="AD1095" t="n">
        <v>67.8</v>
      </c>
      <c r="AE1095" t="inlineStr">
        <is>
          <t>571</t>
        </is>
      </c>
      <c r="AF1095" t="n">
        <v>33.5</v>
      </c>
      <c r="AG1095" t="inlineStr">
        <is>
          <t>504</t>
        </is>
      </c>
      <c r="AH1095" t="n">
        <v>74.2</v>
      </c>
      <c r="AI1095" t="inlineStr">
        <is>
          <t>253=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</row>
    <row r="1096">
      <c r="A1096" t="inlineStr">
        <is>
          <t>Tokyo Institute of Technology (Tokyo Tech)</t>
        </is>
      </c>
      <c r="B1096" t="inlineStr">
        <is>
          <t>Japan</t>
        </is>
      </c>
      <c r="C1096" t="inlineStr">
        <is>
          <t>JP</t>
        </is>
      </c>
      <c r="D1096" t="inlineStr"/>
      <c r="E1096" t="inlineStr">
        <is>
          <t>M</t>
        </is>
      </c>
      <c r="F1096" t="inlineStr">
        <is>
          <t>CO</t>
        </is>
      </c>
      <c r="G1096" t="inlineStr">
        <is>
          <t>VH</t>
        </is>
      </c>
      <c r="H1096" t="inlineStr">
        <is>
          <t>4</t>
        </is>
      </c>
      <c r="I1096" t="inlineStr">
        <is>
          <t>A</t>
        </is>
      </c>
      <c r="J1096" t="inlineStr"/>
      <c r="K1096" t="inlineStr"/>
      <c r="L1096">
        <f>91</f>
        <v/>
      </c>
      <c r="M1096" t="inlineStr">
        <is>
          <t>55</t>
        </is>
      </c>
      <c r="N1096" t="inlineStr"/>
      <c r="O1096" t="inlineStr">
        <is>
          <t>61.6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>
        <is>
          <t>74.4</t>
        </is>
      </c>
      <c r="AK1096" t="inlineStr">
        <is>
          <t>79</t>
        </is>
      </c>
      <c r="AL1096" t="inlineStr">
        <is>
          <t>94.8</t>
        </is>
      </c>
      <c r="AM1096" t="inlineStr">
        <is>
          <t>39</t>
        </is>
      </c>
      <c r="AN1096" t="inlineStr">
        <is>
          <t>84.4</t>
        </is>
      </c>
      <c r="AO1096" t="inlineStr">
        <is>
          <t>109</t>
        </is>
      </c>
      <c r="AP1096" t="inlineStr">
        <is>
          <t>53.0</t>
        </is>
      </c>
      <c r="AQ1096" t="inlineStr">
        <is>
          <t>244</t>
        </is>
      </c>
      <c r="AR1096" t="inlineStr">
        <is>
          <t>31.8</t>
        </is>
      </c>
      <c r="AS1096" t="inlineStr">
        <is>
          <t>475</t>
        </is>
      </c>
      <c r="AT1096" t="inlineStr">
        <is>
          <t>31.7</t>
        </is>
      </c>
      <c r="AU1096" t="inlineStr">
        <is>
          <t>404</t>
        </is>
      </c>
      <c r="AV1096" t="inlineStr">
        <is>
          <t>8.9</t>
        </is>
      </c>
      <c r="AW1096" t="inlineStr">
        <is>
          <t>701+</t>
        </is>
      </c>
      <c r="AX1096" t="inlineStr">
        <is>
          <t>19.7</t>
        </is>
      </c>
      <c r="AY1096" t="inlineStr">
        <is>
          <t>425</t>
        </is>
      </c>
      <c r="AZ1096" t="inlineStr">
        <is>
          <t>18</t>
        </is>
      </c>
      <c r="BA1096" t="inlineStr">
        <is>
          <t>567=</t>
        </is>
      </c>
    </row>
    <row r="1097">
      <c r="A1097" t="inlineStr">
        <is>
          <t>Tokyo Medical and Dental University</t>
        </is>
      </c>
      <c r="B1097" t="inlineStr">
        <is>
          <t>Japan</t>
        </is>
      </c>
      <c r="C1097" t="inlineStr"/>
      <c r="D1097" t="inlineStr">
        <is>
          <t>Asia</t>
        </is>
      </c>
      <c r="E1097" t="inlineStr">
        <is>
          <t>S</t>
        </is>
      </c>
      <c r="F1097" t="inlineStr">
        <is>
          <t>FO</t>
        </is>
      </c>
      <c r="G1097" t="inlineStr">
        <is>
          <t>VH</t>
        </is>
      </c>
      <c r="H1097" t="inlineStr"/>
      <c r="I1097" t="inlineStr">
        <is>
          <t>Public</t>
        </is>
      </c>
      <c r="J1097" t="inlineStr">
        <is>
          <t>697</t>
        </is>
      </c>
      <c r="K1097" t="inlineStr">
        <is>
          <t>661-670</t>
        </is>
      </c>
      <c r="L1097" t="inlineStr"/>
      <c r="M1097" t="inlineStr"/>
      <c r="N1097" t="inlineStr">
        <is>
          <t>25.1</t>
        </is>
      </c>
      <c r="O1097" t="inlineStr"/>
      <c r="P1097" t="n">
        <v>15.7</v>
      </c>
      <c r="Q1097" t="inlineStr">
        <is>
          <t>701+</t>
        </is>
      </c>
      <c r="R1097" t="n">
        <v>9.5</v>
      </c>
      <c r="S1097" t="inlineStr">
        <is>
          <t>701+</t>
        </is>
      </c>
      <c r="T1097" t="n">
        <v>100</v>
      </c>
      <c r="U1097" t="inlineStr">
        <is>
          <t>13</t>
        </is>
      </c>
      <c r="V1097" t="n">
        <v>29.1</v>
      </c>
      <c r="W1097" t="inlineStr">
        <is>
          <t>595</t>
        </is>
      </c>
      <c r="X1097" t="n">
        <v>3.1</v>
      </c>
      <c r="Y1097" t="inlineStr">
        <is>
          <t>801+</t>
        </is>
      </c>
      <c r="Z1097" t="n">
        <v>22.6</v>
      </c>
      <c r="AA1097" t="inlineStr">
        <is>
          <t>693</t>
        </is>
      </c>
      <c r="AB1097" t="n">
        <v>24.3</v>
      </c>
      <c r="AC1097" t="inlineStr">
        <is>
          <t>698</t>
        </is>
      </c>
      <c r="AD1097" t="n">
        <v>23.3</v>
      </c>
      <c r="AE1097" t="inlineStr">
        <is>
          <t>801+</t>
        </is>
      </c>
      <c r="AF1097" t="n">
        <v>1.8</v>
      </c>
      <c r="AG1097" t="inlineStr">
        <is>
          <t>801+</t>
        </is>
      </c>
      <c r="AH1097" t="n">
        <v>37.5</v>
      </c>
      <c r="AI1097" t="inlineStr">
        <is>
          <t>801+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</row>
    <row r="1098">
      <c r="A1098" t="inlineStr">
        <is>
          <t>Tokyo Medical and Dental University (TMDU)</t>
        </is>
      </c>
      <c r="B1098" t="inlineStr">
        <is>
          <t>Japan</t>
        </is>
      </c>
      <c r="C1098" t="inlineStr">
        <is>
          <t>JP</t>
        </is>
      </c>
      <c r="D1098" t="inlineStr"/>
      <c r="E1098" t="inlineStr">
        <is>
          <t>S</t>
        </is>
      </c>
      <c r="F1098" t="inlineStr">
        <is>
          <t>FO</t>
        </is>
      </c>
      <c r="G1098" t="inlineStr">
        <is>
          <t>VH</t>
        </is>
      </c>
      <c r="H1098" t="inlineStr">
        <is>
          <t>4</t>
        </is>
      </c>
      <c r="I1098" t="inlineStr">
        <is>
          <t>A</t>
        </is>
      </c>
      <c r="J1098" t="inlineStr"/>
      <c r="K1098" t="inlineStr"/>
      <c r="L1098" t="inlineStr">
        <is>
          <t>611-620</t>
        </is>
      </c>
      <c r="M1098" t="inlineStr">
        <is>
          <t>392=</t>
        </is>
      </c>
      <c r="N1098" t="inlineStr"/>
      <c r="O1098" t="inlineStr">
        <is>
          <t>-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>
        <is>
          <t>11.5</t>
        </is>
      </c>
      <c r="AK1098" t="inlineStr">
        <is>
          <t>601+</t>
        </is>
      </c>
      <c r="AL1098" t="inlineStr">
        <is>
          <t>5.8</t>
        </is>
      </c>
      <c r="AM1098" t="inlineStr">
        <is>
          <t>601+</t>
        </is>
      </c>
      <c r="AN1098" t="inlineStr">
        <is>
          <t>100.0</t>
        </is>
      </c>
      <c r="AO1098" t="inlineStr">
        <is>
          <t>10</t>
        </is>
      </c>
      <c r="AP1098" t="inlineStr">
        <is>
          <t>18.2</t>
        </is>
      </c>
      <c r="AQ1098" t="inlineStr">
        <is>
          <t>580</t>
        </is>
      </c>
      <c r="AR1098" t="inlineStr">
        <is>
          <t>3.5</t>
        </is>
      </c>
      <c r="AS1098" t="inlineStr">
        <is>
          <t>701+</t>
        </is>
      </c>
      <c r="AT1098" t="inlineStr">
        <is>
          <t>15.3</t>
        </is>
      </c>
      <c r="AU1098" t="inlineStr">
        <is>
          <t>614</t>
        </is>
      </c>
      <c r="AV1098" t="inlineStr">
        <is>
          <t>1.2</t>
        </is>
      </c>
      <c r="AW1098" t="inlineStr">
        <is>
          <t>701+</t>
        </is>
      </c>
      <c r="AX1098" t="inlineStr">
        <is>
          <t>8</t>
        </is>
      </c>
      <c r="AY1098" t="inlineStr">
        <is>
          <t>701+</t>
        </is>
      </c>
      <c r="AZ1098" t="inlineStr">
        <is>
          <t>1.1</t>
        </is>
      </c>
      <c r="BA1098" t="inlineStr">
        <is>
          <t>701+</t>
        </is>
      </c>
    </row>
    <row r="1099">
      <c r="A1099" t="inlineStr">
        <is>
          <t>Tokyo Metropolitan University</t>
        </is>
      </c>
      <c r="B1099" t="inlineStr">
        <is>
          <t>Japan</t>
        </is>
      </c>
      <c r="C1099" t="inlineStr">
        <is>
          <t>JP</t>
        </is>
      </c>
      <c r="D1099" t="inlineStr">
        <is>
          <t>Asia</t>
        </is>
      </c>
      <c r="E1099" t="inlineStr">
        <is>
          <t>M</t>
        </is>
      </c>
      <c r="F1099" t="inlineStr">
        <is>
          <t>CO</t>
        </is>
      </c>
      <c r="G1099" t="inlineStr">
        <is>
          <t>VH</t>
        </is>
      </c>
      <c r="H1099" t="inlineStr">
        <is>
          <t>2</t>
        </is>
      </c>
      <c r="I1099" t="inlineStr">
        <is>
          <t>Public</t>
        </is>
      </c>
      <c r="J1099" t="inlineStr">
        <is>
          <t>1001-1200</t>
        </is>
      </c>
      <c r="K1099" t="inlineStr">
        <is>
          <t>1001-1200</t>
        </is>
      </c>
      <c r="L1099" t="inlineStr">
        <is>
          <t>951-1000</t>
        </is>
      </c>
      <c r="M1099" t="inlineStr">
        <is>
          <t>701-750</t>
        </is>
      </c>
      <c r="N1099" t="inlineStr">
        <is>
          <t>-</t>
        </is>
      </c>
      <c r="O1099" t="inlineStr">
        <is>
          <t>-</t>
        </is>
      </c>
      <c r="P1099" t="n">
        <v>17.5</v>
      </c>
      <c r="Q1099" t="inlineStr">
        <is>
          <t>701+</t>
        </is>
      </c>
      <c r="R1099" t="n">
        <v>8.199999999999999</v>
      </c>
      <c r="S1099" t="inlineStr">
        <is>
          <t>701+</t>
        </is>
      </c>
      <c r="T1099" t="n">
        <v>41.9</v>
      </c>
      <c r="U1099" t="inlineStr">
        <is>
          <t>483</t>
        </is>
      </c>
      <c r="V1099" t="n">
        <v>14.8</v>
      </c>
      <c r="W1099" t="inlineStr">
        <is>
          <t>801+</t>
        </is>
      </c>
      <c r="X1099" t="n">
        <v>9.699999999999999</v>
      </c>
      <c r="Y1099" t="inlineStr">
        <is>
          <t>801+</t>
        </is>
      </c>
      <c r="Z1099" t="n">
        <v>8</v>
      </c>
      <c r="AA1099" t="inlineStr">
        <is>
          <t>801+</t>
        </is>
      </c>
      <c r="AB1099" t="n">
        <v>11.6</v>
      </c>
      <c r="AC1099" t="inlineStr">
        <is>
          <t>801+</t>
        </is>
      </c>
      <c r="AD1099" t="n">
        <v>39.5</v>
      </c>
      <c r="AE1099" t="inlineStr">
        <is>
          <t>801+</t>
        </is>
      </c>
      <c r="AF1099" t="n">
        <v>4.9</v>
      </c>
      <c r="AG1099" t="inlineStr">
        <is>
          <t>801+</t>
        </is>
      </c>
      <c r="AH1099" t="n">
        <v>26.4</v>
      </c>
      <c r="AI1099" t="inlineStr">
        <is>
          <t>801+</t>
        </is>
      </c>
      <c r="AJ1099" t="inlineStr">
        <is>
          <t>12.6</t>
        </is>
      </c>
      <c r="AK1099" t="inlineStr">
        <is>
          <t>601+</t>
        </is>
      </c>
      <c r="AL1099" t="inlineStr">
        <is>
          <t>5.4</t>
        </is>
      </c>
      <c r="AM1099" t="inlineStr">
        <is>
          <t>601+</t>
        </is>
      </c>
      <c r="AN1099" t="inlineStr">
        <is>
          <t>28.7</t>
        </is>
      </c>
      <c r="AO1099" t="inlineStr">
        <is>
          <t>536</t>
        </is>
      </c>
      <c r="AP1099" t="inlineStr">
        <is>
          <t>14.3</t>
        </is>
      </c>
      <c r="AQ1099" t="inlineStr">
        <is>
          <t>648</t>
        </is>
      </c>
      <c r="AR1099" t="inlineStr">
        <is>
          <t>6.9</t>
        </is>
      </c>
      <c r="AS1099" t="inlineStr">
        <is>
          <t>701+</t>
        </is>
      </c>
      <c r="AT1099" t="inlineStr">
        <is>
          <t>6.3</t>
        </is>
      </c>
      <c r="AU1099" t="inlineStr">
        <is>
          <t>701+</t>
        </is>
      </c>
      <c r="AV1099" t="inlineStr">
        <is>
          <t>2.3</t>
        </is>
      </c>
      <c r="AW1099" t="inlineStr">
        <is>
          <t>701+</t>
        </is>
      </c>
      <c r="AX1099" t="inlineStr">
        <is>
          <t>8.8</t>
        </is>
      </c>
      <c r="AY1099" t="inlineStr">
        <is>
          <t>701+</t>
        </is>
      </c>
      <c r="AZ1099" t="inlineStr">
        <is>
          <t>1.1</t>
        </is>
      </c>
      <c r="BA1099" t="inlineStr">
        <is>
          <t>701+</t>
        </is>
      </c>
    </row>
    <row r="1100">
      <c r="A1100" t="inlineStr">
        <is>
          <t>Tokyo University of Agriculture and Technology</t>
        </is>
      </c>
      <c r="B1100" t="inlineStr">
        <is>
          <t>Japan</t>
        </is>
      </c>
      <c r="C1100" t="inlineStr">
        <is>
          <t>JP</t>
        </is>
      </c>
      <c r="D1100" t="inlineStr">
        <is>
          <t>Asia</t>
        </is>
      </c>
      <c r="E1100" t="inlineStr">
        <is>
          <t>M</t>
        </is>
      </c>
      <c r="F1100" t="inlineStr">
        <is>
          <t>FO</t>
        </is>
      </c>
      <c r="G1100" t="inlineStr">
        <is>
          <t>VH</t>
        </is>
      </c>
      <c r="H1100" t="inlineStr">
        <is>
          <t>4</t>
        </is>
      </c>
      <c r="I1100" t="inlineStr">
        <is>
          <t>Public</t>
        </is>
      </c>
      <c r="J1100" t="inlineStr">
        <is>
          <t>851-900</t>
        </is>
      </c>
      <c r="K1100" t="inlineStr">
        <is>
          <t>851-900</t>
        </is>
      </c>
      <c r="L1100" t="inlineStr">
        <is>
          <t>801-850</t>
        </is>
      </c>
      <c r="M1100" t="inlineStr">
        <is>
          <t>701-750</t>
        </is>
      </c>
      <c r="N1100" t="inlineStr">
        <is>
          <t>-</t>
        </is>
      </c>
      <c r="O1100" t="inlineStr">
        <is>
          <t>-</t>
        </is>
      </c>
      <c r="P1100" t="n">
        <v>15.6</v>
      </c>
      <c r="Q1100" t="inlineStr">
        <is>
          <t>701+</t>
        </is>
      </c>
      <c r="R1100" t="n">
        <v>11.2</v>
      </c>
      <c r="S1100" t="inlineStr">
        <is>
          <t>701+</t>
        </is>
      </c>
      <c r="T1100" t="n">
        <v>18.7</v>
      </c>
      <c r="U1100" t="inlineStr">
        <is>
          <t>801+</t>
        </is>
      </c>
      <c r="V1100" t="n">
        <v>40.3</v>
      </c>
      <c r="W1100" t="inlineStr">
        <is>
          <t>464</t>
        </is>
      </c>
      <c r="X1100" t="n">
        <v>11.6</v>
      </c>
      <c r="Y1100" t="inlineStr">
        <is>
          <t>801+</t>
        </is>
      </c>
      <c r="Z1100" t="n">
        <v>11.3</v>
      </c>
      <c r="AA1100" t="inlineStr">
        <is>
          <t>801+</t>
        </is>
      </c>
      <c r="AB1100" t="n">
        <v>15.3</v>
      </c>
      <c r="AC1100" t="inlineStr">
        <is>
          <t>801+</t>
        </is>
      </c>
      <c r="AD1100" t="n">
        <v>42.4</v>
      </c>
      <c r="AE1100" t="inlineStr">
        <is>
          <t>801+</t>
        </is>
      </c>
      <c r="AF1100" t="n">
        <v>1.7</v>
      </c>
      <c r="AG1100" t="inlineStr">
        <is>
          <t>801+</t>
        </is>
      </c>
      <c r="AH1100" t="n">
        <v>33.2</v>
      </c>
      <c r="AI1100" t="inlineStr">
        <is>
          <t>801+</t>
        </is>
      </c>
      <c r="AJ1100" t="inlineStr">
        <is>
          <t>13.6</t>
        </is>
      </c>
      <c r="AK1100" t="inlineStr">
        <is>
          <t>601+</t>
        </is>
      </c>
      <c r="AL1100" t="inlineStr">
        <is>
          <t>6.7</t>
        </is>
      </c>
      <c r="AM1100" t="inlineStr">
        <is>
          <t>601+</t>
        </is>
      </c>
      <c r="AN1100" t="inlineStr">
        <is>
          <t>13.3</t>
        </is>
      </c>
      <c r="AO1100" t="inlineStr">
        <is>
          <t>701+</t>
        </is>
      </c>
      <c r="AP1100" t="inlineStr">
        <is>
          <t>32.9</t>
        </is>
      </c>
      <c r="AQ1100" t="inlineStr">
        <is>
          <t>413</t>
        </is>
      </c>
      <c r="AR1100" t="inlineStr">
        <is>
          <t>5.8</t>
        </is>
      </c>
      <c r="AS1100" t="inlineStr">
        <is>
          <t>701+</t>
        </is>
      </c>
      <c r="AT1100" t="inlineStr">
        <is>
          <t>9.5</t>
        </is>
      </c>
      <c r="AU1100" t="inlineStr">
        <is>
          <t>701+</t>
        </is>
      </c>
      <c r="AV1100" t="inlineStr">
        <is>
          <t>6.0</t>
        </is>
      </c>
      <c r="AW1100" t="inlineStr">
        <is>
          <t>701+</t>
        </is>
      </c>
      <c r="AX1100" t="inlineStr">
        <is>
          <t>7.8</t>
        </is>
      </c>
      <c r="AY1100" t="inlineStr">
        <is>
          <t>701+</t>
        </is>
      </c>
      <c r="AZ1100" t="inlineStr">
        <is>
          <t>1.8</t>
        </is>
      </c>
      <c r="BA1100" t="inlineStr">
        <is>
          <t>701+</t>
        </is>
      </c>
    </row>
    <row r="1101">
      <c r="A1101" t="inlineStr">
        <is>
          <t>Tokyo University of Science</t>
        </is>
      </c>
      <c r="B1101" t="inlineStr">
        <is>
          <t>Japan</t>
        </is>
      </c>
      <c r="C1101" t="inlineStr">
        <is>
          <t>JP</t>
        </is>
      </c>
      <c r="D1101" t="inlineStr"/>
      <c r="E1101" t="inlineStr">
        <is>
          <t>L</t>
        </is>
      </c>
      <c r="F1101" t="inlineStr">
        <is>
          <t>FO</t>
        </is>
      </c>
      <c r="G1101" t="inlineStr">
        <is>
          <t>VH</t>
        </is>
      </c>
      <c r="H1101" t="inlineStr">
        <is>
          <t>4</t>
        </is>
      </c>
      <c r="I1101" t="inlineStr">
        <is>
          <t>B</t>
        </is>
      </c>
      <c r="J1101" t="inlineStr"/>
      <c r="K1101" t="inlineStr"/>
      <c r="L1101" t="inlineStr">
        <is>
          <t>661-670</t>
        </is>
      </c>
      <c r="M1101" t="inlineStr">
        <is>
          <t>801-1000</t>
        </is>
      </c>
      <c r="N1101" t="inlineStr"/>
      <c r="O1101" t="inlineStr">
        <is>
          <t>-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>
        <is>
          <t>11.0</t>
        </is>
      </c>
      <c r="AK1101" t="inlineStr">
        <is>
          <t>601+</t>
        </is>
      </c>
      <c r="AL1101" t="inlineStr">
        <is>
          <t>54.8</t>
        </is>
      </c>
      <c r="AM1101" t="inlineStr">
        <is>
          <t>149</t>
        </is>
      </c>
      <c r="AN1101" t="inlineStr">
        <is>
          <t>10.6</t>
        </is>
      </c>
      <c r="AO1101" t="inlineStr">
        <is>
          <t>701+</t>
        </is>
      </c>
      <c r="AP1101" t="inlineStr">
        <is>
          <t>11.7</t>
        </is>
      </c>
      <c r="AQ1101" t="inlineStr">
        <is>
          <t>701+</t>
        </is>
      </c>
      <c r="AR1101" t="inlineStr">
        <is>
          <t>13.3</t>
        </is>
      </c>
      <c r="AS1101" t="inlineStr">
        <is>
          <t>696</t>
        </is>
      </c>
      <c r="AT1101" t="inlineStr">
        <is>
          <t>3.8</t>
        </is>
      </c>
      <c r="AU1101" t="inlineStr">
        <is>
          <t>701+</t>
        </is>
      </c>
      <c r="AV1101" t="inlineStr">
        <is>
          <t>1.2</t>
        </is>
      </c>
      <c r="AW1101" t="inlineStr">
        <is>
          <t>701+</t>
        </is>
      </c>
      <c r="AX1101" t="inlineStr">
        <is>
          <t>29.8</t>
        </is>
      </c>
      <c r="AY1101" t="inlineStr">
        <is>
          <t>267</t>
        </is>
      </c>
      <c r="AZ1101" t="inlineStr">
        <is>
          <t>7</t>
        </is>
      </c>
      <c r="BA1101" t="inlineStr">
        <is>
          <t>701+</t>
        </is>
      </c>
    </row>
    <row r="1102">
      <c r="A1102" t="inlineStr">
        <is>
          <t>Tokyo University of Science (RIKADAI)</t>
        </is>
      </c>
      <c r="B1102" t="inlineStr">
        <is>
          <t>Japan</t>
        </is>
      </c>
      <c r="C1102" t="inlineStr"/>
      <c r="D1102" t="inlineStr">
        <is>
          <t>Asia</t>
        </is>
      </c>
      <c r="E1102" t="inlineStr">
        <is>
          <t>L</t>
        </is>
      </c>
      <c r="F1102" t="inlineStr">
        <is>
          <t>FO</t>
        </is>
      </c>
      <c r="G1102" t="inlineStr">
        <is>
          <t>VH</t>
        </is>
      </c>
      <c r="H1102" t="inlineStr"/>
      <c r="I1102" t="inlineStr">
        <is>
          <t>Private not for Profit</t>
        </is>
      </c>
      <c r="J1102" t="inlineStr">
        <is>
          <t>801-850</t>
        </is>
      </c>
      <c r="K1102" t="inlineStr">
        <is>
          <t>751-760</t>
        </is>
      </c>
      <c r="L1102" t="inlineStr"/>
      <c r="M1102" t="inlineStr"/>
      <c r="N1102" t="inlineStr">
        <is>
          <t>-</t>
        </is>
      </c>
      <c r="O1102" t="inlineStr"/>
      <c r="P1102" t="n">
        <v>11.5</v>
      </c>
      <c r="Q1102" t="inlineStr">
        <is>
          <t>701+</t>
        </is>
      </c>
      <c r="R1102" t="n">
        <v>57.5</v>
      </c>
      <c r="S1102" t="inlineStr">
        <is>
          <t>205</t>
        </is>
      </c>
      <c r="T1102" t="n">
        <v>12.1</v>
      </c>
      <c r="U1102" t="inlineStr">
        <is>
          <t>801+</t>
        </is>
      </c>
      <c r="V1102" t="n">
        <v>16.3</v>
      </c>
      <c r="W1102" t="inlineStr">
        <is>
          <t>778</t>
        </is>
      </c>
      <c r="X1102" t="n">
        <v>15.1</v>
      </c>
      <c r="Y1102" t="inlineStr">
        <is>
          <t>801+</t>
        </is>
      </c>
      <c r="Z1102" t="n">
        <v>7.2</v>
      </c>
      <c r="AA1102" t="inlineStr">
        <is>
          <t>801+</t>
        </is>
      </c>
      <c r="AB1102" t="n">
        <v>10.7</v>
      </c>
      <c r="AC1102" t="inlineStr">
        <is>
          <t>801+</t>
        </is>
      </c>
      <c r="AD1102" t="n">
        <v>22.6</v>
      </c>
      <c r="AE1102" t="inlineStr">
        <is>
          <t>801+</t>
        </is>
      </c>
      <c r="AF1102" t="n">
        <v>49</v>
      </c>
      <c r="AG1102" t="inlineStr">
        <is>
          <t>353</t>
        </is>
      </c>
      <c r="AH1102" t="n">
        <v>46.5</v>
      </c>
      <c r="AI1102" t="inlineStr">
        <is>
          <t>801+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</row>
    <row r="1103">
      <c r="A1103" t="inlineStr">
        <is>
          <t>Tomas Bata University in Zlin</t>
        </is>
      </c>
      <c r="B1103" t="inlineStr">
        <is>
          <t>Czech Republic</t>
        </is>
      </c>
      <c r="C1103" t="inlineStr">
        <is>
          <t>CZ</t>
        </is>
      </c>
      <c r="D1103" t="inlineStr">
        <is>
          <t>Europe</t>
        </is>
      </c>
      <c r="E1103" t="inlineStr">
        <is>
          <t>M</t>
        </is>
      </c>
      <c r="F1103" t="inlineStr">
        <is>
          <t>CO</t>
        </is>
      </c>
      <c r="G1103" t="inlineStr">
        <is>
          <t>HI</t>
        </is>
      </c>
      <c r="H1103" t="inlineStr">
        <is>
          <t>2</t>
        </is>
      </c>
      <c r="I1103" t="inlineStr">
        <is>
          <t>Public</t>
        </is>
      </c>
      <c r="J1103" t="inlineStr">
        <is>
          <t>1201-1400</t>
        </is>
      </c>
      <c r="K1103" t="inlineStr">
        <is>
          <t>1201-1400</t>
        </is>
      </c>
      <c r="L1103" t="inlineStr">
        <is>
          <t>1001-1200</t>
        </is>
      </c>
      <c r="M1103" t="inlineStr">
        <is>
          <t>1001-1200</t>
        </is>
      </c>
      <c r="N1103" t="inlineStr">
        <is>
          <t>-</t>
        </is>
      </c>
      <c r="O1103" t="inlineStr">
        <is>
          <t>-</t>
        </is>
      </c>
      <c r="P1103" t="n">
        <v>6.1</v>
      </c>
      <c r="Q1103" t="inlineStr">
        <is>
          <t>701+</t>
        </is>
      </c>
      <c r="R1103" t="n">
        <v>10.3</v>
      </c>
      <c r="S1103" t="inlineStr">
        <is>
          <t>701+</t>
        </is>
      </c>
      <c r="T1103" t="n">
        <v>13.6</v>
      </c>
      <c r="U1103" t="inlineStr">
        <is>
          <t>801+</t>
        </is>
      </c>
      <c r="V1103" t="n">
        <v>11.1</v>
      </c>
      <c r="W1103" t="inlineStr">
        <is>
          <t>801+</t>
        </is>
      </c>
      <c r="X1103" t="n">
        <v>33.1</v>
      </c>
      <c r="Y1103" t="inlineStr">
        <is>
          <t>552</t>
        </is>
      </c>
      <c r="Z1103" t="n">
        <v>30.7</v>
      </c>
      <c r="AA1103" t="inlineStr">
        <is>
          <t>583</t>
        </is>
      </c>
      <c r="AB1103" t="n">
        <v>35.5</v>
      </c>
      <c r="AC1103" t="inlineStr">
        <is>
          <t>542</t>
        </is>
      </c>
      <c r="AD1103" t="n">
        <v>31.2</v>
      </c>
      <c r="AE1103" t="inlineStr">
        <is>
          <t>801+</t>
        </is>
      </c>
      <c r="AF1103" t="n">
        <v>5.1</v>
      </c>
      <c r="AG1103" t="inlineStr">
        <is>
          <t>801+</t>
        </is>
      </c>
      <c r="AH1103" t="n">
        <v>26.2</v>
      </c>
      <c r="AI1103" t="inlineStr">
        <is>
          <t>801+</t>
        </is>
      </c>
      <c r="AJ1103" t="inlineStr">
        <is>
          <t>4.4</t>
        </is>
      </c>
      <c r="AK1103" t="inlineStr">
        <is>
          <t>601+</t>
        </is>
      </c>
      <c r="AL1103" t="inlineStr">
        <is>
          <t>15.0</t>
        </is>
      </c>
      <c r="AM1103" t="inlineStr">
        <is>
          <t>547</t>
        </is>
      </c>
      <c r="AN1103" t="inlineStr">
        <is>
          <t>11.3</t>
        </is>
      </c>
      <c r="AO1103" t="inlineStr">
        <is>
          <t>701+</t>
        </is>
      </c>
      <c r="AP1103" t="inlineStr">
        <is>
          <t>5.0</t>
        </is>
      </c>
      <c r="AQ1103" t="inlineStr">
        <is>
          <t>701+</t>
        </is>
      </c>
      <c r="AR1103" t="inlineStr">
        <is>
          <t>19.5</t>
        </is>
      </c>
      <c r="AS1103" t="inlineStr">
        <is>
          <t>595</t>
        </is>
      </c>
      <c r="AT1103" t="inlineStr">
        <is>
          <t>33.9</t>
        </is>
      </c>
      <c r="AU1103" t="inlineStr">
        <is>
          <t>389</t>
        </is>
      </c>
      <c r="AV1103" t="inlineStr">
        <is>
          <t>1.2</t>
        </is>
      </c>
      <c r="AW1103" t="inlineStr">
        <is>
          <t>701+</t>
        </is>
      </c>
      <c r="AX1103" t="inlineStr">
        <is>
          <t>10.1</t>
        </is>
      </c>
      <c r="AY1103" t="inlineStr">
        <is>
          <t>701+</t>
        </is>
      </c>
      <c r="AZ1103" t="inlineStr">
        <is>
          <t>1</t>
        </is>
      </c>
      <c r="BA1103" t="inlineStr">
        <is>
          <t>701+</t>
        </is>
      </c>
    </row>
    <row r="1104">
      <c r="A1104" t="inlineStr">
        <is>
          <t>Tomsk Polytechnic University</t>
        </is>
      </c>
      <c r="B1104" t="inlineStr">
        <is>
          <t>Russia</t>
        </is>
      </c>
      <c r="C1104" t="inlineStr"/>
      <c r="D1104" t="inlineStr">
        <is>
          <t>Europe</t>
        </is>
      </c>
      <c r="E1104" t="inlineStr">
        <is>
          <t>M</t>
        </is>
      </c>
      <c r="F1104" t="inlineStr">
        <is>
          <t>FO</t>
        </is>
      </c>
      <c r="G1104" t="inlineStr">
        <is>
          <t>VH</t>
        </is>
      </c>
      <c r="H1104" t="inlineStr"/>
      <c r="I1104" t="inlineStr">
        <is>
          <t>Public</t>
        </is>
      </c>
      <c r="J1104" t="inlineStr">
        <is>
          <t>688</t>
        </is>
      </c>
      <c r="K1104" t="inlineStr">
        <is>
          <t>576</t>
        </is>
      </c>
      <c r="L1104" t="inlineStr"/>
      <c r="M1104" t="inlineStr"/>
      <c r="N1104" t="inlineStr">
        <is>
          <t>25.6</t>
        </is>
      </c>
      <c r="O1104" t="inlineStr"/>
      <c r="P1104" t="n">
        <v>9.4</v>
      </c>
      <c r="Q1104" t="inlineStr">
        <is>
          <t>701+</t>
        </is>
      </c>
      <c r="R1104" t="n">
        <v>15.4</v>
      </c>
      <c r="S1104" t="inlineStr">
        <is>
          <t>701+</t>
        </is>
      </c>
      <c r="T1104" t="n">
        <v>96</v>
      </c>
      <c r="U1104" t="inlineStr">
        <is>
          <t>67</t>
        </is>
      </c>
      <c r="V1104" t="n">
        <v>7</v>
      </c>
      <c r="W1104" t="inlineStr">
        <is>
          <t>801+</t>
        </is>
      </c>
      <c r="X1104" t="n">
        <v>14.8</v>
      </c>
      <c r="Y1104" t="inlineStr">
        <is>
          <t>801+</t>
        </is>
      </c>
      <c r="Z1104" t="n">
        <v>88.8</v>
      </c>
      <c r="AA1104" t="inlineStr">
        <is>
          <t>179</t>
        </is>
      </c>
      <c r="AB1104" t="n">
        <v>83.90000000000001</v>
      </c>
      <c r="AC1104" t="inlineStr">
        <is>
          <t>178</t>
        </is>
      </c>
      <c r="AD1104" t="n">
        <v>60.4</v>
      </c>
      <c r="AE1104" t="inlineStr">
        <is>
          <t>686</t>
        </is>
      </c>
      <c r="AF1104" t="n">
        <v>2</v>
      </c>
      <c r="AG1104" t="inlineStr">
        <is>
          <t>801+</t>
        </is>
      </c>
      <c r="AH1104" t="n">
        <v>47.7</v>
      </c>
      <c r="AI1104" t="inlineStr">
        <is>
          <t>765=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</row>
    <row r="1105">
      <c r="A1105" t="inlineStr">
        <is>
          <t>Tomsk State University</t>
        </is>
      </c>
      <c r="B1105" t="inlineStr">
        <is>
          <t>Russia</t>
        </is>
      </c>
      <c r="C1105" t="inlineStr">
        <is>
          <t>RU</t>
        </is>
      </c>
      <c r="D1105" t="inlineStr">
        <is>
          <t>Europe</t>
        </is>
      </c>
      <c r="E1105" t="inlineStr">
        <is>
          <t>M</t>
        </is>
      </c>
      <c r="F1105" t="inlineStr">
        <is>
          <t>CO</t>
        </is>
      </c>
      <c r="G1105" t="inlineStr">
        <is>
          <t>VH</t>
        </is>
      </c>
      <c r="H1105" t="inlineStr">
        <is>
          <t>5</t>
        </is>
      </c>
      <c r="I1105" t="inlineStr">
        <is>
          <t>Public</t>
        </is>
      </c>
      <c r="J1105" t="inlineStr">
        <is>
          <t>499</t>
        </is>
      </c>
      <c r="K1105" t="inlineStr">
        <is>
          <t>431</t>
        </is>
      </c>
      <c r="L1105" t="inlineStr">
        <is>
          <t>418</t>
        </is>
      </c>
      <c r="M1105" t="inlineStr">
        <is>
          <t>264=</t>
        </is>
      </c>
      <c r="N1105" t="inlineStr">
        <is>
          <t>32.2</t>
        </is>
      </c>
      <c r="O1105" t="inlineStr">
        <is>
          <t>26.9</t>
        </is>
      </c>
      <c r="P1105" t="n">
        <v>25.3</v>
      </c>
      <c r="Q1105" t="inlineStr">
        <is>
          <t>502</t>
        </is>
      </c>
      <c r="R1105" t="n">
        <v>20</v>
      </c>
      <c r="S1105" t="inlineStr">
        <is>
          <t>656</t>
        </is>
      </c>
      <c r="T1105" t="n">
        <v>99.3</v>
      </c>
      <c r="U1105" t="inlineStr">
        <is>
          <t>39</t>
        </is>
      </c>
      <c r="V1105" t="n">
        <v>7</v>
      </c>
      <c r="W1105" t="inlineStr">
        <is>
          <t>801+</t>
        </is>
      </c>
      <c r="X1105" t="n">
        <v>28</v>
      </c>
      <c r="Y1105" t="inlineStr">
        <is>
          <t>609</t>
        </is>
      </c>
      <c r="Z1105" t="n">
        <v>94.7</v>
      </c>
      <c r="AA1105" t="inlineStr">
        <is>
          <t>131</t>
        </is>
      </c>
      <c r="AB1105" t="n">
        <v>93.2</v>
      </c>
      <c r="AC1105" t="inlineStr">
        <is>
          <t>125</t>
        </is>
      </c>
      <c r="AD1105" t="n">
        <v>66.40000000000001</v>
      </c>
      <c r="AE1105" t="inlineStr">
        <is>
          <t>599</t>
        </is>
      </c>
      <c r="AF1105" t="n">
        <v>7.1</v>
      </c>
      <c r="AG1105" t="inlineStr">
        <is>
          <t>801+</t>
        </is>
      </c>
      <c r="AH1105" t="n">
        <v>30.6</v>
      </c>
      <c r="AI1105" t="inlineStr">
        <is>
          <t>801+</t>
        </is>
      </c>
      <c r="AJ1105" t="inlineStr">
        <is>
          <t>23.1</t>
        </is>
      </c>
      <c r="AK1105" t="inlineStr">
        <is>
          <t>376</t>
        </is>
      </c>
      <c r="AL1105" t="inlineStr">
        <is>
          <t>10.9</t>
        </is>
      </c>
      <c r="AM1105" t="inlineStr">
        <is>
          <t>601+</t>
        </is>
      </c>
      <c r="AN1105" t="inlineStr">
        <is>
          <t>99.4</t>
        </is>
      </c>
      <c r="AO1105" t="inlineStr">
        <is>
          <t>32</t>
        </is>
      </c>
      <c r="AP1105" t="inlineStr">
        <is>
          <t>5.1</t>
        </is>
      </c>
      <c r="AQ1105" t="inlineStr">
        <is>
          <t>701+</t>
        </is>
      </c>
      <c r="AR1105" t="inlineStr">
        <is>
          <t>23.7</t>
        </is>
      </c>
      <c r="AS1105" t="inlineStr">
        <is>
          <t>555</t>
        </is>
      </c>
      <c r="AT1105" t="inlineStr">
        <is>
          <t>91.5</t>
        </is>
      </c>
      <c r="AU1105" t="inlineStr">
        <is>
          <t>109</t>
        </is>
      </c>
      <c r="AV1105" t="inlineStr">
        <is>
          <t>23.4</t>
        </is>
      </c>
      <c r="AW1105" t="inlineStr">
        <is>
          <t>514</t>
        </is>
      </c>
      <c r="AX1105" t="inlineStr">
        <is>
          <t>7.3</t>
        </is>
      </c>
      <c r="AY1105" t="inlineStr">
        <is>
          <t>701+</t>
        </is>
      </c>
      <c r="AZ1105" t="inlineStr">
        <is>
          <t>3</t>
        </is>
      </c>
      <c r="BA1105" t="inlineStr">
        <is>
          <t>701+</t>
        </is>
      </c>
    </row>
    <row r="1106">
      <c r="A1106" t="inlineStr">
        <is>
          <t>Ton Duc Thang University</t>
        </is>
      </c>
      <c r="B1106" t="inlineStr">
        <is>
          <t>Viet Nam</t>
        </is>
      </c>
      <c r="C1106" t="inlineStr"/>
      <c r="D1106" t="inlineStr">
        <is>
          <t>Asia</t>
        </is>
      </c>
      <c r="E1106" t="inlineStr">
        <is>
          <t>L</t>
        </is>
      </c>
      <c r="F1106" t="inlineStr">
        <is>
          <t>CO</t>
        </is>
      </c>
      <c r="G1106" t="inlineStr">
        <is>
          <t>VH</t>
        </is>
      </c>
      <c r="H1106" t="inlineStr"/>
      <c r="I1106" t="inlineStr">
        <is>
          <t>Public</t>
        </is>
      </c>
      <c r="J1106" t="inlineStr">
        <is>
          <t>684</t>
        </is>
      </c>
      <c r="K1106" t="inlineStr">
        <is>
          <t>711-720</t>
        </is>
      </c>
      <c r="L1106" t="inlineStr"/>
      <c r="M1106" t="inlineStr"/>
      <c r="N1106" t="inlineStr">
        <is>
          <t>25.8</t>
        </is>
      </c>
      <c r="O1106" t="inlineStr"/>
      <c r="P1106" t="n">
        <v>6.1</v>
      </c>
      <c r="Q1106" t="inlineStr">
        <is>
          <t>701+</t>
        </is>
      </c>
      <c r="R1106" t="n">
        <v>13.3</v>
      </c>
      <c r="S1106" t="inlineStr">
        <is>
          <t>701+</t>
        </is>
      </c>
      <c r="T1106" t="n">
        <v>8.6</v>
      </c>
      <c r="U1106" t="inlineStr">
        <is>
          <t>801+</t>
        </is>
      </c>
      <c r="V1106" t="n">
        <v>74.8</v>
      </c>
      <c r="W1106" t="inlineStr">
        <is>
          <t>180</t>
        </is>
      </c>
      <c r="X1106" t="n">
        <v>7.7</v>
      </c>
      <c r="Y1106" t="inlineStr">
        <is>
          <t>801+</t>
        </is>
      </c>
      <c r="Z1106" t="n">
        <v>2</v>
      </c>
      <c r="AA1106" t="inlineStr">
        <is>
          <t>801+</t>
        </is>
      </c>
      <c r="AB1106" t="n">
        <v>6.3</v>
      </c>
      <c r="AC1106" t="inlineStr">
        <is>
          <t>801+</t>
        </is>
      </c>
      <c r="AD1106" t="n">
        <v>88.09999999999999</v>
      </c>
      <c r="AE1106" t="inlineStr">
        <is>
          <t>200</t>
        </is>
      </c>
      <c r="AF1106" t="n">
        <v>6.8</v>
      </c>
      <c r="AG1106" t="inlineStr">
        <is>
          <t>801+</t>
        </is>
      </c>
      <c r="AH1106" t="n">
        <v>43.9</v>
      </c>
      <c r="AI1106" t="inlineStr">
        <is>
          <t>801+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</row>
    <row r="1107">
      <c r="A1107" t="inlineStr">
        <is>
          <t>Ton Duc Thang University</t>
        </is>
      </c>
      <c r="B1107" t="inlineStr">
        <is>
          <t>Vietnam</t>
        </is>
      </c>
      <c r="C1107" t="inlineStr">
        <is>
          <t>VN</t>
        </is>
      </c>
      <c r="D1107" t="inlineStr"/>
      <c r="E1107" t="inlineStr">
        <is>
          <t>L</t>
        </is>
      </c>
      <c r="F1107" t="inlineStr">
        <is>
          <t>FO</t>
        </is>
      </c>
      <c r="G1107" t="inlineStr">
        <is>
          <t>VH</t>
        </is>
      </c>
      <c r="H1107" t="inlineStr">
        <is>
          <t>3</t>
        </is>
      </c>
      <c r="I1107" t="inlineStr">
        <is>
          <t>B</t>
        </is>
      </c>
      <c r="J1107" t="inlineStr"/>
      <c r="K1107" t="inlineStr"/>
      <c r="L1107" t="inlineStr">
        <is>
          <t>721-730</t>
        </is>
      </c>
      <c r="M1107" t="inlineStr">
        <is>
          <t>1001-1200</t>
        </is>
      </c>
      <c r="N1107" t="inlineStr"/>
      <c r="O1107" t="inlineStr">
        <is>
          <t>-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>
        <is>
          <t>4.2</t>
        </is>
      </c>
      <c r="AK1107" t="inlineStr">
        <is>
          <t>601+</t>
        </is>
      </c>
      <c r="AL1107" t="inlineStr">
        <is>
          <t>10.2</t>
        </is>
      </c>
      <c r="AM1107" t="inlineStr">
        <is>
          <t>601+</t>
        </is>
      </c>
      <c r="AN1107" t="inlineStr">
        <is>
          <t>5.1</t>
        </is>
      </c>
      <c r="AO1107" t="inlineStr">
        <is>
          <t>701+</t>
        </is>
      </c>
      <c r="AP1107" t="inlineStr">
        <is>
          <t>34.6</t>
        </is>
      </c>
      <c r="AQ1107" t="inlineStr">
        <is>
          <t>394</t>
        </is>
      </c>
      <c r="AR1107" t="inlineStr">
        <is>
          <t>18.4</t>
        </is>
      </c>
      <c r="AS1107" t="inlineStr">
        <is>
          <t>610</t>
        </is>
      </c>
      <c r="AT1107" t="inlineStr">
        <is>
          <t>1.6</t>
        </is>
      </c>
      <c r="AU1107" t="inlineStr">
        <is>
          <t>701+</t>
        </is>
      </c>
      <c r="AV1107" t="inlineStr">
        <is>
          <t>84.9</t>
        </is>
      </c>
      <c r="AW1107" t="inlineStr">
        <is>
          <t>117</t>
        </is>
      </c>
      <c r="AX1107" t="inlineStr">
        <is>
          <t>11.8</t>
        </is>
      </c>
      <c r="AY1107" t="inlineStr">
        <is>
          <t>701+</t>
        </is>
      </c>
      <c r="AZ1107" t="inlineStr">
        <is>
          <t>6.8</t>
        </is>
      </c>
      <c r="BA1107" t="inlineStr">
        <is>
          <t>701+</t>
        </is>
      </c>
    </row>
    <row r="1108">
      <c r="A1108" t="inlineStr">
        <is>
          <t>Tongji University</t>
        </is>
      </c>
      <c r="B1108" t="inlineStr">
        <is>
          <t>China (Mainland)</t>
        </is>
      </c>
      <c r="C1108" t="inlineStr">
        <is>
          <t>CN</t>
        </is>
      </c>
      <c r="D1108" t="inlineStr">
        <is>
          <t>Asia</t>
        </is>
      </c>
      <c r="E1108" t="inlineStr">
        <is>
          <t>XL</t>
        </is>
      </c>
      <c r="F1108" t="inlineStr">
        <is>
          <t>FC</t>
        </is>
      </c>
      <c r="G1108" t="inlineStr">
        <is>
          <t>VH</t>
        </is>
      </c>
      <c r="H1108" t="inlineStr">
        <is>
          <t>5</t>
        </is>
      </c>
      <c r="I1108" t="inlineStr">
        <is>
          <t>Public</t>
        </is>
      </c>
      <c r="J1108" t="inlineStr">
        <is>
          <t>177</t>
        </is>
      </c>
      <c r="K1108" t="inlineStr">
        <is>
          <t>192</t>
        </is>
      </c>
      <c r="L1108" t="inlineStr">
        <is>
          <t>216</t>
        </is>
      </c>
      <c r="M1108" t="inlineStr">
        <is>
          <t>212=</t>
        </is>
      </c>
      <c r="N1108" t="inlineStr">
        <is>
          <t>58.8</t>
        </is>
      </c>
      <c r="O1108" t="inlineStr">
        <is>
          <t>43.5</t>
        </is>
      </c>
      <c r="P1108" t="n">
        <v>45.2</v>
      </c>
      <c r="Q1108" t="inlineStr">
        <is>
          <t>261</t>
        </is>
      </c>
      <c r="R1108" t="n">
        <v>41.2</v>
      </c>
      <c r="S1108" t="inlineStr">
        <is>
          <t>331</t>
        </is>
      </c>
      <c r="T1108" t="n">
        <v>31.2</v>
      </c>
      <c r="U1108" t="inlineStr">
        <is>
          <t>613</t>
        </is>
      </c>
      <c r="V1108" t="n">
        <v>99.59999999999999</v>
      </c>
      <c r="W1108" t="inlineStr">
        <is>
          <t>27</t>
        </is>
      </c>
      <c r="X1108" t="n">
        <v>92.59999999999999</v>
      </c>
      <c r="Y1108" t="inlineStr">
        <is>
          <t>204</t>
        </is>
      </c>
      <c r="Z1108" t="n">
        <v>47.4</v>
      </c>
      <c r="AA1108" t="inlineStr">
        <is>
          <t>425</t>
        </is>
      </c>
      <c r="AB1108" t="n">
        <v>52.4</v>
      </c>
      <c r="AC1108" t="inlineStr">
        <is>
          <t>393</t>
        </is>
      </c>
      <c r="AD1108" t="n">
        <v>74.59999999999999</v>
      </c>
      <c r="AE1108" t="inlineStr">
        <is>
          <t>449</t>
        </is>
      </c>
      <c r="AF1108" t="n">
        <v>33.4</v>
      </c>
      <c r="AG1108" t="inlineStr">
        <is>
          <t>507</t>
        </is>
      </c>
      <c r="AH1108" t="n">
        <v>77.2</v>
      </c>
      <c r="AI1108" t="inlineStr">
        <is>
          <t>210=</t>
        </is>
      </c>
      <c r="AJ1108" t="inlineStr">
        <is>
          <t>34.4</t>
        </is>
      </c>
      <c r="AK1108" t="inlineStr">
        <is>
          <t>251</t>
        </is>
      </c>
      <c r="AL1108" t="inlineStr">
        <is>
          <t>13.1</t>
        </is>
      </c>
      <c r="AM1108" t="inlineStr">
        <is>
          <t>601+</t>
        </is>
      </c>
      <c r="AN1108" t="inlineStr">
        <is>
          <t>28.8</t>
        </is>
      </c>
      <c r="AO1108" t="inlineStr">
        <is>
          <t>534</t>
        </is>
      </c>
      <c r="AP1108" t="inlineStr">
        <is>
          <t>91.8</t>
        </is>
      </c>
      <c r="AQ1108" t="inlineStr">
        <is>
          <t>70</t>
        </is>
      </c>
      <c r="AR1108" t="inlineStr">
        <is>
          <t>56.7</t>
        </is>
      </c>
      <c r="AS1108" t="inlineStr">
        <is>
          <t>327</t>
        </is>
      </c>
      <c r="AT1108" t="inlineStr">
        <is>
          <t>32.6</t>
        </is>
      </c>
      <c r="AU1108" t="inlineStr">
        <is>
          <t>396</t>
        </is>
      </c>
      <c r="AV1108" t="inlineStr">
        <is>
          <t>21.3</t>
        </is>
      </c>
      <c r="AW1108" t="inlineStr">
        <is>
          <t>534</t>
        </is>
      </c>
      <c r="AX1108" t="inlineStr">
        <is>
          <t>18</t>
        </is>
      </c>
      <c r="AY1108" t="inlineStr">
        <is>
          <t>464</t>
        </is>
      </c>
      <c r="AZ1108" t="inlineStr">
        <is>
          <t>65.4</t>
        </is>
      </c>
      <c r="BA1108" t="inlineStr">
        <is>
          <t>225</t>
        </is>
      </c>
    </row>
    <row r="1109">
      <c r="A1109" t="inlineStr">
        <is>
          <t>Tongmyong University</t>
        </is>
      </c>
      <c r="B1109" t="inlineStr">
        <is>
          <t>Republic of Korea</t>
        </is>
      </c>
      <c r="C1109" t="inlineStr"/>
      <c r="D1109" t="inlineStr">
        <is>
          <t>Asia</t>
        </is>
      </c>
      <c r="E1109" t="inlineStr">
        <is>
          <t>M</t>
        </is>
      </c>
      <c r="F1109" t="inlineStr">
        <is>
          <t>FO</t>
        </is>
      </c>
      <c r="G1109" t="inlineStr">
        <is>
          <t>HI</t>
        </is>
      </c>
      <c r="H1109" t="inlineStr"/>
      <c r="I1109" t="inlineStr"/>
      <c r="J1109" t="inlineStr">
        <is>
          <t>1401+</t>
        </is>
      </c>
      <c r="K1109" t="inlineStr"/>
      <c r="L1109" t="inlineStr"/>
      <c r="M1109" t="inlineStr"/>
      <c r="N1109" t="inlineStr">
        <is>
          <t>-</t>
        </is>
      </c>
      <c r="O1109" t="inlineStr"/>
      <c r="P1109" t="n">
        <v>6.3</v>
      </c>
      <c r="Q1109" t="inlineStr">
        <is>
          <t>701+</t>
        </is>
      </c>
      <c r="R1109" t="n">
        <v>3.6</v>
      </c>
      <c r="S1109" t="inlineStr">
        <is>
          <t>701+</t>
        </is>
      </c>
      <c r="T1109" t="n">
        <v>38.8</v>
      </c>
      <c r="U1109" t="inlineStr">
        <is>
          <t>523</t>
        </is>
      </c>
      <c r="V1109" t="n">
        <v>2</v>
      </c>
      <c r="W1109" t="inlineStr">
        <is>
          <t>801+</t>
        </is>
      </c>
      <c r="X1109" t="n">
        <v>8.5</v>
      </c>
      <c r="Y1109" t="inlineStr">
        <is>
          <t>801+</t>
        </is>
      </c>
      <c r="Z1109" t="n">
        <v>60.2</v>
      </c>
      <c r="AA1109" t="inlineStr">
        <is>
          <t>341</t>
        </is>
      </c>
      <c r="AB1109" t="n">
        <v>53.2</v>
      </c>
      <c r="AC1109" t="inlineStr">
        <is>
          <t>386</t>
        </is>
      </c>
      <c r="AD1109" t="n">
        <v>1.9</v>
      </c>
      <c r="AE1109" t="inlineStr">
        <is>
          <t>801+</t>
        </is>
      </c>
      <c r="AF1109" t="n">
        <v>1.9</v>
      </c>
      <c r="AG1109" t="inlineStr">
        <is>
          <t>801+</t>
        </is>
      </c>
      <c r="AH1109" t="n">
        <v>5.3</v>
      </c>
      <c r="AI1109" t="inlineStr">
        <is>
          <t>801+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</row>
    <row r="1110">
      <c r="A1110" t="inlineStr">
        <is>
          <t>Toraighyrov University</t>
        </is>
      </c>
      <c r="B1110" t="inlineStr">
        <is>
          <t>Kazakhstan</t>
        </is>
      </c>
      <c r="C1110" t="inlineStr">
        <is>
          <t>KZ</t>
        </is>
      </c>
      <c r="D1110" t="inlineStr"/>
      <c r="E1110" t="inlineStr">
        <is>
          <t>M</t>
        </is>
      </c>
      <c r="F1110" t="inlineStr">
        <is>
          <t>FO</t>
        </is>
      </c>
      <c r="G1110" t="inlineStr">
        <is>
          <t>HI</t>
        </is>
      </c>
      <c r="H1110" t="inlineStr">
        <is>
          <t>4</t>
        </is>
      </c>
      <c r="I1110" t="inlineStr">
        <is>
          <t>A</t>
        </is>
      </c>
      <c r="J1110" t="inlineStr"/>
      <c r="K1110" t="inlineStr"/>
      <c r="L1110" t="inlineStr">
        <is>
          <t>1201-1400</t>
        </is>
      </c>
      <c r="M1110" t="inlineStr">
        <is>
          <t>1201-1400</t>
        </is>
      </c>
      <c r="N1110" t="inlineStr"/>
      <c r="O1110" t="inlineStr">
        <is>
          <t>-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>
        <is>
          <t>7.0</t>
        </is>
      </c>
      <c r="AK1110" t="inlineStr">
        <is>
          <t>601+</t>
        </is>
      </c>
      <c r="AL1110" t="inlineStr">
        <is>
          <t>4.2</t>
        </is>
      </c>
      <c r="AM1110" t="inlineStr">
        <is>
          <t>601+</t>
        </is>
      </c>
      <c r="AN1110" t="inlineStr">
        <is>
          <t>14.7</t>
        </is>
      </c>
      <c r="AO1110" t="inlineStr">
        <is>
          <t>701+</t>
        </is>
      </c>
      <c r="AP1110" t="inlineStr">
        <is>
          <t>1.3</t>
        </is>
      </c>
      <c r="AQ1110" t="inlineStr">
        <is>
          <t>701+</t>
        </is>
      </c>
      <c r="AR1110" t="inlineStr">
        <is>
          <t>3.0</t>
        </is>
      </c>
      <c r="AS1110" t="inlineStr">
        <is>
          <t>701+</t>
        </is>
      </c>
      <c r="AT1110" t="inlineStr">
        <is>
          <t>2.8</t>
        </is>
      </c>
      <c r="AU1110" t="inlineStr">
        <is>
          <t>701+</t>
        </is>
      </c>
      <c r="AV1110" t="inlineStr">
        <is>
          <t>1.0</t>
        </is>
      </c>
      <c r="AW1110" t="inlineStr">
        <is>
          <t>701+</t>
        </is>
      </c>
      <c r="AX1110" t="inlineStr">
        <is>
          <t>12.5</t>
        </is>
      </c>
      <c r="AY1110" t="inlineStr">
        <is>
          <t>698</t>
        </is>
      </c>
      <c r="AZ1110" t="inlineStr">
        <is>
          <t>1</t>
        </is>
      </c>
      <c r="BA1110" t="inlineStr">
        <is>
          <t>701+</t>
        </is>
      </c>
    </row>
    <row r="1111">
      <c r="A1111" t="inlineStr">
        <is>
          <t>Toronto Metropolitan University (formerly Ryerson University)</t>
        </is>
      </c>
      <c r="B1111" t="inlineStr">
        <is>
          <t>Canada</t>
        </is>
      </c>
      <c r="C1111" t="inlineStr"/>
      <c r="D1111" t="inlineStr">
        <is>
          <t>Americas</t>
        </is>
      </c>
      <c r="E1111" t="inlineStr">
        <is>
          <t>XL</t>
        </is>
      </c>
      <c r="F1111" t="inlineStr">
        <is>
          <t>CO</t>
        </is>
      </c>
      <c r="G1111" t="inlineStr">
        <is>
          <t>VH</t>
        </is>
      </c>
      <c r="H1111" t="inlineStr"/>
      <c r="I1111" t="inlineStr">
        <is>
          <t>Public</t>
        </is>
      </c>
      <c r="J1111" t="inlineStr">
        <is>
          <t>711-720</t>
        </is>
      </c>
      <c r="K1111" t="inlineStr">
        <is>
          <t>801-850</t>
        </is>
      </c>
      <c r="L1111" t="inlineStr"/>
      <c r="M1111" t="inlineStr"/>
      <c r="N1111" t="inlineStr">
        <is>
          <t>-</t>
        </is>
      </c>
      <c r="O1111" t="inlineStr"/>
      <c r="P1111" t="n">
        <v>12.5</v>
      </c>
      <c r="Q1111" t="inlineStr">
        <is>
          <t>701+</t>
        </is>
      </c>
      <c r="R1111" t="n">
        <v>19.4</v>
      </c>
      <c r="S1111" t="inlineStr">
        <is>
          <t>673</t>
        </is>
      </c>
      <c r="T1111" t="n">
        <v>2.3</v>
      </c>
      <c r="U1111" t="inlineStr">
        <is>
          <t>801+</t>
        </is>
      </c>
      <c r="V1111" t="n">
        <v>41</v>
      </c>
      <c r="W1111" t="inlineStr">
        <is>
          <t>459</t>
        </is>
      </c>
      <c r="X1111" t="n">
        <v>46.5</v>
      </c>
      <c r="Y1111" t="inlineStr">
        <is>
          <t>458</t>
        </is>
      </c>
      <c r="Z1111" t="n">
        <v>19.6</v>
      </c>
      <c r="AA1111" t="inlineStr">
        <is>
          <t>736</t>
        </is>
      </c>
      <c r="AB1111" t="n">
        <v>25.7</v>
      </c>
      <c r="AC1111" t="inlineStr">
        <is>
          <t>676</t>
        </is>
      </c>
      <c r="AD1111" t="n">
        <v>60.9</v>
      </c>
      <c r="AE1111" t="inlineStr">
        <is>
          <t>679</t>
        </is>
      </c>
      <c r="AF1111" t="n">
        <v>20.1</v>
      </c>
      <c r="AG1111" t="inlineStr">
        <is>
          <t>723</t>
        </is>
      </c>
      <c r="AH1111" t="n">
        <v>66</v>
      </c>
      <c r="AI1111" t="inlineStr">
        <is>
          <t>381=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</row>
    <row r="1112">
      <c r="A1112" t="inlineStr">
        <is>
          <t>Toyota Technological Institute in Japan</t>
        </is>
      </c>
      <c r="B1112" t="inlineStr">
        <is>
          <t>Japan</t>
        </is>
      </c>
      <c r="C1112" t="inlineStr">
        <is>
          <t>JP</t>
        </is>
      </c>
      <c r="D1112" t="inlineStr"/>
      <c r="E1112" t="inlineStr">
        <is>
          <t>S</t>
        </is>
      </c>
      <c r="F1112" t="inlineStr">
        <is>
          <t>FO</t>
        </is>
      </c>
      <c r="G1112" t="inlineStr">
        <is>
          <t>VH</t>
        </is>
      </c>
      <c r="H1112" t="inlineStr">
        <is>
          <t>3</t>
        </is>
      </c>
      <c r="I1112" t="inlineStr">
        <is>
          <t>C</t>
        </is>
      </c>
      <c r="J1112" t="inlineStr"/>
      <c r="K1112" t="inlineStr"/>
      <c r="L1112">
        <f>446</f>
        <v/>
      </c>
      <c r="M1112" t="inlineStr"/>
      <c r="N1112" t="inlineStr"/>
      <c r="O1112" t="inlineStr">
        <is>
          <t>25.7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>
        <is>
          <t>5.2</t>
        </is>
      </c>
      <c r="AK1112" t="inlineStr">
        <is>
          <t>601+</t>
        </is>
      </c>
      <c r="AL1112" t="inlineStr">
        <is>
          <t>1.6</t>
        </is>
      </c>
      <c r="AM1112" t="inlineStr">
        <is>
          <t>601+</t>
        </is>
      </c>
      <c r="AN1112" t="inlineStr">
        <is>
          <t>37.5</t>
        </is>
      </c>
      <c r="AO1112" t="inlineStr">
        <is>
          <t>419</t>
        </is>
      </c>
      <c r="AP1112" t="inlineStr">
        <is>
          <t>96.4</t>
        </is>
      </c>
      <c r="AQ1112" t="inlineStr">
        <is>
          <t>45</t>
        </is>
      </c>
      <c r="AR1112" t="inlineStr">
        <is>
          <t>7.7</t>
        </is>
      </c>
      <c r="AS1112" t="inlineStr">
        <is>
          <t>701+</t>
        </is>
      </c>
      <c r="AT1112" t="inlineStr">
        <is>
          <t>1.6</t>
        </is>
      </c>
      <c r="AU1112" t="inlineStr">
        <is>
          <t>701+</t>
        </is>
      </c>
      <c r="AV1112" t="inlineStr">
        <is>
          <t>1.0</t>
        </is>
      </c>
      <c r="AW1112" t="inlineStr">
        <is>
          <t>701+</t>
        </is>
      </c>
      <c r="AX1112" t="inlineStr">
        <is>
          <t>8.4</t>
        </is>
      </c>
      <c r="AY1112" t="inlineStr">
        <is>
          <t>701+</t>
        </is>
      </c>
      <c r="AZ1112" t="inlineStr"/>
      <c r="BA1112" t="inlineStr"/>
    </row>
    <row r="1113">
      <c r="A1113" t="inlineStr">
        <is>
          <t>Transilvania University of Brasov</t>
        </is>
      </c>
      <c r="B1113" t="inlineStr">
        <is>
          <t>Romania</t>
        </is>
      </c>
      <c r="C1113" t="inlineStr">
        <is>
          <t>RO</t>
        </is>
      </c>
      <c r="D1113" t="inlineStr">
        <is>
          <t>Europe</t>
        </is>
      </c>
      <c r="E1113" t="inlineStr">
        <is>
          <t>L</t>
        </is>
      </c>
      <c r="F1113" t="inlineStr">
        <is>
          <t>FC</t>
        </is>
      </c>
      <c r="G1113" t="inlineStr">
        <is>
          <t>HI</t>
        </is>
      </c>
      <c r="H1113" t="inlineStr">
        <is>
          <t>4</t>
        </is>
      </c>
      <c r="I1113" t="inlineStr">
        <is>
          <t>Public</t>
        </is>
      </c>
      <c r="J1113" t="inlineStr">
        <is>
          <t>1201-1400</t>
        </is>
      </c>
      <c r="K1113" t="inlineStr">
        <is>
          <t>1201-1400</t>
        </is>
      </c>
      <c r="L1113" t="inlineStr">
        <is>
          <t>1201-1400</t>
        </is>
      </c>
      <c r="M1113" t="inlineStr">
        <is>
          <t>1201-1400</t>
        </is>
      </c>
      <c r="N1113" t="inlineStr">
        <is>
          <t>-</t>
        </is>
      </c>
      <c r="O1113" t="inlineStr">
        <is>
          <t>-</t>
        </is>
      </c>
      <c r="P1113" t="n">
        <v>9</v>
      </c>
      <c r="Q1113" t="inlineStr">
        <is>
          <t>701+</t>
        </is>
      </c>
      <c r="R1113" t="n">
        <v>10.2</v>
      </c>
      <c r="S1113" t="inlineStr">
        <is>
          <t>701+</t>
        </is>
      </c>
      <c r="T1113" t="n">
        <v>8.4</v>
      </c>
      <c r="U1113" t="inlineStr">
        <is>
          <t>801+</t>
        </is>
      </c>
      <c r="V1113" t="n">
        <v>7.1</v>
      </c>
      <c r="W1113" t="inlineStr">
        <is>
          <t>801+</t>
        </is>
      </c>
      <c r="X1113" t="n">
        <v>5</v>
      </c>
      <c r="Y1113" t="inlineStr">
        <is>
          <t>801+</t>
        </is>
      </c>
      <c r="Z1113" t="n">
        <v>3.8</v>
      </c>
      <c r="AA1113" t="inlineStr">
        <is>
          <t>801+</t>
        </is>
      </c>
      <c r="AB1113" t="n">
        <v>8.9</v>
      </c>
      <c r="AC1113" t="inlineStr">
        <is>
          <t>801+</t>
        </is>
      </c>
      <c r="AD1113" t="n">
        <v>69.59999999999999</v>
      </c>
      <c r="AE1113" t="inlineStr">
        <is>
          <t>538</t>
        </is>
      </c>
      <c r="AF1113" t="n">
        <v>5.3</v>
      </c>
      <c r="AG1113" t="inlineStr">
        <is>
          <t>801+</t>
        </is>
      </c>
      <c r="AH1113" t="n">
        <v>32.2</v>
      </c>
      <c r="AI1113" t="inlineStr">
        <is>
          <t>801+</t>
        </is>
      </c>
      <c r="AJ1113" t="inlineStr">
        <is>
          <t>6.0</t>
        </is>
      </c>
      <c r="AK1113" t="inlineStr">
        <is>
          <t>601+</t>
        </is>
      </c>
      <c r="AL1113" t="inlineStr">
        <is>
          <t>3.8</t>
        </is>
      </c>
      <c r="AM1113" t="inlineStr">
        <is>
          <t>601+</t>
        </is>
      </c>
      <c r="AN1113" t="inlineStr">
        <is>
          <t>6.0</t>
        </is>
      </c>
      <c r="AO1113" t="inlineStr">
        <is>
          <t>701+</t>
        </is>
      </c>
      <c r="AP1113" t="inlineStr">
        <is>
          <t>3.3</t>
        </is>
      </c>
      <c r="AQ1113" t="inlineStr">
        <is>
          <t>701+</t>
        </is>
      </c>
      <c r="AR1113" t="inlineStr">
        <is>
          <t>2.4</t>
        </is>
      </c>
      <c r="AS1113" t="inlineStr">
        <is>
          <t>701+</t>
        </is>
      </c>
      <c r="AT1113" t="inlineStr">
        <is>
          <t>2.0</t>
        </is>
      </c>
      <c r="AU1113" t="inlineStr">
        <is>
          <t>701+</t>
        </is>
      </c>
      <c r="AV1113" t="inlineStr">
        <is>
          <t>3.4</t>
        </is>
      </c>
      <c r="AW1113" t="inlineStr">
        <is>
          <t>701+</t>
        </is>
      </c>
      <c r="AX1113" t="inlineStr">
        <is>
          <t>7.9</t>
        </is>
      </c>
      <c r="AY1113" t="inlineStr">
        <is>
          <t>701+</t>
        </is>
      </c>
      <c r="AZ1113" t="inlineStr">
        <is>
          <t>1.6</t>
        </is>
      </c>
      <c r="BA1113" t="inlineStr">
        <is>
          <t>701+</t>
        </is>
      </c>
    </row>
    <row r="1114">
      <c r="A1114" t="inlineStr">
        <is>
          <t>Trinity College Dublin, The University of Dublin</t>
        </is>
      </c>
      <c r="B1114" t="inlineStr">
        <is>
          <t>Ireland</t>
        </is>
      </c>
      <c r="C1114" t="inlineStr">
        <is>
          <t>IE</t>
        </is>
      </c>
      <c r="D1114" t="inlineStr">
        <is>
          <t>Europe</t>
        </is>
      </c>
      <c r="E1114" t="inlineStr">
        <is>
          <t>L</t>
        </is>
      </c>
      <c r="F1114" t="inlineStr">
        <is>
          <t>FC</t>
        </is>
      </c>
      <c r="G1114" t="inlineStr">
        <is>
          <t>VH</t>
        </is>
      </c>
      <c r="H1114" t="inlineStr">
        <is>
          <t>5</t>
        </is>
      </c>
      <c r="I1114" t="inlineStr">
        <is>
          <t>Public</t>
        </is>
      </c>
      <c r="J1114" t="inlineStr">
        <is>
          <t>75</t>
        </is>
      </c>
      <c r="K1114" t="inlineStr">
        <is>
          <t>87</t>
        </is>
      </c>
      <c r="L1114">
        <f>81</f>
        <v/>
      </c>
      <c r="M1114" t="inlineStr">
        <is>
          <t>98</t>
        </is>
      </c>
      <c r="N1114" t="inlineStr">
        <is>
          <t>73.9</t>
        </is>
      </c>
      <c r="O1114" t="inlineStr">
        <is>
          <t>63.5</t>
        </is>
      </c>
      <c r="P1114" t="n">
        <v>82.5</v>
      </c>
      <c r="Q1114" t="inlineStr">
        <is>
          <t>87</t>
        </is>
      </c>
      <c r="R1114" t="n">
        <v>68.09999999999999</v>
      </c>
      <c r="S1114" t="inlineStr">
        <is>
          <t>154</t>
        </is>
      </c>
      <c r="T1114" t="n">
        <v>28.7</v>
      </c>
      <c r="U1114" t="inlineStr">
        <is>
          <t>662</t>
        </is>
      </c>
      <c r="V1114" t="n">
        <v>66</v>
      </c>
      <c r="W1114" t="inlineStr">
        <is>
          <t>240</t>
        </is>
      </c>
      <c r="X1114" t="n">
        <v>100</v>
      </c>
      <c r="Y1114" t="inlineStr">
        <is>
          <t>88</t>
        </is>
      </c>
      <c r="Z1114" t="n">
        <v>94.90000000000001</v>
      </c>
      <c r="AA1114" t="inlineStr">
        <is>
          <t>126</t>
        </is>
      </c>
      <c r="AB1114" t="n">
        <v>95.2</v>
      </c>
      <c r="AC1114" t="inlineStr">
        <is>
          <t>107</t>
        </is>
      </c>
      <c r="AD1114" t="n">
        <v>89.40000000000001</v>
      </c>
      <c r="AE1114" t="inlineStr">
        <is>
          <t>183</t>
        </is>
      </c>
      <c r="AF1114" t="n">
        <v>95.3</v>
      </c>
      <c r="AG1114" t="inlineStr">
        <is>
          <t>74</t>
        </is>
      </c>
      <c r="AH1114" t="n">
        <v>73.8</v>
      </c>
      <c r="AI1114" t="inlineStr">
        <is>
          <t>262=</t>
        </is>
      </c>
      <c r="AJ1114" t="inlineStr">
        <is>
          <t>69.3</t>
        </is>
      </c>
      <c r="AK1114" t="inlineStr">
        <is>
          <t>92</t>
        </is>
      </c>
      <c r="AL1114" t="inlineStr">
        <is>
          <t>39.8</t>
        </is>
      </c>
      <c r="AM1114" t="inlineStr">
        <is>
          <t>238</t>
        </is>
      </c>
      <c r="AN1114" t="inlineStr">
        <is>
          <t>23.7</t>
        </is>
      </c>
      <c r="AO1114" t="inlineStr">
        <is>
          <t>601</t>
        </is>
      </c>
      <c r="AP1114" t="inlineStr">
        <is>
          <t>64.1</t>
        </is>
      </c>
      <c r="AQ1114" t="inlineStr">
        <is>
          <t>184</t>
        </is>
      </c>
      <c r="AR1114" t="inlineStr">
        <is>
          <t>99.8</t>
        </is>
      </c>
      <c r="AS1114" t="inlineStr">
        <is>
          <t>79</t>
        </is>
      </c>
      <c r="AT1114" t="inlineStr">
        <is>
          <t>92.5</t>
        </is>
      </c>
      <c r="AU1114" t="inlineStr">
        <is>
          <t>104</t>
        </is>
      </c>
      <c r="AV1114" t="inlineStr">
        <is>
          <t>82.2</t>
        </is>
      </c>
      <c r="AW1114" t="inlineStr">
        <is>
          <t>132</t>
        </is>
      </c>
      <c r="AX1114" t="inlineStr">
        <is>
          <t>70.6</t>
        </is>
      </c>
      <c r="AY1114" t="inlineStr">
        <is>
          <t>70</t>
        </is>
      </c>
      <c r="AZ1114" t="inlineStr">
        <is>
          <t>75.6</t>
        </is>
      </c>
      <c r="BA1114" t="inlineStr">
        <is>
          <t>173=</t>
        </is>
      </c>
    </row>
    <row r="1115">
      <c r="A1115" t="inlineStr">
        <is>
          <t>Tsinghua University</t>
        </is>
      </c>
      <c r="B1115" t="inlineStr">
        <is>
          <t>China (Mainland)</t>
        </is>
      </c>
      <c r="C1115" t="inlineStr">
        <is>
          <t>CN</t>
        </is>
      </c>
      <c r="D1115" t="inlineStr">
        <is>
          <t>Asia</t>
        </is>
      </c>
      <c r="E1115" t="inlineStr">
        <is>
          <t>XL</t>
        </is>
      </c>
      <c r="F1115" t="inlineStr">
        <is>
          <t>FC</t>
        </is>
      </c>
      <c r="G1115" t="inlineStr">
        <is>
          <t>VH</t>
        </is>
      </c>
      <c r="H1115" t="inlineStr">
        <is>
          <t>4</t>
        </is>
      </c>
      <c r="I1115" t="inlineStr">
        <is>
          <t>Public</t>
        </is>
      </c>
      <c r="J1115" t="inlineStr">
        <is>
          <t>17</t>
        </is>
      </c>
      <c r="K1115" t="inlineStr">
        <is>
          <t>20</t>
        </is>
      </c>
      <c r="L1115" t="inlineStr">
        <is>
          <t>25</t>
        </is>
      </c>
      <c r="M1115" t="inlineStr">
        <is>
          <t>14</t>
        </is>
      </c>
      <c r="N1115" t="inlineStr">
        <is>
          <t>91.2</t>
        </is>
      </c>
      <c r="O1115" t="inlineStr">
        <is>
          <t>84.9</t>
        </is>
      </c>
      <c r="P1115" t="n">
        <v>99.90000000000001</v>
      </c>
      <c r="Q1115" t="inlineStr">
        <is>
          <t>16</t>
        </is>
      </c>
      <c r="R1115" t="n">
        <v>99.7</v>
      </c>
      <c r="S1115" t="inlineStr">
        <is>
          <t>15</t>
        </is>
      </c>
      <c r="T1115" t="n">
        <v>97.09999999999999</v>
      </c>
      <c r="U1115" t="inlineStr">
        <is>
          <t>63</t>
        </is>
      </c>
      <c r="V1115" t="n">
        <v>99.59999999999999</v>
      </c>
      <c r="W1115" t="inlineStr">
        <is>
          <t>26</t>
        </is>
      </c>
      <c r="X1115" t="n">
        <v>39.5</v>
      </c>
      <c r="Y1115" t="inlineStr">
        <is>
          <t>502</t>
        </is>
      </c>
      <c r="Z1115" t="n">
        <v>31.9</v>
      </c>
      <c r="AA1115" t="inlineStr">
        <is>
          <t>570</t>
        </is>
      </c>
      <c r="AB1115" t="n">
        <v>23.9</v>
      </c>
      <c r="AC1115" t="inlineStr">
        <is>
          <t>707</t>
        </is>
      </c>
      <c r="AD1115" t="n">
        <v>80.40000000000001</v>
      </c>
      <c r="AE1115" t="inlineStr">
        <is>
          <t>347</t>
        </is>
      </c>
      <c r="AF1115" t="n">
        <v>97</v>
      </c>
      <c r="AG1115" t="inlineStr">
        <is>
          <t>60</t>
        </is>
      </c>
      <c r="AH1115" t="n">
        <v>68.7</v>
      </c>
      <c r="AI1115" t="inlineStr">
        <is>
          <t>339=</t>
        </is>
      </c>
      <c r="AJ1115" t="inlineStr">
        <is>
          <t>99.1</t>
        </is>
      </c>
      <c r="AK1115" t="inlineStr">
        <is>
          <t>16</t>
        </is>
      </c>
      <c r="AL1115" t="inlineStr">
        <is>
          <t>96.9</t>
        </is>
      </c>
      <c r="AM1115" t="inlineStr">
        <is>
          <t>27</t>
        </is>
      </c>
      <c r="AN1115" t="inlineStr">
        <is>
          <t>93.9</t>
        </is>
      </c>
      <c r="AO1115" t="inlineStr">
        <is>
          <t>67</t>
        </is>
      </c>
      <c r="AP1115" t="inlineStr">
        <is>
          <t>98.9</t>
        </is>
      </c>
      <c r="AQ1115" t="inlineStr">
        <is>
          <t>22</t>
        </is>
      </c>
      <c r="AR1115" t="inlineStr">
        <is>
          <t>9.4</t>
        </is>
      </c>
      <c r="AS1115" t="inlineStr">
        <is>
          <t>701+</t>
        </is>
      </c>
      <c r="AT1115" t="inlineStr">
        <is>
          <t>15.7</t>
        </is>
      </c>
      <c r="AU1115" t="inlineStr">
        <is>
          <t>603</t>
        </is>
      </c>
      <c r="AV1115" t="inlineStr">
        <is>
          <t>47.8</t>
        </is>
      </c>
      <c r="AW1115" t="inlineStr">
        <is>
          <t>328</t>
        </is>
      </c>
      <c r="AX1115" t="inlineStr">
        <is>
          <t>82.2</t>
        </is>
      </c>
      <c r="AY1115" t="inlineStr">
        <is>
          <t>47</t>
        </is>
      </c>
      <c r="AZ1115" t="inlineStr">
        <is>
          <t>55.8</t>
        </is>
      </c>
      <c r="BA1115" t="inlineStr">
        <is>
          <t>271=</t>
        </is>
      </c>
    </row>
    <row r="1116">
      <c r="A1116" t="inlineStr">
        <is>
          <t>TU Dortmund University</t>
        </is>
      </c>
      <c r="B1116" t="inlineStr">
        <is>
          <t>Germany</t>
        </is>
      </c>
      <c r="C1116" t="inlineStr">
        <is>
          <t>DE</t>
        </is>
      </c>
      <c r="D1116" t="inlineStr"/>
      <c r="E1116" t="inlineStr">
        <is>
          <t>L</t>
        </is>
      </c>
      <c r="F1116" t="inlineStr">
        <is>
          <t>CO</t>
        </is>
      </c>
      <c r="G1116" t="inlineStr">
        <is>
          <t>VH</t>
        </is>
      </c>
      <c r="H1116" t="inlineStr">
        <is>
          <t>4</t>
        </is>
      </c>
      <c r="I1116" t="inlineStr">
        <is>
          <t>A</t>
        </is>
      </c>
      <c r="J1116" t="inlineStr"/>
      <c r="K1116" t="inlineStr"/>
      <c r="L1116" t="inlineStr">
        <is>
          <t>851-900</t>
        </is>
      </c>
      <c r="M1116" t="inlineStr">
        <is>
          <t>801-1000</t>
        </is>
      </c>
      <c r="N1116" t="inlineStr"/>
      <c r="O1116" t="inlineStr">
        <is>
          <t>-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>
        <is>
          <t>13.6</t>
        </is>
      </c>
      <c r="AK1116" t="inlineStr">
        <is>
          <t>601+</t>
        </is>
      </c>
      <c r="AL1116" t="inlineStr">
        <is>
          <t>13.8</t>
        </is>
      </c>
      <c r="AM1116" t="inlineStr">
        <is>
          <t>589</t>
        </is>
      </c>
      <c r="AN1116" t="inlineStr">
        <is>
          <t>22.2</t>
        </is>
      </c>
      <c r="AO1116" t="inlineStr">
        <is>
          <t>626</t>
        </is>
      </c>
      <c r="AP1116" t="inlineStr">
        <is>
          <t>7.4</t>
        </is>
      </c>
      <c r="AQ1116" t="inlineStr">
        <is>
          <t>701+</t>
        </is>
      </c>
      <c r="AR1116" t="inlineStr">
        <is>
          <t>20.2</t>
        </is>
      </c>
      <c r="AS1116" t="inlineStr">
        <is>
          <t>589</t>
        </is>
      </c>
      <c r="AT1116" t="inlineStr">
        <is>
          <t>19.1</t>
        </is>
      </c>
      <c r="AU1116" t="inlineStr">
        <is>
          <t>559</t>
        </is>
      </c>
      <c r="AV1116" t="inlineStr">
        <is>
          <t>17.0</t>
        </is>
      </c>
      <c r="AW1116" t="inlineStr">
        <is>
          <t>574</t>
        </is>
      </c>
      <c r="AX1116" t="inlineStr">
        <is>
          <t>9.1</t>
        </is>
      </c>
      <c r="AY1116" t="inlineStr">
        <is>
          <t>701+</t>
        </is>
      </c>
      <c r="AZ1116" t="inlineStr">
        <is>
          <t>4.4</t>
        </is>
      </c>
      <c r="BA1116" t="inlineStr">
        <is>
          <t>701+</t>
        </is>
      </c>
    </row>
    <row r="1117">
      <c r="A1117" t="inlineStr">
        <is>
          <t>Tufts University</t>
        </is>
      </c>
      <c r="B1117" t="inlineStr">
        <is>
          <t>United States</t>
        </is>
      </c>
      <c r="C1117" t="inlineStr">
        <is>
          <t>US</t>
        </is>
      </c>
      <c r="D1117" t="inlineStr">
        <is>
          <t>Americas</t>
        </is>
      </c>
      <c r="E1117" t="inlineStr">
        <is>
          <t>L</t>
        </is>
      </c>
      <c r="F1117" t="inlineStr">
        <is>
          <t>FC</t>
        </is>
      </c>
      <c r="G1117" t="inlineStr">
        <is>
          <t>VH</t>
        </is>
      </c>
      <c r="H1117" t="inlineStr">
        <is>
          <t>5</t>
        </is>
      </c>
      <c r="I1117" t="inlineStr">
        <is>
          <t>Private not for Profit</t>
        </is>
      </c>
      <c r="J1117" t="inlineStr">
        <is>
          <t>334</t>
        </is>
      </c>
      <c r="K1117" t="inlineStr">
        <is>
          <t>344</t>
        </is>
      </c>
      <c r="L1117" t="inlineStr">
        <is>
          <t>379</t>
        </is>
      </c>
      <c r="M1117" t="inlineStr">
        <is>
          <t>312=</t>
        </is>
      </c>
      <c r="N1117" t="inlineStr">
        <is>
          <t>42.3</t>
        </is>
      </c>
      <c r="O1117" t="inlineStr">
        <is>
          <t>29.4</t>
        </is>
      </c>
      <c r="P1117" t="n">
        <v>23.8</v>
      </c>
      <c r="Q1117" t="inlineStr">
        <is>
          <t>532</t>
        </is>
      </c>
      <c r="R1117" t="n">
        <v>21.2</v>
      </c>
      <c r="S1117" t="inlineStr">
        <is>
          <t>619</t>
        </is>
      </c>
      <c r="T1117" t="n">
        <v>65.59999999999999</v>
      </c>
      <c r="U1117" t="inlineStr">
        <is>
          <t>264</t>
        </is>
      </c>
      <c r="V1117" t="n">
        <v>52.5</v>
      </c>
      <c r="W1117" t="inlineStr">
        <is>
          <t>360</t>
        </is>
      </c>
      <c r="X1117" t="n">
        <v>42.9</v>
      </c>
      <c r="Y1117" t="inlineStr">
        <is>
          <t>477</t>
        </is>
      </c>
      <c r="Z1117" t="n">
        <v>48.3</v>
      </c>
      <c r="AA1117" t="inlineStr">
        <is>
          <t>419</t>
        </is>
      </c>
      <c r="AB1117" t="n">
        <v>53.2</v>
      </c>
      <c r="AC1117" t="inlineStr">
        <is>
          <t>387</t>
        </is>
      </c>
      <c r="AD1117" t="n">
        <v>67</v>
      </c>
      <c r="AE1117" t="inlineStr">
        <is>
          <t>588</t>
        </is>
      </c>
      <c r="AF1117" t="n">
        <v>69.3</v>
      </c>
      <c r="AG1117" t="inlineStr">
        <is>
          <t>219</t>
        </is>
      </c>
      <c r="AH1117" t="n">
        <v>86.3</v>
      </c>
      <c r="AI1117" t="inlineStr">
        <is>
          <t>96</t>
        </is>
      </c>
      <c r="AJ1117" t="inlineStr">
        <is>
          <t>18.1</t>
        </is>
      </c>
      <c r="AK1117" t="inlineStr">
        <is>
          <t>497</t>
        </is>
      </c>
      <c r="AL1117" t="inlineStr">
        <is>
          <t>5.3</t>
        </is>
      </c>
      <c r="AM1117" t="inlineStr">
        <is>
          <t>601+</t>
        </is>
      </c>
      <c r="AN1117" t="inlineStr">
        <is>
          <t>56.2</t>
        </is>
      </c>
      <c r="AO1117" t="inlineStr">
        <is>
          <t>263</t>
        </is>
      </c>
      <c r="AP1117" t="inlineStr">
        <is>
          <t>42.9</t>
        </is>
      </c>
      <c r="AQ1117" t="inlineStr">
        <is>
          <t>312</t>
        </is>
      </c>
      <c r="AR1117" t="inlineStr">
        <is>
          <t>25.2</t>
        </is>
      </c>
      <c r="AS1117" t="inlineStr">
        <is>
          <t>532</t>
        </is>
      </c>
      <c r="AT1117" t="inlineStr">
        <is>
          <t>36.2</t>
        </is>
      </c>
      <c r="AU1117" t="inlineStr">
        <is>
          <t>374</t>
        </is>
      </c>
      <c r="AV1117" t="inlineStr">
        <is>
          <t>18.9</t>
        </is>
      </c>
      <c r="AW1117" t="inlineStr">
        <is>
          <t>552</t>
        </is>
      </c>
      <c r="AX1117" t="inlineStr">
        <is>
          <t>47.7</t>
        </is>
      </c>
      <c r="AY1117" t="inlineStr">
        <is>
          <t>143</t>
        </is>
      </c>
      <c r="AZ1117" t="inlineStr">
        <is>
          <t>50.9</t>
        </is>
      </c>
      <c r="BA1117" t="inlineStr">
        <is>
          <t>301=</t>
        </is>
      </c>
    </row>
    <row r="1118">
      <c r="A1118" t="inlineStr">
        <is>
          <t>Tulane University</t>
        </is>
      </c>
      <c r="B1118" t="inlineStr">
        <is>
          <t>United States</t>
        </is>
      </c>
      <c r="C1118" t="inlineStr">
        <is>
          <t>US</t>
        </is>
      </c>
      <c r="D1118" t="inlineStr">
        <is>
          <t>Americas</t>
        </is>
      </c>
      <c r="E1118" t="inlineStr">
        <is>
          <t>L</t>
        </is>
      </c>
      <c r="F1118" t="inlineStr">
        <is>
          <t>FC</t>
        </is>
      </c>
      <c r="G1118" t="inlineStr">
        <is>
          <t>HI</t>
        </is>
      </c>
      <c r="H1118" t="inlineStr">
        <is>
          <t>5</t>
        </is>
      </c>
      <c r="I1118" t="inlineStr">
        <is>
          <t>Private not for Profit</t>
        </is>
      </c>
      <c r="J1118" t="inlineStr">
        <is>
          <t>597</t>
        </is>
      </c>
      <c r="K1118" t="inlineStr">
        <is>
          <t>631-640</t>
        </is>
      </c>
      <c r="L1118">
        <f>600</f>
        <v/>
      </c>
      <c r="M1118" t="inlineStr">
        <is>
          <t>471=</t>
        </is>
      </c>
      <c r="N1118" t="inlineStr">
        <is>
          <t>28.3</t>
        </is>
      </c>
      <c r="O1118" t="inlineStr">
        <is>
          <t>19.8</t>
        </is>
      </c>
      <c r="P1118" t="n">
        <v>14.5</v>
      </c>
      <c r="Q1118" t="inlineStr">
        <is>
          <t>701+</t>
        </is>
      </c>
      <c r="R1118" t="n">
        <v>13.8</v>
      </c>
      <c r="S1118" t="inlineStr">
        <is>
          <t>701+</t>
        </is>
      </c>
      <c r="T1118" t="n">
        <v>87.2</v>
      </c>
      <c r="U1118" t="inlineStr">
        <is>
          <t>117</t>
        </is>
      </c>
      <c r="V1118" t="n">
        <v>17.5</v>
      </c>
      <c r="W1118" t="inlineStr">
        <is>
          <t>760</t>
        </is>
      </c>
      <c r="X1118" t="n">
        <v>20.3</v>
      </c>
      <c r="Y1118" t="inlineStr">
        <is>
          <t>708</t>
        </is>
      </c>
      <c r="Z1118" t="n">
        <v>18.5</v>
      </c>
      <c r="AA1118" t="inlineStr">
        <is>
          <t>752</t>
        </is>
      </c>
      <c r="AB1118" t="n">
        <v>24.6</v>
      </c>
      <c r="AC1118" t="inlineStr">
        <is>
          <t>692</t>
        </is>
      </c>
      <c r="AD1118" t="n">
        <v>79.2</v>
      </c>
      <c r="AE1118" t="inlineStr">
        <is>
          <t>363</t>
        </is>
      </c>
      <c r="AF1118" t="n">
        <v>46.2</v>
      </c>
      <c r="AG1118" t="inlineStr">
        <is>
          <t>375</t>
        </is>
      </c>
      <c r="AH1118" t="n">
        <v>51.8</v>
      </c>
      <c r="AI1118" t="inlineStr">
        <is>
          <t>665=</t>
        </is>
      </c>
      <c r="AJ1118" t="inlineStr">
        <is>
          <t>9.6</t>
        </is>
      </c>
      <c r="AK1118" t="inlineStr">
        <is>
          <t>601+</t>
        </is>
      </c>
      <c r="AL1118" t="inlineStr">
        <is>
          <t>5.0</t>
        </is>
      </c>
      <c r="AM1118" t="inlineStr">
        <is>
          <t>601+</t>
        </is>
      </c>
      <c r="AN1118" t="inlineStr">
        <is>
          <t>81.5</t>
        </is>
      </c>
      <c r="AO1118" t="inlineStr">
        <is>
          <t>134</t>
        </is>
      </c>
      <c r="AP1118" t="inlineStr">
        <is>
          <t>10.4</t>
        </is>
      </c>
      <c r="AQ1118" t="inlineStr">
        <is>
          <t>701+</t>
        </is>
      </c>
      <c r="AR1118" t="inlineStr">
        <is>
          <t>16.9</t>
        </is>
      </c>
      <c r="AS1118" t="inlineStr">
        <is>
          <t>631</t>
        </is>
      </c>
      <c r="AT1118" t="inlineStr">
        <is>
          <t>14.5</t>
        </is>
      </c>
      <c r="AU1118" t="inlineStr">
        <is>
          <t>630</t>
        </is>
      </c>
      <c r="AV1118" t="inlineStr">
        <is>
          <t>45.5</t>
        </is>
      </c>
      <c r="AW1118" t="inlineStr">
        <is>
          <t>339</t>
        </is>
      </c>
      <c r="AX1118" t="inlineStr">
        <is>
          <t>22.7</t>
        </is>
      </c>
      <c r="AY1118" t="inlineStr">
        <is>
          <t>367</t>
        </is>
      </c>
      <c r="AZ1118" t="inlineStr">
        <is>
          <t>21.4</t>
        </is>
      </c>
      <c r="BA1118" t="inlineStr">
        <is>
          <t>531=</t>
        </is>
      </c>
    </row>
    <row r="1119">
      <c r="A1119" t="inlineStr">
        <is>
          <t>Tunghai University</t>
        </is>
      </c>
      <c r="B1119" t="inlineStr">
        <is>
          <t>Taiwan</t>
        </is>
      </c>
      <c r="C1119" t="inlineStr">
        <is>
          <t>TW</t>
        </is>
      </c>
      <c r="D1119" t="inlineStr">
        <is>
          <t>Asia</t>
        </is>
      </c>
      <c r="E1119" t="inlineStr">
        <is>
          <t>L</t>
        </is>
      </c>
      <c r="F1119" t="inlineStr">
        <is>
          <t>FO</t>
        </is>
      </c>
      <c r="G1119" t="inlineStr">
        <is>
          <t>VH</t>
        </is>
      </c>
      <c r="H1119" t="inlineStr">
        <is>
          <t>4</t>
        </is>
      </c>
      <c r="I1119" t="inlineStr">
        <is>
          <t>Private for Profit</t>
        </is>
      </c>
      <c r="J1119" t="inlineStr">
        <is>
          <t>1201-1400</t>
        </is>
      </c>
      <c r="K1119" t="inlineStr">
        <is>
          <t>1201-1400</t>
        </is>
      </c>
      <c r="L1119" t="inlineStr">
        <is>
          <t>1201-1400</t>
        </is>
      </c>
      <c r="M1119" t="inlineStr">
        <is>
          <t>1201-1400</t>
        </is>
      </c>
      <c r="N1119" t="inlineStr">
        <is>
          <t>-</t>
        </is>
      </c>
      <c r="O1119" t="inlineStr">
        <is>
          <t>-</t>
        </is>
      </c>
      <c r="P1119" t="n">
        <v>10.1</v>
      </c>
      <c r="Q1119" t="inlineStr">
        <is>
          <t>701+</t>
        </is>
      </c>
      <c r="R1119" t="n">
        <v>9.199999999999999</v>
      </c>
      <c r="S1119" t="inlineStr">
        <is>
          <t>701+</t>
        </is>
      </c>
      <c r="T1119" t="n">
        <v>6.7</v>
      </c>
      <c r="U1119" t="inlineStr">
        <is>
          <t>801+</t>
        </is>
      </c>
      <c r="V1119" t="n">
        <v>13.1</v>
      </c>
      <c r="W1119" t="inlineStr">
        <is>
          <t>801+</t>
        </is>
      </c>
      <c r="X1119" t="n">
        <v>13.5</v>
      </c>
      <c r="Y1119" t="inlineStr">
        <is>
          <t>801+</t>
        </is>
      </c>
      <c r="Z1119" t="n">
        <v>17.8</v>
      </c>
      <c r="AA1119" t="inlineStr">
        <is>
          <t>765</t>
        </is>
      </c>
      <c r="AB1119" t="n">
        <v>21.7</v>
      </c>
      <c r="AC1119" t="inlineStr">
        <is>
          <t>735</t>
        </is>
      </c>
      <c r="AD1119" t="n">
        <v>28.2</v>
      </c>
      <c r="AE1119" t="inlineStr">
        <is>
          <t>801+</t>
        </is>
      </c>
      <c r="AF1119" t="n">
        <v>21.9</v>
      </c>
      <c r="AG1119" t="inlineStr">
        <is>
          <t>696</t>
        </is>
      </c>
      <c r="AH1119" t="n">
        <v>47.5</v>
      </c>
      <c r="AI1119" t="inlineStr">
        <is>
          <t>774=</t>
        </is>
      </c>
      <c r="AJ1119" t="inlineStr">
        <is>
          <t>6.2</t>
        </is>
      </c>
      <c r="AK1119" t="inlineStr">
        <is>
          <t>601+</t>
        </is>
      </c>
      <c r="AL1119" t="inlineStr">
        <is>
          <t>6.1</t>
        </is>
      </c>
      <c r="AM1119" t="inlineStr">
        <is>
          <t>601+</t>
        </is>
      </c>
      <c r="AN1119" t="inlineStr">
        <is>
          <t>5.2</t>
        </is>
      </c>
      <c r="AO1119" t="inlineStr">
        <is>
          <t>701+</t>
        </is>
      </c>
      <c r="AP1119" t="inlineStr">
        <is>
          <t>4.5</t>
        </is>
      </c>
      <c r="AQ1119" t="inlineStr">
        <is>
          <t>701+</t>
        </is>
      </c>
      <c r="AR1119" t="inlineStr">
        <is>
          <t>10.2</t>
        </is>
      </c>
      <c r="AS1119" t="inlineStr">
        <is>
          <t>701+</t>
        </is>
      </c>
      <c r="AT1119" t="inlineStr">
        <is>
          <t>9.3</t>
        </is>
      </c>
      <c r="AU1119" t="inlineStr">
        <is>
          <t>701+</t>
        </is>
      </c>
      <c r="AV1119" t="inlineStr">
        <is>
          <t>1.1</t>
        </is>
      </c>
      <c r="AW1119" t="inlineStr">
        <is>
          <t>701+</t>
        </is>
      </c>
      <c r="AX1119" t="inlineStr">
        <is>
          <t>12.6</t>
        </is>
      </c>
      <c r="AY1119" t="inlineStr">
        <is>
          <t>688</t>
        </is>
      </c>
      <c r="AZ1119" t="inlineStr">
        <is>
          <t>3.9</t>
        </is>
      </c>
      <c r="BA1119" t="inlineStr">
        <is>
          <t>701+</t>
        </is>
      </c>
    </row>
    <row r="1120">
      <c r="A1120" t="inlineStr">
        <is>
          <t>UCAM Universidad Católica San Antonio de Murcia</t>
        </is>
      </c>
      <c r="B1120" t="inlineStr">
        <is>
          <t>Spain</t>
        </is>
      </c>
      <c r="C1120" t="inlineStr"/>
      <c r="D1120" t="inlineStr">
        <is>
          <t>Europe</t>
        </is>
      </c>
      <c r="E1120" t="inlineStr">
        <is>
          <t>L</t>
        </is>
      </c>
      <c r="F1120" t="inlineStr">
        <is>
          <t>FO</t>
        </is>
      </c>
      <c r="G1120" t="inlineStr">
        <is>
          <t>VH</t>
        </is>
      </c>
      <c r="H1120" t="inlineStr"/>
      <c r="I1120" t="inlineStr"/>
      <c r="J1120" t="inlineStr">
        <is>
          <t>1201-1400</t>
        </is>
      </c>
      <c r="K1120" t="inlineStr"/>
      <c r="L1120" t="inlineStr"/>
      <c r="M1120" t="inlineStr"/>
      <c r="N1120" t="inlineStr">
        <is>
          <t>-</t>
        </is>
      </c>
      <c r="O1120" t="inlineStr"/>
      <c r="P1120" t="n">
        <v>9.6</v>
      </c>
      <c r="Q1120" t="inlineStr">
        <is>
          <t>701+</t>
        </is>
      </c>
      <c r="R1120" t="n">
        <v>5.6</v>
      </c>
      <c r="S1120" t="inlineStr">
        <is>
          <t>701+</t>
        </is>
      </c>
      <c r="T1120" t="n">
        <v>9.9</v>
      </c>
      <c r="U1120" t="inlineStr">
        <is>
          <t>801+</t>
        </is>
      </c>
      <c r="V1120" t="n">
        <v>7.5</v>
      </c>
      <c r="W1120" t="inlineStr">
        <is>
          <t>801+</t>
        </is>
      </c>
      <c r="X1120" t="n">
        <v>14.6</v>
      </c>
      <c r="Y1120" t="inlineStr">
        <is>
          <t>801+</t>
        </is>
      </c>
      <c r="Z1120" t="n">
        <v>43.8</v>
      </c>
      <c r="AA1120" t="inlineStr">
        <is>
          <t>460</t>
        </is>
      </c>
      <c r="AB1120" t="n">
        <v>49</v>
      </c>
      <c r="AC1120" t="inlineStr">
        <is>
          <t>425</t>
        </is>
      </c>
      <c r="AD1120" t="n">
        <v>23.9</v>
      </c>
      <c r="AE1120" t="inlineStr">
        <is>
          <t>801+</t>
        </is>
      </c>
      <c r="AF1120" t="n">
        <v>1.8</v>
      </c>
      <c r="AG1120" t="inlineStr">
        <is>
          <t>801+</t>
        </is>
      </c>
      <c r="AH1120" t="n">
        <v>41.4</v>
      </c>
      <c r="AI1120" t="inlineStr">
        <is>
          <t>801+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</row>
    <row r="1121">
      <c r="A1121" t="inlineStr">
        <is>
          <t>UCL</t>
        </is>
      </c>
      <c r="B1121" t="inlineStr">
        <is>
          <t>United Kingdom</t>
        </is>
      </c>
      <c r="C1121" t="inlineStr">
        <is>
          <t>UK</t>
        </is>
      </c>
      <c r="D1121" t="inlineStr"/>
      <c r="E1121" t="inlineStr">
        <is>
          <t>XL</t>
        </is>
      </c>
      <c r="F1121" t="inlineStr">
        <is>
          <t>FC</t>
        </is>
      </c>
      <c r="G1121" t="inlineStr">
        <is>
          <t>VH</t>
        </is>
      </c>
      <c r="H1121" t="inlineStr">
        <is>
          <t>5</t>
        </is>
      </c>
      <c r="I1121" t="inlineStr">
        <is>
          <t>A</t>
        </is>
      </c>
      <c r="J1121" t="inlineStr"/>
      <c r="K1121" t="inlineStr"/>
      <c r="L1121" t="inlineStr">
        <is>
          <t>9</t>
        </is>
      </c>
      <c r="M1121" t="inlineStr">
        <is>
          <t>8</t>
        </is>
      </c>
      <c r="N1121" t="inlineStr"/>
      <c r="O1121" t="inlineStr">
        <is>
          <t>92.4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>
        <is>
          <t>99.5</t>
        </is>
      </c>
      <c r="AK1121" t="inlineStr">
        <is>
          <t>13</t>
        </is>
      </c>
      <c r="AL1121" t="inlineStr">
        <is>
          <t>97.9</t>
        </is>
      </c>
      <c r="AM1121" t="inlineStr">
        <is>
          <t>22</t>
        </is>
      </c>
      <c r="AN1121" t="inlineStr">
        <is>
          <t>98.4</t>
        </is>
      </c>
      <c r="AO1121" t="inlineStr">
        <is>
          <t>43</t>
        </is>
      </c>
      <c r="AP1121" t="inlineStr">
        <is>
          <t>74.3</t>
        </is>
      </c>
      <c r="AQ1121" t="inlineStr">
        <is>
          <t>131</t>
        </is>
      </c>
      <c r="AR1121" t="inlineStr">
        <is>
          <t>99.1</t>
        </is>
      </c>
      <c r="AS1121" t="inlineStr">
        <is>
          <t>96</t>
        </is>
      </c>
      <c r="AT1121" t="inlineStr">
        <is>
          <t>100.0</t>
        </is>
      </c>
      <c r="AU1121" t="inlineStr">
        <is>
          <t>15</t>
        </is>
      </c>
      <c r="AV1121" t="inlineStr">
        <is>
          <t>100.0</t>
        </is>
      </c>
      <c r="AW1121" t="inlineStr">
        <is>
          <t>2</t>
        </is>
      </c>
      <c r="AX1121" t="inlineStr">
        <is>
          <t>51.6</t>
        </is>
      </c>
      <c r="AY1121" t="inlineStr">
        <is>
          <t>126</t>
        </is>
      </c>
      <c r="AZ1121" t="inlineStr">
        <is>
          <t>92.5</t>
        </is>
      </c>
      <c r="BA1121" t="inlineStr">
        <is>
          <t>74</t>
        </is>
      </c>
    </row>
    <row r="1122">
      <c r="A1122" t="inlineStr">
        <is>
          <t>UCL (University College London)</t>
        </is>
      </c>
      <c r="B1122" t="inlineStr">
        <is>
          <t>United Kingdom</t>
        </is>
      </c>
      <c r="C1122" t="inlineStr"/>
      <c r="D1122" t="inlineStr">
        <is>
          <t>Europe</t>
        </is>
      </c>
      <c r="E1122" t="inlineStr">
        <is>
          <t>XL</t>
        </is>
      </c>
      <c r="F1122" t="inlineStr">
        <is>
          <t>FC</t>
        </is>
      </c>
      <c r="G1122" t="inlineStr">
        <is>
          <t>VH</t>
        </is>
      </c>
      <c r="H1122" t="inlineStr"/>
      <c r="I1122" t="inlineStr">
        <is>
          <t>Public</t>
        </is>
      </c>
      <c r="J1122" t="inlineStr">
        <is>
          <t>9</t>
        </is>
      </c>
      <c r="K1122" t="inlineStr">
        <is>
          <t>9</t>
        </is>
      </c>
      <c r="L1122" t="inlineStr"/>
      <c r="M1122" t="inlineStr"/>
      <c r="N1122" t="inlineStr">
        <is>
          <t>95.8</t>
        </is>
      </c>
      <c r="O1122" t="inlineStr"/>
      <c r="P1122" t="n">
        <v>99.90000000000001</v>
      </c>
      <c r="Q1122" t="inlineStr">
        <is>
          <t>15</t>
        </is>
      </c>
      <c r="R1122" t="n">
        <v>99.40000000000001</v>
      </c>
      <c r="S1122" t="inlineStr">
        <is>
          <t>18</t>
        </is>
      </c>
      <c r="T1122" t="n">
        <v>94.8</v>
      </c>
      <c r="U1122" t="inlineStr">
        <is>
          <t>77</t>
        </is>
      </c>
      <c r="V1122" t="n">
        <v>80.90000000000001</v>
      </c>
      <c r="W1122" t="inlineStr">
        <is>
          <t>151</t>
        </is>
      </c>
      <c r="X1122" t="n">
        <v>99.59999999999999</v>
      </c>
      <c r="Y1122" t="inlineStr">
        <is>
          <t>108</t>
        </is>
      </c>
      <c r="Z1122" t="n">
        <v>100</v>
      </c>
      <c r="AA1122" t="inlineStr">
        <is>
          <t>27</t>
        </is>
      </c>
      <c r="AB1122" t="n">
        <v>100</v>
      </c>
      <c r="AC1122" t="inlineStr">
        <is>
          <t>17</t>
        </is>
      </c>
      <c r="AD1122" t="n">
        <v>99.90000000000001</v>
      </c>
      <c r="AE1122" t="inlineStr">
        <is>
          <t>2</t>
        </is>
      </c>
      <c r="AF1122" t="n">
        <v>89.3</v>
      </c>
      <c r="AG1122" t="inlineStr">
        <is>
          <t>111</t>
        </is>
      </c>
      <c r="AH1122" t="n">
        <v>98.5</v>
      </c>
      <c r="AI1122" t="inlineStr">
        <is>
          <t>5=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</row>
    <row r="1123">
      <c r="A1123" t="inlineStr">
        <is>
          <t>UCSI University</t>
        </is>
      </c>
      <c r="B1123" t="inlineStr">
        <is>
          <t>Malaysia</t>
        </is>
      </c>
      <c r="C1123" t="inlineStr">
        <is>
          <t>MY</t>
        </is>
      </c>
      <c r="D1123" t="inlineStr">
        <is>
          <t>Asia</t>
        </is>
      </c>
      <c r="E1123" t="inlineStr">
        <is>
          <t>M</t>
        </is>
      </c>
      <c r="F1123" t="inlineStr">
        <is>
          <t>FO</t>
        </is>
      </c>
      <c r="G1123" t="inlineStr">
        <is>
          <t>VH</t>
        </is>
      </c>
      <c r="H1123" t="inlineStr">
        <is>
          <t>2</t>
        </is>
      </c>
      <c r="I1123" t="inlineStr">
        <is>
          <t>Private for Profit</t>
        </is>
      </c>
      <c r="J1123" t="inlineStr">
        <is>
          <t>269</t>
        </is>
      </c>
      <c r="K1123" t="inlineStr">
        <is>
          <t>265</t>
        </is>
      </c>
      <c r="L1123" t="inlineStr">
        <is>
          <t>300</t>
        </is>
      </c>
      <c r="M1123" t="inlineStr">
        <is>
          <t>284=</t>
        </is>
      </c>
      <c r="N1123" t="inlineStr">
        <is>
          <t>48.5</t>
        </is>
      </c>
      <c r="O1123" t="inlineStr">
        <is>
          <t>34.7</t>
        </is>
      </c>
      <c r="P1123" t="n">
        <v>40.7</v>
      </c>
      <c r="Q1123" t="inlineStr">
        <is>
          <t>293</t>
        </is>
      </c>
      <c r="R1123" t="n">
        <v>70.40000000000001</v>
      </c>
      <c r="S1123" t="inlineStr">
        <is>
          <t>145</t>
        </is>
      </c>
      <c r="T1123" t="n">
        <v>87.7</v>
      </c>
      <c r="U1123" t="inlineStr">
        <is>
          <t>113</t>
        </is>
      </c>
      <c r="V1123" t="n">
        <v>8.6</v>
      </c>
      <c r="W1123" t="inlineStr">
        <is>
          <t>801+</t>
        </is>
      </c>
      <c r="X1123" t="n">
        <v>92.90000000000001</v>
      </c>
      <c r="Y1123" t="inlineStr">
        <is>
          <t>201</t>
        </is>
      </c>
      <c r="Z1123" t="n">
        <v>99</v>
      </c>
      <c r="AA1123" t="inlineStr">
        <is>
          <t>69</t>
        </is>
      </c>
      <c r="AB1123" t="n">
        <v>98.90000000000001</v>
      </c>
      <c r="AC1123" t="inlineStr">
        <is>
          <t>64</t>
        </is>
      </c>
      <c r="AD1123" t="n">
        <v>50</v>
      </c>
      <c r="AE1123" t="inlineStr">
        <is>
          <t>801+</t>
        </is>
      </c>
      <c r="AF1123" t="n">
        <v>13.3</v>
      </c>
      <c r="AG1123" t="inlineStr">
        <is>
          <t>801+</t>
        </is>
      </c>
      <c r="AH1123" t="n">
        <v>61.6</v>
      </c>
      <c r="AI1123" t="inlineStr">
        <is>
          <t>466</t>
        </is>
      </c>
      <c r="AJ1123" t="inlineStr">
        <is>
          <t>22.5</t>
        </is>
      </c>
      <c r="AK1123" t="inlineStr">
        <is>
          <t>392</t>
        </is>
      </c>
      <c r="AL1123" t="inlineStr">
        <is>
          <t>58.4</t>
        </is>
      </c>
      <c r="AM1123" t="inlineStr">
        <is>
          <t>140</t>
        </is>
      </c>
      <c r="AN1123" t="inlineStr">
        <is>
          <t>72.6</t>
        </is>
      </c>
      <c r="AO1123" t="inlineStr">
        <is>
          <t>174</t>
        </is>
      </c>
      <c r="AP1123" t="inlineStr">
        <is>
          <t>3.2</t>
        </is>
      </c>
      <c r="AQ1123" t="inlineStr">
        <is>
          <t>701+</t>
        </is>
      </c>
      <c r="AR1123" t="inlineStr">
        <is>
          <t>83.7</t>
        </is>
      </c>
      <c r="AS1123" t="inlineStr">
        <is>
          <t>219</t>
        </is>
      </c>
      <c r="AT1123" t="inlineStr">
        <is>
          <t>98.0</t>
        </is>
      </c>
      <c r="AU1123" t="inlineStr">
        <is>
          <t>63</t>
        </is>
      </c>
      <c r="AV1123" t="inlineStr">
        <is>
          <t>1.3</t>
        </is>
      </c>
      <c r="AW1123" t="inlineStr">
        <is>
          <t>701+</t>
        </is>
      </c>
      <c r="AX1123" t="inlineStr">
        <is>
          <t>15.8</t>
        </is>
      </c>
      <c r="AY1123" t="inlineStr">
        <is>
          <t>528</t>
        </is>
      </c>
      <c r="AZ1123" t="inlineStr">
        <is>
          <t>24.6</t>
        </is>
      </c>
      <c r="BA1123" t="inlineStr">
        <is>
          <t>495=</t>
        </is>
      </c>
    </row>
    <row r="1124">
      <c r="A1124" t="inlineStr">
        <is>
          <t>Udayana University</t>
        </is>
      </c>
      <c r="B1124" t="inlineStr">
        <is>
          <t>Indonesia</t>
        </is>
      </c>
      <c r="C1124" t="inlineStr">
        <is>
          <t>ID</t>
        </is>
      </c>
      <c r="D1124" t="inlineStr"/>
      <c r="E1124" t="inlineStr">
        <is>
          <t>L</t>
        </is>
      </c>
      <c r="F1124" t="inlineStr">
        <is>
          <t>FC</t>
        </is>
      </c>
      <c r="G1124" t="inlineStr">
        <is>
          <t>MD</t>
        </is>
      </c>
      <c r="H1124" t="inlineStr">
        <is>
          <t>4</t>
        </is>
      </c>
      <c r="I1124" t="inlineStr">
        <is>
          <t>A</t>
        </is>
      </c>
      <c r="J1124" t="inlineStr"/>
      <c r="K1124" t="inlineStr"/>
      <c r="L1124" t="inlineStr">
        <is>
          <t>1401+</t>
        </is>
      </c>
      <c r="M1124" t="inlineStr"/>
      <c r="N1124" t="inlineStr"/>
      <c r="O1124" t="inlineStr">
        <is>
          <t>-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>
        <is>
          <t>5.6</t>
        </is>
      </c>
      <c r="AK1124" t="inlineStr">
        <is>
          <t>601+</t>
        </is>
      </c>
      <c r="AL1124" t="inlineStr">
        <is>
          <t>3.9</t>
        </is>
      </c>
      <c r="AM1124" t="inlineStr">
        <is>
          <t>601+</t>
        </is>
      </c>
      <c r="AN1124" t="inlineStr">
        <is>
          <t>6.5</t>
        </is>
      </c>
      <c r="AO1124" t="inlineStr">
        <is>
          <t>701+</t>
        </is>
      </c>
      <c r="AP1124" t="inlineStr">
        <is>
          <t>1.3</t>
        </is>
      </c>
      <c r="AQ1124" t="inlineStr">
        <is>
          <t>701+</t>
        </is>
      </c>
      <c r="AR1124" t="inlineStr">
        <is>
          <t>3.6</t>
        </is>
      </c>
      <c r="AS1124" t="inlineStr">
        <is>
          <t>701+</t>
        </is>
      </c>
      <c r="AT1124" t="inlineStr">
        <is>
          <t>9.6</t>
        </is>
      </c>
      <c r="AU1124" t="inlineStr">
        <is>
          <t>701+</t>
        </is>
      </c>
      <c r="AV1124" t="inlineStr">
        <is>
          <t>1.0</t>
        </is>
      </c>
      <c r="AW1124" t="inlineStr">
        <is>
          <t>701+</t>
        </is>
      </c>
      <c r="AX1124" t="inlineStr">
        <is>
          <t>5</t>
        </is>
      </c>
      <c r="AY1124" t="inlineStr">
        <is>
          <t>701+</t>
        </is>
      </c>
      <c r="AZ1124" t="inlineStr">
        <is>
          <t>1.1</t>
        </is>
      </c>
      <c r="BA1124" t="inlineStr">
        <is>
          <t>701+</t>
        </is>
      </c>
    </row>
    <row r="1125">
      <c r="A1125" t="inlineStr">
        <is>
          <t xml:space="preserve">Ufa State Aviation Technical University </t>
        </is>
      </c>
      <c r="B1125" t="inlineStr">
        <is>
          <t>Russia</t>
        </is>
      </c>
      <c r="C1125" t="inlineStr">
        <is>
          <t>RU</t>
        </is>
      </c>
      <c r="D1125" t="inlineStr"/>
      <c r="E1125" t="inlineStr">
        <is>
          <t>M</t>
        </is>
      </c>
      <c r="F1125" t="inlineStr">
        <is>
          <t>FO</t>
        </is>
      </c>
      <c r="G1125" t="inlineStr">
        <is>
          <t>VH</t>
        </is>
      </c>
      <c r="H1125" t="inlineStr">
        <is>
          <t>3</t>
        </is>
      </c>
      <c r="I1125" t="inlineStr">
        <is>
          <t>A</t>
        </is>
      </c>
      <c r="J1125" t="inlineStr"/>
      <c r="K1125" t="inlineStr"/>
      <c r="L1125" t="inlineStr">
        <is>
          <t>1001-1200</t>
        </is>
      </c>
      <c r="M1125" t="inlineStr">
        <is>
          <t>801-1000</t>
        </is>
      </c>
      <c r="N1125" t="inlineStr"/>
      <c r="O1125" t="inlineStr">
        <is>
          <t>-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>
        <is>
          <t>3.9</t>
        </is>
      </c>
      <c r="AK1125" t="inlineStr">
        <is>
          <t>601+</t>
        </is>
      </c>
      <c r="AL1125" t="inlineStr">
        <is>
          <t>2.0</t>
        </is>
      </c>
      <c r="AM1125" t="inlineStr">
        <is>
          <t>601+</t>
        </is>
      </c>
      <c r="AN1125" t="inlineStr">
        <is>
          <t>51.0</t>
        </is>
      </c>
      <c r="AO1125" t="inlineStr">
        <is>
          <t>307</t>
        </is>
      </c>
      <c r="AP1125" t="inlineStr">
        <is>
          <t>1.5</t>
        </is>
      </c>
      <c r="AQ1125" t="inlineStr">
        <is>
          <t>701+</t>
        </is>
      </c>
      <c r="AR1125" t="inlineStr">
        <is>
          <t>1.2</t>
        </is>
      </c>
      <c r="AS1125" t="inlineStr">
        <is>
          <t>701+</t>
        </is>
      </c>
      <c r="AT1125" t="inlineStr">
        <is>
          <t>2.3</t>
        </is>
      </c>
      <c r="AU1125" t="inlineStr">
        <is>
          <t>701+</t>
        </is>
      </c>
      <c r="AV1125" t="inlineStr"/>
      <c r="AW1125" t="inlineStr"/>
      <c r="AX1125" t="inlineStr">
        <is>
          <t>8</t>
        </is>
      </c>
      <c r="AY1125" t="inlineStr">
        <is>
          <t>701+</t>
        </is>
      </c>
      <c r="AZ1125" t="inlineStr">
        <is>
          <t>1.2</t>
        </is>
      </c>
      <c r="BA1125" t="inlineStr">
        <is>
          <t>701+</t>
        </is>
      </c>
    </row>
    <row r="1126">
      <c r="A1126" t="inlineStr">
        <is>
          <t>Ulsan National Institute of Science and Technology</t>
        </is>
      </c>
      <c r="B1126" t="inlineStr">
        <is>
          <t>Republic of Korea</t>
        </is>
      </c>
      <c r="C1126" t="inlineStr"/>
      <c r="D1126" t="inlineStr">
        <is>
          <t>Asia</t>
        </is>
      </c>
      <c r="E1126" t="inlineStr">
        <is>
          <t>S</t>
        </is>
      </c>
      <c r="F1126" t="inlineStr">
        <is>
          <t>FO</t>
        </is>
      </c>
      <c r="G1126" t="inlineStr">
        <is>
          <t>VH</t>
        </is>
      </c>
      <c r="H1126" t="inlineStr"/>
      <c r="I1126" t="inlineStr">
        <is>
          <t>Public</t>
        </is>
      </c>
      <c r="J1126" t="inlineStr">
        <is>
          <t>310</t>
        </is>
      </c>
      <c r="K1126" t="inlineStr">
        <is>
          <t>280</t>
        </is>
      </c>
      <c r="L1126" t="inlineStr"/>
      <c r="M1126" t="inlineStr"/>
      <c r="N1126" t="inlineStr">
        <is>
          <t>44.5</t>
        </is>
      </c>
      <c r="O1126" t="inlineStr"/>
      <c r="P1126" t="n">
        <v>21.8</v>
      </c>
      <c r="Q1126" t="inlineStr">
        <is>
          <t>571</t>
        </is>
      </c>
      <c r="R1126" t="n">
        <v>16.3</v>
      </c>
      <c r="S1126" t="inlineStr">
        <is>
          <t>701+</t>
        </is>
      </c>
      <c r="T1126" t="n">
        <v>92.5</v>
      </c>
      <c r="U1126" t="inlineStr">
        <is>
          <t>92</t>
        </is>
      </c>
      <c r="V1126" t="n">
        <v>99.5</v>
      </c>
      <c r="W1126" t="inlineStr">
        <is>
          <t>29</t>
        </is>
      </c>
      <c r="X1126" t="n">
        <v>37.4</v>
      </c>
      <c r="Y1126" t="inlineStr">
        <is>
          <t>520</t>
        </is>
      </c>
      <c r="Z1126" t="n">
        <v>15.5</v>
      </c>
      <c r="AA1126" t="inlineStr">
        <is>
          <t>801+</t>
        </is>
      </c>
      <c r="AB1126" t="n">
        <v>18.9</v>
      </c>
      <c r="AC1126" t="inlineStr">
        <is>
          <t>782</t>
        </is>
      </c>
      <c r="AD1126" t="n">
        <v>26.7</v>
      </c>
      <c r="AE1126" t="inlineStr">
        <is>
          <t>801+</t>
        </is>
      </c>
      <c r="AF1126" t="n">
        <v>3.9</v>
      </c>
      <c r="AG1126" t="inlineStr">
        <is>
          <t>801+</t>
        </is>
      </c>
      <c r="AH1126" t="n">
        <v>57.5</v>
      </c>
      <c r="AI1126" t="inlineStr">
        <is>
          <t>550=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</row>
    <row r="1127">
      <c r="A1127" t="inlineStr">
        <is>
          <t>Ulsan National Institute of Science and Technology (UNIST)</t>
        </is>
      </c>
      <c r="B1127" t="inlineStr">
        <is>
          <t>South Korea</t>
        </is>
      </c>
      <c r="C1127" t="inlineStr">
        <is>
          <t>KR</t>
        </is>
      </c>
      <c r="D1127" t="inlineStr"/>
      <c r="E1127" t="inlineStr">
        <is>
          <t>S</t>
        </is>
      </c>
      <c r="F1127" t="inlineStr">
        <is>
          <t>FO</t>
        </is>
      </c>
      <c r="G1127" t="inlineStr">
        <is>
          <t>VH</t>
        </is>
      </c>
      <c r="H1127" t="inlineStr">
        <is>
          <t>2</t>
        </is>
      </c>
      <c r="I1127" t="inlineStr">
        <is>
          <t>A</t>
        </is>
      </c>
      <c r="J1127" t="inlineStr"/>
      <c r="K1127" t="inlineStr"/>
      <c r="L1127">
        <f>266</f>
        <v/>
      </c>
      <c r="M1127" t="inlineStr">
        <is>
          <t>197=</t>
        </is>
      </c>
      <c r="N1127" t="inlineStr"/>
      <c r="O1127" t="inlineStr">
        <is>
          <t>37.7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>
        <is>
          <t>15.0</t>
        </is>
      </c>
      <c r="AK1127" t="inlineStr">
        <is>
          <t>579</t>
        </is>
      </c>
      <c r="AL1127" t="inlineStr">
        <is>
          <t>11.9</t>
        </is>
      </c>
      <c r="AM1127" t="inlineStr">
        <is>
          <t>601+</t>
        </is>
      </c>
      <c r="AN1127" t="inlineStr">
        <is>
          <t>84.1</t>
        </is>
      </c>
      <c r="AO1127" t="inlineStr">
        <is>
          <t>114</t>
        </is>
      </c>
      <c r="AP1127" t="inlineStr">
        <is>
          <t>98.6</t>
        </is>
      </c>
      <c r="AQ1127" t="inlineStr">
        <is>
          <t>25</t>
        </is>
      </c>
      <c r="AR1127" t="inlineStr">
        <is>
          <t>41.5</t>
        </is>
      </c>
      <c r="AS1127" t="inlineStr">
        <is>
          <t>399</t>
        </is>
      </c>
      <c r="AT1127" t="inlineStr">
        <is>
          <t>10.9</t>
        </is>
      </c>
      <c r="AU1127" t="inlineStr">
        <is>
          <t>692</t>
        </is>
      </c>
      <c r="AV1127" t="inlineStr">
        <is>
          <t>1.2</t>
        </is>
      </c>
      <c r="AW1127" t="inlineStr">
        <is>
          <t>701+</t>
        </is>
      </c>
      <c r="AX1127" t="inlineStr">
        <is>
          <t>8.4</t>
        </is>
      </c>
      <c r="AY1127" t="inlineStr">
        <is>
          <t>701+</t>
        </is>
      </c>
      <c r="AZ1127" t="inlineStr">
        <is>
          <t>1.8</t>
        </is>
      </c>
      <c r="BA1127" t="inlineStr">
        <is>
          <t>701+</t>
        </is>
      </c>
    </row>
    <row r="1128">
      <c r="A1128" t="inlineStr">
        <is>
          <t>Ulster University</t>
        </is>
      </c>
      <c r="B1128" t="inlineStr">
        <is>
          <t>United Kingdom</t>
        </is>
      </c>
      <c r="C1128" t="inlineStr">
        <is>
          <t>UK</t>
        </is>
      </c>
      <c r="D1128" t="inlineStr"/>
      <c r="E1128" t="inlineStr">
        <is>
          <t>L</t>
        </is>
      </c>
      <c r="F1128" t="inlineStr">
        <is>
          <t>CO</t>
        </is>
      </c>
      <c r="G1128" t="inlineStr">
        <is>
          <t>VH</t>
        </is>
      </c>
      <c r="H1128" t="inlineStr">
        <is>
          <t>4</t>
        </is>
      </c>
      <c r="I1128" t="inlineStr">
        <is>
          <t>A</t>
        </is>
      </c>
      <c r="J1128" t="inlineStr"/>
      <c r="K1128" t="inlineStr"/>
      <c r="L1128">
        <f>498</f>
        <v/>
      </c>
      <c r="M1128" t="inlineStr">
        <is>
          <t>601-650</t>
        </is>
      </c>
      <c r="N1128" t="inlineStr"/>
      <c r="O1128" t="inlineStr">
        <is>
          <t>23.2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>
        <is>
          <t>8.4</t>
        </is>
      </c>
      <c r="AK1128" t="inlineStr">
        <is>
          <t>601+</t>
        </is>
      </c>
      <c r="AL1128" t="inlineStr">
        <is>
          <t>13.0</t>
        </is>
      </c>
      <c r="AM1128" t="inlineStr">
        <is>
          <t>601+</t>
        </is>
      </c>
      <c r="AN1128" t="inlineStr">
        <is>
          <t>11.9</t>
        </is>
      </c>
      <c r="AO1128" t="inlineStr">
        <is>
          <t>701+</t>
        </is>
      </c>
      <c r="AP1128" t="inlineStr">
        <is>
          <t>12.1</t>
        </is>
      </c>
      <c r="AQ1128" t="inlineStr">
        <is>
          <t>697</t>
        </is>
      </c>
      <c r="AR1128" t="inlineStr">
        <is>
          <t>100.0</t>
        </is>
      </c>
      <c r="AS1128" t="inlineStr">
        <is>
          <t>72</t>
        </is>
      </c>
      <c r="AT1128" t="inlineStr">
        <is>
          <t>90.5</t>
        </is>
      </c>
      <c r="AU1128" t="inlineStr">
        <is>
          <t>117</t>
        </is>
      </c>
      <c r="AV1128" t="inlineStr">
        <is>
          <t>38.5</t>
        </is>
      </c>
      <c r="AW1128" t="inlineStr">
        <is>
          <t>388</t>
        </is>
      </c>
      <c r="AX1128" t="inlineStr">
        <is>
          <t>11.6</t>
        </is>
      </c>
      <c r="AY1128" t="inlineStr">
        <is>
          <t>701+</t>
        </is>
      </c>
      <c r="AZ1128" t="inlineStr">
        <is>
          <t>63.7</t>
        </is>
      </c>
      <c r="BA1128" t="inlineStr">
        <is>
          <t>230</t>
        </is>
      </c>
    </row>
    <row r="1129">
      <c r="A1129" t="inlineStr">
        <is>
          <t>Umea University</t>
        </is>
      </c>
      <c r="B1129" t="inlineStr">
        <is>
          <t>Sweden</t>
        </is>
      </c>
      <c r="C1129" t="inlineStr">
        <is>
          <t>SE</t>
        </is>
      </c>
      <c r="D1129" t="inlineStr"/>
      <c r="E1129" t="inlineStr">
        <is>
          <t>L</t>
        </is>
      </c>
      <c r="F1129" t="inlineStr">
        <is>
          <t>FC</t>
        </is>
      </c>
      <c r="G1129" t="inlineStr">
        <is>
          <t>VH</t>
        </is>
      </c>
      <c r="H1129" t="inlineStr">
        <is>
          <t>4</t>
        </is>
      </c>
      <c r="I1129" t="inlineStr">
        <is>
          <t>A</t>
        </is>
      </c>
      <c r="J1129" t="inlineStr"/>
      <c r="K1129" t="inlineStr"/>
      <c r="L1129">
        <f>465</f>
        <v/>
      </c>
      <c r="M1129" t="inlineStr">
        <is>
          <t>369=</t>
        </is>
      </c>
      <c r="N1129" t="inlineStr"/>
      <c r="O1129" t="inlineStr">
        <is>
          <t>24.7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>
        <is>
          <t>19.7</t>
        </is>
      </c>
      <c r="AK1129" t="inlineStr">
        <is>
          <t>449</t>
        </is>
      </c>
      <c r="AL1129" t="inlineStr">
        <is>
          <t>13.9</t>
        </is>
      </c>
      <c r="AM1129" t="inlineStr">
        <is>
          <t>583</t>
        </is>
      </c>
      <c r="AN1129" t="inlineStr">
        <is>
          <t>68.3</t>
        </is>
      </c>
      <c r="AO1129" t="inlineStr">
        <is>
          <t>191</t>
        </is>
      </c>
      <c r="AP1129" t="inlineStr">
        <is>
          <t>14.9</t>
        </is>
      </c>
      <c r="AQ1129" t="inlineStr">
        <is>
          <t>637</t>
        </is>
      </c>
      <c r="AR1129" t="inlineStr">
        <is>
          <t>23.8</t>
        </is>
      </c>
      <c r="AS1129" t="inlineStr">
        <is>
          <t>554</t>
        </is>
      </c>
      <c r="AT1129" t="inlineStr">
        <is>
          <t>9.6</t>
        </is>
      </c>
      <c r="AU1129" t="inlineStr">
        <is>
          <t>701+</t>
        </is>
      </c>
      <c r="AV1129" t="inlineStr">
        <is>
          <t>44.8</t>
        </is>
      </c>
      <c r="AW1129" t="inlineStr">
        <is>
          <t>349</t>
        </is>
      </c>
      <c r="AX1129" t="inlineStr">
        <is>
          <t>12.7</t>
        </is>
      </c>
      <c r="AY1129" t="inlineStr">
        <is>
          <t>681</t>
        </is>
      </c>
      <c r="AZ1129" t="inlineStr">
        <is>
          <t>47.8</t>
        </is>
      </c>
      <c r="BA1129" t="inlineStr">
        <is>
          <t>318=</t>
        </is>
      </c>
    </row>
    <row r="1130">
      <c r="A1130" t="inlineStr">
        <is>
          <t>Umeå University</t>
        </is>
      </c>
      <c r="B1130" t="inlineStr">
        <is>
          <t>Sweden</t>
        </is>
      </c>
      <c r="C1130" t="inlineStr"/>
      <c r="D1130" t="inlineStr">
        <is>
          <t>Europe</t>
        </is>
      </c>
      <c r="E1130" t="inlineStr">
        <is>
          <t>L</t>
        </is>
      </c>
      <c r="F1130" t="inlineStr">
        <is>
          <t>FC</t>
        </is>
      </c>
      <c r="G1130" t="inlineStr">
        <is>
          <t>VH</t>
        </is>
      </c>
      <c r="H1130" t="inlineStr"/>
      <c r="I1130" t="inlineStr">
        <is>
          <t>Public</t>
        </is>
      </c>
      <c r="J1130" t="inlineStr">
        <is>
          <t>401</t>
        </is>
      </c>
      <c r="K1130" t="inlineStr">
        <is>
          <t>456</t>
        </is>
      </c>
      <c r="L1130" t="inlineStr"/>
      <c r="M1130" t="inlineStr"/>
      <c r="N1130" t="inlineStr">
        <is>
          <t>37.4</t>
        </is>
      </c>
      <c r="O1130" t="inlineStr"/>
      <c r="P1130" t="n">
        <v>27.2</v>
      </c>
      <c r="Q1130" t="inlineStr">
        <is>
          <t>461</t>
        </is>
      </c>
      <c r="R1130" t="n">
        <v>20.2</v>
      </c>
      <c r="S1130" t="inlineStr">
        <is>
          <t>652</t>
        </is>
      </c>
      <c r="T1130" t="n">
        <v>80.7</v>
      </c>
      <c r="U1130" t="inlineStr">
        <is>
          <t>165</t>
        </is>
      </c>
      <c r="V1130" t="n">
        <v>25</v>
      </c>
      <c r="W1130" t="inlineStr">
        <is>
          <t>639</t>
        </is>
      </c>
      <c r="X1130" t="n">
        <v>77.2</v>
      </c>
      <c r="Y1130" t="inlineStr">
        <is>
          <t>310</t>
        </is>
      </c>
      <c r="Z1130" t="n">
        <v>37.5</v>
      </c>
      <c r="AA1130" t="inlineStr">
        <is>
          <t>520</t>
        </is>
      </c>
      <c r="AB1130" t="n">
        <v>28</v>
      </c>
      <c r="AC1130" t="inlineStr">
        <is>
          <t>638</t>
        </is>
      </c>
      <c r="AD1130" t="n">
        <v>76.90000000000001</v>
      </c>
      <c r="AE1130" t="inlineStr">
        <is>
          <t>406</t>
        </is>
      </c>
      <c r="AF1130" t="n">
        <v>11.9</v>
      </c>
      <c r="AG1130" t="inlineStr">
        <is>
          <t>801+</t>
        </is>
      </c>
      <c r="AH1130" t="n">
        <v>77.09999999999999</v>
      </c>
      <c r="AI1130" t="inlineStr">
        <is>
          <t>213</t>
        </is>
      </c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</row>
    <row r="1131">
      <c r="A1131" t="inlineStr">
        <is>
          <t>Umm Al-Qura University</t>
        </is>
      </c>
      <c r="B1131" t="inlineStr">
        <is>
          <t>Saudi Arabia</t>
        </is>
      </c>
      <c r="C1131" t="inlineStr">
        <is>
          <t>SA</t>
        </is>
      </c>
      <c r="D1131" t="inlineStr">
        <is>
          <t>Asia</t>
        </is>
      </c>
      <c r="E1131" t="inlineStr">
        <is>
          <t>XL</t>
        </is>
      </c>
      <c r="F1131" t="inlineStr">
        <is>
          <t>FC</t>
        </is>
      </c>
      <c r="G1131" t="inlineStr">
        <is>
          <t>HI</t>
        </is>
      </c>
      <c r="H1131" t="inlineStr">
        <is>
          <t>4</t>
        </is>
      </c>
      <c r="I1131" t="inlineStr">
        <is>
          <t>Public</t>
        </is>
      </c>
      <c r="J1131" t="inlineStr">
        <is>
          <t>622</t>
        </is>
      </c>
      <c r="K1131" t="inlineStr">
        <is>
          <t>559</t>
        </is>
      </c>
      <c r="L1131" t="inlineStr">
        <is>
          <t>601-610</t>
        </is>
      </c>
      <c r="M1131" t="inlineStr">
        <is>
          <t>449=</t>
        </is>
      </c>
      <c r="N1131" t="inlineStr">
        <is>
          <t>27.6</t>
        </is>
      </c>
      <c r="O1131" t="inlineStr">
        <is>
          <t>-</t>
        </is>
      </c>
      <c r="P1131" t="n">
        <v>23.6</v>
      </c>
      <c r="Q1131" t="inlineStr">
        <is>
          <t>537</t>
        </is>
      </c>
      <c r="R1131" t="n">
        <v>15.4</v>
      </c>
      <c r="S1131" t="inlineStr">
        <is>
          <t>701+</t>
        </is>
      </c>
      <c r="T1131" t="n">
        <v>61.3</v>
      </c>
      <c r="U1131" t="inlineStr">
        <is>
          <t>291</t>
        </is>
      </c>
      <c r="V1131" t="n">
        <v>4.9</v>
      </c>
      <c r="W1131" t="inlineStr">
        <is>
          <t>801+</t>
        </is>
      </c>
      <c r="X1131" t="n">
        <v>100</v>
      </c>
      <c r="Y1131" t="inlineStr">
        <is>
          <t>95</t>
        </is>
      </c>
      <c r="Z1131" t="n">
        <v>26.1</v>
      </c>
      <c r="AA1131" t="inlineStr">
        <is>
          <t>643</t>
        </is>
      </c>
      <c r="AB1131" t="n">
        <v>19.6</v>
      </c>
      <c r="AC1131" t="inlineStr">
        <is>
          <t>770</t>
        </is>
      </c>
      <c r="AD1131" t="n">
        <v>71.3</v>
      </c>
      <c r="AE1131" t="inlineStr">
        <is>
          <t>510</t>
        </is>
      </c>
      <c r="AF1131" t="n">
        <v>11.5</v>
      </c>
      <c r="AG1131" t="inlineStr">
        <is>
          <t>801+</t>
        </is>
      </c>
      <c r="AH1131" t="n">
        <v>36.8</v>
      </c>
      <c r="AI1131" t="inlineStr">
        <is>
          <t>801+</t>
        </is>
      </c>
      <c r="AJ1131" t="inlineStr">
        <is>
          <t>18.3</t>
        </is>
      </c>
      <c r="AK1131" t="inlineStr">
        <is>
          <t>489</t>
        </is>
      </c>
      <c r="AL1131" t="inlineStr">
        <is>
          <t>9.4</t>
        </is>
      </c>
      <c r="AM1131" t="inlineStr">
        <is>
          <t>601+</t>
        </is>
      </c>
      <c r="AN1131" t="inlineStr">
        <is>
          <t>56.9</t>
        </is>
      </c>
      <c r="AO1131" t="inlineStr">
        <is>
          <t>256</t>
        </is>
      </c>
      <c r="AP1131" t="inlineStr">
        <is>
          <t>2.0</t>
        </is>
      </c>
      <c r="AQ1131" t="inlineStr">
        <is>
          <t>701+</t>
        </is>
      </c>
      <c r="AR1131" t="inlineStr">
        <is>
          <t>100.0</t>
        </is>
      </c>
      <c r="AS1131" t="inlineStr">
        <is>
          <t>71</t>
        </is>
      </c>
      <c r="AT1131" t="inlineStr">
        <is>
          <t>17.6</t>
        </is>
      </c>
      <c r="AU1131" t="inlineStr">
        <is>
          <t>581</t>
        </is>
      </c>
      <c r="AV1131" t="inlineStr">
        <is>
          <t>4.5</t>
        </is>
      </c>
      <c r="AW1131" t="inlineStr">
        <is>
          <t>701+</t>
        </is>
      </c>
      <c r="AX1131" t="inlineStr">
        <is>
          <t>8.2</t>
        </is>
      </c>
      <c r="AY1131" t="inlineStr">
        <is>
          <t>701+</t>
        </is>
      </c>
      <c r="AZ1131" t="inlineStr">
        <is>
          <t>3.1</t>
        </is>
      </c>
      <c r="BA1131" t="inlineStr">
        <is>
          <t>701+</t>
        </is>
      </c>
    </row>
    <row r="1132">
      <c r="A1132" t="inlineStr">
        <is>
          <t>UNESP</t>
        </is>
      </c>
      <c r="B1132" t="inlineStr">
        <is>
          <t>Brazil</t>
        </is>
      </c>
      <c r="C1132" t="inlineStr">
        <is>
          <t>BR</t>
        </is>
      </c>
      <c r="D1132" t="inlineStr"/>
      <c r="E1132" t="inlineStr">
        <is>
          <t>XL</t>
        </is>
      </c>
      <c r="F1132" t="inlineStr">
        <is>
          <t>FC</t>
        </is>
      </c>
      <c r="G1132" t="inlineStr">
        <is>
          <t>VH</t>
        </is>
      </c>
      <c r="H1132" t="inlineStr">
        <is>
          <t>3</t>
        </is>
      </c>
      <c r="I1132" t="inlineStr">
        <is>
          <t>A</t>
        </is>
      </c>
      <c r="J1132" t="inlineStr"/>
      <c r="K1132" t="inlineStr"/>
      <c r="L1132">
        <f>419</f>
        <v/>
      </c>
      <c r="M1132" t="inlineStr">
        <is>
          <t>477=</t>
        </is>
      </c>
      <c r="N1132" t="inlineStr"/>
      <c r="O1132" t="inlineStr">
        <is>
          <t>26.8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>
        <is>
          <t>39.3</t>
        </is>
      </c>
      <c r="AK1132" t="inlineStr">
        <is>
          <t>219</t>
        </is>
      </c>
      <c r="AL1132" t="inlineStr">
        <is>
          <t>34.6</t>
        </is>
      </c>
      <c r="AM1132" t="inlineStr">
        <is>
          <t>282</t>
        </is>
      </c>
      <c r="AN1132" t="inlineStr">
        <is>
          <t>15.0</t>
        </is>
      </c>
      <c r="AO1132" t="inlineStr">
        <is>
          <t>701+</t>
        </is>
      </c>
      <c r="AP1132" t="inlineStr">
        <is>
          <t>16.2</t>
        </is>
      </c>
      <c r="AQ1132" t="inlineStr">
        <is>
          <t>614</t>
        </is>
      </c>
      <c r="AR1132" t="inlineStr">
        <is>
          <t>6.2</t>
        </is>
      </c>
      <c r="AS1132" t="inlineStr">
        <is>
          <t>701+</t>
        </is>
      </c>
      <c r="AT1132" t="inlineStr">
        <is>
          <t>2.8</t>
        </is>
      </c>
      <c r="AU1132" t="inlineStr">
        <is>
          <t>701+</t>
        </is>
      </c>
      <c r="AV1132" t="inlineStr">
        <is>
          <t>34.5</t>
        </is>
      </c>
      <c r="AW1132" t="inlineStr">
        <is>
          <t>422</t>
        </is>
      </c>
      <c r="AX1132" t="inlineStr">
        <is>
          <t>5.7</t>
        </is>
      </c>
      <c r="AY1132" t="inlineStr">
        <is>
          <t>701+</t>
        </is>
      </c>
      <c r="AZ1132" t="inlineStr">
        <is>
          <t>53.7</t>
        </is>
      </c>
      <c r="BA1132" t="inlineStr">
        <is>
          <t>287</t>
        </is>
      </c>
    </row>
    <row r="1133">
      <c r="A1133" t="inlineStr">
        <is>
          <t>United Arab Emirates University</t>
        </is>
      </c>
      <c r="B1133" t="inlineStr">
        <is>
          <t>United Arab Emirates</t>
        </is>
      </c>
      <c r="C1133" t="inlineStr">
        <is>
          <t>AE</t>
        </is>
      </c>
      <c r="D1133" t="inlineStr">
        <is>
          <t>Asia</t>
        </is>
      </c>
      <c r="E1133" t="inlineStr">
        <is>
          <t>M</t>
        </is>
      </c>
      <c r="F1133" t="inlineStr">
        <is>
          <t>FC</t>
        </is>
      </c>
      <c r="G1133" t="inlineStr">
        <is>
          <t>VH</t>
        </is>
      </c>
      <c r="H1133" t="inlineStr">
        <is>
          <t>3</t>
        </is>
      </c>
      <c r="I1133" t="inlineStr">
        <is>
          <t>Public</t>
        </is>
      </c>
      <c r="J1133" t="inlineStr">
        <is>
          <t>229</t>
        </is>
      </c>
      <c r="K1133" t="inlineStr">
        <is>
          <t>261</t>
        </is>
      </c>
      <c r="L1133" t="inlineStr">
        <is>
          <t>290</t>
        </is>
      </c>
      <c r="M1133" t="inlineStr">
        <is>
          <t>296=</t>
        </is>
      </c>
      <c r="N1133" t="inlineStr">
        <is>
          <t>53</t>
        </is>
      </c>
      <c r="O1133" t="inlineStr">
        <is>
          <t>35.9</t>
        </is>
      </c>
      <c r="P1133" t="n">
        <v>43.3</v>
      </c>
      <c r="Q1133" t="inlineStr">
        <is>
          <t>272</t>
        </is>
      </c>
      <c r="R1133" t="n">
        <v>58.1</v>
      </c>
      <c r="S1133" t="inlineStr">
        <is>
          <t>199</t>
        </is>
      </c>
      <c r="T1133" t="n">
        <v>55.1</v>
      </c>
      <c r="U1133" t="inlineStr">
        <is>
          <t>341</t>
        </is>
      </c>
      <c r="V1133" t="n">
        <v>35.1</v>
      </c>
      <c r="W1133" t="inlineStr">
        <is>
          <t>522</t>
        </is>
      </c>
      <c r="X1133" t="n">
        <v>100</v>
      </c>
      <c r="Y1133" t="inlineStr">
        <is>
          <t>24</t>
        </is>
      </c>
      <c r="Z1133" t="n">
        <v>39.1</v>
      </c>
      <c r="AA1133" t="inlineStr">
        <is>
          <t>501</t>
        </is>
      </c>
      <c r="AB1133" t="n">
        <v>44.4</v>
      </c>
      <c r="AC1133" t="inlineStr">
        <is>
          <t>470</t>
        </is>
      </c>
      <c r="AD1133" t="n">
        <v>88.90000000000001</v>
      </c>
      <c r="AE1133" t="inlineStr">
        <is>
          <t>191</t>
        </is>
      </c>
      <c r="AF1133" t="n">
        <v>87.90000000000001</v>
      </c>
      <c r="AG1133" t="inlineStr">
        <is>
          <t>120</t>
        </is>
      </c>
      <c r="AH1133" t="n">
        <v>68.59999999999999</v>
      </c>
      <c r="AI1133" t="inlineStr">
        <is>
          <t>341</t>
        </is>
      </c>
      <c r="AJ1133" t="inlineStr">
        <is>
          <t>28.3</t>
        </is>
      </c>
      <c r="AK1133" t="inlineStr">
        <is>
          <t>310</t>
        </is>
      </c>
      <c r="AL1133" t="inlineStr">
        <is>
          <t>37.8</t>
        </is>
      </c>
      <c r="AM1133" t="inlineStr">
        <is>
          <t>257</t>
        </is>
      </c>
      <c r="AN1133" t="inlineStr">
        <is>
          <t>52.6</t>
        </is>
      </c>
      <c r="AO1133" t="inlineStr">
        <is>
          <t>299</t>
        </is>
      </c>
      <c r="AP1133" t="inlineStr">
        <is>
          <t>13.8</t>
        </is>
      </c>
      <c r="AQ1133" t="inlineStr">
        <is>
          <t>659</t>
        </is>
      </c>
      <c r="AR1133" t="inlineStr">
        <is>
          <t>100.0</t>
        </is>
      </c>
      <c r="AS1133" t="inlineStr">
        <is>
          <t>16</t>
        </is>
      </c>
      <c r="AT1133" t="inlineStr">
        <is>
          <t>38.7</t>
        </is>
      </c>
      <c r="AU1133" t="inlineStr">
        <is>
          <t>356</t>
        </is>
      </c>
      <c r="AV1133" t="inlineStr">
        <is>
          <t>56.5</t>
        </is>
      </c>
      <c r="AW1133" t="inlineStr">
        <is>
          <t>273</t>
        </is>
      </c>
      <c r="AX1133" t="inlineStr">
        <is>
          <t>60.9</t>
        </is>
      </c>
      <c r="AY1133" t="inlineStr">
        <is>
          <t>96</t>
        </is>
      </c>
      <c r="AZ1133" t="inlineStr">
        <is>
          <t>16.3</t>
        </is>
      </c>
      <c r="BA1133" t="inlineStr">
        <is>
          <t>588=</t>
        </is>
      </c>
    </row>
    <row r="1134">
      <c r="A1134" t="inlineStr">
        <is>
          <t>United International University</t>
        </is>
      </c>
      <c r="B1134" t="inlineStr">
        <is>
          <t>Bangladesh</t>
        </is>
      </c>
      <c r="C1134" t="inlineStr">
        <is>
          <t>BD</t>
        </is>
      </c>
      <c r="D1134" t="inlineStr"/>
      <c r="E1134" t="inlineStr">
        <is>
          <t>M</t>
        </is>
      </c>
      <c r="F1134" t="inlineStr">
        <is>
          <t>CO</t>
        </is>
      </c>
      <c r="G1134" t="inlineStr">
        <is>
          <t>MD</t>
        </is>
      </c>
      <c r="H1134" t="inlineStr">
        <is>
          <t>2</t>
        </is>
      </c>
      <c r="I1134" t="inlineStr">
        <is>
          <t>C</t>
        </is>
      </c>
      <c r="J1134" t="inlineStr"/>
      <c r="K1134" t="inlineStr"/>
      <c r="L1134" t="inlineStr">
        <is>
          <t>1201-1400</t>
        </is>
      </c>
      <c r="M1134" t="inlineStr"/>
      <c r="N1134" t="inlineStr"/>
      <c r="O1134" t="inlineStr">
        <is>
          <t>-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>
        <is>
          <t>5.6</t>
        </is>
      </c>
      <c r="AK1134" t="inlineStr">
        <is>
          <t>601+</t>
        </is>
      </c>
      <c r="AL1134" t="inlineStr">
        <is>
          <t>8.9</t>
        </is>
      </c>
      <c r="AM1134" t="inlineStr">
        <is>
          <t>601+</t>
        </is>
      </c>
      <c r="AN1134" t="inlineStr">
        <is>
          <t>2.5</t>
        </is>
      </c>
      <c r="AO1134" t="inlineStr">
        <is>
          <t>701+</t>
        </is>
      </c>
      <c r="AP1134" t="inlineStr">
        <is>
          <t>2.4</t>
        </is>
      </c>
      <c r="AQ1134" t="inlineStr">
        <is>
          <t>701+</t>
        </is>
      </c>
      <c r="AR1134" t="inlineStr"/>
      <c r="AS1134" t="inlineStr"/>
      <c r="AT1134" t="inlineStr">
        <is>
          <t>1.2</t>
        </is>
      </c>
      <c r="AU1134" t="inlineStr">
        <is>
          <t>701+</t>
        </is>
      </c>
      <c r="AV1134" t="inlineStr">
        <is>
          <t>1.0</t>
        </is>
      </c>
      <c r="AW1134" t="inlineStr">
        <is>
          <t>701+</t>
        </is>
      </c>
      <c r="AX1134" t="inlineStr">
        <is>
          <t>9.7</t>
        </is>
      </c>
      <c r="AY1134" t="inlineStr">
        <is>
          <t>701+</t>
        </is>
      </c>
      <c r="AZ1134" t="inlineStr">
        <is>
          <t>1</t>
        </is>
      </c>
      <c r="BA1134" t="inlineStr">
        <is>
          <t>701+</t>
        </is>
      </c>
    </row>
    <row r="1135">
      <c r="A1135" t="inlineStr">
        <is>
          <t>Universidad Adolfo Ibáñez</t>
        </is>
      </c>
      <c r="B1135" t="inlineStr">
        <is>
          <t>Chile</t>
        </is>
      </c>
      <c r="C1135" t="inlineStr">
        <is>
          <t>CL</t>
        </is>
      </c>
      <c r="D1135" t="inlineStr">
        <is>
          <t>Americas</t>
        </is>
      </c>
      <c r="E1135" t="inlineStr">
        <is>
          <t>M</t>
        </is>
      </c>
      <c r="F1135" t="inlineStr">
        <is>
          <t>SP</t>
        </is>
      </c>
      <c r="G1135" t="inlineStr">
        <is>
          <t>VH</t>
        </is>
      </c>
      <c r="H1135" t="inlineStr">
        <is>
          <t>3</t>
        </is>
      </c>
      <c r="I1135" t="inlineStr">
        <is>
          <t>Private not for Profit</t>
        </is>
      </c>
      <c r="J1135" t="inlineStr">
        <is>
          <t>578</t>
        </is>
      </c>
      <c r="K1135" t="inlineStr">
        <is>
          <t>576</t>
        </is>
      </c>
      <c r="L1135">
        <f>567</f>
        <v/>
      </c>
      <c r="M1135" t="inlineStr">
        <is>
          <t>751-800</t>
        </is>
      </c>
      <c r="N1135" t="inlineStr">
        <is>
          <t>29</t>
        </is>
      </c>
      <c r="O1135" t="inlineStr">
        <is>
          <t>20.8</t>
        </is>
      </c>
      <c r="P1135" t="n">
        <v>28.7</v>
      </c>
      <c r="Q1135" t="inlineStr">
        <is>
          <t>433</t>
        </is>
      </c>
      <c r="R1135" t="n">
        <v>63.3</v>
      </c>
      <c r="S1135" t="inlineStr">
        <is>
          <t>170</t>
        </is>
      </c>
      <c r="T1135" t="n">
        <v>7.6</v>
      </c>
      <c r="U1135" t="inlineStr">
        <is>
          <t>801+</t>
        </is>
      </c>
      <c r="V1135" t="n">
        <v>9.1</v>
      </c>
      <c r="W1135" t="inlineStr">
        <is>
          <t>801+</t>
        </is>
      </c>
      <c r="X1135" t="n">
        <v>46.4</v>
      </c>
      <c r="Y1135" t="inlineStr">
        <is>
          <t>460</t>
        </is>
      </c>
      <c r="Z1135" t="n">
        <v>8</v>
      </c>
      <c r="AA1135" t="inlineStr">
        <is>
          <t>801+</t>
        </is>
      </c>
      <c r="AB1135" t="n">
        <v>11.7</v>
      </c>
      <c r="AC1135" t="inlineStr">
        <is>
          <t>801+</t>
        </is>
      </c>
      <c r="AD1135" t="n">
        <v>34.4</v>
      </c>
      <c r="AE1135" t="inlineStr">
        <is>
          <t>801+</t>
        </is>
      </c>
      <c r="AF1135" t="n">
        <v>60.7</v>
      </c>
      <c r="AG1135" t="inlineStr">
        <is>
          <t>267</t>
        </is>
      </c>
      <c r="AH1135" t="n">
        <v>40</v>
      </c>
      <c r="AI1135" t="inlineStr">
        <is>
          <t>801+</t>
        </is>
      </c>
      <c r="AJ1135" t="inlineStr">
        <is>
          <t>19.1</t>
        </is>
      </c>
      <c r="AK1135" t="inlineStr">
        <is>
          <t>469</t>
        </is>
      </c>
      <c r="AL1135" t="inlineStr">
        <is>
          <t>73.5</t>
        </is>
      </c>
      <c r="AM1135" t="inlineStr">
        <is>
          <t>90</t>
        </is>
      </c>
      <c r="AN1135" t="inlineStr">
        <is>
          <t>4.2</t>
        </is>
      </c>
      <c r="AO1135" t="inlineStr">
        <is>
          <t>701+</t>
        </is>
      </c>
      <c r="AP1135" t="inlineStr">
        <is>
          <t>4.4</t>
        </is>
      </c>
      <c r="AQ1135" t="inlineStr">
        <is>
          <t>701+</t>
        </is>
      </c>
      <c r="AR1135" t="inlineStr">
        <is>
          <t>37.7</t>
        </is>
      </c>
      <c r="AS1135" t="inlineStr">
        <is>
          <t>427</t>
        </is>
      </c>
      <c r="AT1135" t="inlineStr">
        <is>
          <t>4.2</t>
        </is>
      </c>
      <c r="AU1135" t="inlineStr">
        <is>
          <t>701+</t>
        </is>
      </c>
      <c r="AV1135" t="inlineStr">
        <is>
          <t>1.2</t>
        </is>
      </c>
      <c r="AW1135" t="inlineStr">
        <is>
          <t>701+</t>
        </is>
      </c>
      <c r="AX1135" t="inlineStr">
        <is>
          <t>13.7</t>
        </is>
      </c>
      <c r="AY1135" t="inlineStr">
        <is>
          <t>624</t>
        </is>
      </c>
      <c r="AZ1135" t="inlineStr">
        <is>
          <t>1.1</t>
        </is>
      </c>
      <c r="BA1135" t="inlineStr">
        <is>
          <t>701+</t>
        </is>
      </c>
    </row>
    <row r="1136">
      <c r="A1136" t="inlineStr">
        <is>
          <t>Universidad Alberto Hurtado</t>
        </is>
      </c>
      <c r="B1136" t="inlineStr">
        <is>
          <t>Chile</t>
        </is>
      </c>
      <c r="C1136" t="inlineStr">
        <is>
          <t>CL</t>
        </is>
      </c>
      <c r="D1136" t="inlineStr"/>
      <c r="E1136" t="inlineStr">
        <is>
          <t>M</t>
        </is>
      </c>
      <c r="F1136" t="inlineStr">
        <is>
          <t>CO</t>
        </is>
      </c>
      <c r="G1136" t="inlineStr">
        <is>
          <t>HI</t>
        </is>
      </c>
      <c r="H1136" t="inlineStr">
        <is>
          <t>3</t>
        </is>
      </c>
      <c r="I1136" t="inlineStr">
        <is>
          <t>B</t>
        </is>
      </c>
      <c r="J1136" t="inlineStr"/>
      <c r="K1136" t="inlineStr"/>
      <c r="L1136" t="inlineStr">
        <is>
          <t>1201-1400</t>
        </is>
      </c>
      <c r="M1136" t="inlineStr"/>
      <c r="N1136" t="inlineStr"/>
      <c r="O1136" t="inlineStr">
        <is>
          <t>-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>
        <is>
          <t>8.9</t>
        </is>
      </c>
      <c r="AK1136" t="inlineStr">
        <is>
          <t>601+</t>
        </is>
      </c>
      <c r="AL1136" t="inlineStr">
        <is>
          <t>5.4</t>
        </is>
      </c>
      <c r="AM1136" t="inlineStr">
        <is>
          <t>601+</t>
        </is>
      </c>
      <c r="AN1136" t="inlineStr">
        <is>
          <t>3.1</t>
        </is>
      </c>
      <c r="AO1136" t="inlineStr">
        <is>
          <t>701+</t>
        </is>
      </c>
      <c r="AP1136" t="inlineStr">
        <is>
          <t>2.9</t>
        </is>
      </c>
      <c r="AQ1136" t="inlineStr">
        <is>
          <t>701+</t>
        </is>
      </c>
      <c r="AR1136" t="inlineStr">
        <is>
          <t>14.2</t>
        </is>
      </c>
      <c r="AS1136" t="inlineStr">
        <is>
          <t>679</t>
        </is>
      </c>
      <c r="AT1136" t="inlineStr">
        <is>
          <t>1.8</t>
        </is>
      </c>
      <c r="AU1136" t="inlineStr">
        <is>
          <t>701+</t>
        </is>
      </c>
      <c r="AV1136" t="inlineStr">
        <is>
          <t>1.0</t>
        </is>
      </c>
      <c r="AW1136" t="inlineStr">
        <is>
          <t>701+</t>
        </is>
      </c>
      <c r="AX1136" t="inlineStr">
        <is>
          <t>7.8</t>
        </is>
      </c>
      <c r="AY1136" t="inlineStr">
        <is>
          <t>701+</t>
        </is>
      </c>
      <c r="AZ1136" t="inlineStr">
        <is>
          <t>1</t>
        </is>
      </c>
      <c r="BA1136" t="inlineStr">
        <is>
          <t>701+</t>
        </is>
      </c>
    </row>
    <row r="1137">
      <c r="A1137" t="inlineStr">
        <is>
          <t>Universidad Anahuac</t>
        </is>
      </c>
      <c r="B1137" t="inlineStr">
        <is>
          <t>Mexico</t>
        </is>
      </c>
      <c r="C1137" t="inlineStr"/>
      <c r="D1137" t="inlineStr">
        <is>
          <t>Americas</t>
        </is>
      </c>
      <c r="E1137" t="inlineStr">
        <is>
          <t>L</t>
        </is>
      </c>
      <c r="F1137" t="inlineStr">
        <is>
          <t>CO</t>
        </is>
      </c>
      <c r="G1137" t="inlineStr">
        <is>
          <t>MD</t>
        </is>
      </c>
      <c r="H1137" t="inlineStr"/>
      <c r="I1137" t="inlineStr">
        <is>
          <t>Private not for Profit</t>
        </is>
      </c>
      <c r="J1137" t="inlineStr">
        <is>
          <t>851-900</t>
        </is>
      </c>
      <c r="K1137" t="inlineStr">
        <is>
          <t>801-850</t>
        </is>
      </c>
      <c r="L1137" t="inlineStr"/>
      <c r="M1137" t="inlineStr"/>
      <c r="N1137" t="inlineStr">
        <is>
          <t>-</t>
        </is>
      </c>
      <c r="O1137" t="inlineStr"/>
      <c r="P1137" t="n">
        <v>18</v>
      </c>
      <c r="Q1137" t="inlineStr">
        <is>
          <t>681</t>
        </is>
      </c>
      <c r="R1137" t="n">
        <v>29.7</v>
      </c>
      <c r="S1137" t="inlineStr">
        <is>
          <t>480</t>
        </is>
      </c>
      <c r="T1137" t="n">
        <v>60.9</v>
      </c>
      <c r="U1137" t="inlineStr">
        <is>
          <t>295</t>
        </is>
      </c>
      <c r="V1137" t="n">
        <v>1.4</v>
      </c>
      <c r="W1137" t="inlineStr">
        <is>
          <t>801+</t>
        </is>
      </c>
      <c r="X1137" t="n">
        <v>6.2</v>
      </c>
      <c r="Y1137" t="inlineStr">
        <is>
          <t>801+</t>
        </is>
      </c>
      <c r="Z1137" t="n">
        <v>5.2</v>
      </c>
      <c r="AA1137" t="inlineStr">
        <is>
          <t>801+</t>
        </is>
      </c>
      <c r="AB1137" t="n">
        <v>9.5</v>
      </c>
      <c r="AC1137" t="inlineStr">
        <is>
          <t>801+</t>
        </is>
      </c>
      <c r="AD1137" t="n">
        <v>3.7</v>
      </c>
      <c r="AE1137" t="inlineStr">
        <is>
          <t>801+</t>
        </is>
      </c>
      <c r="AF1137" t="n">
        <v>68.7</v>
      </c>
      <c r="AG1137" t="inlineStr">
        <is>
          <t>221</t>
        </is>
      </c>
      <c r="AH1137" t="n">
        <v>25.3</v>
      </c>
      <c r="AI1137" t="inlineStr">
        <is>
          <t>801+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</row>
    <row r="1138">
      <c r="A1138" t="inlineStr">
        <is>
          <t>Universidad Andrés Bello</t>
        </is>
      </c>
      <c r="B1138" t="inlineStr">
        <is>
          <t>Chile</t>
        </is>
      </c>
      <c r="C1138" t="inlineStr">
        <is>
          <t>CL</t>
        </is>
      </c>
      <c r="D1138" t="inlineStr"/>
      <c r="E1138" t="inlineStr">
        <is>
          <t>XL</t>
        </is>
      </c>
      <c r="F1138" t="inlineStr">
        <is>
          <t>FC</t>
        </is>
      </c>
      <c r="G1138" t="inlineStr">
        <is>
          <t>HI</t>
        </is>
      </c>
      <c r="H1138" t="inlineStr">
        <is>
          <t>3</t>
        </is>
      </c>
      <c r="I1138" t="inlineStr">
        <is>
          <t>B</t>
        </is>
      </c>
      <c r="J1138" t="inlineStr"/>
      <c r="K1138" t="inlineStr"/>
      <c r="L1138" t="inlineStr">
        <is>
          <t>1001-1200</t>
        </is>
      </c>
      <c r="M1138" t="inlineStr">
        <is>
          <t>1001-1200</t>
        </is>
      </c>
      <c r="N1138" t="inlineStr"/>
      <c r="O1138" t="inlineStr">
        <is>
          <t>-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>
        <is>
          <t>11.0</t>
        </is>
      </c>
      <c r="AK1138" t="inlineStr">
        <is>
          <t>601+</t>
        </is>
      </c>
      <c r="AL1138" t="inlineStr">
        <is>
          <t>11.0</t>
        </is>
      </c>
      <c r="AM1138" t="inlineStr">
        <is>
          <t>601+</t>
        </is>
      </c>
      <c r="AN1138" t="inlineStr">
        <is>
          <t>6.2</t>
        </is>
      </c>
      <c r="AO1138" t="inlineStr">
        <is>
          <t>701+</t>
        </is>
      </c>
      <c r="AP1138" t="inlineStr">
        <is>
          <t>2.5</t>
        </is>
      </c>
      <c r="AQ1138" t="inlineStr">
        <is>
          <t>701+</t>
        </is>
      </c>
      <c r="AR1138" t="inlineStr">
        <is>
          <t>7.0</t>
        </is>
      </c>
      <c r="AS1138" t="inlineStr">
        <is>
          <t>701+</t>
        </is>
      </c>
      <c r="AT1138" t="inlineStr">
        <is>
          <t>1.5</t>
        </is>
      </c>
      <c r="AU1138" t="inlineStr">
        <is>
          <t>701+</t>
        </is>
      </c>
      <c r="AV1138" t="inlineStr">
        <is>
          <t>7.5</t>
        </is>
      </c>
      <c r="AW1138" t="inlineStr">
        <is>
          <t>701+</t>
        </is>
      </c>
      <c r="AX1138" t="inlineStr">
        <is>
          <t>8.5</t>
        </is>
      </c>
      <c r="AY1138" t="inlineStr">
        <is>
          <t>701+</t>
        </is>
      </c>
      <c r="AZ1138" t="inlineStr">
        <is>
          <t>9.6</t>
        </is>
      </c>
      <c r="BA1138" t="inlineStr">
        <is>
          <t>678=</t>
        </is>
      </c>
    </row>
    <row r="1139">
      <c r="A1139" t="inlineStr">
        <is>
          <t>Universidad Andrés Bello - UNAB</t>
        </is>
      </c>
      <c r="B1139" t="inlineStr">
        <is>
          <t>Chile</t>
        </is>
      </c>
      <c r="C1139" t="inlineStr"/>
      <c r="D1139" t="inlineStr">
        <is>
          <t>Americas</t>
        </is>
      </c>
      <c r="E1139" t="inlineStr">
        <is>
          <t>XL</t>
        </is>
      </c>
      <c r="F1139" t="inlineStr">
        <is>
          <t>FC</t>
        </is>
      </c>
      <c r="G1139" t="inlineStr">
        <is>
          <t>HI</t>
        </is>
      </c>
      <c r="H1139" t="inlineStr"/>
      <c r="I1139" t="inlineStr">
        <is>
          <t>Private not for Profit</t>
        </is>
      </c>
      <c r="J1139" t="inlineStr">
        <is>
          <t>1001-1200</t>
        </is>
      </c>
      <c r="K1139" t="inlineStr">
        <is>
          <t>1001-1200</t>
        </is>
      </c>
      <c r="L1139" t="inlineStr"/>
      <c r="M1139" t="inlineStr"/>
      <c r="N1139" t="inlineStr">
        <is>
          <t>-</t>
        </is>
      </c>
      <c r="O1139" t="inlineStr"/>
      <c r="P1139" t="n">
        <v>19.5</v>
      </c>
      <c r="Q1139" t="inlineStr">
        <is>
          <t>633</t>
        </is>
      </c>
      <c r="R1139" t="n">
        <v>16.4</v>
      </c>
      <c r="S1139" t="inlineStr">
        <is>
          <t>701+</t>
        </is>
      </c>
      <c r="T1139" t="n">
        <v>11.1</v>
      </c>
      <c r="U1139" t="inlineStr">
        <is>
          <t>801+</t>
        </is>
      </c>
      <c r="V1139" t="n">
        <v>3.9</v>
      </c>
      <c r="W1139" t="inlineStr">
        <is>
          <t>801+</t>
        </is>
      </c>
      <c r="X1139" t="n">
        <v>9.6</v>
      </c>
      <c r="Y1139" t="inlineStr">
        <is>
          <t>801+</t>
        </is>
      </c>
      <c r="Z1139" t="n">
        <v>3.8</v>
      </c>
      <c r="AA1139" t="inlineStr">
        <is>
          <t>801+</t>
        </is>
      </c>
      <c r="AB1139" t="n">
        <v>8.199999999999999</v>
      </c>
      <c r="AC1139" t="inlineStr">
        <is>
          <t>801+</t>
        </is>
      </c>
      <c r="AD1139" t="n">
        <v>60.9</v>
      </c>
      <c r="AE1139" t="inlineStr">
        <is>
          <t>680</t>
        </is>
      </c>
      <c r="AF1139" t="n">
        <v>2.5</v>
      </c>
      <c r="AG1139" t="inlineStr">
        <is>
          <t>801+</t>
        </is>
      </c>
      <c r="AH1139" t="n">
        <v>56.9</v>
      </c>
      <c r="AI1139" t="inlineStr">
        <is>
          <t>559</t>
        </is>
      </c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</row>
    <row r="1140">
      <c r="A1140" t="inlineStr">
        <is>
          <t>Universidad Anáhuac México</t>
        </is>
      </c>
      <c r="B1140" t="inlineStr">
        <is>
          <t>Mexico</t>
        </is>
      </c>
      <c r="C1140" t="inlineStr">
        <is>
          <t>MX</t>
        </is>
      </c>
      <c r="D1140" t="inlineStr"/>
      <c r="E1140" t="inlineStr">
        <is>
          <t>L</t>
        </is>
      </c>
      <c r="F1140" t="inlineStr">
        <is>
          <t>CO</t>
        </is>
      </c>
      <c r="G1140" t="inlineStr">
        <is>
          <t>MD</t>
        </is>
      </c>
      <c r="H1140" t="inlineStr">
        <is>
          <t>4</t>
        </is>
      </c>
      <c r="I1140" t="inlineStr">
        <is>
          <t>B</t>
        </is>
      </c>
      <c r="J1140" t="inlineStr"/>
      <c r="K1140" t="inlineStr"/>
      <c r="L1140" t="inlineStr">
        <is>
          <t>771-780</t>
        </is>
      </c>
      <c r="M1140" t="inlineStr">
        <is>
          <t>601-650</t>
        </is>
      </c>
      <c r="N1140" t="inlineStr"/>
      <c r="O1140" t="inlineStr">
        <is>
          <t>-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>
        <is>
          <t>13.4</t>
        </is>
      </c>
      <c r="AK1140" t="inlineStr">
        <is>
          <t>601+</t>
        </is>
      </c>
      <c r="AL1140" t="inlineStr">
        <is>
          <t>24.1</t>
        </is>
      </c>
      <c r="AM1140" t="inlineStr">
        <is>
          <t>399</t>
        </is>
      </c>
      <c r="AN1140" t="inlineStr">
        <is>
          <t>45.6</t>
        </is>
      </c>
      <c r="AO1140" t="inlineStr">
        <is>
          <t>344</t>
        </is>
      </c>
      <c r="AP1140" t="inlineStr">
        <is>
          <t>1.1</t>
        </is>
      </c>
      <c r="AQ1140" t="inlineStr">
        <is>
          <t>701+</t>
        </is>
      </c>
      <c r="AR1140" t="inlineStr">
        <is>
          <t>6.7</t>
        </is>
      </c>
      <c r="AS1140" t="inlineStr">
        <is>
          <t>701+</t>
        </is>
      </c>
      <c r="AT1140" t="inlineStr">
        <is>
          <t>3.7</t>
        </is>
      </c>
      <c r="AU1140" t="inlineStr">
        <is>
          <t>701+</t>
        </is>
      </c>
      <c r="AV1140" t="inlineStr">
        <is>
          <t>1.0</t>
        </is>
      </c>
      <c r="AW1140" t="inlineStr">
        <is>
          <t>701+</t>
        </is>
      </c>
      <c r="AX1140" t="inlineStr">
        <is>
          <t>49.5</t>
        </is>
      </c>
      <c r="AY1140" t="inlineStr">
        <is>
          <t>136</t>
        </is>
      </c>
      <c r="AZ1140" t="inlineStr">
        <is>
          <t>1.2</t>
        </is>
      </c>
      <c r="BA1140" t="inlineStr">
        <is>
          <t>701+</t>
        </is>
      </c>
    </row>
    <row r="1141">
      <c r="A1141" t="inlineStr">
        <is>
          <t>Universidad Argentina de la Empresa -UADE</t>
        </is>
      </c>
      <c r="B1141" t="inlineStr">
        <is>
          <t>Argentina</t>
        </is>
      </c>
      <c r="C1141" t="inlineStr"/>
      <c r="D1141" t="inlineStr">
        <is>
          <t>Americas</t>
        </is>
      </c>
      <c r="E1141" t="inlineStr">
        <is>
          <t>L</t>
        </is>
      </c>
      <c r="F1141" t="inlineStr">
        <is>
          <t>FO</t>
        </is>
      </c>
      <c r="G1141" t="inlineStr">
        <is>
          <t>MD</t>
        </is>
      </c>
      <c r="H1141" t="inlineStr"/>
      <c r="I1141" t="inlineStr">
        <is>
          <t>Private not for Profit</t>
        </is>
      </c>
      <c r="J1141" t="inlineStr">
        <is>
          <t>1001-1200</t>
        </is>
      </c>
      <c r="K1141" t="inlineStr"/>
      <c r="L1141" t="inlineStr"/>
      <c r="M1141" t="inlineStr"/>
      <c r="N1141" t="inlineStr">
        <is>
          <t>-</t>
        </is>
      </c>
      <c r="O1141" t="inlineStr"/>
      <c r="P1141" t="n">
        <v>6.4</v>
      </c>
      <c r="Q1141" t="inlineStr">
        <is>
          <t>701+</t>
        </is>
      </c>
      <c r="R1141" t="n">
        <v>17.3</v>
      </c>
      <c r="S1141" t="inlineStr">
        <is>
          <t>701+</t>
        </is>
      </c>
      <c r="T1141" t="n">
        <v>98.09999999999999</v>
      </c>
      <c r="U1141" t="inlineStr">
        <is>
          <t>55</t>
        </is>
      </c>
      <c r="V1141" t="n">
        <v>1</v>
      </c>
      <c r="W1141" t="inlineStr">
        <is>
          <t>801+</t>
        </is>
      </c>
      <c r="X1141" t="n">
        <v>2.7</v>
      </c>
      <c r="Y1141" t="inlineStr">
        <is>
          <t>801+</t>
        </is>
      </c>
      <c r="Z1141" t="n">
        <v>9.9</v>
      </c>
      <c r="AA1141" t="inlineStr">
        <is>
          <t>801+</t>
        </is>
      </c>
      <c r="AB1141" t="n">
        <v>14.2</v>
      </c>
      <c r="AC1141" t="inlineStr">
        <is>
          <t>801+</t>
        </is>
      </c>
      <c r="AD1141" t="n">
        <v>1.3</v>
      </c>
      <c r="AE1141" t="inlineStr">
        <is>
          <t>801+</t>
        </is>
      </c>
      <c r="AF1141" t="n">
        <v>29.2</v>
      </c>
      <c r="AG1141" t="inlineStr">
        <is>
          <t>566</t>
        </is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</row>
    <row r="1142">
      <c r="A1142" t="inlineStr">
        <is>
          <t>Universidad Austral</t>
        </is>
      </c>
      <c r="B1142" t="inlineStr">
        <is>
          <t>Argentina</t>
        </is>
      </c>
      <c r="C1142" t="inlineStr">
        <is>
          <t>AR</t>
        </is>
      </c>
      <c r="D1142" t="inlineStr"/>
      <c r="E1142" t="inlineStr">
        <is>
          <t>S</t>
        </is>
      </c>
      <c r="F1142" t="inlineStr">
        <is>
          <t>FO</t>
        </is>
      </c>
      <c r="G1142" t="inlineStr">
        <is>
          <t>VH</t>
        </is>
      </c>
      <c r="H1142" t="inlineStr">
        <is>
          <t>3</t>
        </is>
      </c>
      <c r="I1142" t="inlineStr">
        <is>
          <t>B</t>
        </is>
      </c>
      <c r="J1142" t="inlineStr"/>
      <c r="K1142" t="inlineStr"/>
      <c r="L1142">
        <f>520</f>
        <v/>
      </c>
      <c r="M1142" t="inlineStr">
        <is>
          <t>432</t>
        </is>
      </c>
      <c r="N1142" t="inlineStr"/>
      <c r="O1142" t="inlineStr">
        <is>
          <t>22.6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>
        <is>
          <t>19.4</t>
        </is>
      </c>
      <c r="AK1142" t="inlineStr">
        <is>
          <t>460</t>
        </is>
      </c>
      <c r="AL1142" t="inlineStr">
        <is>
          <t>52.5</t>
        </is>
      </c>
      <c r="AM1142" t="inlineStr">
        <is>
          <t>152</t>
        </is>
      </c>
      <c r="AN1142" t="inlineStr">
        <is>
          <t>75.4</t>
        </is>
      </c>
      <c r="AO1142" t="inlineStr">
        <is>
          <t>165</t>
        </is>
      </c>
      <c r="AP1142" t="inlineStr">
        <is>
          <t>1.8</t>
        </is>
      </c>
      <c r="AQ1142" t="inlineStr">
        <is>
          <t>701+</t>
        </is>
      </c>
      <c r="AR1142" t="inlineStr">
        <is>
          <t>2.4</t>
        </is>
      </c>
      <c r="AS1142" t="inlineStr">
        <is>
          <t>701+</t>
        </is>
      </c>
      <c r="AT1142" t="inlineStr">
        <is>
          <t>8.5</t>
        </is>
      </c>
      <c r="AU1142" t="inlineStr">
        <is>
          <t>701+</t>
        </is>
      </c>
      <c r="AV1142" t="inlineStr">
        <is>
          <t>1.0</t>
        </is>
      </c>
      <c r="AW1142" t="inlineStr">
        <is>
          <t>701+</t>
        </is>
      </c>
      <c r="AX1142" t="inlineStr">
        <is>
          <t>9.4</t>
        </is>
      </c>
      <c r="AY1142" t="inlineStr">
        <is>
          <t>701+</t>
        </is>
      </c>
      <c r="AZ1142" t="inlineStr">
        <is>
          <t>1.2</t>
        </is>
      </c>
      <c r="BA1142" t="inlineStr">
        <is>
          <t>701+</t>
        </is>
      </c>
    </row>
    <row r="1143">
      <c r="A1143" t="inlineStr">
        <is>
          <t>Universidad Austral - Argentina</t>
        </is>
      </c>
      <c r="B1143" t="inlineStr">
        <is>
          <t>Argentina</t>
        </is>
      </c>
      <c r="C1143" t="inlineStr"/>
      <c r="D1143" t="inlineStr">
        <is>
          <t>Americas</t>
        </is>
      </c>
      <c r="E1143" t="inlineStr">
        <is>
          <t>M</t>
        </is>
      </c>
      <c r="F1143" t="inlineStr">
        <is>
          <t>FC</t>
        </is>
      </c>
      <c r="G1143" t="inlineStr">
        <is>
          <t>MD</t>
        </is>
      </c>
      <c r="H1143" t="inlineStr"/>
      <c r="I1143" t="inlineStr">
        <is>
          <t>Private not for Profit</t>
        </is>
      </c>
      <c r="J1143" t="inlineStr">
        <is>
          <t>519</t>
        </is>
      </c>
      <c r="K1143" t="inlineStr">
        <is>
          <t>524</t>
        </is>
      </c>
      <c r="L1143" t="inlineStr"/>
      <c r="M1143" t="inlineStr"/>
      <c r="N1143" t="inlineStr">
        <is>
          <t>31.3</t>
        </is>
      </c>
      <c r="O1143" t="inlineStr"/>
      <c r="P1143" t="n">
        <v>29.8</v>
      </c>
      <c r="Q1143" t="inlineStr">
        <is>
          <t>409</t>
        </is>
      </c>
      <c r="R1143" t="n">
        <v>48.9</v>
      </c>
      <c r="S1143" t="inlineStr">
        <is>
          <t>263</t>
        </is>
      </c>
      <c r="T1143" t="n">
        <v>89.59999999999999</v>
      </c>
      <c r="U1143" t="inlineStr">
        <is>
          <t>105</t>
        </is>
      </c>
      <c r="V1143" t="n">
        <v>2.5</v>
      </c>
      <c r="W1143" t="inlineStr">
        <is>
          <t>801+</t>
        </is>
      </c>
      <c r="X1143" t="n">
        <v>2.9</v>
      </c>
      <c r="Y1143" t="inlineStr">
        <is>
          <t>801+</t>
        </is>
      </c>
      <c r="Z1143" t="n">
        <v>16.7</v>
      </c>
      <c r="AA1143" t="inlineStr">
        <is>
          <t>786</t>
        </is>
      </c>
      <c r="AB1143" t="n">
        <v>18.7</v>
      </c>
      <c r="AC1143" t="inlineStr">
        <is>
          <t>784</t>
        </is>
      </c>
      <c r="AD1143" t="n">
        <v>13.4</v>
      </c>
      <c r="AE1143" t="inlineStr">
        <is>
          <t>801+</t>
        </is>
      </c>
      <c r="AF1143" t="n">
        <v>69.90000000000001</v>
      </c>
      <c r="AG1143" t="inlineStr">
        <is>
          <t>211</t>
        </is>
      </c>
      <c r="AH1143" t="n">
        <v>29.2</v>
      </c>
      <c r="AI1143" t="inlineStr">
        <is>
          <t>801+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</row>
    <row r="1144">
      <c r="A1144" t="inlineStr">
        <is>
          <t>Universidad Austral de Chile</t>
        </is>
      </c>
      <c r="B1144" t="inlineStr">
        <is>
          <t>Chile</t>
        </is>
      </c>
      <c r="C1144" t="inlineStr">
        <is>
          <t>CL</t>
        </is>
      </c>
      <c r="D1144" t="inlineStr">
        <is>
          <t>Americas</t>
        </is>
      </c>
      <c r="E1144" t="inlineStr">
        <is>
          <t>L</t>
        </is>
      </c>
      <c r="F1144" t="inlineStr">
        <is>
          <t>FC</t>
        </is>
      </c>
      <c r="G1144" t="inlineStr">
        <is>
          <t>HI</t>
        </is>
      </c>
      <c r="H1144" t="inlineStr">
        <is>
          <t>4</t>
        </is>
      </c>
      <c r="I1144" t="inlineStr">
        <is>
          <t>Private not for Profit</t>
        </is>
      </c>
      <c r="J1144" t="inlineStr">
        <is>
          <t>1001-1200</t>
        </is>
      </c>
      <c r="K1144" t="inlineStr">
        <is>
          <t>1001-1200</t>
        </is>
      </c>
      <c r="L1144" t="inlineStr">
        <is>
          <t>1001-1200</t>
        </is>
      </c>
      <c r="M1144" t="inlineStr">
        <is>
          <t>1001-1200</t>
        </is>
      </c>
      <c r="N1144" t="inlineStr">
        <is>
          <t>-</t>
        </is>
      </c>
      <c r="O1144" t="inlineStr">
        <is>
          <t>-</t>
        </is>
      </c>
      <c r="P1144" t="n">
        <v>19.3</v>
      </c>
      <c r="Q1144" t="inlineStr">
        <is>
          <t>638</t>
        </is>
      </c>
      <c r="R1144" t="n">
        <v>15.4</v>
      </c>
      <c r="S1144" t="inlineStr">
        <is>
          <t>701+</t>
        </is>
      </c>
      <c r="T1144" t="n">
        <v>4.1</v>
      </c>
      <c r="U1144" t="inlineStr">
        <is>
          <t>801+</t>
        </is>
      </c>
      <c r="V1144" t="n">
        <v>14.3</v>
      </c>
      <c r="W1144" t="inlineStr">
        <is>
          <t>801+</t>
        </is>
      </c>
      <c r="X1144" t="n">
        <v>20.5</v>
      </c>
      <c r="Y1144" t="inlineStr">
        <is>
          <t>703</t>
        </is>
      </c>
      <c r="Z1144" t="n">
        <v>2.5</v>
      </c>
      <c r="AA1144" t="inlineStr">
        <is>
          <t>801+</t>
        </is>
      </c>
      <c r="AB1144" t="n">
        <v>6.8</v>
      </c>
      <c r="AC1144" t="inlineStr">
        <is>
          <t>801+</t>
        </is>
      </c>
      <c r="AD1144" t="n">
        <v>45.8</v>
      </c>
      <c r="AE1144" t="inlineStr">
        <is>
          <t>801+</t>
        </is>
      </c>
      <c r="AF1144" t="n">
        <v>4.8</v>
      </c>
      <c r="AG1144" t="inlineStr">
        <is>
          <t>801+</t>
        </is>
      </c>
      <c r="AH1144" t="n">
        <v>44</v>
      </c>
      <c r="AI1144" t="inlineStr">
        <is>
          <t>801+</t>
        </is>
      </c>
      <c r="AJ1144" t="inlineStr">
        <is>
          <t>15.6</t>
        </is>
      </c>
      <c r="AK1144" t="inlineStr">
        <is>
          <t>560</t>
        </is>
      </c>
      <c r="AL1144" t="inlineStr">
        <is>
          <t>10.7</t>
        </is>
      </c>
      <c r="AM1144" t="inlineStr">
        <is>
          <t>601+</t>
        </is>
      </c>
      <c r="AN1144" t="inlineStr">
        <is>
          <t>3.5</t>
        </is>
      </c>
      <c r="AO1144" t="inlineStr">
        <is>
          <t>701+</t>
        </is>
      </c>
      <c r="AP1144" t="inlineStr">
        <is>
          <t>6.6</t>
        </is>
      </c>
      <c r="AQ1144" t="inlineStr">
        <is>
          <t>701+</t>
        </is>
      </c>
      <c r="AR1144" t="inlineStr">
        <is>
          <t>16.0</t>
        </is>
      </c>
      <c r="AS1144" t="inlineStr">
        <is>
          <t>650</t>
        </is>
      </c>
      <c r="AT1144" t="inlineStr">
        <is>
          <t>1.9</t>
        </is>
      </c>
      <c r="AU1144" t="inlineStr">
        <is>
          <t>701+</t>
        </is>
      </c>
      <c r="AV1144" t="inlineStr">
        <is>
          <t>7.6</t>
        </is>
      </c>
      <c r="AW1144" t="inlineStr">
        <is>
          <t>701+</t>
        </is>
      </c>
      <c r="AX1144" t="inlineStr">
        <is>
          <t>4.7</t>
        </is>
      </c>
      <c r="AY1144" t="inlineStr">
        <is>
          <t>701+</t>
        </is>
      </c>
      <c r="AZ1144" t="inlineStr">
        <is>
          <t>2.2</t>
        </is>
      </c>
      <c r="BA1144" t="inlineStr">
        <is>
          <t>701+</t>
        </is>
      </c>
    </row>
    <row r="1145">
      <c r="A1145" t="inlineStr">
        <is>
          <t>Universidad Autonoma de Yucatan</t>
        </is>
      </c>
      <c r="B1145" t="inlineStr">
        <is>
          <t>Mexico</t>
        </is>
      </c>
      <c r="C1145" t="inlineStr">
        <is>
          <t>MX</t>
        </is>
      </c>
      <c r="D1145" t="inlineStr"/>
      <c r="E1145" t="inlineStr">
        <is>
          <t>L</t>
        </is>
      </c>
      <c r="F1145" t="inlineStr">
        <is>
          <t>CO</t>
        </is>
      </c>
      <c r="G1145" t="inlineStr">
        <is>
          <t>HI</t>
        </is>
      </c>
      <c r="H1145" t="inlineStr">
        <is>
          <t>5</t>
        </is>
      </c>
      <c r="I1145" t="inlineStr">
        <is>
          <t>A</t>
        </is>
      </c>
      <c r="J1145" t="inlineStr"/>
      <c r="K1145" t="inlineStr"/>
      <c r="L1145" t="inlineStr">
        <is>
          <t>1401+</t>
        </is>
      </c>
      <c r="M1145" t="inlineStr">
        <is>
          <t>1201-1400</t>
        </is>
      </c>
      <c r="N1145" t="inlineStr"/>
      <c r="O1145" t="inlineStr">
        <is>
          <t>-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>
        <is>
          <t>5.6</t>
        </is>
      </c>
      <c r="AK1145" t="inlineStr">
        <is>
          <t>601+</t>
        </is>
      </c>
      <c r="AL1145" t="inlineStr">
        <is>
          <t>1.5</t>
        </is>
      </c>
      <c r="AM1145" t="inlineStr">
        <is>
          <t>601+</t>
        </is>
      </c>
      <c r="AN1145" t="inlineStr">
        <is>
          <t>5.0</t>
        </is>
      </c>
      <c r="AO1145" t="inlineStr">
        <is>
          <t>701+</t>
        </is>
      </c>
      <c r="AP1145" t="inlineStr">
        <is>
          <t>2.4</t>
        </is>
      </c>
      <c r="AQ1145" t="inlineStr">
        <is>
          <t>701+</t>
        </is>
      </c>
      <c r="AR1145" t="inlineStr">
        <is>
          <t>2.3</t>
        </is>
      </c>
      <c r="AS1145" t="inlineStr">
        <is>
          <t>701+</t>
        </is>
      </c>
      <c r="AT1145" t="inlineStr">
        <is>
          <t>1.1</t>
        </is>
      </c>
      <c r="AU1145" t="inlineStr">
        <is>
          <t>701+</t>
        </is>
      </c>
      <c r="AV1145" t="inlineStr">
        <is>
          <t>1.0</t>
        </is>
      </c>
      <c r="AW1145" t="inlineStr">
        <is>
          <t>701+</t>
        </is>
      </c>
      <c r="AX1145" t="inlineStr">
        <is>
          <t>3.9</t>
        </is>
      </c>
      <c r="AY1145" t="inlineStr">
        <is>
          <t>701+</t>
        </is>
      </c>
      <c r="AZ1145" t="inlineStr">
        <is>
          <t>1</t>
        </is>
      </c>
      <c r="BA1145" t="inlineStr">
        <is>
          <t>701+</t>
        </is>
      </c>
    </row>
    <row r="1146">
      <c r="A1146" t="inlineStr">
        <is>
          <t>Universidad Autónoma Chapingo</t>
        </is>
      </c>
      <c r="B1146" t="inlineStr">
        <is>
          <t>Mexico</t>
        </is>
      </c>
      <c r="C1146" t="inlineStr">
        <is>
          <t>MX</t>
        </is>
      </c>
      <c r="D1146" t="inlineStr">
        <is>
          <t>Americas</t>
        </is>
      </c>
      <c r="E1146" t="inlineStr">
        <is>
          <t>M</t>
        </is>
      </c>
      <c r="F1146" t="inlineStr">
        <is>
          <t>FO</t>
        </is>
      </c>
      <c r="G1146" t="inlineStr">
        <is>
          <t>VH</t>
        </is>
      </c>
      <c r="H1146" t="inlineStr">
        <is>
          <t>5</t>
        </is>
      </c>
      <c r="I1146" t="inlineStr">
        <is>
          <t>Public</t>
        </is>
      </c>
      <c r="J1146" t="inlineStr">
        <is>
          <t>1201-1400</t>
        </is>
      </c>
      <c r="K1146" t="inlineStr">
        <is>
          <t>1001-1200</t>
        </is>
      </c>
      <c r="L1146" t="inlineStr">
        <is>
          <t>1001-1200</t>
        </is>
      </c>
      <c r="M1146" t="inlineStr">
        <is>
          <t>751-800</t>
        </is>
      </c>
      <c r="N1146" t="inlineStr">
        <is>
          <t>-</t>
        </is>
      </c>
      <c r="O1146" t="inlineStr">
        <is>
          <t>-</t>
        </is>
      </c>
      <c r="P1146" t="n">
        <v>4.1</v>
      </c>
      <c r="Q1146" t="inlineStr">
        <is>
          <t>701+</t>
        </is>
      </c>
      <c r="R1146" t="n">
        <v>4.2</v>
      </c>
      <c r="S1146" t="inlineStr">
        <is>
          <t>701+</t>
        </is>
      </c>
      <c r="T1146" t="n">
        <v>77.59999999999999</v>
      </c>
      <c r="U1146" t="inlineStr">
        <is>
          <t>178</t>
        </is>
      </c>
      <c r="V1146" t="n">
        <v>2.1</v>
      </c>
      <c r="W1146" t="inlineStr">
        <is>
          <t>801+</t>
        </is>
      </c>
      <c r="X1146" t="n">
        <v>8.699999999999999</v>
      </c>
      <c r="Y1146" t="inlineStr">
        <is>
          <t>801+</t>
        </is>
      </c>
      <c r="Z1146" t="n">
        <v>1.3</v>
      </c>
      <c r="AA1146" t="inlineStr">
        <is>
          <t>801+</t>
        </is>
      </c>
      <c r="AB1146" t="n">
        <v>1.2</v>
      </c>
      <c r="AC1146" t="inlineStr">
        <is>
          <t>801+</t>
        </is>
      </c>
      <c r="AD1146" t="n">
        <v>6.4</v>
      </c>
      <c r="AE1146" t="inlineStr">
        <is>
          <t>801+</t>
        </is>
      </c>
      <c r="AF1146" t="n">
        <v>13</v>
      </c>
      <c r="AG1146" t="inlineStr">
        <is>
          <t>801+</t>
        </is>
      </c>
      <c r="AH1146" t="n">
        <v>16.8</v>
      </c>
      <c r="AI1146" t="inlineStr">
        <is>
          <t>801+</t>
        </is>
      </c>
      <c r="AJ1146" t="inlineStr">
        <is>
          <t>4.1</t>
        </is>
      </c>
      <c r="AK1146" t="inlineStr">
        <is>
          <t>601+</t>
        </is>
      </c>
      <c r="AL1146" t="inlineStr">
        <is>
          <t>2.5</t>
        </is>
      </c>
      <c r="AM1146" t="inlineStr">
        <is>
          <t>601+</t>
        </is>
      </c>
      <c r="AN1146" t="inlineStr">
        <is>
          <t>73.5</t>
        </is>
      </c>
      <c r="AO1146" t="inlineStr">
        <is>
          <t>169</t>
        </is>
      </c>
      <c r="AP1146" t="inlineStr">
        <is>
          <t>1.4</t>
        </is>
      </c>
      <c r="AQ1146" t="inlineStr">
        <is>
          <t>701+</t>
        </is>
      </c>
      <c r="AR1146" t="inlineStr">
        <is>
          <t>2.8</t>
        </is>
      </c>
      <c r="AS1146" t="inlineStr">
        <is>
          <t>701+</t>
        </is>
      </c>
      <c r="AT1146" t="inlineStr">
        <is>
          <t>1.3</t>
        </is>
      </c>
      <c r="AU1146" t="inlineStr">
        <is>
          <t>701+</t>
        </is>
      </c>
      <c r="AV1146" t="inlineStr">
        <is>
          <t>1.0</t>
        </is>
      </c>
      <c r="AW1146" t="inlineStr">
        <is>
          <t>701+</t>
        </is>
      </c>
      <c r="AX1146" t="inlineStr">
        <is>
          <t>6.7</t>
        </is>
      </c>
      <c r="AY1146" t="inlineStr">
        <is>
          <t>701+</t>
        </is>
      </c>
      <c r="AZ1146" t="inlineStr">
        <is>
          <t>1.6</t>
        </is>
      </c>
      <c r="BA1146" t="inlineStr">
        <is>
          <t>701+</t>
        </is>
      </c>
    </row>
    <row r="1147">
      <c r="A1147" t="inlineStr">
        <is>
          <t>Universidad Autónoma de Aguascalientes</t>
        </is>
      </c>
      <c r="B1147" t="inlineStr">
        <is>
          <t>Mexico</t>
        </is>
      </c>
      <c r="C1147" t="inlineStr">
        <is>
          <t>MX</t>
        </is>
      </c>
      <c r="D1147" t="inlineStr"/>
      <c r="E1147" t="inlineStr">
        <is>
          <t>L</t>
        </is>
      </c>
      <c r="F1147" t="inlineStr">
        <is>
          <t>FC</t>
        </is>
      </c>
      <c r="G1147" t="inlineStr">
        <is>
          <t>MD</t>
        </is>
      </c>
      <c r="H1147" t="inlineStr">
        <is>
          <t>4</t>
        </is>
      </c>
      <c r="I1147" t="inlineStr">
        <is>
          <t>A</t>
        </is>
      </c>
      <c r="J1147" t="inlineStr"/>
      <c r="K1147" t="inlineStr"/>
      <c r="L1147" t="inlineStr">
        <is>
          <t>1201-1400</t>
        </is>
      </c>
      <c r="M1147" t="inlineStr">
        <is>
          <t>1001-1200</t>
        </is>
      </c>
      <c r="N1147" t="inlineStr"/>
      <c r="O1147" t="inlineStr">
        <is>
          <t>-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>
        <is>
          <t>3.3</t>
        </is>
      </c>
      <c r="AK1147" t="inlineStr">
        <is>
          <t>601+</t>
        </is>
      </c>
      <c r="AL1147" t="inlineStr">
        <is>
          <t>1.9</t>
        </is>
      </c>
      <c r="AM1147" t="inlineStr">
        <is>
          <t>601+</t>
        </is>
      </c>
      <c r="AN1147" t="inlineStr">
        <is>
          <t>34.2</t>
        </is>
      </c>
      <c r="AO1147" t="inlineStr">
        <is>
          <t>468</t>
        </is>
      </c>
      <c r="AP1147" t="inlineStr">
        <is>
          <t>1.2</t>
        </is>
      </c>
      <c r="AQ1147" t="inlineStr">
        <is>
          <t>701+</t>
        </is>
      </c>
      <c r="AR1147" t="inlineStr"/>
      <c r="AS1147" t="inlineStr"/>
      <c r="AT1147" t="inlineStr"/>
      <c r="AU1147" t="inlineStr"/>
      <c r="AV1147" t="inlineStr">
        <is>
          <t>1.0</t>
        </is>
      </c>
      <c r="AW1147" t="inlineStr">
        <is>
          <t>701+</t>
        </is>
      </c>
      <c r="AX1147" t="inlineStr">
        <is>
          <t>3.9</t>
        </is>
      </c>
      <c r="AY1147" t="inlineStr">
        <is>
          <t>701+</t>
        </is>
      </c>
      <c r="AZ1147" t="inlineStr">
        <is>
          <t>1</t>
        </is>
      </c>
      <c r="BA1147" t="inlineStr">
        <is>
          <t>701+</t>
        </is>
      </c>
    </row>
    <row r="1148">
      <c r="A1148" t="inlineStr">
        <is>
          <t>Universidad Autónoma de Baja California</t>
        </is>
      </c>
      <c r="B1148" t="inlineStr">
        <is>
          <t>Mexico</t>
        </is>
      </c>
      <c r="C1148" t="inlineStr">
        <is>
          <t>MX</t>
        </is>
      </c>
      <c r="D1148" t="inlineStr">
        <is>
          <t>Americas</t>
        </is>
      </c>
      <c r="E1148" t="inlineStr">
        <is>
          <t>XL</t>
        </is>
      </c>
      <c r="F1148" t="inlineStr">
        <is>
          <t>CO</t>
        </is>
      </c>
      <c r="G1148" t="inlineStr">
        <is>
          <t>HI</t>
        </is>
      </c>
      <c r="H1148" t="inlineStr">
        <is>
          <t>4</t>
        </is>
      </c>
      <c r="I1148" t="inlineStr">
        <is>
          <t>Public</t>
        </is>
      </c>
      <c r="J1148" t="inlineStr">
        <is>
          <t>1401+</t>
        </is>
      </c>
      <c r="K1148" t="inlineStr">
        <is>
          <t>1401+</t>
        </is>
      </c>
      <c r="L1148" t="inlineStr">
        <is>
          <t>1201-1400</t>
        </is>
      </c>
      <c r="M1148" t="inlineStr">
        <is>
          <t>1201-1400</t>
        </is>
      </c>
      <c r="N1148" t="inlineStr">
        <is>
          <t>-</t>
        </is>
      </c>
      <c r="O1148" t="inlineStr">
        <is>
          <t>-</t>
        </is>
      </c>
      <c r="P1148" t="n">
        <v>10.5</v>
      </c>
      <c r="Q1148" t="inlineStr">
        <is>
          <t>701+</t>
        </is>
      </c>
      <c r="R1148" t="n">
        <v>7.6</v>
      </c>
      <c r="S1148" t="inlineStr">
        <is>
          <t>701+</t>
        </is>
      </c>
      <c r="T1148" t="n">
        <v>6</v>
      </c>
      <c r="U1148" t="inlineStr">
        <is>
          <t>801+</t>
        </is>
      </c>
      <c r="V1148" t="n">
        <v>2.3</v>
      </c>
      <c r="W1148" t="inlineStr">
        <is>
          <t>801+</t>
        </is>
      </c>
      <c r="X1148" t="n">
        <v>4.8</v>
      </c>
      <c r="Y1148" t="inlineStr">
        <is>
          <t>801+</t>
        </is>
      </c>
      <c r="Z1148" t="n">
        <v>5.8</v>
      </c>
      <c r="AA1148" t="inlineStr">
        <is>
          <t>801+</t>
        </is>
      </c>
      <c r="AB1148" t="n">
        <v>4.6</v>
      </c>
      <c r="AC1148" t="inlineStr">
        <is>
          <t>801+</t>
        </is>
      </c>
      <c r="AD1148" t="n">
        <v>13.7</v>
      </c>
      <c r="AE1148" t="inlineStr">
        <is>
          <t>801+</t>
        </is>
      </c>
      <c r="AF1148" t="n">
        <v>2.3</v>
      </c>
      <c r="AG1148" t="inlineStr">
        <is>
          <t>801+</t>
        </is>
      </c>
      <c r="AH1148" t="n">
        <v>49</v>
      </c>
      <c r="AI1148" t="inlineStr">
        <is>
          <t>732</t>
        </is>
      </c>
      <c r="AJ1148" t="inlineStr">
        <is>
          <t>7.7</t>
        </is>
      </c>
      <c r="AK1148" t="inlineStr">
        <is>
          <t>601+</t>
        </is>
      </c>
      <c r="AL1148" t="inlineStr">
        <is>
          <t>2.9</t>
        </is>
      </c>
      <c r="AM1148" t="inlineStr">
        <is>
          <t>601+</t>
        </is>
      </c>
      <c r="AN1148" t="inlineStr">
        <is>
          <t>4.4</t>
        </is>
      </c>
      <c r="AO1148" t="inlineStr">
        <is>
          <t>701+</t>
        </is>
      </c>
      <c r="AP1148" t="inlineStr">
        <is>
          <t>1.5</t>
        </is>
      </c>
      <c r="AQ1148" t="inlineStr">
        <is>
          <t>701+</t>
        </is>
      </c>
      <c r="AR1148" t="inlineStr">
        <is>
          <t>2.7</t>
        </is>
      </c>
      <c r="AS1148" t="inlineStr">
        <is>
          <t>701+</t>
        </is>
      </c>
      <c r="AT1148" t="inlineStr">
        <is>
          <t>2.9</t>
        </is>
      </c>
      <c r="AU1148" t="inlineStr">
        <is>
          <t>701+</t>
        </is>
      </c>
      <c r="AV1148" t="inlineStr">
        <is>
          <t>1.0</t>
        </is>
      </c>
      <c r="AW1148" t="inlineStr">
        <is>
          <t>701+</t>
        </is>
      </c>
      <c r="AX1148" t="inlineStr">
        <is>
          <t>7.7</t>
        </is>
      </c>
      <c r="AY1148" t="inlineStr">
        <is>
          <t>701+</t>
        </is>
      </c>
      <c r="AZ1148" t="inlineStr">
        <is>
          <t>7.7</t>
        </is>
      </c>
      <c r="BA1148" t="inlineStr">
        <is>
          <t>701+</t>
        </is>
      </c>
    </row>
    <row r="1149">
      <c r="A1149" t="inlineStr">
        <is>
          <t>Universidad Autónoma de Chile</t>
        </is>
      </c>
      <c r="B1149" t="inlineStr">
        <is>
          <t>Chile</t>
        </is>
      </c>
      <c r="C1149" t="inlineStr">
        <is>
          <t>CL</t>
        </is>
      </c>
      <c r="D1149" t="inlineStr">
        <is>
          <t>Americas</t>
        </is>
      </c>
      <c r="E1149" t="inlineStr">
        <is>
          <t>XL</t>
        </is>
      </c>
      <c r="F1149" t="inlineStr">
        <is>
          <t>FO</t>
        </is>
      </c>
      <c r="G1149" t="inlineStr">
        <is>
          <t>VH</t>
        </is>
      </c>
      <c r="H1149" t="inlineStr">
        <is>
          <t>3</t>
        </is>
      </c>
      <c r="I1149" t="inlineStr">
        <is>
          <t>Private not for Profit</t>
        </is>
      </c>
      <c r="J1149" t="inlineStr">
        <is>
          <t>1401+</t>
        </is>
      </c>
      <c r="K1149" t="inlineStr">
        <is>
          <t>1401+</t>
        </is>
      </c>
      <c r="L1149" t="inlineStr">
        <is>
          <t>1401+</t>
        </is>
      </c>
      <c r="M1149" t="inlineStr">
        <is>
          <t>1201-1400</t>
        </is>
      </c>
      <c r="N1149" t="inlineStr">
        <is>
          <t>-</t>
        </is>
      </c>
      <c r="O1149" t="inlineStr">
        <is>
          <t>-</t>
        </is>
      </c>
      <c r="P1149" t="n">
        <v>7.9</v>
      </c>
      <c r="Q1149" t="inlineStr">
        <is>
          <t>701+</t>
        </is>
      </c>
      <c r="R1149" t="n">
        <v>4.7</v>
      </c>
      <c r="S1149" t="inlineStr">
        <is>
          <t>701+</t>
        </is>
      </c>
      <c r="T1149" t="n">
        <v>6.2</v>
      </c>
      <c r="U1149" t="inlineStr">
        <is>
          <t>801+</t>
        </is>
      </c>
      <c r="V1149" t="n">
        <v>6.2</v>
      </c>
      <c r="W1149" t="inlineStr">
        <is>
          <t>801+</t>
        </is>
      </c>
      <c r="X1149" t="n">
        <v>15.6</v>
      </c>
      <c r="Y1149" t="inlineStr">
        <is>
          <t>792</t>
        </is>
      </c>
      <c r="Z1149" t="n">
        <v>1.7</v>
      </c>
      <c r="AA1149" t="inlineStr">
        <is>
          <t>801+</t>
        </is>
      </c>
      <c r="AB1149" t="n">
        <v>1.5</v>
      </c>
      <c r="AC1149" t="inlineStr">
        <is>
          <t>801+</t>
        </is>
      </c>
      <c r="AD1149" t="n">
        <v>38.9</v>
      </c>
      <c r="AE1149" t="inlineStr">
        <is>
          <t>801+</t>
        </is>
      </c>
      <c r="AF1149" t="n">
        <v>2.5</v>
      </c>
      <c r="AG1149" t="inlineStr">
        <is>
          <t>801+</t>
        </is>
      </c>
      <c r="AH1149" t="n">
        <v>35.9</v>
      </c>
      <c r="AI1149" t="inlineStr">
        <is>
          <t>801+</t>
        </is>
      </c>
      <c r="AJ1149" t="inlineStr">
        <is>
          <t>5.5</t>
        </is>
      </c>
      <c r="AK1149" t="inlineStr">
        <is>
          <t>601+</t>
        </is>
      </c>
      <c r="AL1149" t="inlineStr">
        <is>
          <t>2.2</t>
        </is>
      </c>
      <c r="AM1149" t="inlineStr">
        <is>
          <t>601+</t>
        </is>
      </c>
      <c r="AN1149" t="inlineStr">
        <is>
          <t>4.9</t>
        </is>
      </c>
      <c r="AO1149" t="inlineStr">
        <is>
          <t>701+</t>
        </is>
      </c>
      <c r="AP1149" t="inlineStr">
        <is>
          <t>2.9</t>
        </is>
      </c>
      <c r="AQ1149" t="inlineStr">
        <is>
          <t>701+</t>
        </is>
      </c>
      <c r="AR1149" t="inlineStr">
        <is>
          <t>11.1</t>
        </is>
      </c>
      <c r="AS1149" t="inlineStr">
        <is>
          <t>701+</t>
        </is>
      </c>
      <c r="AT1149" t="inlineStr">
        <is>
          <t>1.4</t>
        </is>
      </c>
      <c r="AU1149" t="inlineStr">
        <is>
          <t>701+</t>
        </is>
      </c>
      <c r="AV1149" t="inlineStr">
        <is>
          <t>1.9</t>
        </is>
      </c>
      <c r="AW1149" t="inlineStr">
        <is>
          <t>701+</t>
        </is>
      </c>
      <c r="AX1149" t="inlineStr">
        <is>
          <t>8.5</t>
        </is>
      </c>
      <c r="AY1149" t="inlineStr">
        <is>
          <t>701+</t>
        </is>
      </c>
      <c r="AZ1149" t="inlineStr">
        <is>
          <t>1.7</t>
        </is>
      </c>
      <c r="BA1149" t="inlineStr">
        <is>
          <t>701+</t>
        </is>
      </c>
    </row>
    <row r="1150">
      <c r="A1150" t="inlineStr">
        <is>
          <t>Universidad Autónoma de Guadalajara</t>
        </is>
      </c>
      <c r="B1150" t="inlineStr">
        <is>
          <t>Mexico</t>
        </is>
      </c>
      <c r="C1150" t="inlineStr"/>
      <c r="D1150" t="inlineStr">
        <is>
          <t>Americas</t>
        </is>
      </c>
      <c r="E1150" t="inlineStr">
        <is>
          <t>M</t>
        </is>
      </c>
      <c r="F1150" t="inlineStr">
        <is>
          <t>FC</t>
        </is>
      </c>
      <c r="G1150" t="inlineStr">
        <is>
          <t>MD</t>
        </is>
      </c>
      <c r="H1150" t="inlineStr"/>
      <c r="I1150" t="inlineStr">
        <is>
          <t>Private for Profit</t>
        </is>
      </c>
      <c r="J1150" t="inlineStr">
        <is>
          <t>1201-1400</t>
        </is>
      </c>
      <c r="K1150" t="inlineStr">
        <is>
          <t>1201-1400</t>
        </is>
      </c>
      <c r="L1150" t="inlineStr"/>
      <c r="M1150" t="inlineStr"/>
      <c r="N1150" t="inlineStr">
        <is>
          <t>-</t>
        </is>
      </c>
      <c r="O1150" t="inlineStr"/>
      <c r="P1150" t="n">
        <v>10.3</v>
      </c>
      <c r="Q1150" t="inlineStr">
        <is>
          <t>701+</t>
        </is>
      </c>
      <c r="R1150" t="n">
        <v>5.2</v>
      </c>
      <c r="S1150" t="inlineStr">
        <is>
          <t>701+</t>
        </is>
      </c>
      <c r="T1150" t="n">
        <v>28.7</v>
      </c>
      <c r="U1150" t="inlineStr">
        <is>
          <t>665</t>
        </is>
      </c>
      <c r="V1150" t="n">
        <v>1.2</v>
      </c>
      <c r="W1150" t="inlineStr">
        <is>
          <t>801+</t>
        </is>
      </c>
      <c r="X1150" t="n">
        <v>45.7</v>
      </c>
      <c r="Y1150" t="inlineStr">
        <is>
          <t>464</t>
        </is>
      </c>
      <c r="Z1150" t="n">
        <v>23.6</v>
      </c>
      <c r="AA1150" t="inlineStr">
        <is>
          <t>681</t>
        </is>
      </c>
      <c r="AB1150" t="n">
        <v>17.8</v>
      </c>
      <c r="AC1150" t="inlineStr">
        <is>
          <t>801+</t>
        </is>
      </c>
      <c r="AD1150" t="n">
        <v>2.4</v>
      </c>
      <c r="AE1150" t="inlineStr">
        <is>
          <t>801+</t>
        </is>
      </c>
      <c r="AF1150" t="n">
        <v>2.1</v>
      </c>
      <c r="AG1150" t="inlineStr">
        <is>
          <t>801+</t>
        </is>
      </c>
      <c r="AH1150" t="n">
        <v>7.3</v>
      </c>
      <c r="AI1150" t="inlineStr">
        <is>
          <t>801+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</row>
    <row r="1151">
      <c r="A1151" t="inlineStr">
        <is>
          <t>Universidad Autónoma de Guadalajara (UAG)</t>
        </is>
      </c>
      <c r="B1151" t="inlineStr">
        <is>
          <t>Mexico</t>
        </is>
      </c>
      <c r="C1151" t="inlineStr">
        <is>
          <t>MX</t>
        </is>
      </c>
      <c r="D1151" t="inlineStr"/>
      <c r="E1151" t="inlineStr">
        <is>
          <t>L</t>
        </is>
      </c>
      <c r="F1151" t="inlineStr">
        <is>
          <t>FC</t>
        </is>
      </c>
      <c r="G1151" t="inlineStr">
        <is>
          <t>LO</t>
        </is>
      </c>
      <c r="H1151" t="inlineStr">
        <is>
          <t>4</t>
        </is>
      </c>
      <c r="I1151" t="inlineStr">
        <is>
          <t>C</t>
        </is>
      </c>
      <c r="J1151" t="inlineStr"/>
      <c r="K1151" t="inlineStr"/>
      <c r="L1151" t="inlineStr">
        <is>
          <t>1001-1200</t>
        </is>
      </c>
      <c r="M1151" t="inlineStr">
        <is>
          <t>1401+</t>
        </is>
      </c>
      <c r="N1151" t="inlineStr"/>
      <c r="O1151" t="inlineStr">
        <is>
          <t>-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>
        <is>
          <t>6.5</t>
        </is>
      </c>
      <c r="AK1151" t="inlineStr">
        <is>
          <t>601+</t>
        </is>
      </c>
      <c r="AL1151" t="inlineStr">
        <is>
          <t>5.2</t>
        </is>
      </c>
      <c r="AM1151" t="inlineStr">
        <is>
          <t>601+</t>
        </is>
      </c>
      <c r="AN1151" t="inlineStr">
        <is>
          <t>17.5</t>
        </is>
      </c>
      <c r="AO1151" t="inlineStr">
        <is>
          <t>701+</t>
        </is>
      </c>
      <c r="AP1151" t="inlineStr">
        <is>
          <t>1.1</t>
        </is>
      </c>
      <c r="AQ1151" t="inlineStr">
        <is>
          <t>701+</t>
        </is>
      </c>
      <c r="AR1151" t="inlineStr">
        <is>
          <t>39.4</t>
        </is>
      </c>
      <c r="AS1151" t="inlineStr">
        <is>
          <t>414</t>
        </is>
      </c>
      <c r="AT1151" t="inlineStr">
        <is>
          <t>20.0</t>
        </is>
      </c>
      <c r="AU1151" t="inlineStr">
        <is>
          <t>548</t>
        </is>
      </c>
      <c r="AV1151" t="inlineStr">
        <is>
          <t>1.0</t>
        </is>
      </c>
      <c r="AW1151" t="inlineStr">
        <is>
          <t>701+</t>
        </is>
      </c>
      <c r="AX1151" t="inlineStr">
        <is>
          <t>3.9</t>
        </is>
      </c>
      <c r="AY1151" t="inlineStr">
        <is>
          <t>701+</t>
        </is>
      </c>
      <c r="AZ1151" t="inlineStr"/>
      <c r="BA1151" t="inlineStr"/>
    </row>
    <row r="1152">
      <c r="A1152" t="inlineStr">
        <is>
          <t>Universidad Autónoma de Madrid</t>
        </is>
      </c>
      <c r="B1152" t="inlineStr">
        <is>
          <t>Spain</t>
        </is>
      </c>
      <c r="C1152" t="inlineStr">
        <is>
          <t>ES</t>
        </is>
      </c>
      <c r="D1152" t="inlineStr">
        <is>
          <t>Europe</t>
        </is>
      </c>
      <c r="E1152" t="inlineStr">
        <is>
          <t>XL</t>
        </is>
      </c>
      <c r="F1152" t="inlineStr">
        <is>
          <t>FC</t>
        </is>
      </c>
      <c r="G1152" t="inlineStr">
        <is>
          <t>VH</t>
        </is>
      </c>
      <c r="H1152" t="inlineStr">
        <is>
          <t>4</t>
        </is>
      </c>
      <c r="I1152" t="inlineStr">
        <is>
          <t>Public</t>
        </is>
      </c>
      <c r="J1152" t="inlineStr">
        <is>
          <t>206</t>
        </is>
      </c>
      <c r="K1152" t="inlineStr">
        <is>
          <t>198</t>
        </is>
      </c>
      <c r="L1152">
        <f>199</f>
        <v/>
      </c>
      <c r="M1152" t="inlineStr">
        <is>
          <t>215=</t>
        </is>
      </c>
      <c r="N1152" t="inlineStr">
        <is>
          <t>55</t>
        </is>
      </c>
      <c r="O1152" t="inlineStr">
        <is>
          <t>45.9</t>
        </is>
      </c>
      <c r="P1152" t="n">
        <v>73.09999999999999</v>
      </c>
      <c r="Q1152" t="inlineStr">
        <is>
          <t>121</t>
        </is>
      </c>
      <c r="R1152" t="n">
        <v>71.5</v>
      </c>
      <c r="S1152" t="inlineStr">
        <is>
          <t>142</t>
        </is>
      </c>
      <c r="T1152" t="n">
        <v>39.7</v>
      </c>
      <c r="U1152" t="inlineStr">
        <is>
          <t>511</t>
        </is>
      </c>
      <c r="V1152" t="n">
        <v>26.5</v>
      </c>
      <c r="W1152" t="inlineStr">
        <is>
          <t>620</t>
        </is>
      </c>
      <c r="X1152" t="n">
        <v>22.3</v>
      </c>
      <c r="Y1152" t="inlineStr">
        <is>
          <t>683</t>
        </is>
      </c>
      <c r="Z1152" t="n">
        <v>29.6</v>
      </c>
      <c r="AA1152" t="inlineStr">
        <is>
          <t>594</t>
        </is>
      </c>
      <c r="AB1152" t="n">
        <v>35.5</v>
      </c>
      <c r="AC1152" t="inlineStr">
        <is>
          <t>543</t>
        </is>
      </c>
      <c r="AD1152" t="n">
        <v>92.5</v>
      </c>
      <c r="AE1152" t="inlineStr">
        <is>
          <t>135</t>
        </is>
      </c>
      <c r="AF1152" t="n">
        <v>52.5</v>
      </c>
      <c r="AG1152" t="inlineStr">
        <is>
          <t>322</t>
        </is>
      </c>
      <c r="AH1152" t="n">
        <v>72.5</v>
      </c>
      <c r="AI1152" t="inlineStr">
        <is>
          <t>281=</t>
        </is>
      </c>
      <c r="AJ1152" t="inlineStr">
        <is>
          <t>60.4</t>
        </is>
      </c>
      <c r="AK1152" t="inlineStr">
        <is>
          <t>117</t>
        </is>
      </c>
      <c r="AL1152" t="inlineStr">
        <is>
          <t>57.7</t>
        </is>
      </c>
      <c r="AM1152" t="inlineStr">
        <is>
          <t>145</t>
        </is>
      </c>
      <c r="AN1152" t="inlineStr">
        <is>
          <t>34.5</t>
        </is>
      </c>
      <c r="AO1152" t="inlineStr">
        <is>
          <t>464</t>
        </is>
      </c>
      <c r="AP1152" t="inlineStr">
        <is>
          <t>25.1</t>
        </is>
      </c>
      <c r="AQ1152" t="inlineStr">
        <is>
          <t>485</t>
        </is>
      </c>
      <c r="AR1152" t="inlineStr">
        <is>
          <t>7.8</t>
        </is>
      </c>
      <c r="AS1152" t="inlineStr">
        <is>
          <t>701+</t>
        </is>
      </c>
      <c r="AT1152" t="inlineStr">
        <is>
          <t>12.0</t>
        </is>
      </c>
      <c r="AU1152" t="inlineStr">
        <is>
          <t>678</t>
        </is>
      </c>
      <c r="AV1152" t="inlineStr">
        <is>
          <t>80.4</t>
        </is>
      </c>
      <c r="AW1152" t="inlineStr">
        <is>
          <t>143</t>
        </is>
      </c>
      <c r="AX1152" t="inlineStr">
        <is>
          <t>19.6</t>
        </is>
      </c>
      <c r="AY1152" t="inlineStr">
        <is>
          <t>428</t>
        </is>
      </c>
      <c r="AZ1152" t="inlineStr">
        <is>
          <t>88.8</t>
        </is>
      </c>
      <c r="BA1152" t="inlineStr">
        <is>
          <t>97=</t>
        </is>
      </c>
    </row>
    <row r="1153">
      <c r="A1153" t="inlineStr">
        <is>
          <t>Universidad Autónoma de Nuevo León</t>
        </is>
      </c>
      <c r="B1153" t="inlineStr">
        <is>
          <t>Mexico</t>
        </is>
      </c>
      <c r="C1153" t="inlineStr">
        <is>
          <t>MX</t>
        </is>
      </c>
      <c r="D1153" t="inlineStr"/>
      <c r="E1153" t="inlineStr">
        <is>
          <t>XL</t>
        </is>
      </c>
      <c r="F1153" t="inlineStr">
        <is>
          <t>FC</t>
        </is>
      </c>
      <c r="G1153" t="inlineStr">
        <is>
          <t>HI</t>
        </is>
      </c>
      <c r="H1153" t="inlineStr">
        <is>
          <t>4</t>
        </is>
      </c>
      <c r="I1153" t="inlineStr">
        <is>
          <t>A</t>
        </is>
      </c>
      <c r="J1153" t="inlineStr"/>
      <c r="K1153" t="inlineStr"/>
      <c r="L1153" t="inlineStr">
        <is>
          <t>1001-1200</t>
        </is>
      </c>
      <c r="M1153" t="inlineStr">
        <is>
          <t>1001-1200</t>
        </is>
      </c>
      <c r="N1153" t="inlineStr"/>
      <c r="O1153" t="inlineStr">
        <is>
          <t>-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>
        <is>
          <t>15.4</t>
        </is>
      </c>
      <c r="AK1153" t="inlineStr">
        <is>
          <t>566</t>
        </is>
      </c>
      <c r="AL1153" t="inlineStr">
        <is>
          <t>12.5</t>
        </is>
      </c>
      <c r="AM1153" t="inlineStr">
        <is>
          <t>601+</t>
        </is>
      </c>
      <c r="AN1153" t="inlineStr">
        <is>
          <t>2.2</t>
        </is>
      </c>
      <c r="AO1153" t="inlineStr">
        <is>
          <t>701+</t>
        </is>
      </c>
      <c r="AP1153" t="inlineStr">
        <is>
          <t>1.8</t>
        </is>
      </c>
      <c r="AQ1153" t="inlineStr">
        <is>
          <t>701+</t>
        </is>
      </c>
      <c r="AR1153" t="inlineStr">
        <is>
          <t>3.4</t>
        </is>
      </c>
      <c r="AS1153" t="inlineStr">
        <is>
          <t>701+</t>
        </is>
      </c>
      <c r="AT1153" t="inlineStr">
        <is>
          <t>1.1</t>
        </is>
      </c>
      <c r="AU1153" t="inlineStr">
        <is>
          <t>701+</t>
        </is>
      </c>
      <c r="AV1153" t="inlineStr">
        <is>
          <t>2.2</t>
        </is>
      </c>
      <c r="AW1153" t="inlineStr">
        <is>
          <t>701+</t>
        </is>
      </c>
      <c r="AX1153" t="inlineStr">
        <is>
          <t>11.5</t>
        </is>
      </c>
      <c r="AY1153" t="inlineStr">
        <is>
          <t>701+</t>
        </is>
      </c>
      <c r="AZ1153" t="inlineStr">
        <is>
          <t>15.4</t>
        </is>
      </c>
      <c r="BA1153" t="inlineStr">
        <is>
          <t>603=</t>
        </is>
      </c>
    </row>
    <row r="1154">
      <c r="A1154" t="inlineStr">
        <is>
          <t>Universidad Autónoma de Nuevo León (UANL)</t>
        </is>
      </c>
      <c r="B1154" t="inlineStr">
        <is>
          <t>Mexico</t>
        </is>
      </c>
      <c r="C1154" t="inlineStr"/>
      <c r="D1154" t="inlineStr">
        <is>
          <t>Americas</t>
        </is>
      </c>
      <c r="E1154" t="inlineStr">
        <is>
          <t>XL</t>
        </is>
      </c>
      <c r="F1154" t="inlineStr">
        <is>
          <t>FC</t>
        </is>
      </c>
      <c r="G1154" t="inlineStr">
        <is>
          <t>HI</t>
        </is>
      </c>
      <c r="H1154" t="inlineStr"/>
      <c r="I1154" t="inlineStr">
        <is>
          <t>Public</t>
        </is>
      </c>
      <c r="J1154" t="inlineStr">
        <is>
          <t>1201-1400</t>
        </is>
      </c>
      <c r="K1154" t="inlineStr">
        <is>
          <t>1001-1200</t>
        </is>
      </c>
      <c r="L1154" t="inlineStr"/>
      <c r="M1154" t="inlineStr"/>
      <c r="N1154" t="inlineStr">
        <is>
          <t>-</t>
        </is>
      </c>
      <c r="O1154" t="inlineStr"/>
      <c r="P1154" t="n">
        <v>20.9</v>
      </c>
      <c r="Q1154" t="inlineStr">
        <is>
          <t>593</t>
        </is>
      </c>
      <c r="R1154" t="n">
        <v>10.7</v>
      </c>
      <c r="S1154" t="inlineStr">
        <is>
          <t>701+</t>
        </is>
      </c>
      <c r="T1154" t="n">
        <v>3.1</v>
      </c>
      <c r="U1154" t="inlineStr">
        <is>
          <t>801+</t>
        </is>
      </c>
      <c r="V1154" t="n">
        <v>2.9</v>
      </c>
      <c r="W1154" t="inlineStr">
        <is>
          <t>801+</t>
        </is>
      </c>
      <c r="X1154" t="n">
        <v>4</v>
      </c>
      <c r="Y1154" t="inlineStr">
        <is>
          <t>801+</t>
        </is>
      </c>
      <c r="Z1154" t="n">
        <v>1.3</v>
      </c>
      <c r="AA1154" t="inlineStr">
        <is>
          <t>801+</t>
        </is>
      </c>
      <c r="AB1154" t="n">
        <v>1.2</v>
      </c>
      <c r="AC1154" t="inlineStr">
        <is>
          <t>801+</t>
        </is>
      </c>
      <c r="AD1154" t="n">
        <v>39.1</v>
      </c>
      <c r="AE1154" t="inlineStr">
        <is>
          <t>801+</t>
        </is>
      </c>
      <c r="AF1154" t="n">
        <v>18.4</v>
      </c>
      <c r="AG1154" t="inlineStr">
        <is>
          <t>750</t>
        </is>
      </c>
      <c r="AH1154" t="n">
        <v>43.7</v>
      </c>
      <c r="AI1154" t="inlineStr">
        <is>
          <t>801+</t>
        </is>
      </c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</row>
    <row r="1155">
      <c r="A1155" t="inlineStr">
        <is>
          <t>Universidad Autónoma de Querétaro (UAQ)</t>
        </is>
      </c>
      <c r="B1155" t="inlineStr">
        <is>
          <t>Mexico</t>
        </is>
      </c>
      <c r="C1155" t="inlineStr">
        <is>
          <t>MX</t>
        </is>
      </c>
      <c r="D1155" t="inlineStr"/>
      <c r="E1155" t="inlineStr">
        <is>
          <t>L</t>
        </is>
      </c>
      <c r="F1155" t="inlineStr">
        <is>
          <t>FC</t>
        </is>
      </c>
      <c r="G1155" t="inlineStr">
        <is>
          <t>MD</t>
        </is>
      </c>
      <c r="H1155" t="inlineStr">
        <is>
          <t>4</t>
        </is>
      </c>
      <c r="I1155" t="inlineStr">
        <is>
          <t>A</t>
        </is>
      </c>
      <c r="J1155" t="inlineStr"/>
      <c r="K1155" t="inlineStr"/>
      <c r="L1155" t="inlineStr">
        <is>
          <t>1401+</t>
        </is>
      </c>
      <c r="M1155" t="inlineStr">
        <is>
          <t>1201-1400</t>
        </is>
      </c>
      <c r="N1155" t="inlineStr"/>
      <c r="O1155" t="inlineStr">
        <is>
          <t>-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>
        <is>
          <t>4.9</t>
        </is>
      </c>
      <c r="AK1155" t="inlineStr">
        <is>
          <t>601+</t>
        </is>
      </c>
      <c r="AL1155" t="inlineStr">
        <is>
          <t>2.9</t>
        </is>
      </c>
      <c r="AM1155" t="inlineStr">
        <is>
          <t>601+</t>
        </is>
      </c>
      <c r="AN1155" t="inlineStr">
        <is>
          <t>5.2</t>
        </is>
      </c>
      <c r="AO1155" t="inlineStr">
        <is>
          <t>701+</t>
        </is>
      </c>
      <c r="AP1155" t="inlineStr">
        <is>
          <t>2.4</t>
        </is>
      </c>
      <c r="AQ1155" t="inlineStr">
        <is>
          <t>701+</t>
        </is>
      </c>
      <c r="AR1155" t="inlineStr">
        <is>
          <t>5.4</t>
        </is>
      </c>
      <c r="AS1155" t="inlineStr">
        <is>
          <t>701+</t>
        </is>
      </c>
      <c r="AT1155" t="inlineStr">
        <is>
          <t>1.6</t>
        </is>
      </c>
      <c r="AU1155" t="inlineStr">
        <is>
          <t>701+</t>
        </is>
      </c>
      <c r="AV1155" t="inlineStr">
        <is>
          <t>1.0</t>
        </is>
      </c>
      <c r="AW1155" t="inlineStr">
        <is>
          <t>701+</t>
        </is>
      </c>
      <c r="AX1155" t="inlineStr">
        <is>
          <t>6</t>
        </is>
      </c>
      <c r="AY1155" t="inlineStr">
        <is>
          <t>701+</t>
        </is>
      </c>
      <c r="AZ1155" t="inlineStr">
        <is>
          <t>1</t>
        </is>
      </c>
      <c r="BA1155" t="inlineStr">
        <is>
          <t>701+</t>
        </is>
      </c>
    </row>
    <row r="1156">
      <c r="A1156" t="inlineStr">
        <is>
          <t>Universidad Autónoma de San Luis de Potosí</t>
        </is>
      </c>
      <c r="B1156" t="inlineStr">
        <is>
          <t>Mexico</t>
        </is>
      </c>
      <c r="C1156" t="inlineStr">
        <is>
          <t>MX</t>
        </is>
      </c>
      <c r="D1156" t="inlineStr"/>
      <c r="E1156" t="inlineStr">
        <is>
          <t>XL</t>
        </is>
      </c>
      <c r="F1156" t="inlineStr">
        <is>
          <t>FC</t>
        </is>
      </c>
      <c r="G1156" t="inlineStr">
        <is>
          <t>MD</t>
        </is>
      </c>
      <c r="H1156" t="inlineStr">
        <is>
          <t>5</t>
        </is>
      </c>
      <c r="I1156" t="inlineStr">
        <is>
          <t>A</t>
        </is>
      </c>
      <c r="J1156" t="inlineStr"/>
      <c r="K1156" t="inlineStr"/>
      <c r="L1156" t="inlineStr">
        <is>
          <t>1401+</t>
        </is>
      </c>
      <c r="M1156" t="inlineStr">
        <is>
          <t>1201-1400</t>
        </is>
      </c>
      <c r="N1156" t="inlineStr"/>
      <c r="O1156" t="inlineStr">
        <is>
          <t>-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>
        <is>
          <t>6.2</t>
        </is>
      </c>
      <c r="AK1156" t="inlineStr">
        <is>
          <t>601+</t>
        </is>
      </c>
      <c r="AL1156" t="inlineStr">
        <is>
          <t>2.4</t>
        </is>
      </c>
      <c r="AM1156" t="inlineStr">
        <is>
          <t>601+</t>
        </is>
      </c>
      <c r="AN1156" t="inlineStr">
        <is>
          <t>5.5</t>
        </is>
      </c>
      <c r="AO1156" t="inlineStr">
        <is>
          <t>701+</t>
        </is>
      </c>
      <c r="AP1156" t="inlineStr">
        <is>
          <t>2.4</t>
        </is>
      </c>
      <c r="AQ1156" t="inlineStr">
        <is>
          <t>701+</t>
        </is>
      </c>
      <c r="AR1156" t="inlineStr">
        <is>
          <t>1.6</t>
        </is>
      </c>
      <c r="AS1156" t="inlineStr">
        <is>
          <t>701+</t>
        </is>
      </c>
      <c r="AT1156" t="inlineStr">
        <is>
          <t>1.4</t>
        </is>
      </c>
      <c r="AU1156" t="inlineStr">
        <is>
          <t>701+</t>
        </is>
      </c>
      <c r="AV1156" t="inlineStr">
        <is>
          <t>1.3</t>
        </is>
      </c>
      <c r="AW1156" t="inlineStr">
        <is>
          <t>701+</t>
        </is>
      </c>
      <c r="AX1156" t="inlineStr">
        <is>
          <t>3.9</t>
        </is>
      </c>
      <c r="AY1156" t="inlineStr">
        <is>
          <t>701+</t>
        </is>
      </c>
      <c r="AZ1156" t="inlineStr">
        <is>
          <t>1.2</t>
        </is>
      </c>
      <c r="BA1156" t="inlineStr">
        <is>
          <t>701+</t>
        </is>
      </c>
    </row>
    <row r="1157">
      <c r="A1157" t="inlineStr">
        <is>
          <t>Universidad Autónoma del Estado de Hidalgo</t>
        </is>
      </c>
      <c r="B1157" t="inlineStr">
        <is>
          <t>Mexico</t>
        </is>
      </c>
      <c r="C1157" t="inlineStr"/>
      <c r="D1157" t="inlineStr">
        <is>
          <t>Americas</t>
        </is>
      </c>
      <c r="E1157" t="inlineStr">
        <is>
          <t>XL</t>
        </is>
      </c>
      <c r="F1157" t="inlineStr">
        <is>
          <t>FC</t>
        </is>
      </c>
      <c r="G1157" t="inlineStr">
        <is>
          <t>MD</t>
        </is>
      </c>
      <c r="H1157" t="inlineStr"/>
      <c r="I1157" t="inlineStr">
        <is>
          <t>Public</t>
        </is>
      </c>
      <c r="J1157" t="inlineStr">
        <is>
          <t>1201-1400</t>
        </is>
      </c>
      <c r="K1157" t="inlineStr">
        <is>
          <t>1201-1400</t>
        </is>
      </c>
      <c r="L1157" t="inlineStr"/>
      <c r="M1157" t="inlineStr"/>
      <c r="N1157" t="inlineStr">
        <is>
          <t>-</t>
        </is>
      </c>
      <c r="O1157" t="inlineStr"/>
      <c r="P1157" t="n">
        <v>3.6</v>
      </c>
      <c r="Q1157" t="inlineStr">
        <is>
          <t>701+</t>
        </is>
      </c>
      <c r="R1157" t="n">
        <v>8.300000000000001</v>
      </c>
      <c r="S1157" t="inlineStr">
        <is>
          <t>701+</t>
        </is>
      </c>
      <c r="T1157" t="n">
        <v>51.7</v>
      </c>
      <c r="U1157" t="inlineStr">
        <is>
          <t>366</t>
        </is>
      </c>
      <c r="V1157" t="n">
        <v>1.9</v>
      </c>
      <c r="W1157" t="inlineStr">
        <is>
          <t>801+</t>
        </is>
      </c>
      <c r="X1157" t="n">
        <v>2.6</v>
      </c>
      <c r="Y1157" t="inlineStr">
        <is>
          <t>801+</t>
        </is>
      </c>
      <c r="Z1157" t="n">
        <v>2.9</v>
      </c>
      <c r="AA1157" t="inlineStr">
        <is>
          <t>801+</t>
        </is>
      </c>
      <c r="AB1157" t="n">
        <v>7.2</v>
      </c>
      <c r="AC1157" t="inlineStr">
        <is>
          <t>801+</t>
        </is>
      </c>
      <c r="AD1157" t="n">
        <v>13.3</v>
      </c>
      <c r="AE1157" t="inlineStr">
        <is>
          <t>801+</t>
        </is>
      </c>
      <c r="AF1157" t="n">
        <v>2.3</v>
      </c>
      <c r="AG1157" t="inlineStr">
        <is>
          <t>801+</t>
        </is>
      </c>
      <c r="AH1157" t="n">
        <v>41.8</v>
      </c>
      <c r="AI1157" t="inlineStr">
        <is>
          <t>801+</t>
        </is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</row>
    <row r="1158">
      <c r="A1158" t="inlineStr">
        <is>
          <t>Universidad Autónoma del Estado de Hidalgo (UAEH)</t>
        </is>
      </c>
      <c r="B1158" t="inlineStr">
        <is>
          <t>Mexico</t>
        </is>
      </c>
      <c r="C1158" t="inlineStr">
        <is>
          <t>MX</t>
        </is>
      </c>
      <c r="D1158" t="inlineStr"/>
      <c r="E1158" t="inlineStr">
        <is>
          <t>XL</t>
        </is>
      </c>
      <c r="F1158" t="inlineStr">
        <is>
          <t>FC</t>
        </is>
      </c>
      <c r="G1158" t="inlineStr">
        <is>
          <t>MD</t>
        </is>
      </c>
      <c r="H1158" t="inlineStr">
        <is>
          <t>5</t>
        </is>
      </c>
      <c r="I1158" t="inlineStr">
        <is>
          <t>A</t>
        </is>
      </c>
      <c r="J1158" t="inlineStr"/>
      <c r="K1158" t="inlineStr"/>
      <c r="L1158" t="inlineStr">
        <is>
          <t>1001-1200</t>
        </is>
      </c>
      <c r="M1158" t="inlineStr">
        <is>
          <t>801-1000</t>
        </is>
      </c>
      <c r="N1158" t="inlineStr"/>
      <c r="O1158" t="inlineStr">
        <is>
          <t>-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>
        <is>
          <t>3.9</t>
        </is>
      </c>
      <c r="AK1158" t="inlineStr">
        <is>
          <t>601+</t>
        </is>
      </c>
      <c r="AL1158" t="inlineStr">
        <is>
          <t>7.2</t>
        </is>
      </c>
      <c r="AM1158" t="inlineStr">
        <is>
          <t>601+</t>
        </is>
      </c>
      <c r="AN1158" t="inlineStr">
        <is>
          <t>43.2</t>
        </is>
      </c>
      <c r="AO1158" t="inlineStr">
        <is>
          <t>362</t>
        </is>
      </c>
      <c r="AP1158" t="inlineStr">
        <is>
          <t>1.4</t>
        </is>
      </c>
      <c r="AQ1158" t="inlineStr">
        <is>
          <t>701+</t>
        </is>
      </c>
      <c r="AR1158" t="inlineStr">
        <is>
          <t>2.4</t>
        </is>
      </c>
      <c r="AS1158" t="inlineStr">
        <is>
          <t>701+</t>
        </is>
      </c>
      <c r="AT1158" t="inlineStr">
        <is>
          <t>1.8</t>
        </is>
      </c>
      <c r="AU1158" t="inlineStr">
        <is>
          <t>701+</t>
        </is>
      </c>
      <c r="AV1158" t="inlineStr">
        <is>
          <t>1.0</t>
        </is>
      </c>
      <c r="AW1158" t="inlineStr">
        <is>
          <t>701+</t>
        </is>
      </c>
      <c r="AX1158" t="inlineStr">
        <is>
          <t>7.6</t>
        </is>
      </c>
      <c r="AY1158" t="inlineStr">
        <is>
          <t>701+</t>
        </is>
      </c>
      <c r="AZ1158" t="inlineStr">
        <is>
          <t>2.6</t>
        </is>
      </c>
      <c r="BA1158" t="inlineStr">
        <is>
          <t>701+</t>
        </is>
      </c>
    </row>
    <row r="1159">
      <c r="A1159" t="inlineStr">
        <is>
          <t>Universidad Autónoma del Estado de Morelos (UAEM)</t>
        </is>
      </c>
      <c r="B1159" t="inlineStr">
        <is>
          <t>Mexico</t>
        </is>
      </c>
      <c r="C1159" t="inlineStr">
        <is>
          <t>MX</t>
        </is>
      </c>
      <c r="D1159" t="inlineStr"/>
      <c r="E1159" t="inlineStr">
        <is>
          <t>L</t>
        </is>
      </c>
      <c r="F1159" t="inlineStr">
        <is>
          <t>FC</t>
        </is>
      </c>
      <c r="G1159" t="inlineStr">
        <is>
          <t>MD</t>
        </is>
      </c>
      <c r="H1159" t="inlineStr">
        <is>
          <t>4</t>
        </is>
      </c>
      <c r="I1159" t="inlineStr">
        <is>
          <t>A</t>
        </is>
      </c>
      <c r="J1159" t="inlineStr"/>
      <c r="K1159" t="inlineStr"/>
      <c r="L1159" t="inlineStr">
        <is>
          <t>1401+</t>
        </is>
      </c>
      <c r="M1159" t="inlineStr">
        <is>
          <t>1201-1400</t>
        </is>
      </c>
      <c r="N1159" t="inlineStr"/>
      <c r="O1159" t="inlineStr">
        <is>
          <t>-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>
        <is>
          <t>4.0</t>
        </is>
      </c>
      <c r="AK1159" t="inlineStr">
        <is>
          <t>601+</t>
        </is>
      </c>
      <c r="AL1159" t="inlineStr">
        <is>
          <t>2.2</t>
        </is>
      </c>
      <c r="AM1159" t="inlineStr">
        <is>
          <t>601+</t>
        </is>
      </c>
      <c r="AN1159" t="inlineStr">
        <is>
          <t>13.0</t>
        </is>
      </c>
      <c r="AO1159" t="inlineStr">
        <is>
          <t>701+</t>
        </is>
      </c>
      <c r="AP1159" t="inlineStr">
        <is>
          <t>1.6</t>
        </is>
      </c>
      <c r="AQ1159" t="inlineStr">
        <is>
          <t>701+</t>
        </is>
      </c>
      <c r="AR1159" t="inlineStr">
        <is>
          <t>3.2</t>
        </is>
      </c>
      <c r="AS1159" t="inlineStr">
        <is>
          <t>701+</t>
        </is>
      </c>
      <c r="AT1159" t="inlineStr">
        <is>
          <t>1.1</t>
        </is>
      </c>
      <c r="AU1159" t="inlineStr">
        <is>
          <t>701+</t>
        </is>
      </c>
      <c r="AV1159" t="inlineStr">
        <is>
          <t>1.1</t>
        </is>
      </c>
      <c r="AW1159" t="inlineStr">
        <is>
          <t>701+</t>
        </is>
      </c>
      <c r="AX1159" t="inlineStr">
        <is>
          <t>4</t>
        </is>
      </c>
      <c r="AY1159" t="inlineStr">
        <is>
          <t>701+</t>
        </is>
      </c>
      <c r="AZ1159" t="inlineStr">
        <is>
          <t>3.8</t>
        </is>
      </c>
      <c r="BA1159" t="inlineStr">
        <is>
          <t>701+</t>
        </is>
      </c>
    </row>
    <row r="1160">
      <c r="A1160" t="inlineStr">
        <is>
          <t>Universidad Autónoma del Estado de México</t>
        </is>
      </c>
      <c r="B1160" t="inlineStr">
        <is>
          <t>Mexico</t>
        </is>
      </c>
      <c r="C1160" t="inlineStr"/>
      <c r="D1160" t="inlineStr">
        <is>
          <t>Americas</t>
        </is>
      </c>
      <c r="E1160" t="inlineStr">
        <is>
          <t>XL</t>
        </is>
      </c>
      <c r="F1160" t="inlineStr">
        <is>
          <t>FC</t>
        </is>
      </c>
      <c r="G1160" t="inlineStr">
        <is>
          <t>MD</t>
        </is>
      </c>
      <c r="H1160" t="inlineStr"/>
      <c r="I1160" t="inlineStr">
        <is>
          <t>Public</t>
        </is>
      </c>
      <c r="J1160" t="inlineStr">
        <is>
          <t>1201-1400</t>
        </is>
      </c>
      <c r="K1160" t="inlineStr">
        <is>
          <t>1001-1200</t>
        </is>
      </c>
      <c r="L1160" t="inlineStr"/>
      <c r="M1160" t="inlineStr"/>
      <c r="N1160" t="inlineStr">
        <is>
          <t>-</t>
        </is>
      </c>
      <c r="O1160" t="inlineStr"/>
      <c r="P1160" t="n">
        <v>23</v>
      </c>
      <c r="Q1160" t="inlineStr">
        <is>
          <t>547</t>
        </is>
      </c>
      <c r="R1160" t="n">
        <v>12.8</v>
      </c>
      <c r="S1160" t="inlineStr">
        <is>
          <t>701+</t>
        </is>
      </c>
      <c r="T1160" t="n">
        <v>7.5</v>
      </c>
      <c r="U1160" t="inlineStr">
        <is>
          <t>801+</t>
        </is>
      </c>
      <c r="V1160" t="n">
        <v>2</v>
      </c>
      <c r="W1160" t="inlineStr">
        <is>
          <t>801+</t>
        </is>
      </c>
      <c r="X1160" t="n">
        <v>3.9</v>
      </c>
      <c r="Y1160" t="inlineStr">
        <is>
          <t>801+</t>
        </is>
      </c>
      <c r="Z1160" t="n">
        <v>1.7</v>
      </c>
      <c r="AA1160" t="inlineStr">
        <is>
          <t>801+</t>
        </is>
      </c>
      <c r="AB1160" t="n">
        <v>6.1</v>
      </c>
      <c r="AC1160" t="inlineStr">
        <is>
          <t>801+</t>
        </is>
      </c>
      <c r="AD1160" t="n">
        <v>15.6</v>
      </c>
      <c r="AE1160" t="inlineStr">
        <is>
          <t>801+</t>
        </is>
      </c>
      <c r="AF1160" t="n">
        <v>2.1</v>
      </c>
      <c r="AG1160" t="inlineStr">
        <is>
          <t>801+</t>
        </is>
      </c>
      <c r="AH1160" t="n">
        <v>39.8</v>
      </c>
      <c r="AI1160" t="inlineStr">
        <is>
          <t>801+</t>
        </is>
      </c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</row>
    <row r="1161">
      <c r="A1161" t="inlineStr">
        <is>
          <t>Universidad Autónoma del Estado de México (UAEMex)</t>
        </is>
      </c>
      <c r="B1161" t="inlineStr">
        <is>
          <t>Mexico</t>
        </is>
      </c>
      <c r="C1161" t="inlineStr">
        <is>
          <t>MX</t>
        </is>
      </c>
      <c r="D1161" t="inlineStr"/>
      <c r="E1161" t="inlineStr">
        <is>
          <t>XL</t>
        </is>
      </c>
      <c r="F1161" t="inlineStr">
        <is>
          <t>FC</t>
        </is>
      </c>
      <c r="G1161" t="inlineStr">
        <is>
          <t>MD</t>
        </is>
      </c>
      <c r="H1161" t="inlineStr">
        <is>
          <t>5</t>
        </is>
      </c>
      <c r="I1161" t="inlineStr">
        <is>
          <t>A</t>
        </is>
      </c>
      <c r="J1161" t="inlineStr"/>
      <c r="K1161" t="inlineStr"/>
      <c r="L1161" t="inlineStr">
        <is>
          <t>1001-1200</t>
        </is>
      </c>
      <c r="M1161" t="inlineStr">
        <is>
          <t>801-1000</t>
        </is>
      </c>
      <c r="N1161" t="inlineStr"/>
      <c r="O1161" t="inlineStr">
        <is>
          <t>-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>
        <is>
          <t>21.4</t>
        </is>
      </c>
      <c r="AK1161" t="inlineStr">
        <is>
          <t>404</t>
        </is>
      </c>
      <c r="AL1161" t="inlineStr">
        <is>
          <t>6.5</t>
        </is>
      </c>
      <c r="AM1161" t="inlineStr">
        <is>
          <t>601+</t>
        </is>
      </c>
      <c r="AN1161" t="inlineStr">
        <is>
          <t>4.9</t>
        </is>
      </c>
      <c r="AO1161" t="inlineStr">
        <is>
          <t>701+</t>
        </is>
      </c>
      <c r="AP1161" t="inlineStr">
        <is>
          <t>1.5</t>
        </is>
      </c>
      <c r="AQ1161" t="inlineStr">
        <is>
          <t>701+</t>
        </is>
      </c>
      <c r="AR1161" t="inlineStr">
        <is>
          <t>3.0</t>
        </is>
      </c>
      <c r="AS1161" t="inlineStr">
        <is>
          <t>701+</t>
        </is>
      </c>
      <c r="AT1161" t="inlineStr">
        <is>
          <t>1.1</t>
        </is>
      </c>
      <c r="AU1161" t="inlineStr">
        <is>
          <t>701+</t>
        </is>
      </c>
      <c r="AV1161" t="inlineStr">
        <is>
          <t>1.1</t>
        </is>
      </c>
      <c r="AW1161" t="inlineStr">
        <is>
          <t>701+</t>
        </is>
      </c>
      <c r="AX1161" t="inlineStr">
        <is>
          <t>3.9</t>
        </is>
      </c>
      <c r="AY1161" t="inlineStr">
        <is>
          <t>701+</t>
        </is>
      </c>
      <c r="AZ1161" t="inlineStr">
        <is>
          <t>8.4</t>
        </is>
      </c>
      <c r="BA1161" t="inlineStr">
        <is>
          <t>695=</t>
        </is>
      </c>
    </row>
    <row r="1162">
      <c r="A1162" t="inlineStr">
        <is>
          <t>Universidad Autónoma Metropolitana (UAM)</t>
        </is>
      </c>
      <c r="B1162" t="inlineStr">
        <is>
          <t>Mexico</t>
        </is>
      </c>
      <c r="C1162" t="inlineStr">
        <is>
          <t>MX</t>
        </is>
      </c>
      <c r="D1162" t="inlineStr">
        <is>
          <t>Americas</t>
        </is>
      </c>
      <c r="E1162" t="inlineStr">
        <is>
          <t>XL</t>
        </is>
      </c>
      <c r="F1162" t="inlineStr">
        <is>
          <t>FC</t>
        </is>
      </c>
      <c r="G1162" t="inlineStr">
        <is>
          <t>HI</t>
        </is>
      </c>
      <c r="H1162" t="inlineStr">
        <is>
          <t>3</t>
        </is>
      </c>
      <c r="I1162" t="inlineStr">
        <is>
          <t>Public</t>
        </is>
      </c>
      <c r="J1162" t="inlineStr">
        <is>
          <t>951-1000</t>
        </is>
      </c>
      <c r="K1162" t="inlineStr">
        <is>
          <t>951-1000</t>
        </is>
      </c>
      <c r="L1162" t="inlineStr">
        <is>
          <t>901-950</t>
        </is>
      </c>
      <c r="M1162" t="inlineStr">
        <is>
          <t>801-1000</t>
        </is>
      </c>
      <c r="N1162" t="inlineStr">
        <is>
          <t>-</t>
        </is>
      </c>
      <c r="O1162" t="inlineStr">
        <is>
          <t>-</t>
        </is>
      </c>
      <c r="P1162" t="n">
        <v>32.5</v>
      </c>
      <c r="Q1162" t="inlineStr">
        <is>
          <t>379</t>
        </is>
      </c>
      <c r="R1162" t="n">
        <v>16</v>
      </c>
      <c r="S1162" t="inlineStr">
        <is>
          <t>701+</t>
        </is>
      </c>
      <c r="T1162" t="n">
        <v>5.3</v>
      </c>
      <c r="U1162" t="inlineStr">
        <is>
          <t>801+</t>
        </is>
      </c>
      <c r="V1162" t="n">
        <v>4.3</v>
      </c>
      <c r="W1162" t="inlineStr">
        <is>
          <t>801+</t>
        </is>
      </c>
      <c r="X1162" t="n">
        <v>11.5</v>
      </c>
      <c r="Y1162" t="inlineStr">
        <is>
          <t>801+</t>
        </is>
      </c>
      <c r="Z1162" t="n">
        <v>1.5</v>
      </c>
      <c r="AA1162" t="inlineStr">
        <is>
          <t>801+</t>
        </is>
      </c>
      <c r="AB1162" t="n">
        <v>1.4</v>
      </c>
      <c r="AC1162" t="inlineStr">
        <is>
          <t>801+</t>
        </is>
      </c>
      <c r="AD1162" t="n">
        <v>47.1</v>
      </c>
      <c r="AE1162" t="inlineStr">
        <is>
          <t>801+</t>
        </is>
      </c>
      <c r="AF1162" t="n">
        <v>6.2</v>
      </c>
      <c r="AG1162" t="inlineStr">
        <is>
          <t>801+</t>
        </is>
      </c>
      <c r="AH1162" t="n">
        <v>47.7</v>
      </c>
      <c r="AI1162" t="inlineStr">
        <is>
          <t>765=</t>
        </is>
      </c>
      <c r="AJ1162" t="inlineStr">
        <is>
          <t>23.1</t>
        </is>
      </c>
      <c r="AK1162" t="inlineStr">
        <is>
          <t>375</t>
        </is>
      </c>
      <c r="AL1162" t="inlineStr">
        <is>
          <t>14.5</t>
        </is>
      </c>
      <c r="AM1162" t="inlineStr">
        <is>
          <t>563</t>
        </is>
      </c>
      <c r="AN1162" t="inlineStr">
        <is>
          <t>4.1</t>
        </is>
      </c>
      <c r="AO1162" t="inlineStr">
        <is>
          <t>701+</t>
        </is>
      </c>
      <c r="AP1162" t="inlineStr">
        <is>
          <t>2.6</t>
        </is>
      </c>
      <c r="AQ1162" t="inlineStr">
        <is>
          <t>701+</t>
        </is>
      </c>
      <c r="AR1162" t="inlineStr">
        <is>
          <t>8.6</t>
        </is>
      </c>
      <c r="AS1162" t="inlineStr">
        <is>
          <t>701+</t>
        </is>
      </c>
      <c r="AT1162" t="inlineStr">
        <is>
          <t>1.3</t>
        </is>
      </c>
      <c r="AU1162" t="inlineStr">
        <is>
          <t>701+</t>
        </is>
      </c>
      <c r="AV1162" t="inlineStr">
        <is>
          <t>4.8</t>
        </is>
      </c>
      <c r="AW1162" t="inlineStr">
        <is>
          <t>701+</t>
        </is>
      </c>
      <c r="AX1162" t="inlineStr">
        <is>
          <t>7.6</t>
        </is>
      </c>
      <c r="AY1162" t="inlineStr">
        <is>
          <t>701+</t>
        </is>
      </c>
      <c r="AZ1162" t="inlineStr">
        <is>
          <t>24.8</t>
        </is>
      </c>
      <c r="BA1162" t="inlineStr">
        <is>
          <t>490=</t>
        </is>
      </c>
    </row>
    <row r="1163">
      <c r="A1163" t="inlineStr">
        <is>
          <t>Universidad Bernardo O'Higgins</t>
        </is>
      </c>
      <c r="B1163" t="inlineStr">
        <is>
          <t>Chile</t>
        </is>
      </c>
      <c r="C1163" t="inlineStr">
        <is>
          <t>CL</t>
        </is>
      </c>
      <c r="D1163" t="inlineStr"/>
      <c r="E1163" t="inlineStr">
        <is>
          <t>M</t>
        </is>
      </c>
      <c r="F1163" t="inlineStr">
        <is>
          <t>FO</t>
        </is>
      </c>
      <c r="G1163" t="inlineStr">
        <is>
          <t>HI</t>
        </is>
      </c>
      <c r="H1163" t="inlineStr">
        <is>
          <t>3</t>
        </is>
      </c>
      <c r="I1163" t="inlineStr">
        <is>
          <t>B</t>
        </is>
      </c>
      <c r="J1163" t="inlineStr"/>
      <c r="K1163" t="inlineStr"/>
      <c r="L1163" t="inlineStr">
        <is>
          <t>1201-1400</t>
        </is>
      </c>
      <c r="M1163" t="inlineStr">
        <is>
          <t>1201-1400</t>
        </is>
      </c>
      <c r="N1163" t="inlineStr"/>
      <c r="O1163" t="inlineStr">
        <is>
          <t>-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>
        <is>
          <t>4.9</t>
        </is>
      </c>
      <c r="AK1163" t="inlineStr">
        <is>
          <t>601+</t>
        </is>
      </c>
      <c r="AL1163" t="inlineStr">
        <is>
          <t>2.8</t>
        </is>
      </c>
      <c r="AM1163" t="inlineStr">
        <is>
          <t>601+</t>
        </is>
      </c>
      <c r="AN1163" t="inlineStr">
        <is>
          <t>9.7</t>
        </is>
      </c>
      <c r="AO1163" t="inlineStr">
        <is>
          <t>701+</t>
        </is>
      </c>
      <c r="AP1163" t="inlineStr">
        <is>
          <t>2.0</t>
        </is>
      </c>
      <c r="AQ1163" t="inlineStr">
        <is>
          <t>701+</t>
        </is>
      </c>
      <c r="AR1163" t="inlineStr">
        <is>
          <t>12.2</t>
        </is>
      </c>
      <c r="AS1163" t="inlineStr">
        <is>
          <t>701+</t>
        </is>
      </c>
      <c r="AT1163" t="inlineStr">
        <is>
          <t>2.0</t>
        </is>
      </c>
      <c r="AU1163" t="inlineStr">
        <is>
          <t>701+</t>
        </is>
      </c>
      <c r="AV1163" t="inlineStr">
        <is>
          <t>1.0</t>
        </is>
      </c>
      <c r="AW1163" t="inlineStr">
        <is>
          <t>701+</t>
        </is>
      </c>
      <c r="AX1163" t="inlineStr">
        <is>
          <t>8.3</t>
        </is>
      </c>
      <c r="AY1163" t="inlineStr">
        <is>
          <t>701+</t>
        </is>
      </c>
      <c r="AZ1163" t="inlineStr">
        <is>
          <t>1.2</t>
        </is>
      </c>
      <c r="BA1163" t="inlineStr">
        <is>
          <t>701+</t>
        </is>
      </c>
    </row>
    <row r="1164">
      <c r="A1164" t="inlineStr">
        <is>
          <t>Universidad Carlos III de Madrid</t>
        </is>
      </c>
      <c r="B1164" t="inlineStr">
        <is>
          <t>Spain</t>
        </is>
      </c>
      <c r="C1164" t="inlineStr"/>
      <c r="D1164" t="inlineStr">
        <is>
          <t>Europe</t>
        </is>
      </c>
      <c r="E1164" t="inlineStr">
        <is>
          <t>L</t>
        </is>
      </c>
      <c r="F1164" t="inlineStr">
        <is>
          <t>FO</t>
        </is>
      </c>
      <c r="G1164" t="inlineStr">
        <is>
          <t>VH</t>
        </is>
      </c>
      <c r="H1164" t="inlineStr"/>
      <c r="I1164" t="inlineStr">
        <is>
          <t>Public</t>
        </is>
      </c>
      <c r="J1164" t="inlineStr">
        <is>
          <t>301</t>
        </is>
      </c>
      <c r="K1164" t="inlineStr">
        <is>
          <t>285</t>
        </is>
      </c>
      <c r="L1164" t="inlineStr"/>
      <c r="M1164" t="inlineStr"/>
      <c r="N1164" t="inlineStr">
        <is>
          <t>45.4</t>
        </is>
      </c>
      <c r="O1164" t="inlineStr"/>
      <c r="P1164" t="n">
        <v>45.2</v>
      </c>
      <c r="Q1164" t="inlineStr">
        <is>
          <t>260</t>
        </is>
      </c>
      <c r="R1164" t="n">
        <v>65.3</v>
      </c>
      <c r="S1164" t="inlineStr">
        <is>
          <t>162</t>
        </is>
      </c>
      <c r="T1164" t="n">
        <v>50.5</v>
      </c>
      <c r="U1164" t="inlineStr">
        <is>
          <t>376</t>
        </is>
      </c>
      <c r="V1164" t="n">
        <v>8.1</v>
      </c>
      <c r="W1164" t="inlineStr">
        <is>
          <t>801+</t>
        </is>
      </c>
      <c r="X1164" t="n">
        <v>73.8</v>
      </c>
      <c r="Y1164" t="inlineStr">
        <is>
          <t>321</t>
        </is>
      </c>
      <c r="Z1164" t="n">
        <v>75.2</v>
      </c>
      <c r="AA1164" t="inlineStr">
        <is>
          <t>254</t>
        </is>
      </c>
      <c r="AB1164" t="n">
        <v>56</v>
      </c>
      <c r="AC1164" t="inlineStr">
        <is>
          <t>365</t>
        </is>
      </c>
      <c r="AD1164" t="n">
        <v>67.8</v>
      </c>
      <c r="AE1164" t="inlineStr">
        <is>
          <t>572</t>
        </is>
      </c>
      <c r="AF1164" t="n">
        <v>26.3</v>
      </c>
      <c r="AG1164" t="inlineStr">
        <is>
          <t>618</t>
        </is>
      </c>
      <c r="AH1164" t="n">
        <v>77.3</v>
      </c>
      <c r="AI1164" t="inlineStr">
        <is>
          <t>208=</t>
        </is>
      </c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</row>
    <row r="1165">
      <c r="A1165" t="inlineStr">
        <is>
          <t>Universidad Carlos III de Madrid (UC3M)</t>
        </is>
      </c>
      <c r="B1165" t="inlineStr">
        <is>
          <t>Spain</t>
        </is>
      </c>
      <c r="C1165" t="inlineStr">
        <is>
          <t>ES</t>
        </is>
      </c>
      <c r="D1165" t="inlineStr"/>
      <c r="E1165" t="inlineStr">
        <is>
          <t>L</t>
        </is>
      </c>
      <c r="F1165" t="inlineStr">
        <is>
          <t>FO</t>
        </is>
      </c>
      <c r="G1165" t="inlineStr">
        <is>
          <t>VH</t>
        </is>
      </c>
      <c r="H1165" t="inlineStr">
        <is>
          <t>3</t>
        </is>
      </c>
      <c r="I1165" t="inlineStr">
        <is>
          <t>A</t>
        </is>
      </c>
      <c r="J1165" t="inlineStr"/>
      <c r="K1165" t="inlineStr"/>
      <c r="L1165">
        <f>319</f>
        <v/>
      </c>
      <c r="M1165" t="inlineStr">
        <is>
          <t>320=</t>
        </is>
      </c>
      <c r="N1165" t="inlineStr"/>
      <c r="O1165" t="inlineStr">
        <is>
          <t>33.2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>
        <is>
          <t>32.9</t>
        </is>
      </c>
      <c r="AK1165" t="inlineStr">
        <is>
          <t>265</t>
        </is>
      </c>
      <c r="AL1165" t="inlineStr">
        <is>
          <t>49.1</t>
        </is>
      </c>
      <c r="AM1165" t="inlineStr">
        <is>
          <t>177</t>
        </is>
      </c>
      <c r="AN1165" t="inlineStr">
        <is>
          <t>53.3</t>
        </is>
      </c>
      <c r="AO1165" t="inlineStr">
        <is>
          <t>290</t>
        </is>
      </c>
      <c r="AP1165" t="inlineStr">
        <is>
          <t>4.8</t>
        </is>
      </c>
      <c r="AQ1165" t="inlineStr">
        <is>
          <t>701+</t>
        </is>
      </c>
      <c r="AR1165" t="inlineStr">
        <is>
          <t>56.5</t>
        </is>
      </c>
      <c r="AS1165" t="inlineStr">
        <is>
          <t>328</t>
        </is>
      </c>
      <c r="AT1165" t="inlineStr">
        <is>
          <t>41.2</t>
        </is>
      </c>
      <c r="AU1165" t="inlineStr">
        <is>
          <t>337</t>
        </is>
      </c>
      <c r="AV1165" t="inlineStr">
        <is>
          <t>18.5</t>
        </is>
      </c>
      <c r="AW1165" t="inlineStr">
        <is>
          <t>556</t>
        </is>
      </c>
      <c r="AX1165" t="inlineStr">
        <is>
          <t>12.9</t>
        </is>
      </c>
      <c r="AY1165" t="inlineStr">
        <is>
          <t>668</t>
        </is>
      </c>
      <c r="AZ1165" t="inlineStr">
        <is>
          <t>62.5</t>
        </is>
      </c>
      <c r="BA1165" t="inlineStr">
        <is>
          <t>239=</t>
        </is>
      </c>
    </row>
    <row r="1166">
      <c r="A1166" t="inlineStr">
        <is>
          <t>Universidad Católica Andres Bello</t>
        </is>
      </c>
      <c r="B1166" t="inlineStr">
        <is>
          <t>Venezuela</t>
        </is>
      </c>
      <c r="C1166" t="inlineStr">
        <is>
          <t>VE</t>
        </is>
      </c>
      <c r="D1166" t="inlineStr"/>
      <c r="E1166" t="inlineStr">
        <is>
          <t>M</t>
        </is>
      </c>
      <c r="F1166" t="inlineStr">
        <is>
          <t>FO</t>
        </is>
      </c>
      <c r="G1166" t="inlineStr">
        <is>
          <t>MD</t>
        </is>
      </c>
      <c r="H1166" t="inlineStr">
        <is>
          <t>4</t>
        </is>
      </c>
      <c r="I1166" t="inlineStr">
        <is>
          <t>B</t>
        </is>
      </c>
      <c r="J1166" t="inlineStr"/>
      <c r="K1166" t="inlineStr"/>
      <c r="L1166">
        <f>582</f>
        <v/>
      </c>
      <c r="M1166" t="inlineStr">
        <is>
          <t>751-800</t>
        </is>
      </c>
      <c r="N1166" t="inlineStr"/>
      <c r="O1166" t="inlineStr">
        <is>
          <t>20.3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>
        <is>
          <t>26.6</t>
        </is>
      </c>
      <c r="AK1166" t="inlineStr">
        <is>
          <t>328</t>
        </is>
      </c>
      <c r="AL1166" t="inlineStr">
        <is>
          <t>67.7</t>
        </is>
      </c>
      <c r="AM1166" t="inlineStr">
        <is>
          <t>112</t>
        </is>
      </c>
      <c r="AN1166" t="inlineStr">
        <is>
          <t>3.7</t>
        </is>
      </c>
      <c r="AO1166" t="inlineStr">
        <is>
          <t>701+</t>
        </is>
      </c>
      <c r="AP1166" t="inlineStr">
        <is>
          <t>1.0</t>
        </is>
      </c>
      <c r="AQ1166" t="inlineStr">
        <is>
          <t>701+</t>
        </is>
      </c>
      <c r="AR1166" t="inlineStr">
        <is>
          <t>2.5</t>
        </is>
      </c>
      <c r="AS1166" t="inlineStr">
        <is>
          <t>701+</t>
        </is>
      </c>
      <c r="AT1166" t="inlineStr">
        <is>
          <t>2.9</t>
        </is>
      </c>
      <c r="AU1166" t="inlineStr">
        <is>
          <t>701+</t>
        </is>
      </c>
      <c r="AV1166" t="inlineStr"/>
      <c r="AW1166" t="inlineStr"/>
      <c r="AX1166" t="inlineStr">
        <is>
          <t>29.8</t>
        </is>
      </c>
      <c r="AY1166" t="inlineStr">
        <is>
          <t>266</t>
        </is>
      </c>
      <c r="AZ1166" t="inlineStr"/>
      <c r="BA1166" t="inlineStr"/>
    </row>
    <row r="1167">
      <c r="A1167" t="inlineStr">
        <is>
          <t>Universidad Católica Andrés Bello - UCAB</t>
        </is>
      </c>
      <c r="B1167" t="inlineStr">
        <is>
          <t>Venezuela (Bolivarian Republic of)</t>
        </is>
      </c>
      <c r="C1167" t="inlineStr"/>
      <c r="D1167" t="inlineStr">
        <is>
          <t>Americas</t>
        </is>
      </c>
      <c r="E1167" t="inlineStr">
        <is>
          <t>M</t>
        </is>
      </c>
      <c r="F1167" t="inlineStr">
        <is>
          <t>FO</t>
        </is>
      </c>
      <c r="G1167" t="inlineStr">
        <is>
          <t>MD</t>
        </is>
      </c>
      <c r="H1167" t="inlineStr"/>
      <c r="I1167" t="inlineStr">
        <is>
          <t>Private not for Profit</t>
        </is>
      </c>
      <c r="J1167" t="inlineStr">
        <is>
          <t>901-950</t>
        </is>
      </c>
      <c r="K1167" t="inlineStr">
        <is>
          <t>741-750</t>
        </is>
      </c>
      <c r="L1167" t="inlineStr"/>
      <c r="M1167" t="inlineStr"/>
      <c r="N1167" t="inlineStr">
        <is>
          <t>-</t>
        </is>
      </c>
      <c r="O1167" t="inlineStr"/>
      <c r="P1167" t="n">
        <v>33.6</v>
      </c>
      <c r="Q1167" t="inlineStr">
        <is>
          <t>362</t>
        </is>
      </c>
      <c r="R1167" t="n">
        <v>56.4</v>
      </c>
      <c r="S1167" t="inlineStr">
        <is>
          <t>210</t>
        </is>
      </c>
      <c r="T1167" t="n">
        <v>7.4</v>
      </c>
      <c r="U1167" t="inlineStr">
        <is>
          <t>801+</t>
        </is>
      </c>
      <c r="V1167" t="n">
        <v>1</v>
      </c>
      <c r="W1167" t="inlineStr">
        <is>
          <t>801+</t>
        </is>
      </c>
      <c r="X1167" t="n">
        <v>5.5</v>
      </c>
      <c r="Y1167" t="inlineStr">
        <is>
          <t>801+</t>
        </is>
      </c>
      <c r="Z1167" t="n">
        <v>5.3</v>
      </c>
      <c r="AA1167" t="inlineStr">
        <is>
          <t>801+</t>
        </is>
      </c>
      <c r="AB1167" t="n">
        <v>9.199999999999999</v>
      </c>
      <c r="AC1167" t="inlineStr">
        <is>
          <t>801+</t>
        </is>
      </c>
      <c r="AD1167" t="inlineStr"/>
      <c r="AE1167" t="inlineStr"/>
      <c r="AF1167" t="n">
        <v>22.6</v>
      </c>
      <c r="AG1167" t="inlineStr">
        <is>
          <t>677</t>
        </is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</row>
    <row r="1168">
      <c r="A1168" t="inlineStr">
        <is>
          <t>Universidad Católica Boliviana "San Pablo"</t>
        </is>
      </c>
      <c r="B1168" t="inlineStr">
        <is>
          <t>Bolivia</t>
        </is>
      </c>
      <c r="C1168" t="inlineStr">
        <is>
          <t>BO</t>
        </is>
      </c>
      <c r="D1168" t="inlineStr"/>
      <c r="E1168" t="inlineStr">
        <is>
          <t>L</t>
        </is>
      </c>
      <c r="F1168" t="inlineStr">
        <is>
          <t>FO</t>
        </is>
      </c>
      <c r="G1168" t="inlineStr">
        <is>
          <t>MD</t>
        </is>
      </c>
      <c r="H1168" t="inlineStr">
        <is>
          <t>4</t>
        </is>
      </c>
      <c r="I1168" t="inlineStr">
        <is>
          <t>B</t>
        </is>
      </c>
      <c r="J1168" t="inlineStr"/>
      <c r="K1168" t="inlineStr"/>
      <c r="L1168" t="inlineStr">
        <is>
          <t>1401+</t>
        </is>
      </c>
      <c r="M1168" t="inlineStr">
        <is>
          <t>1401+</t>
        </is>
      </c>
      <c r="N1168" t="inlineStr"/>
      <c r="O1168" t="inlineStr">
        <is>
          <t>-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>
        <is>
          <t>5.3</t>
        </is>
      </c>
      <c r="AK1168" t="inlineStr">
        <is>
          <t>601+</t>
        </is>
      </c>
      <c r="AL1168" t="inlineStr">
        <is>
          <t>3.2</t>
        </is>
      </c>
      <c r="AM1168" t="inlineStr">
        <is>
          <t>601+</t>
        </is>
      </c>
      <c r="AN1168" t="inlineStr">
        <is>
          <t>3.9</t>
        </is>
      </c>
      <c r="AO1168" t="inlineStr">
        <is>
          <t>701+</t>
        </is>
      </c>
      <c r="AP1168" t="inlineStr">
        <is>
          <t>1.1</t>
        </is>
      </c>
      <c r="AQ1168" t="inlineStr">
        <is>
          <t>701+</t>
        </is>
      </c>
      <c r="AR1168" t="inlineStr">
        <is>
          <t>2.5</t>
        </is>
      </c>
      <c r="AS1168" t="inlineStr">
        <is>
          <t>701+</t>
        </is>
      </c>
      <c r="AT1168" t="inlineStr">
        <is>
          <t>3.0</t>
        </is>
      </c>
      <c r="AU1168" t="inlineStr">
        <is>
          <t>701+</t>
        </is>
      </c>
      <c r="AV1168" t="inlineStr">
        <is>
          <t>1.0</t>
        </is>
      </c>
      <c r="AW1168" t="inlineStr">
        <is>
          <t>701+</t>
        </is>
      </c>
      <c r="AX1168" t="inlineStr">
        <is>
          <t>16.1</t>
        </is>
      </c>
      <c r="AY1168" t="inlineStr">
        <is>
          <t>521</t>
        </is>
      </c>
      <c r="AZ1168" t="inlineStr"/>
      <c r="BA1168" t="inlineStr"/>
    </row>
    <row r="1169">
      <c r="A1169" t="inlineStr">
        <is>
          <t xml:space="preserve">Universidad Católica de Colombia </t>
        </is>
      </c>
      <c r="B1169" t="inlineStr">
        <is>
          <t>Colombia</t>
        </is>
      </c>
      <c r="C1169" t="inlineStr">
        <is>
          <t>CO</t>
        </is>
      </c>
      <c r="D1169" t="inlineStr"/>
      <c r="E1169" t="inlineStr">
        <is>
          <t>M</t>
        </is>
      </c>
      <c r="F1169" t="inlineStr">
        <is>
          <t>FO</t>
        </is>
      </c>
      <c r="G1169" t="inlineStr">
        <is>
          <t>HI</t>
        </is>
      </c>
      <c r="H1169" t="inlineStr">
        <is>
          <t>4</t>
        </is>
      </c>
      <c r="I1169" t="inlineStr">
        <is>
          <t>B</t>
        </is>
      </c>
      <c r="J1169" t="inlineStr"/>
      <c r="K1169" t="inlineStr"/>
      <c r="L1169" t="inlineStr">
        <is>
          <t>1401+</t>
        </is>
      </c>
      <c r="M1169" t="inlineStr">
        <is>
          <t>1201-1400</t>
        </is>
      </c>
      <c r="N1169" t="inlineStr"/>
      <c r="O1169" t="inlineStr">
        <is>
          <t>-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>
        <is>
          <t>6.4</t>
        </is>
      </c>
      <c r="AK1169" t="inlineStr">
        <is>
          <t>601+</t>
        </is>
      </c>
      <c r="AL1169" t="inlineStr">
        <is>
          <t>4.9</t>
        </is>
      </c>
      <c r="AM1169" t="inlineStr">
        <is>
          <t>601+</t>
        </is>
      </c>
      <c r="AN1169" t="inlineStr">
        <is>
          <t>5.2</t>
        </is>
      </c>
      <c r="AO1169" t="inlineStr">
        <is>
          <t>701+</t>
        </is>
      </c>
      <c r="AP1169" t="inlineStr">
        <is>
          <t>1.5</t>
        </is>
      </c>
      <c r="AQ1169" t="inlineStr">
        <is>
          <t>701+</t>
        </is>
      </c>
      <c r="AR1169" t="inlineStr">
        <is>
          <t>3.2</t>
        </is>
      </c>
      <c r="AS1169" t="inlineStr">
        <is>
          <t>701+</t>
        </is>
      </c>
      <c r="AT1169" t="inlineStr">
        <is>
          <t>1.3</t>
        </is>
      </c>
      <c r="AU1169" t="inlineStr">
        <is>
          <t>701+</t>
        </is>
      </c>
      <c r="AV1169" t="inlineStr">
        <is>
          <t>1.0</t>
        </is>
      </c>
      <c r="AW1169" t="inlineStr">
        <is>
          <t>701+</t>
        </is>
      </c>
      <c r="AX1169" t="inlineStr">
        <is>
          <t>7.9</t>
        </is>
      </c>
      <c r="AY1169" t="inlineStr">
        <is>
          <t>701+</t>
        </is>
      </c>
      <c r="AZ1169" t="inlineStr">
        <is>
          <t>1.6</t>
        </is>
      </c>
      <c r="BA1169" t="inlineStr">
        <is>
          <t>701+</t>
        </is>
      </c>
    </row>
    <row r="1170">
      <c r="A1170" t="inlineStr">
        <is>
          <t>Universidad Católica de La Santísima Concepción - UCSC</t>
        </is>
      </c>
      <c r="B1170" t="inlineStr">
        <is>
          <t>Chile</t>
        </is>
      </c>
      <c r="C1170" t="inlineStr">
        <is>
          <t>CL</t>
        </is>
      </c>
      <c r="D1170" t="inlineStr"/>
      <c r="E1170" t="inlineStr">
        <is>
          <t>M</t>
        </is>
      </c>
      <c r="F1170" t="inlineStr">
        <is>
          <t>FC</t>
        </is>
      </c>
      <c r="G1170" t="inlineStr">
        <is>
          <t>HI</t>
        </is>
      </c>
      <c r="H1170" t="inlineStr">
        <is>
          <t>3</t>
        </is>
      </c>
      <c r="I1170" t="inlineStr">
        <is>
          <t>B</t>
        </is>
      </c>
      <c r="J1170" t="inlineStr"/>
      <c r="K1170" t="inlineStr"/>
      <c r="L1170" t="inlineStr">
        <is>
          <t>1401+</t>
        </is>
      </c>
      <c r="M1170" t="inlineStr">
        <is>
          <t>1201-1400</t>
        </is>
      </c>
      <c r="N1170" t="inlineStr"/>
      <c r="O1170" t="inlineStr">
        <is>
          <t>-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>
        <is>
          <t>3.7</t>
        </is>
      </c>
      <c r="AK1170" t="inlineStr">
        <is>
          <t>601+</t>
        </is>
      </c>
      <c r="AL1170" t="inlineStr">
        <is>
          <t>2.4</t>
        </is>
      </c>
      <c r="AM1170" t="inlineStr">
        <is>
          <t>601+</t>
        </is>
      </c>
      <c r="AN1170" t="inlineStr">
        <is>
          <t>8.6</t>
        </is>
      </c>
      <c r="AO1170" t="inlineStr">
        <is>
          <t>701+</t>
        </is>
      </c>
      <c r="AP1170" t="inlineStr">
        <is>
          <t>2.6</t>
        </is>
      </c>
      <c r="AQ1170" t="inlineStr">
        <is>
          <t>701+</t>
        </is>
      </c>
      <c r="AR1170" t="inlineStr">
        <is>
          <t>5.5</t>
        </is>
      </c>
      <c r="AS1170" t="inlineStr">
        <is>
          <t>701+</t>
        </is>
      </c>
      <c r="AT1170" t="inlineStr">
        <is>
          <t>1.1</t>
        </is>
      </c>
      <c r="AU1170" t="inlineStr">
        <is>
          <t>701+</t>
        </is>
      </c>
      <c r="AV1170" t="inlineStr">
        <is>
          <t>1.2</t>
        </is>
      </c>
      <c r="AW1170" t="inlineStr">
        <is>
          <t>701+</t>
        </is>
      </c>
      <c r="AX1170" t="inlineStr">
        <is>
          <t>4.1</t>
        </is>
      </c>
      <c r="AY1170" t="inlineStr">
        <is>
          <t>701+</t>
        </is>
      </c>
      <c r="AZ1170" t="inlineStr">
        <is>
          <t>1.4</t>
        </is>
      </c>
      <c r="BA1170" t="inlineStr">
        <is>
          <t>701+</t>
        </is>
      </c>
    </row>
    <row r="1171">
      <c r="A1171" t="inlineStr">
        <is>
          <t>Universidad Católica de Santiago de Guayaquil</t>
        </is>
      </c>
      <c r="B1171" t="inlineStr">
        <is>
          <t>Ecuador</t>
        </is>
      </c>
      <c r="C1171" t="inlineStr">
        <is>
          <t>EC</t>
        </is>
      </c>
      <c r="D1171" t="inlineStr"/>
      <c r="E1171" t="inlineStr">
        <is>
          <t>L</t>
        </is>
      </c>
      <c r="F1171" t="inlineStr">
        <is>
          <t>FO</t>
        </is>
      </c>
      <c r="G1171" t="inlineStr">
        <is>
          <t>MD</t>
        </is>
      </c>
      <c r="H1171" t="inlineStr">
        <is>
          <t>4</t>
        </is>
      </c>
      <c r="I1171" t="inlineStr">
        <is>
          <t>B</t>
        </is>
      </c>
      <c r="J1171" t="inlineStr"/>
      <c r="K1171" t="inlineStr"/>
      <c r="L1171" t="inlineStr">
        <is>
          <t>1401+</t>
        </is>
      </c>
      <c r="M1171" t="inlineStr">
        <is>
          <t>1401+</t>
        </is>
      </c>
      <c r="N1171" t="inlineStr"/>
      <c r="O1171" t="inlineStr">
        <is>
          <t>-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>
        <is>
          <t>3.9</t>
        </is>
      </c>
      <c r="AK1171" t="inlineStr">
        <is>
          <t>601+</t>
        </is>
      </c>
      <c r="AL1171" t="inlineStr">
        <is>
          <t>4.2</t>
        </is>
      </c>
      <c r="AM1171" t="inlineStr">
        <is>
          <t>601+</t>
        </is>
      </c>
      <c r="AN1171" t="inlineStr">
        <is>
          <t>2.9</t>
        </is>
      </c>
      <c r="AO1171" t="inlineStr">
        <is>
          <t>701+</t>
        </is>
      </c>
      <c r="AP1171" t="inlineStr">
        <is>
          <t>1.3</t>
        </is>
      </c>
      <c r="AQ1171" t="inlineStr">
        <is>
          <t>701+</t>
        </is>
      </c>
      <c r="AR1171" t="inlineStr">
        <is>
          <t>6.9</t>
        </is>
      </c>
      <c r="AS1171" t="inlineStr">
        <is>
          <t>701+</t>
        </is>
      </c>
      <c r="AT1171" t="inlineStr">
        <is>
          <t>1.3</t>
        </is>
      </c>
      <c r="AU1171" t="inlineStr">
        <is>
          <t>701+</t>
        </is>
      </c>
      <c r="AV1171" t="inlineStr">
        <is>
          <t>1.0</t>
        </is>
      </c>
      <c r="AW1171" t="inlineStr">
        <is>
          <t>701+</t>
        </is>
      </c>
      <c r="AX1171" t="inlineStr">
        <is>
          <t>14.4</t>
        </is>
      </c>
      <c r="AY1171" t="inlineStr">
        <is>
          <t>585</t>
        </is>
      </c>
      <c r="AZ1171" t="inlineStr">
        <is>
          <t>1</t>
        </is>
      </c>
      <c r="BA1171" t="inlineStr">
        <is>
          <t>701+</t>
        </is>
      </c>
    </row>
    <row r="1172">
      <c r="A1172" t="inlineStr">
        <is>
          <t>Universidad Católica de Temuco</t>
        </is>
      </c>
      <c r="B1172" t="inlineStr">
        <is>
          <t>Chile</t>
        </is>
      </c>
      <c r="C1172" t="inlineStr">
        <is>
          <t>CL</t>
        </is>
      </c>
      <c r="D1172" t="inlineStr">
        <is>
          <t>Americas</t>
        </is>
      </c>
      <c r="E1172" t="inlineStr">
        <is>
          <t>M</t>
        </is>
      </c>
      <c r="F1172" t="inlineStr">
        <is>
          <t>CO</t>
        </is>
      </c>
      <c r="G1172" t="inlineStr">
        <is>
          <t>HI</t>
        </is>
      </c>
      <c r="H1172" t="inlineStr">
        <is>
          <t>4</t>
        </is>
      </c>
      <c r="I1172" t="inlineStr">
        <is>
          <t>Private not for Profit</t>
        </is>
      </c>
      <c r="J1172" t="inlineStr">
        <is>
          <t>1401+</t>
        </is>
      </c>
      <c r="K1172" t="inlineStr">
        <is>
          <t>1401+</t>
        </is>
      </c>
      <c r="L1172" t="inlineStr">
        <is>
          <t>1201-1400</t>
        </is>
      </c>
      <c r="M1172" t="inlineStr">
        <is>
          <t>1401+</t>
        </is>
      </c>
      <c r="N1172" t="inlineStr">
        <is>
          <t>-</t>
        </is>
      </c>
      <c r="O1172" t="inlineStr">
        <is>
          <t>-</t>
        </is>
      </c>
      <c r="P1172" t="n">
        <v>5.4</v>
      </c>
      <c r="Q1172" t="inlineStr">
        <is>
          <t>701+</t>
        </is>
      </c>
      <c r="R1172" t="n">
        <v>2.5</v>
      </c>
      <c r="S1172" t="inlineStr">
        <is>
          <t>701+</t>
        </is>
      </c>
      <c r="T1172" t="n">
        <v>2.7</v>
      </c>
      <c r="U1172" t="inlineStr">
        <is>
          <t>801+</t>
        </is>
      </c>
      <c r="V1172" t="n">
        <v>9.699999999999999</v>
      </c>
      <c r="W1172" t="inlineStr">
        <is>
          <t>801+</t>
        </is>
      </c>
      <c r="X1172" t="n">
        <v>49.7</v>
      </c>
      <c r="Y1172" t="inlineStr">
        <is>
          <t>442</t>
        </is>
      </c>
      <c r="Z1172" t="n">
        <v>1.4</v>
      </c>
      <c r="AA1172" t="inlineStr">
        <is>
          <t>801+</t>
        </is>
      </c>
      <c r="AB1172" t="n">
        <v>1.3</v>
      </c>
      <c r="AC1172" t="inlineStr">
        <is>
          <t>801+</t>
        </is>
      </c>
      <c r="AD1172" t="n">
        <v>21.9</v>
      </c>
      <c r="AE1172" t="inlineStr">
        <is>
          <t>801+</t>
        </is>
      </c>
      <c r="AF1172" t="n">
        <v>2.5</v>
      </c>
      <c r="AG1172" t="inlineStr">
        <is>
          <t>801+</t>
        </is>
      </c>
      <c r="AH1172" t="n">
        <v>26.7</v>
      </c>
      <c r="AI1172" t="inlineStr">
        <is>
          <t>801+</t>
        </is>
      </c>
      <c r="AJ1172" t="inlineStr">
        <is>
          <t>4.3</t>
        </is>
      </c>
      <c r="AK1172" t="inlineStr">
        <is>
          <t>601+</t>
        </is>
      </c>
      <c r="AL1172" t="inlineStr">
        <is>
          <t>1.7</t>
        </is>
      </c>
      <c r="AM1172" t="inlineStr">
        <is>
          <t>601+</t>
        </is>
      </c>
      <c r="AN1172" t="inlineStr">
        <is>
          <t>2.0</t>
        </is>
      </c>
      <c r="AO1172" t="inlineStr">
        <is>
          <t>701+</t>
        </is>
      </c>
      <c r="AP1172" t="inlineStr">
        <is>
          <t>4.6</t>
        </is>
      </c>
      <c r="AQ1172" t="inlineStr">
        <is>
          <t>701+</t>
        </is>
      </c>
      <c r="AR1172" t="inlineStr">
        <is>
          <t>36.3</t>
        </is>
      </c>
      <c r="AS1172" t="inlineStr">
        <is>
          <t>445</t>
        </is>
      </c>
      <c r="AT1172" t="inlineStr"/>
      <c r="AU1172" t="inlineStr"/>
      <c r="AV1172" t="inlineStr">
        <is>
          <t>1.1</t>
        </is>
      </c>
      <c r="AW1172" t="inlineStr">
        <is>
          <t>701+</t>
        </is>
      </c>
      <c r="AX1172" t="inlineStr">
        <is>
          <t>4.1</t>
        </is>
      </c>
      <c r="AY1172" t="inlineStr">
        <is>
          <t>701+</t>
        </is>
      </c>
      <c r="AZ1172" t="inlineStr">
        <is>
          <t>1</t>
        </is>
      </c>
      <c r="BA1172" t="inlineStr">
        <is>
          <t>701+</t>
        </is>
      </c>
    </row>
    <row r="1173">
      <c r="A1173" t="inlineStr">
        <is>
          <t>Universidad Católica del Norte</t>
        </is>
      </c>
      <c r="B1173" t="inlineStr">
        <is>
          <t>Chile</t>
        </is>
      </c>
      <c r="C1173" t="inlineStr">
        <is>
          <t>CL</t>
        </is>
      </c>
      <c r="D1173" t="inlineStr">
        <is>
          <t>Americas</t>
        </is>
      </c>
      <c r="E1173" t="inlineStr">
        <is>
          <t>M</t>
        </is>
      </c>
      <c r="F1173" t="inlineStr">
        <is>
          <t>FC</t>
        </is>
      </c>
      <c r="G1173" t="inlineStr">
        <is>
          <t>HI</t>
        </is>
      </c>
      <c r="H1173" t="inlineStr">
        <is>
          <t>4</t>
        </is>
      </c>
      <c r="I1173" t="inlineStr">
        <is>
          <t>Private not for Profit</t>
        </is>
      </c>
      <c r="J1173" t="inlineStr">
        <is>
          <t>1201-1400</t>
        </is>
      </c>
      <c r="K1173" t="inlineStr">
        <is>
          <t>1201-1400</t>
        </is>
      </c>
      <c r="L1173" t="inlineStr">
        <is>
          <t>1201-1400</t>
        </is>
      </c>
      <c r="M1173" t="inlineStr">
        <is>
          <t>1201-1400</t>
        </is>
      </c>
      <c r="N1173" t="inlineStr">
        <is>
          <t>-</t>
        </is>
      </c>
      <c r="O1173" t="inlineStr">
        <is>
          <t>-</t>
        </is>
      </c>
      <c r="P1173" t="n">
        <v>5.7</v>
      </c>
      <c r="Q1173" t="inlineStr">
        <is>
          <t>701+</t>
        </is>
      </c>
      <c r="R1173" t="n">
        <v>5</v>
      </c>
      <c r="S1173" t="inlineStr">
        <is>
          <t>701+</t>
        </is>
      </c>
      <c r="T1173" t="n">
        <v>10.9</v>
      </c>
      <c r="U1173" t="inlineStr">
        <is>
          <t>801+</t>
        </is>
      </c>
      <c r="V1173" t="n">
        <v>9.300000000000001</v>
      </c>
      <c r="W1173" t="inlineStr">
        <is>
          <t>801+</t>
        </is>
      </c>
      <c r="X1173" t="n">
        <v>21.9</v>
      </c>
      <c r="Y1173" t="inlineStr">
        <is>
          <t>688</t>
        </is>
      </c>
      <c r="Z1173" t="n">
        <v>8.5</v>
      </c>
      <c r="AA1173" t="inlineStr">
        <is>
          <t>801+</t>
        </is>
      </c>
      <c r="AB1173" t="n">
        <v>6.5</v>
      </c>
      <c r="AC1173" t="inlineStr">
        <is>
          <t>801+</t>
        </is>
      </c>
      <c r="AD1173" t="n">
        <v>45</v>
      </c>
      <c r="AE1173" t="inlineStr">
        <is>
          <t>801+</t>
        </is>
      </c>
      <c r="AF1173" t="n">
        <v>2.5</v>
      </c>
      <c r="AG1173" t="inlineStr">
        <is>
          <t>801+</t>
        </is>
      </c>
      <c r="AH1173" t="n">
        <v>53</v>
      </c>
      <c r="AI1173" t="inlineStr">
        <is>
          <t>646=</t>
        </is>
      </c>
      <c r="AJ1173" t="inlineStr">
        <is>
          <t>4.9</t>
        </is>
      </c>
      <c r="AK1173" t="inlineStr">
        <is>
          <t>601+</t>
        </is>
      </c>
      <c r="AL1173" t="inlineStr">
        <is>
          <t>3.4</t>
        </is>
      </c>
      <c r="AM1173" t="inlineStr">
        <is>
          <t>601+</t>
        </is>
      </c>
      <c r="AN1173" t="inlineStr">
        <is>
          <t>7.0</t>
        </is>
      </c>
      <c r="AO1173" t="inlineStr">
        <is>
          <t>701+</t>
        </is>
      </c>
      <c r="AP1173" t="inlineStr">
        <is>
          <t>5.8</t>
        </is>
      </c>
      <c r="AQ1173" t="inlineStr">
        <is>
          <t>701+</t>
        </is>
      </c>
      <c r="AR1173" t="inlineStr">
        <is>
          <t>13.8</t>
        </is>
      </c>
      <c r="AS1173" t="inlineStr">
        <is>
          <t>688</t>
        </is>
      </c>
      <c r="AT1173" t="inlineStr">
        <is>
          <t>2.8</t>
        </is>
      </c>
      <c r="AU1173" t="inlineStr">
        <is>
          <t>701+</t>
        </is>
      </c>
      <c r="AV1173" t="inlineStr">
        <is>
          <t>4.4</t>
        </is>
      </c>
      <c r="AW1173" t="inlineStr">
        <is>
          <t>701+</t>
        </is>
      </c>
      <c r="AX1173" t="inlineStr">
        <is>
          <t>4.1</t>
        </is>
      </c>
      <c r="AY1173" t="inlineStr">
        <is>
          <t>701+</t>
        </is>
      </c>
      <c r="AZ1173" t="inlineStr">
        <is>
          <t>1.2</t>
        </is>
      </c>
      <c r="BA1173" t="inlineStr">
        <is>
          <t>701+</t>
        </is>
      </c>
    </row>
    <row r="1174">
      <c r="A1174" t="inlineStr">
        <is>
          <t>Universidad Católica del Uruguay (UCU)</t>
        </is>
      </c>
      <c r="B1174" t="inlineStr">
        <is>
          <t>Uruguay</t>
        </is>
      </c>
      <c r="C1174" t="inlineStr">
        <is>
          <t>UY</t>
        </is>
      </c>
      <c r="D1174" t="inlineStr">
        <is>
          <t>Americas</t>
        </is>
      </c>
      <c r="E1174" t="inlineStr">
        <is>
          <t>S</t>
        </is>
      </c>
      <c r="F1174" t="inlineStr">
        <is>
          <t>CO</t>
        </is>
      </c>
      <c r="G1174" t="inlineStr">
        <is>
          <t>MD</t>
        </is>
      </c>
      <c r="H1174" t="inlineStr">
        <is>
          <t>3</t>
        </is>
      </c>
      <c r="I1174" t="inlineStr">
        <is>
          <t>Private not for Profit</t>
        </is>
      </c>
      <c r="J1174" t="inlineStr">
        <is>
          <t>901-950</t>
        </is>
      </c>
      <c r="K1174" t="inlineStr">
        <is>
          <t>901-950</t>
        </is>
      </c>
      <c r="L1174" t="inlineStr">
        <is>
          <t>851-900</t>
        </is>
      </c>
      <c r="M1174" t="inlineStr">
        <is>
          <t>701-750</t>
        </is>
      </c>
      <c r="N1174" t="inlineStr">
        <is>
          <t>-</t>
        </is>
      </c>
      <c r="O1174" t="inlineStr">
        <is>
          <t>-</t>
        </is>
      </c>
      <c r="P1174" t="n">
        <v>18.2</v>
      </c>
      <c r="Q1174" t="inlineStr">
        <is>
          <t>669</t>
        </is>
      </c>
      <c r="R1174" t="n">
        <v>25.5</v>
      </c>
      <c r="S1174" t="inlineStr">
        <is>
          <t>530</t>
        </is>
      </c>
      <c r="T1174" t="n">
        <v>77.3</v>
      </c>
      <c r="U1174" t="inlineStr">
        <is>
          <t>180</t>
        </is>
      </c>
      <c r="V1174" t="n">
        <v>1.5</v>
      </c>
      <c r="W1174" t="inlineStr">
        <is>
          <t>801+</t>
        </is>
      </c>
      <c r="X1174" t="n">
        <v>13.2</v>
      </c>
      <c r="Y1174" t="inlineStr">
        <is>
          <t>801+</t>
        </is>
      </c>
      <c r="Z1174" t="n">
        <v>6</v>
      </c>
      <c r="AA1174" t="inlineStr">
        <is>
          <t>801+</t>
        </is>
      </c>
      <c r="AB1174" t="n">
        <v>10</v>
      </c>
      <c r="AC1174" t="inlineStr">
        <is>
          <t>801+</t>
        </is>
      </c>
      <c r="AD1174" t="n">
        <v>9.1</v>
      </c>
      <c r="AE1174" t="inlineStr">
        <is>
          <t>801+</t>
        </is>
      </c>
      <c r="AF1174" t="n">
        <v>27.4</v>
      </c>
      <c r="AG1174" t="inlineStr">
        <is>
          <t>604</t>
        </is>
      </c>
      <c r="AH1174" t="n">
        <v>22.6</v>
      </c>
      <c r="AI1174" t="inlineStr">
        <is>
          <t>801+</t>
        </is>
      </c>
      <c r="AJ1174" t="inlineStr">
        <is>
          <t>12.2</t>
        </is>
      </c>
      <c r="AK1174" t="inlineStr">
        <is>
          <t>601+</t>
        </is>
      </c>
      <c r="AL1174" t="inlineStr">
        <is>
          <t>12.4</t>
        </is>
      </c>
      <c r="AM1174" t="inlineStr">
        <is>
          <t>601+</t>
        </is>
      </c>
      <c r="AN1174" t="inlineStr">
        <is>
          <t>57.0</t>
        </is>
      </c>
      <c r="AO1174" t="inlineStr">
        <is>
          <t>255</t>
        </is>
      </c>
      <c r="AP1174" t="inlineStr">
        <is>
          <t>1.2</t>
        </is>
      </c>
      <c r="AQ1174" t="inlineStr">
        <is>
          <t>701+</t>
        </is>
      </c>
      <c r="AR1174" t="inlineStr">
        <is>
          <t>8.7</t>
        </is>
      </c>
      <c r="AS1174" t="inlineStr">
        <is>
          <t>701+</t>
        </is>
      </c>
      <c r="AT1174" t="inlineStr">
        <is>
          <t>2.6</t>
        </is>
      </c>
      <c r="AU1174" t="inlineStr">
        <is>
          <t>701+</t>
        </is>
      </c>
      <c r="AV1174" t="inlineStr">
        <is>
          <t>1.0</t>
        </is>
      </c>
      <c r="AW1174" t="inlineStr">
        <is>
          <t>701+</t>
        </is>
      </c>
      <c r="AX1174" t="inlineStr">
        <is>
          <t>13.1</t>
        </is>
      </c>
      <c r="AY1174" t="inlineStr">
        <is>
          <t>655</t>
        </is>
      </c>
      <c r="AZ1174" t="inlineStr">
        <is>
          <t>1.2</t>
        </is>
      </c>
      <c r="BA1174" t="inlineStr">
        <is>
          <t>701+</t>
        </is>
      </c>
    </row>
    <row r="1175">
      <c r="A1175" t="inlineStr">
        <is>
          <t>Universidad Central de Chile</t>
        </is>
      </c>
      <c r="B1175" t="inlineStr">
        <is>
          <t>Chile</t>
        </is>
      </c>
      <c r="C1175" t="inlineStr">
        <is>
          <t>CL</t>
        </is>
      </c>
      <c r="D1175" t="inlineStr"/>
      <c r="E1175" t="inlineStr">
        <is>
          <t>L</t>
        </is>
      </c>
      <c r="F1175" t="inlineStr">
        <is>
          <t>FO</t>
        </is>
      </c>
      <c r="G1175" t="inlineStr">
        <is>
          <t>MD</t>
        </is>
      </c>
      <c r="H1175" t="inlineStr">
        <is>
          <t>3</t>
        </is>
      </c>
      <c r="I1175" t="inlineStr">
        <is>
          <t>C</t>
        </is>
      </c>
      <c r="J1175" t="inlineStr"/>
      <c r="K1175" t="inlineStr"/>
      <c r="L1175" t="inlineStr">
        <is>
          <t>1401+</t>
        </is>
      </c>
      <c r="M1175" t="inlineStr">
        <is>
          <t>1201-1400</t>
        </is>
      </c>
      <c r="N1175" t="inlineStr"/>
      <c r="O1175" t="inlineStr">
        <is>
          <t>-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>
        <is>
          <t>4.8</t>
        </is>
      </c>
      <c r="AK1175" t="inlineStr">
        <is>
          <t>601+</t>
        </is>
      </c>
      <c r="AL1175" t="inlineStr">
        <is>
          <t>3.2</t>
        </is>
      </c>
      <c r="AM1175" t="inlineStr">
        <is>
          <t>601+</t>
        </is>
      </c>
      <c r="AN1175" t="inlineStr">
        <is>
          <t>3.2</t>
        </is>
      </c>
      <c r="AO1175" t="inlineStr">
        <is>
          <t>701+</t>
        </is>
      </c>
      <c r="AP1175" t="inlineStr">
        <is>
          <t>1.7</t>
        </is>
      </c>
      <c r="AQ1175" t="inlineStr">
        <is>
          <t>701+</t>
        </is>
      </c>
      <c r="AR1175" t="inlineStr">
        <is>
          <t>4.2</t>
        </is>
      </c>
      <c r="AS1175" t="inlineStr">
        <is>
          <t>701+</t>
        </is>
      </c>
      <c r="AT1175" t="inlineStr">
        <is>
          <t>1.9</t>
        </is>
      </c>
      <c r="AU1175" t="inlineStr">
        <is>
          <t>701+</t>
        </is>
      </c>
      <c r="AV1175" t="inlineStr">
        <is>
          <t>1.0</t>
        </is>
      </c>
      <c r="AW1175" t="inlineStr">
        <is>
          <t>701+</t>
        </is>
      </c>
      <c r="AX1175" t="inlineStr">
        <is>
          <t>4.1</t>
        </is>
      </c>
      <c r="AY1175" t="inlineStr">
        <is>
          <t>701+</t>
        </is>
      </c>
      <c r="AZ1175" t="inlineStr">
        <is>
          <t>1</t>
        </is>
      </c>
      <c r="BA1175" t="inlineStr">
        <is>
          <t>701+</t>
        </is>
      </c>
    </row>
    <row r="1176">
      <c r="A1176" t="inlineStr">
        <is>
          <t>Universidad Central de Venezuela</t>
        </is>
      </c>
      <c r="B1176" t="inlineStr">
        <is>
          <t>Venezuela</t>
        </is>
      </c>
      <c r="C1176" t="inlineStr">
        <is>
          <t>VE</t>
        </is>
      </c>
      <c r="D1176" t="inlineStr"/>
      <c r="E1176" t="inlineStr">
        <is>
          <t>XL</t>
        </is>
      </c>
      <c r="F1176" t="inlineStr">
        <is>
          <t>FC</t>
        </is>
      </c>
      <c r="G1176" t="inlineStr">
        <is>
          <t>MD</t>
        </is>
      </c>
      <c r="H1176" t="inlineStr">
        <is>
          <t>5</t>
        </is>
      </c>
      <c r="I1176" t="inlineStr">
        <is>
          <t>A</t>
        </is>
      </c>
      <c r="J1176" t="inlineStr"/>
      <c r="K1176" t="inlineStr"/>
      <c r="L1176" t="inlineStr">
        <is>
          <t>631-640</t>
        </is>
      </c>
      <c r="M1176" t="inlineStr">
        <is>
          <t>701-750</t>
        </is>
      </c>
      <c r="N1176" t="inlineStr"/>
      <c r="O1176" t="inlineStr">
        <is>
          <t>-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>
        <is>
          <t>23.1</t>
        </is>
      </c>
      <c r="AK1176" t="inlineStr">
        <is>
          <t>374</t>
        </is>
      </c>
      <c r="AL1176" t="inlineStr">
        <is>
          <t>58.4</t>
        </is>
      </c>
      <c r="AM1176" t="inlineStr">
        <is>
          <t>139</t>
        </is>
      </c>
      <c r="AN1176" t="inlineStr">
        <is>
          <t>21.0</t>
        </is>
      </c>
      <c r="AO1176" t="inlineStr">
        <is>
          <t>648</t>
        </is>
      </c>
      <c r="AP1176" t="inlineStr">
        <is>
          <t>1.1</t>
        </is>
      </c>
      <c r="AQ1176" t="inlineStr">
        <is>
          <t>701+</t>
        </is>
      </c>
      <c r="AR1176" t="inlineStr"/>
      <c r="AS1176" t="inlineStr"/>
      <c r="AT1176" t="inlineStr"/>
      <c r="AU1176" t="inlineStr"/>
      <c r="AV1176" t="inlineStr">
        <is>
          <t>1.2</t>
        </is>
      </c>
      <c r="AW1176" t="inlineStr">
        <is>
          <t>701+</t>
        </is>
      </c>
      <c r="AX1176" t="inlineStr">
        <is>
          <t>14.3</t>
        </is>
      </c>
      <c r="AY1176" t="inlineStr">
        <is>
          <t>590</t>
        </is>
      </c>
      <c r="AZ1176" t="inlineStr">
        <is>
          <t>1.1</t>
        </is>
      </c>
      <c r="BA1176" t="inlineStr">
        <is>
          <t>701+</t>
        </is>
      </c>
    </row>
    <row r="1177">
      <c r="A1177" t="inlineStr">
        <is>
          <t>Universidad Central de Venezuela - UCV</t>
        </is>
      </c>
      <c r="B1177" t="inlineStr">
        <is>
          <t>Venezuela (Bolivarian Republic of)</t>
        </is>
      </c>
      <c r="C1177" t="inlineStr"/>
      <c r="D1177" t="inlineStr">
        <is>
          <t>Americas</t>
        </is>
      </c>
      <c r="E1177" t="inlineStr">
        <is>
          <t>L</t>
        </is>
      </c>
      <c r="F1177" t="inlineStr">
        <is>
          <t>FC</t>
        </is>
      </c>
      <c r="G1177" t="inlineStr">
        <is>
          <t>MD</t>
        </is>
      </c>
      <c r="H1177" t="inlineStr"/>
      <c r="I1177" t="inlineStr">
        <is>
          <t>Public</t>
        </is>
      </c>
      <c r="J1177" t="inlineStr">
        <is>
          <t>731-740</t>
        </is>
      </c>
      <c r="K1177" t="inlineStr">
        <is>
          <t>691-700</t>
        </is>
      </c>
      <c r="L1177" t="inlineStr"/>
      <c r="M1177" t="inlineStr"/>
      <c r="N1177" t="inlineStr">
        <is>
          <t>-</t>
        </is>
      </c>
      <c r="O1177" t="inlineStr"/>
      <c r="P1177" t="n">
        <v>28.9</v>
      </c>
      <c r="Q1177" t="inlineStr">
        <is>
          <t>431</t>
        </is>
      </c>
      <c r="R1177" t="n">
        <v>45.3</v>
      </c>
      <c r="S1177" t="inlineStr">
        <is>
          <t>298</t>
        </is>
      </c>
      <c r="T1177" t="n">
        <v>41.5</v>
      </c>
      <c r="U1177" t="inlineStr">
        <is>
          <t>487</t>
        </is>
      </c>
      <c r="V1177" t="n">
        <v>1.4</v>
      </c>
      <c r="W1177" t="inlineStr">
        <is>
          <t>801+</t>
        </is>
      </c>
      <c r="X1177" t="n">
        <v>3.3</v>
      </c>
      <c r="Y1177" t="inlineStr">
        <is>
          <t>801+</t>
        </is>
      </c>
      <c r="Z1177" t="n">
        <v>2</v>
      </c>
      <c r="AA1177" t="inlineStr">
        <is>
          <t>801+</t>
        </is>
      </c>
      <c r="AB1177" t="n">
        <v>6.3</v>
      </c>
      <c r="AC1177" t="inlineStr">
        <is>
          <t>801+</t>
        </is>
      </c>
      <c r="AD1177" t="n">
        <v>13.3</v>
      </c>
      <c r="AE1177" t="inlineStr">
        <is>
          <t>801+</t>
        </is>
      </c>
      <c r="AF1177" t="n">
        <v>57.5</v>
      </c>
      <c r="AG1177" t="inlineStr">
        <is>
          <t>289</t>
        </is>
      </c>
      <c r="AH1177" t="n">
        <v>36.3</v>
      </c>
      <c r="AI1177" t="inlineStr">
        <is>
          <t>801+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</row>
    <row r="1178">
      <c r="A1178" t="inlineStr">
        <is>
          <t>Universidad Central del Ecuador</t>
        </is>
      </c>
      <c r="B1178" t="inlineStr">
        <is>
          <t>Ecuador</t>
        </is>
      </c>
      <c r="C1178" t="inlineStr">
        <is>
          <t>EC</t>
        </is>
      </c>
      <c r="D1178" t="inlineStr"/>
      <c r="E1178" t="inlineStr">
        <is>
          <t>XL</t>
        </is>
      </c>
      <c r="F1178" t="inlineStr">
        <is>
          <t>FC</t>
        </is>
      </c>
      <c r="G1178" t="inlineStr">
        <is>
          <t>MD</t>
        </is>
      </c>
      <c r="H1178" t="inlineStr">
        <is>
          <t>5</t>
        </is>
      </c>
      <c r="I1178" t="inlineStr">
        <is>
          <t>A</t>
        </is>
      </c>
      <c r="J1178" t="inlineStr"/>
      <c r="K1178" t="inlineStr"/>
      <c r="L1178" t="inlineStr">
        <is>
          <t>1201-1400</t>
        </is>
      </c>
      <c r="M1178" t="inlineStr">
        <is>
          <t>1201-1400</t>
        </is>
      </c>
      <c r="N1178" t="inlineStr"/>
      <c r="O1178" t="inlineStr">
        <is>
          <t>-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>
        <is>
          <t>8.5</t>
        </is>
      </c>
      <c r="AK1178" t="inlineStr">
        <is>
          <t>601+</t>
        </is>
      </c>
      <c r="AL1178" t="inlineStr">
        <is>
          <t>5.0</t>
        </is>
      </c>
      <c r="AM1178" t="inlineStr">
        <is>
          <t>601+</t>
        </is>
      </c>
      <c r="AN1178" t="inlineStr">
        <is>
          <t>10.9</t>
        </is>
      </c>
      <c r="AO1178" t="inlineStr">
        <is>
          <t>701+</t>
        </is>
      </c>
      <c r="AP1178" t="inlineStr">
        <is>
          <t>1.2</t>
        </is>
      </c>
      <c r="AQ1178" t="inlineStr">
        <is>
          <t>701+</t>
        </is>
      </c>
      <c r="AR1178" t="inlineStr"/>
      <c r="AS1178" t="inlineStr"/>
      <c r="AT1178" t="inlineStr"/>
      <c r="AU1178" t="inlineStr"/>
      <c r="AV1178" t="inlineStr">
        <is>
          <t>1.0</t>
        </is>
      </c>
      <c r="AW1178" t="inlineStr">
        <is>
          <t>701+</t>
        </is>
      </c>
      <c r="AX1178" t="inlineStr">
        <is>
          <t>10.1</t>
        </is>
      </c>
      <c r="AY1178" t="inlineStr">
        <is>
          <t>701+</t>
        </is>
      </c>
      <c r="AZ1178" t="inlineStr">
        <is>
          <t>1</t>
        </is>
      </c>
      <c r="BA1178" t="inlineStr">
        <is>
          <t>701+</t>
        </is>
      </c>
    </row>
    <row r="1179">
      <c r="A1179" t="inlineStr">
        <is>
          <t>Universidad Central Marta Abreu de Las Villas</t>
        </is>
      </c>
      <c r="B1179" t="inlineStr">
        <is>
          <t>Cuba</t>
        </is>
      </c>
      <c r="C1179" t="inlineStr">
        <is>
          <t>CU</t>
        </is>
      </c>
      <c r="D1179" t="inlineStr">
        <is>
          <t>Americas</t>
        </is>
      </c>
      <c r="E1179" t="inlineStr">
        <is>
          <t>M</t>
        </is>
      </c>
      <c r="F1179" t="inlineStr">
        <is>
          <t>CO</t>
        </is>
      </c>
      <c r="G1179" t="inlineStr">
        <is>
          <t>HI</t>
        </is>
      </c>
      <c r="H1179" t="inlineStr">
        <is>
          <t>4</t>
        </is>
      </c>
      <c r="I1179" t="inlineStr">
        <is>
          <t>Public</t>
        </is>
      </c>
      <c r="J1179" t="inlineStr">
        <is>
          <t>1201-1400</t>
        </is>
      </c>
      <c r="K1179" t="inlineStr">
        <is>
          <t>901-950</t>
        </is>
      </c>
      <c r="L1179" t="inlineStr">
        <is>
          <t>851-900</t>
        </is>
      </c>
      <c r="M1179" t="inlineStr">
        <is>
          <t>531-540</t>
        </is>
      </c>
      <c r="N1179" t="inlineStr">
        <is>
          <t>-</t>
        </is>
      </c>
      <c r="O1179" t="inlineStr">
        <is>
          <t>-</t>
        </is>
      </c>
      <c r="P1179" t="n">
        <v>4.8</v>
      </c>
      <c r="Q1179" t="inlineStr">
        <is>
          <t>701+</t>
        </is>
      </c>
      <c r="R1179" t="n">
        <v>2</v>
      </c>
      <c r="S1179" t="inlineStr">
        <is>
          <t>701+</t>
        </is>
      </c>
      <c r="T1179" t="n">
        <v>99.90000000000001</v>
      </c>
      <c r="U1179" t="inlineStr">
        <is>
          <t>28</t>
        </is>
      </c>
      <c r="V1179" t="n">
        <v>1.6</v>
      </c>
      <c r="W1179" t="inlineStr">
        <is>
          <t>801+</t>
        </is>
      </c>
      <c r="X1179" t="n">
        <v>1.1</v>
      </c>
      <c r="Y1179" t="inlineStr">
        <is>
          <t>801+</t>
        </is>
      </c>
      <c r="Z1179" t="n">
        <v>1.6</v>
      </c>
      <c r="AA1179" t="inlineStr">
        <is>
          <t>801+</t>
        </is>
      </c>
      <c r="AB1179" t="n">
        <v>1.4</v>
      </c>
      <c r="AC1179" t="inlineStr">
        <is>
          <t>801+</t>
        </is>
      </c>
      <c r="AD1179" t="n">
        <v>9.4</v>
      </c>
      <c r="AE1179" t="inlineStr">
        <is>
          <t>801+</t>
        </is>
      </c>
      <c r="AF1179" t="n">
        <v>26.5</v>
      </c>
      <c r="AG1179" t="inlineStr">
        <is>
          <t>616</t>
        </is>
      </c>
      <c r="AH1179" t="n">
        <v>10.2</v>
      </c>
      <c r="AI1179" t="inlineStr">
        <is>
          <t>801+</t>
        </is>
      </c>
      <c r="AJ1179" t="inlineStr">
        <is>
          <t>5.7</t>
        </is>
      </c>
      <c r="AK1179" t="inlineStr">
        <is>
          <t>601+</t>
        </is>
      </c>
      <c r="AL1179" t="inlineStr">
        <is>
          <t>1.1</t>
        </is>
      </c>
      <c r="AM1179" t="inlineStr">
        <is>
          <t>601+</t>
        </is>
      </c>
      <c r="AN1179" t="inlineStr">
        <is>
          <t>99.9</t>
        </is>
      </c>
      <c r="AO1179" t="inlineStr">
        <is>
          <t>23</t>
        </is>
      </c>
      <c r="AP1179" t="inlineStr">
        <is>
          <t>1.2</t>
        </is>
      </c>
      <c r="AQ1179" t="inlineStr">
        <is>
          <t>701+</t>
        </is>
      </c>
      <c r="AR1179" t="inlineStr">
        <is>
          <t>1.1</t>
        </is>
      </c>
      <c r="AS1179" t="inlineStr">
        <is>
          <t>701+</t>
        </is>
      </c>
      <c r="AT1179" t="inlineStr">
        <is>
          <t>1.3</t>
        </is>
      </c>
      <c r="AU1179" t="inlineStr">
        <is>
          <t>701+</t>
        </is>
      </c>
      <c r="AV1179" t="inlineStr">
        <is>
          <t>1.1</t>
        </is>
      </c>
      <c r="AW1179" t="inlineStr">
        <is>
          <t>701+</t>
        </is>
      </c>
      <c r="AX1179" t="inlineStr">
        <is>
          <t>14.6</t>
        </is>
      </c>
      <c r="AY1179" t="inlineStr">
        <is>
          <t>572</t>
        </is>
      </c>
      <c r="AZ1179" t="inlineStr">
        <is>
          <t>1</t>
        </is>
      </c>
      <c r="BA1179" t="inlineStr">
        <is>
          <t>701+</t>
        </is>
      </c>
    </row>
    <row r="1180">
      <c r="A1180" t="inlineStr">
        <is>
          <t>Universidad Cientifica del Sur</t>
        </is>
      </c>
      <c r="B1180" t="inlineStr">
        <is>
          <t>Peru</t>
        </is>
      </c>
      <c r="C1180" t="inlineStr"/>
      <c r="D1180" t="inlineStr">
        <is>
          <t>Americas</t>
        </is>
      </c>
      <c r="E1180" t="inlineStr">
        <is>
          <t>L</t>
        </is>
      </c>
      <c r="F1180" t="inlineStr">
        <is>
          <t>FC</t>
        </is>
      </c>
      <c r="G1180" t="inlineStr">
        <is>
          <t>MD</t>
        </is>
      </c>
      <c r="H1180" t="inlineStr"/>
      <c r="I1180" t="inlineStr">
        <is>
          <t>Private for Profit</t>
        </is>
      </c>
      <c r="J1180" t="inlineStr">
        <is>
          <t>1201-1400</t>
        </is>
      </c>
      <c r="K1180" t="inlineStr"/>
      <c r="L1180" t="inlineStr"/>
      <c r="M1180" t="inlineStr"/>
      <c r="N1180" t="inlineStr">
        <is>
          <t>-</t>
        </is>
      </c>
      <c r="O1180" t="inlineStr"/>
      <c r="P1180" t="n">
        <v>6.1</v>
      </c>
      <c r="Q1180" t="inlineStr">
        <is>
          <t>701+</t>
        </is>
      </c>
      <c r="R1180" t="n">
        <v>6.8</v>
      </c>
      <c r="S1180" t="inlineStr">
        <is>
          <t>701+</t>
        </is>
      </c>
      <c r="T1180" t="n">
        <v>68.3</v>
      </c>
      <c r="U1180" t="inlineStr">
        <is>
          <t>244</t>
        </is>
      </c>
      <c r="V1180" t="n">
        <v>1.7</v>
      </c>
      <c r="W1180" t="inlineStr">
        <is>
          <t>801+</t>
        </is>
      </c>
      <c r="X1180" t="n">
        <v>4.2</v>
      </c>
      <c r="Y1180" t="inlineStr">
        <is>
          <t>801+</t>
        </is>
      </c>
      <c r="Z1180" t="n">
        <v>1.3</v>
      </c>
      <c r="AA1180" t="inlineStr">
        <is>
          <t>801+</t>
        </is>
      </c>
      <c r="AB1180" t="n">
        <v>5.7</v>
      </c>
      <c r="AC1180" t="inlineStr">
        <is>
          <t>801+</t>
        </is>
      </c>
      <c r="AD1180" t="n">
        <v>14.8</v>
      </c>
      <c r="AE1180" t="inlineStr">
        <is>
          <t>801+</t>
        </is>
      </c>
      <c r="AF1180" t="n">
        <v>4.8</v>
      </c>
      <c r="AG1180" t="inlineStr">
        <is>
          <t>801+</t>
        </is>
      </c>
      <c r="AH1180" t="n">
        <v>30.1</v>
      </c>
      <c r="AI1180" t="inlineStr">
        <is>
          <t>801+</t>
        </is>
      </c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</row>
    <row r="1181">
      <c r="A1181" t="inlineStr">
        <is>
          <t>Universidad de Alcalá</t>
        </is>
      </c>
      <c r="B1181" t="inlineStr">
        <is>
          <t>Spain</t>
        </is>
      </c>
      <c r="C1181" t="inlineStr">
        <is>
          <t>ES</t>
        </is>
      </c>
      <c r="D1181" t="inlineStr">
        <is>
          <t>Europe</t>
        </is>
      </c>
      <c r="E1181" t="inlineStr">
        <is>
          <t>L</t>
        </is>
      </c>
      <c r="F1181" t="inlineStr">
        <is>
          <t>FC</t>
        </is>
      </c>
      <c r="G1181" t="inlineStr">
        <is>
          <t>VH</t>
        </is>
      </c>
      <c r="H1181" t="inlineStr">
        <is>
          <t>3</t>
        </is>
      </c>
      <c r="I1181" t="inlineStr">
        <is>
          <t>Public</t>
        </is>
      </c>
      <c r="J1181" t="inlineStr">
        <is>
          <t>697</t>
        </is>
      </c>
      <c r="K1181" t="inlineStr">
        <is>
          <t>621-630</t>
        </is>
      </c>
      <c r="L1181">
        <f>538</f>
        <v/>
      </c>
      <c r="M1181" t="inlineStr">
        <is>
          <t>511-520</t>
        </is>
      </c>
      <c r="N1181" t="inlineStr">
        <is>
          <t>25.1</t>
        </is>
      </c>
      <c r="O1181" t="inlineStr">
        <is>
          <t>21.9</t>
        </is>
      </c>
      <c r="P1181" t="n">
        <v>13.8</v>
      </c>
      <c r="Q1181" t="inlineStr">
        <is>
          <t>701+</t>
        </is>
      </c>
      <c r="R1181" t="n">
        <v>10.2</v>
      </c>
      <c r="S1181" t="inlineStr">
        <is>
          <t>701+</t>
        </is>
      </c>
      <c r="T1181" t="n">
        <v>72.5</v>
      </c>
      <c r="U1181" t="inlineStr">
        <is>
          <t>212</t>
        </is>
      </c>
      <c r="V1181" t="n">
        <v>10.8</v>
      </c>
      <c r="W1181" t="inlineStr">
        <is>
          <t>801+</t>
        </is>
      </c>
      <c r="X1181" t="n">
        <v>11.8</v>
      </c>
      <c r="Y1181" t="inlineStr">
        <is>
          <t>801+</t>
        </is>
      </c>
      <c r="Z1181" t="n">
        <v>50.9</v>
      </c>
      <c r="AA1181" t="inlineStr">
        <is>
          <t>403</t>
        </is>
      </c>
      <c r="AB1181" t="n">
        <v>55.6</v>
      </c>
      <c r="AC1181" t="inlineStr">
        <is>
          <t>369</t>
        </is>
      </c>
      <c r="AD1181" t="n">
        <v>79.40000000000001</v>
      </c>
      <c r="AE1181" t="inlineStr">
        <is>
          <t>361</t>
        </is>
      </c>
      <c r="AF1181" t="n">
        <v>11.8</v>
      </c>
      <c r="AG1181" t="inlineStr">
        <is>
          <t>801+</t>
        </is>
      </c>
      <c r="AH1181" t="n">
        <v>72.09999999999999</v>
      </c>
      <c r="AI1181" t="inlineStr">
        <is>
          <t>291=</t>
        </is>
      </c>
      <c r="AJ1181" t="inlineStr">
        <is>
          <t>10.0</t>
        </is>
      </c>
      <c r="AK1181" t="inlineStr">
        <is>
          <t>601+</t>
        </is>
      </c>
      <c r="AL1181" t="inlineStr">
        <is>
          <t>4.7</t>
        </is>
      </c>
      <c r="AM1181" t="inlineStr">
        <is>
          <t>601+</t>
        </is>
      </c>
      <c r="AN1181" t="inlineStr">
        <is>
          <t>68.8</t>
        </is>
      </c>
      <c r="AO1181" t="inlineStr">
        <is>
          <t>189</t>
        </is>
      </c>
      <c r="AP1181" t="inlineStr">
        <is>
          <t>5.2</t>
        </is>
      </c>
      <c r="AQ1181" t="inlineStr">
        <is>
          <t>701+</t>
        </is>
      </c>
      <c r="AR1181" t="inlineStr">
        <is>
          <t>20.0</t>
        </is>
      </c>
      <c r="AS1181" t="inlineStr">
        <is>
          <t>590</t>
        </is>
      </c>
      <c r="AT1181" t="inlineStr">
        <is>
          <t>66.3</t>
        </is>
      </c>
      <c r="AU1181" t="inlineStr">
        <is>
          <t>225</t>
        </is>
      </c>
      <c r="AV1181" t="inlineStr">
        <is>
          <t>37.9</t>
        </is>
      </c>
      <c r="AW1181" t="inlineStr">
        <is>
          <t>395</t>
        </is>
      </c>
      <c r="AX1181" t="inlineStr">
        <is>
          <t>9.4</t>
        </is>
      </c>
      <c r="AY1181" t="inlineStr">
        <is>
          <t>701+</t>
        </is>
      </c>
      <c r="AZ1181" t="inlineStr">
        <is>
          <t>74.3</t>
        </is>
      </c>
      <c r="BA1181" t="inlineStr">
        <is>
          <t>179</t>
        </is>
      </c>
    </row>
    <row r="1182">
      <c r="A1182" t="inlineStr">
        <is>
          <t>Universidad de Alicante</t>
        </is>
      </c>
      <c r="B1182" t="inlineStr">
        <is>
          <t>Spain</t>
        </is>
      </c>
      <c r="C1182" t="inlineStr"/>
      <c r="D1182" t="inlineStr">
        <is>
          <t>Europe</t>
        </is>
      </c>
      <c r="E1182" t="inlineStr">
        <is>
          <t>L</t>
        </is>
      </c>
      <c r="F1182" t="inlineStr">
        <is>
          <t>FC</t>
        </is>
      </c>
      <c r="G1182" t="inlineStr">
        <is>
          <t>VH</t>
        </is>
      </c>
      <c r="H1182" t="inlineStr"/>
      <c r="I1182" t="inlineStr">
        <is>
          <t>Public</t>
        </is>
      </c>
      <c r="J1182" t="inlineStr">
        <is>
          <t>781-790</t>
        </is>
      </c>
      <c r="K1182" t="inlineStr">
        <is>
          <t>801-850</t>
        </is>
      </c>
      <c r="L1182" t="inlineStr"/>
      <c r="M1182" t="inlineStr"/>
      <c r="N1182" t="inlineStr">
        <is>
          <t>-</t>
        </is>
      </c>
      <c r="O1182" t="inlineStr"/>
      <c r="P1182" t="n">
        <v>21.1</v>
      </c>
      <c r="Q1182" t="inlineStr">
        <is>
          <t>589</t>
        </is>
      </c>
      <c r="R1182" t="n">
        <v>11.5</v>
      </c>
      <c r="S1182" t="inlineStr">
        <is>
          <t>701+</t>
        </is>
      </c>
      <c r="T1182" t="n">
        <v>36</v>
      </c>
      <c r="U1182" t="inlineStr">
        <is>
          <t>556</t>
        </is>
      </c>
      <c r="V1182" t="n">
        <v>14.2</v>
      </c>
      <c r="W1182" t="inlineStr">
        <is>
          <t>801+</t>
        </is>
      </c>
      <c r="X1182" t="n">
        <v>11.5</v>
      </c>
      <c r="Y1182" t="inlineStr">
        <is>
          <t>801+</t>
        </is>
      </c>
      <c r="Z1182" t="n">
        <v>21.4</v>
      </c>
      <c r="AA1182" t="inlineStr">
        <is>
          <t>704</t>
        </is>
      </c>
      <c r="AB1182" t="n">
        <v>27.5</v>
      </c>
      <c r="AC1182" t="inlineStr">
        <is>
          <t>644</t>
        </is>
      </c>
      <c r="AD1182" t="n">
        <v>79.3</v>
      </c>
      <c r="AE1182" t="inlineStr">
        <is>
          <t>362</t>
        </is>
      </c>
      <c r="AF1182" t="n">
        <v>10.4</v>
      </c>
      <c r="AG1182" t="inlineStr">
        <is>
          <t>801+</t>
        </is>
      </c>
      <c r="AH1182" t="n">
        <v>70.90000000000001</v>
      </c>
      <c r="AI1182" t="inlineStr">
        <is>
          <t>301=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</row>
    <row r="1183">
      <c r="A1183" t="inlineStr">
        <is>
          <t>Universidad de Antioquia</t>
        </is>
      </c>
      <c r="B1183" t="inlineStr">
        <is>
          <t>Colombia</t>
        </is>
      </c>
      <c r="C1183" t="inlineStr">
        <is>
          <t>CO</t>
        </is>
      </c>
      <c r="D1183" t="inlineStr">
        <is>
          <t>Americas</t>
        </is>
      </c>
      <c r="E1183" t="inlineStr">
        <is>
          <t>XL</t>
        </is>
      </c>
      <c r="F1183" t="inlineStr">
        <is>
          <t>FO</t>
        </is>
      </c>
      <c r="G1183" t="inlineStr">
        <is>
          <t>VH</t>
        </is>
      </c>
      <c r="H1183" t="inlineStr">
        <is>
          <t>5</t>
        </is>
      </c>
      <c r="I1183" t="inlineStr">
        <is>
          <t>Public</t>
        </is>
      </c>
      <c r="J1183" t="inlineStr">
        <is>
          <t>781-790</t>
        </is>
      </c>
      <c r="K1183" t="inlineStr">
        <is>
          <t>791-800</t>
        </is>
      </c>
      <c r="L1183" t="inlineStr">
        <is>
          <t>701-710</t>
        </is>
      </c>
      <c r="M1183" t="inlineStr">
        <is>
          <t>651-700</t>
        </is>
      </c>
      <c r="N1183" t="inlineStr">
        <is>
          <t>-</t>
        </is>
      </c>
      <c r="O1183" t="inlineStr">
        <is>
          <t>-</t>
        </is>
      </c>
      <c r="P1183" t="n">
        <v>39.7</v>
      </c>
      <c r="Q1183" t="inlineStr">
        <is>
          <t>304</t>
        </is>
      </c>
      <c r="R1183" t="n">
        <v>24.1</v>
      </c>
      <c r="S1183" t="inlineStr">
        <is>
          <t>557</t>
        </is>
      </c>
      <c r="T1183" t="n">
        <v>5.9</v>
      </c>
      <c r="U1183" t="inlineStr">
        <is>
          <t>801+</t>
        </is>
      </c>
      <c r="V1183" t="n">
        <v>7.1</v>
      </c>
      <c r="W1183" t="inlineStr">
        <is>
          <t>801+</t>
        </is>
      </c>
      <c r="X1183" t="n">
        <v>4.9</v>
      </c>
      <c r="Y1183" t="inlineStr">
        <is>
          <t>801+</t>
        </is>
      </c>
      <c r="Z1183" t="inlineStr"/>
      <c r="AA1183" t="inlineStr"/>
      <c r="AB1183" t="inlineStr"/>
      <c r="AC1183" t="inlineStr"/>
      <c r="AD1183" t="n">
        <v>55.7</v>
      </c>
      <c r="AE1183" t="inlineStr">
        <is>
          <t>753</t>
        </is>
      </c>
      <c r="AF1183" t="n">
        <v>26.7</v>
      </c>
      <c r="AG1183" t="inlineStr">
        <is>
          <t>612</t>
        </is>
      </c>
      <c r="AH1183" t="n">
        <v>45.5</v>
      </c>
      <c r="AI1183" t="inlineStr">
        <is>
          <t>801+</t>
        </is>
      </c>
      <c r="AJ1183" t="inlineStr">
        <is>
          <t>31.0</t>
        </is>
      </c>
      <c r="AK1183" t="inlineStr">
        <is>
          <t>281</t>
        </is>
      </c>
      <c r="AL1183" t="inlineStr">
        <is>
          <t>33.9</t>
        </is>
      </c>
      <c r="AM1183" t="inlineStr">
        <is>
          <t>288</t>
        </is>
      </c>
      <c r="AN1183" t="inlineStr">
        <is>
          <t>4.2</t>
        </is>
      </c>
      <c r="AO1183" t="inlineStr">
        <is>
          <t>701+</t>
        </is>
      </c>
      <c r="AP1183" t="inlineStr">
        <is>
          <t>4.3</t>
        </is>
      </c>
      <c r="AQ1183" t="inlineStr">
        <is>
          <t>701+</t>
        </is>
      </c>
      <c r="AR1183" t="inlineStr">
        <is>
          <t>3.9</t>
        </is>
      </c>
      <c r="AS1183" t="inlineStr">
        <is>
          <t>701+</t>
        </is>
      </c>
      <c r="AT1183" t="inlineStr">
        <is>
          <t>1.3</t>
        </is>
      </c>
      <c r="AU1183" t="inlineStr">
        <is>
          <t>701+</t>
        </is>
      </c>
      <c r="AV1183" t="inlineStr">
        <is>
          <t>3.9</t>
        </is>
      </c>
      <c r="AW1183" t="inlineStr">
        <is>
          <t>701+</t>
        </is>
      </c>
      <c r="AX1183" t="inlineStr">
        <is>
          <t>9.6</t>
        </is>
      </c>
      <c r="AY1183" t="inlineStr">
        <is>
          <t>701+</t>
        </is>
      </c>
      <c r="AZ1183" t="inlineStr">
        <is>
          <t>5.2</t>
        </is>
      </c>
      <c r="BA1183" t="inlineStr">
        <is>
          <t>701+</t>
        </is>
      </c>
    </row>
    <row r="1184">
      <c r="A1184" t="inlineStr">
        <is>
          <t>Universidad de Belgrano</t>
        </is>
      </c>
      <c r="B1184" t="inlineStr">
        <is>
          <t>Argentina</t>
        </is>
      </c>
      <c r="C1184" t="inlineStr">
        <is>
          <t>AR</t>
        </is>
      </c>
      <c r="D1184" t="inlineStr">
        <is>
          <t>Americas</t>
        </is>
      </c>
      <c r="E1184" t="inlineStr">
        <is>
          <t>M</t>
        </is>
      </c>
      <c r="F1184" t="inlineStr">
        <is>
          <t>FO</t>
        </is>
      </c>
      <c r="G1184" t="inlineStr">
        <is>
          <t>MD</t>
        </is>
      </c>
      <c r="H1184" t="inlineStr">
        <is>
          <t>4</t>
        </is>
      </c>
      <c r="I1184" t="inlineStr">
        <is>
          <t>Private not for Profit</t>
        </is>
      </c>
      <c r="J1184" t="inlineStr">
        <is>
          <t>951-1000</t>
        </is>
      </c>
      <c r="K1184" t="inlineStr">
        <is>
          <t>781-790</t>
        </is>
      </c>
      <c r="L1184" t="inlineStr">
        <is>
          <t>761-770</t>
        </is>
      </c>
      <c r="M1184" t="inlineStr">
        <is>
          <t>461=</t>
        </is>
      </c>
      <c r="N1184" t="inlineStr">
        <is>
          <t>-</t>
        </is>
      </c>
      <c r="O1184" t="inlineStr">
        <is>
          <t>-</t>
        </is>
      </c>
      <c r="P1184" t="n">
        <v>11.2</v>
      </c>
      <c r="Q1184" t="inlineStr">
        <is>
          <t>701+</t>
        </is>
      </c>
      <c r="R1184" t="n">
        <v>15.3</v>
      </c>
      <c r="S1184" t="inlineStr">
        <is>
          <t>701+</t>
        </is>
      </c>
      <c r="T1184" t="n">
        <v>85.09999999999999</v>
      </c>
      <c r="U1184" t="inlineStr">
        <is>
          <t>134</t>
        </is>
      </c>
      <c r="V1184" t="n">
        <v>1</v>
      </c>
      <c r="W1184" t="inlineStr">
        <is>
          <t>801+</t>
        </is>
      </c>
      <c r="X1184" t="n">
        <v>7.3</v>
      </c>
      <c r="Y1184" t="inlineStr">
        <is>
          <t>801+</t>
        </is>
      </c>
      <c r="Z1184" t="n">
        <v>39</v>
      </c>
      <c r="AA1184" t="inlineStr">
        <is>
          <t>503</t>
        </is>
      </c>
      <c r="AB1184" t="n">
        <v>29.2</v>
      </c>
      <c r="AC1184" t="inlineStr">
        <is>
          <t>624</t>
        </is>
      </c>
      <c r="AD1184" t="inlineStr"/>
      <c r="AE1184" t="inlineStr"/>
      <c r="AF1184" t="n">
        <v>44.3</v>
      </c>
      <c r="AG1184" t="inlineStr">
        <is>
          <t>397</t>
        </is>
      </c>
      <c r="AH1184" t="inlineStr"/>
      <c r="AI1184" t="inlineStr"/>
      <c r="AJ1184" t="inlineStr">
        <is>
          <t>9.9</t>
        </is>
      </c>
      <c r="AK1184" t="inlineStr">
        <is>
          <t>601+</t>
        </is>
      </c>
      <c r="AL1184" t="inlineStr">
        <is>
          <t>10.7</t>
        </is>
      </c>
      <c r="AM1184" t="inlineStr">
        <is>
          <t>601+</t>
        </is>
      </c>
      <c r="AN1184" t="inlineStr">
        <is>
          <t>88.1</t>
        </is>
      </c>
      <c r="AO1184" t="inlineStr">
        <is>
          <t>92</t>
        </is>
      </c>
      <c r="AP1184" t="inlineStr">
        <is>
          <t>1.0</t>
        </is>
      </c>
      <c r="AQ1184" t="inlineStr">
        <is>
          <t>701+</t>
        </is>
      </c>
      <c r="AR1184" t="inlineStr">
        <is>
          <t>5.7</t>
        </is>
      </c>
      <c r="AS1184" t="inlineStr">
        <is>
          <t>701+</t>
        </is>
      </c>
      <c r="AT1184" t="inlineStr">
        <is>
          <t>26.3</t>
        </is>
      </c>
      <c r="AU1184" t="inlineStr">
        <is>
          <t>463</t>
        </is>
      </c>
      <c r="AV1184" t="inlineStr">
        <is>
          <t>1.0</t>
        </is>
      </c>
      <c r="AW1184" t="inlineStr">
        <is>
          <t>701+</t>
        </is>
      </c>
      <c r="AX1184" t="inlineStr">
        <is>
          <t>8.7</t>
        </is>
      </c>
      <c r="AY1184" t="inlineStr">
        <is>
          <t>701+</t>
        </is>
      </c>
      <c r="AZ1184" t="inlineStr"/>
      <c r="BA1184" t="inlineStr"/>
    </row>
    <row r="1185">
      <c r="A1185" t="inlineStr">
        <is>
          <t>Universidad de Buenos Aires</t>
        </is>
      </c>
      <c r="B1185" t="inlineStr">
        <is>
          <t>Argentina</t>
        </is>
      </c>
      <c r="C1185" t="inlineStr"/>
      <c r="D1185" t="inlineStr">
        <is>
          <t>Americas</t>
        </is>
      </c>
      <c r="E1185" t="inlineStr">
        <is>
          <t>XL</t>
        </is>
      </c>
      <c r="F1185" t="inlineStr">
        <is>
          <t>FC</t>
        </is>
      </c>
      <c r="G1185" t="inlineStr">
        <is>
          <t>VH</t>
        </is>
      </c>
      <c r="H1185" t="inlineStr"/>
      <c r="I1185" t="inlineStr">
        <is>
          <t>Public</t>
        </is>
      </c>
      <c r="J1185" t="inlineStr">
        <is>
          <t>84</t>
        </is>
      </c>
      <c r="K1185" t="inlineStr">
        <is>
          <t>71</t>
        </is>
      </c>
      <c r="L1185" t="inlineStr"/>
      <c r="M1185" t="inlineStr"/>
      <c r="N1185" t="inlineStr">
        <is>
          <t>72.3</t>
        </is>
      </c>
      <c r="O1185" t="inlineStr"/>
      <c r="P1185" t="n">
        <v>98.09999999999999</v>
      </c>
      <c r="Q1185" t="inlineStr">
        <is>
          <t>34</t>
        </is>
      </c>
      <c r="R1185" t="n">
        <v>95.8</v>
      </c>
      <c r="S1185" t="inlineStr">
        <is>
          <t>44</t>
        </is>
      </c>
      <c r="T1185" t="n">
        <v>82</v>
      </c>
      <c r="U1185" t="inlineStr">
        <is>
          <t>158</t>
        </is>
      </c>
      <c r="V1185" t="n">
        <v>2.3</v>
      </c>
      <c r="W1185" t="inlineStr">
        <is>
          <t>801+</t>
        </is>
      </c>
      <c r="X1185" t="n">
        <v>72.3</v>
      </c>
      <c r="Y1185" t="inlineStr">
        <is>
          <t>328</t>
        </is>
      </c>
      <c r="Z1185" t="n">
        <v>78.5</v>
      </c>
      <c r="AA1185" t="inlineStr">
        <is>
          <t>233</t>
        </is>
      </c>
      <c r="AB1185" t="n">
        <v>80.5</v>
      </c>
      <c r="AC1185" t="inlineStr">
        <is>
          <t>202</t>
        </is>
      </c>
      <c r="AD1185" t="n">
        <v>75.8</v>
      </c>
      <c r="AE1185" t="inlineStr">
        <is>
          <t>423</t>
        </is>
      </c>
      <c r="AF1185" t="n">
        <v>99.90000000000001</v>
      </c>
      <c r="AG1185" t="inlineStr">
        <is>
          <t>12</t>
        </is>
      </c>
      <c r="AH1185" t="n">
        <v>66.09999999999999</v>
      </c>
      <c r="AI1185" t="inlineStr">
        <is>
          <t>376=</t>
        </is>
      </c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</row>
    <row r="1186">
      <c r="A1186" t="inlineStr">
        <is>
          <t>Universidad de Buenos Aires (UBA)</t>
        </is>
      </c>
      <c r="B1186" t="inlineStr">
        <is>
          <t>Argentina</t>
        </is>
      </c>
      <c r="C1186" t="inlineStr">
        <is>
          <t>AR</t>
        </is>
      </c>
      <c r="D1186" t="inlineStr"/>
      <c r="E1186" t="inlineStr">
        <is>
          <t>XL</t>
        </is>
      </c>
      <c r="F1186" t="inlineStr">
        <is>
          <t>FC</t>
        </is>
      </c>
      <c r="G1186" t="inlineStr">
        <is>
          <t>VH</t>
        </is>
      </c>
      <c r="H1186" t="inlineStr">
        <is>
          <t>5</t>
        </is>
      </c>
      <c r="I1186" t="inlineStr">
        <is>
          <t>A</t>
        </is>
      </c>
      <c r="J1186" t="inlineStr"/>
      <c r="K1186" t="inlineStr"/>
      <c r="L1186">
        <f>95</f>
        <v/>
      </c>
      <c r="M1186" t="inlineStr">
        <is>
          <t>67</t>
        </is>
      </c>
      <c r="N1186" t="inlineStr"/>
      <c r="O1186" t="inlineStr">
        <is>
          <t>61.0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>
        <is>
          <t>93.3</t>
        </is>
      </c>
      <c r="AK1186" t="inlineStr">
        <is>
          <t>36</t>
        </is>
      </c>
      <c r="AL1186" t="inlineStr">
        <is>
          <t>98.0</t>
        </is>
      </c>
      <c r="AM1186" t="inlineStr">
        <is>
          <t>20</t>
        </is>
      </c>
      <c r="AN1186" t="inlineStr">
        <is>
          <t>73.5</t>
        </is>
      </c>
      <c r="AO1186" t="inlineStr">
        <is>
          <t>170</t>
        </is>
      </c>
      <c r="AP1186" t="inlineStr">
        <is>
          <t>1.7</t>
        </is>
      </c>
      <c r="AQ1186" t="inlineStr">
        <is>
          <t>701+</t>
        </is>
      </c>
      <c r="AR1186" t="inlineStr">
        <is>
          <t>62.6</t>
        </is>
      </c>
      <c r="AS1186" t="inlineStr">
        <is>
          <t>309</t>
        </is>
      </c>
      <c r="AT1186" t="inlineStr">
        <is>
          <t>66.7</t>
        </is>
      </c>
      <c r="AU1186" t="inlineStr">
        <is>
          <t>224</t>
        </is>
      </c>
      <c r="AV1186" t="inlineStr">
        <is>
          <t>28.1</t>
        </is>
      </c>
      <c r="AW1186" t="inlineStr">
        <is>
          <t>470</t>
        </is>
      </c>
      <c r="AX1186" t="inlineStr">
        <is>
          <t>26.2</t>
        </is>
      </c>
      <c r="AY1186" t="inlineStr">
        <is>
          <t>311</t>
        </is>
      </c>
      <c r="AZ1186" t="inlineStr">
        <is>
          <t>18.8</t>
        </is>
      </c>
      <c r="BA1186" t="inlineStr">
        <is>
          <t>555=</t>
        </is>
      </c>
    </row>
    <row r="1187">
      <c r="A1187" t="inlineStr">
        <is>
          <t>Universidad de Caldas</t>
        </is>
      </c>
      <c r="B1187" t="inlineStr">
        <is>
          <t>Colombia</t>
        </is>
      </c>
      <c r="C1187" t="inlineStr">
        <is>
          <t>CO</t>
        </is>
      </c>
      <c r="D1187" t="inlineStr"/>
      <c r="E1187" t="inlineStr">
        <is>
          <t>L</t>
        </is>
      </c>
      <c r="F1187" t="inlineStr">
        <is>
          <t>FC</t>
        </is>
      </c>
      <c r="G1187" t="inlineStr">
        <is>
          <t>MD</t>
        </is>
      </c>
      <c r="H1187" t="inlineStr">
        <is>
          <t>4</t>
        </is>
      </c>
      <c r="I1187" t="inlineStr">
        <is>
          <t>A</t>
        </is>
      </c>
      <c r="J1187" t="inlineStr"/>
      <c r="K1187" t="inlineStr"/>
      <c r="L1187" t="inlineStr">
        <is>
          <t>1401+</t>
        </is>
      </c>
      <c r="M1187" t="inlineStr">
        <is>
          <t>1201-1400</t>
        </is>
      </c>
      <c r="N1187" t="inlineStr"/>
      <c r="O1187" t="inlineStr">
        <is>
          <t>-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>
        <is>
          <t>5.4</t>
        </is>
      </c>
      <c r="AK1187" t="inlineStr">
        <is>
          <t>601+</t>
        </is>
      </c>
      <c r="AL1187" t="inlineStr">
        <is>
          <t>4.0</t>
        </is>
      </c>
      <c r="AM1187" t="inlineStr">
        <is>
          <t>601+</t>
        </is>
      </c>
      <c r="AN1187" t="inlineStr">
        <is>
          <t>3.0</t>
        </is>
      </c>
      <c r="AO1187" t="inlineStr">
        <is>
          <t>701+</t>
        </is>
      </c>
      <c r="AP1187" t="inlineStr">
        <is>
          <t>1.5</t>
        </is>
      </c>
      <c r="AQ1187" t="inlineStr">
        <is>
          <t>701+</t>
        </is>
      </c>
      <c r="AR1187" t="inlineStr"/>
      <c r="AS1187" t="inlineStr"/>
      <c r="AT1187" t="inlineStr"/>
      <c r="AU1187" t="inlineStr"/>
      <c r="AV1187" t="inlineStr">
        <is>
          <t>1.0</t>
        </is>
      </c>
      <c r="AW1187" t="inlineStr">
        <is>
          <t>701+</t>
        </is>
      </c>
      <c r="AX1187" t="inlineStr">
        <is>
          <t>6.2</t>
        </is>
      </c>
      <c r="AY1187" t="inlineStr">
        <is>
          <t>701+</t>
        </is>
      </c>
      <c r="AZ1187" t="inlineStr">
        <is>
          <t>1</t>
        </is>
      </c>
      <c r="BA1187" t="inlineStr">
        <is>
          <t>701+</t>
        </is>
      </c>
    </row>
    <row r="1188">
      <c r="A1188" t="inlineStr">
        <is>
          <t>Universidad de Carabobo</t>
        </is>
      </c>
      <c r="B1188" t="inlineStr">
        <is>
          <t>Venezuela</t>
        </is>
      </c>
      <c r="C1188" t="inlineStr">
        <is>
          <t>VE</t>
        </is>
      </c>
      <c r="D1188" t="inlineStr"/>
      <c r="E1188" t="inlineStr">
        <is>
          <t>L</t>
        </is>
      </c>
      <c r="F1188" t="inlineStr">
        <is>
          <t>FC</t>
        </is>
      </c>
      <c r="G1188" t="inlineStr">
        <is>
          <t>LO</t>
        </is>
      </c>
      <c r="H1188" t="inlineStr">
        <is>
          <t>5</t>
        </is>
      </c>
      <c r="I1188" t="inlineStr">
        <is>
          <t>A</t>
        </is>
      </c>
      <c r="J1188" t="inlineStr"/>
      <c r="K1188" t="inlineStr"/>
      <c r="L1188" t="inlineStr">
        <is>
          <t>1201-1400</t>
        </is>
      </c>
      <c r="M1188" t="inlineStr">
        <is>
          <t>1201-1400</t>
        </is>
      </c>
      <c r="N1188" t="inlineStr"/>
      <c r="O1188" t="inlineStr">
        <is>
          <t>-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>
        <is>
          <t>3.7</t>
        </is>
      </c>
      <c r="AK1188" t="inlineStr">
        <is>
          <t>601+</t>
        </is>
      </c>
      <c r="AL1188" t="inlineStr">
        <is>
          <t>8.0</t>
        </is>
      </c>
      <c r="AM1188" t="inlineStr">
        <is>
          <t>601+</t>
        </is>
      </c>
      <c r="AN1188" t="inlineStr">
        <is>
          <t>18.3</t>
        </is>
      </c>
      <c r="AO1188" t="inlineStr">
        <is>
          <t>701+</t>
        </is>
      </c>
      <c r="AP1188" t="inlineStr">
        <is>
          <t>1.0</t>
        </is>
      </c>
      <c r="AQ1188" t="inlineStr">
        <is>
          <t>701+</t>
        </is>
      </c>
      <c r="AR1188" t="inlineStr"/>
      <c r="AS1188" t="inlineStr"/>
      <c r="AT1188" t="inlineStr"/>
      <c r="AU1188" t="inlineStr"/>
      <c r="AV1188" t="inlineStr">
        <is>
          <t>1.0</t>
        </is>
      </c>
      <c r="AW1188" t="inlineStr">
        <is>
          <t>701+</t>
        </is>
      </c>
      <c r="AX1188" t="inlineStr">
        <is>
          <t>14.5</t>
        </is>
      </c>
      <c r="AY1188" t="inlineStr">
        <is>
          <t>579</t>
        </is>
      </c>
      <c r="AZ1188" t="inlineStr">
        <is>
          <t>1</t>
        </is>
      </c>
      <c r="BA1188" t="inlineStr">
        <is>
          <t>701+</t>
        </is>
      </c>
    </row>
    <row r="1189">
      <c r="A1189" t="inlineStr">
        <is>
          <t>Universidad de Cartagena</t>
        </is>
      </c>
      <c r="B1189" t="inlineStr">
        <is>
          <t>Colombia</t>
        </is>
      </c>
      <c r="C1189" t="inlineStr">
        <is>
          <t>CO</t>
        </is>
      </c>
      <c r="D1189" t="inlineStr"/>
      <c r="E1189" t="inlineStr">
        <is>
          <t>L</t>
        </is>
      </c>
      <c r="F1189" t="inlineStr">
        <is>
          <t>FC</t>
        </is>
      </c>
      <c r="G1189" t="inlineStr">
        <is>
          <t>MD</t>
        </is>
      </c>
      <c r="H1189" t="inlineStr">
        <is>
          <t>5</t>
        </is>
      </c>
      <c r="I1189" t="inlineStr">
        <is>
          <t>A</t>
        </is>
      </c>
      <c r="J1189" t="inlineStr"/>
      <c r="K1189" t="inlineStr"/>
      <c r="L1189" t="inlineStr">
        <is>
          <t>1201-1400</t>
        </is>
      </c>
      <c r="M1189" t="inlineStr">
        <is>
          <t>1201-1400</t>
        </is>
      </c>
      <c r="N1189" t="inlineStr"/>
      <c r="O1189" t="inlineStr">
        <is>
          <t>-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>
        <is>
          <t>4.9</t>
        </is>
      </c>
      <c r="AK1189" t="inlineStr">
        <is>
          <t>601+</t>
        </is>
      </c>
      <c r="AL1189" t="inlineStr">
        <is>
          <t>5.4</t>
        </is>
      </c>
      <c r="AM1189" t="inlineStr">
        <is>
          <t>601+</t>
        </is>
      </c>
      <c r="AN1189" t="inlineStr">
        <is>
          <t>4.0</t>
        </is>
      </c>
      <c r="AO1189" t="inlineStr">
        <is>
          <t>701+</t>
        </is>
      </c>
      <c r="AP1189" t="inlineStr">
        <is>
          <t>4.3</t>
        </is>
      </c>
      <c r="AQ1189" t="inlineStr">
        <is>
          <t>701+</t>
        </is>
      </c>
      <c r="AR1189" t="inlineStr">
        <is>
          <t>2.2</t>
        </is>
      </c>
      <c r="AS1189" t="inlineStr">
        <is>
          <t>701+</t>
        </is>
      </c>
      <c r="AT1189" t="inlineStr">
        <is>
          <t>1.1</t>
        </is>
      </c>
      <c r="AU1189" t="inlineStr">
        <is>
          <t>701+</t>
        </is>
      </c>
      <c r="AV1189" t="inlineStr">
        <is>
          <t>1.0</t>
        </is>
      </c>
      <c r="AW1189" t="inlineStr">
        <is>
          <t>701+</t>
        </is>
      </c>
      <c r="AX1189" t="inlineStr">
        <is>
          <t>6.8</t>
        </is>
      </c>
      <c r="AY1189" t="inlineStr">
        <is>
          <t>701+</t>
        </is>
      </c>
      <c r="AZ1189" t="inlineStr">
        <is>
          <t>11</t>
        </is>
      </c>
      <c r="BA1189" t="inlineStr">
        <is>
          <t>656=</t>
        </is>
      </c>
    </row>
    <row r="1190">
      <c r="A1190" t="inlineStr">
        <is>
          <t>Universidad de Castilla-La Mancha</t>
        </is>
      </c>
      <c r="B1190" t="inlineStr">
        <is>
          <t>Spain</t>
        </is>
      </c>
      <c r="C1190" t="inlineStr">
        <is>
          <t>ES</t>
        </is>
      </c>
      <c r="D1190" t="inlineStr">
        <is>
          <t>Europe</t>
        </is>
      </c>
      <c r="E1190" t="inlineStr">
        <is>
          <t>L</t>
        </is>
      </c>
      <c r="F1190" t="inlineStr">
        <is>
          <t>FC</t>
        </is>
      </c>
      <c r="G1190" t="inlineStr">
        <is>
          <t>VH</t>
        </is>
      </c>
      <c r="H1190" t="inlineStr">
        <is>
          <t>3</t>
        </is>
      </c>
      <c r="I1190" t="inlineStr">
        <is>
          <t>Public</t>
        </is>
      </c>
      <c r="J1190" t="inlineStr">
        <is>
          <t>1001-1200</t>
        </is>
      </c>
      <c r="K1190" t="inlineStr">
        <is>
          <t>1001-1200</t>
        </is>
      </c>
      <c r="L1190" t="inlineStr">
        <is>
          <t>951-1000</t>
        </is>
      </c>
      <c r="M1190" t="inlineStr">
        <is>
          <t>1001-1200</t>
        </is>
      </c>
      <c r="N1190" t="inlineStr">
        <is>
          <t>-</t>
        </is>
      </c>
      <c r="O1190" t="inlineStr">
        <is>
          <t>-</t>
        </is>
      </c>
      <c r="P1190" t="n">
        <v>10.7</v>
      </c>
      <c r="Q1190" t="inlineStr">
        <is>
          <t>701+</t>
        </is>
      </c>
      <c r="R1190" t="n">
        <v>4.7</v>
      </c>
      <c r="S1190" t="inlineStr">
        <is>
          <t>701+</t>
        </is>
      </c>
      <c r="T1190" t="n">
        <v>22</v>
      </c>
      <c r="U1190" t="inlineStr">
        <is>
          <t>791</t>
        </is>
      </c>
      <c r="V1190" t="n">
        <v>17.9</v>
      </c>
      <c r="W1190" t="inlineStr">
        <is>
          <t>754</t>
        </is>
      </c>
      <c r="X1190" t="n">
        <v>2.7</v>
      </c>
      <c r="Y1190" t="inlineStr">
        <is>
          <t>801+</t>
        </is>
      </c>
      <c r="Z1190" t="n">
        <v>9.699999999999999</v>
      </c>
      <c r="AA1190" t="inlineStr">
        <is>
          <t>801+</t>
        </is>
      </c>
      <c r="AB1190" t="n">
        <v>15.5</v>
      </c>
      <c r="AC1190" t="inlineStr">
        <is>
          <t>801+</t>
        </is>
      </c>
      <c r="AD1190" t="n">
        <v>70.40000000000001</v>
      </c>
      <c r="AE1190" t="inlineStr">
        <is>
          <t>521</t>
        </is>
      </c>
      <c r="AF1190" t="n">
        <v>7.9</v>
      </c>
      <c r="AG1190" t="inlineStr">
        <is>
          <t>801+</t>
        </is>
      </c>
      <c r="AH1190" t="n">
        <v>46.9</v>
      </c>
      <c r="AI1190" t="inlineStr">
        <is>
          <t>793=</t>
        </is>
      </c>
      <c r="AJ1190" t="inlineStr">
        <is>
          <t>8.9</t>
        </is>
      </c>
      <c r="AK1190" t="inlineStr">
        <is>
          <t>601+</t>
        </is>
      </c>
      <c r="AL1190" t="inlineStr">
        <is>
          <t>2.0</t>
        </is>
      </c>
      <c r="AM1190" t="inlineStr">
        <is>
          <t>601+</t>
        </is>
      </c>
      <c r="AN1190" t="inlineStr">
        <is>
          <t>15.5</t>
        </is>
      </c>
      <c r="AO1190" t="inlineStr">
        <is>
          <t>701+</t>
        </is>
      </c>
      <c r="AP1190" t="inlineStr">
        <is>
          <t>9.6</t>
        </is>
      </c>
      <c r="AQ1190" t="inlineStr">
        <is>
          <t>701+</t>
        </is>
      </c>
      <c r="AR1190" t="inlineStr">
        <is>
          <t>2.0</t>
        </is>
      </c>
      <c r="AS1190" t="inlineStr">
        <is>
          <t>701+</t>
        </is>
      </c>
      <c r="AT1190" t="inlineStr">
        <is>
          <t>4.5</t>
        </is>
      </c>
      <c r="AU1190" t="inlineStr">
        <is>
          <t>701+</t>
        </is>
      </c>
      <c r="AV1190" t="inlineStr">
        <is>
          <t>35.3</t>
        </is>
      </c>
      <c r="AW1190" t="inlineStr">
        <is>
          <t>418</t>
        </is>
      </c>
      <c r="AX1190" t="inlineStr">
        <is>
          <t>7.5</t>
        </is>
      </c>
      <c r="AY1190" t="inlineStr">
        <is>
          <t>701+</t>
        </is>
      </c>
      <c r="AZ1190" t="inlineStr">
        <is>
          <t>55.2</t>
        </is>
      </c>
      <c r="BA1190" t="inlineStr">
        <is>
          <t>275=</t>
        </is>
      </c>
    </row>
    <row r="1191">
      <c r="A1191" t="inlineStr">
        <is>
          <t>Universidad de Chile</t>
        </is>
      </c>
      <c r="B1191" t="inlineStr">
        <is>
          <t>Chile</t>
        </is>
      </c>
      <c r="C1191" t="inlineStr">
        <is>
          <t>CL</t>
        </is>
      </c>
      <c r="D1191" t="inlineStr">
        <is>
          <t>Americas</t>
        </is>
      </c>
      <c r="E1191" t="inlineStr">
        <is>
          <t>XL</t>
        </is>
      </c>
      <c r="F1191" t="inlineStr">
        <is>
          <t>FC</t>
        </is>
      </c>
      <c r="G1191" t="inlineStr">
        <is>
          <t>VH</t>
        </is>
      </c>
      <c r="H1191" t="inlineStr">
        <is>
          <t>5</t>
        </is>
      </c>
      <c r="I1191" t="inlineStr">
        <is>
          <t>Public</t>
        </is>
      </c>
      <c r="J1191" t="inlineStr">
        <is>
          <t>173</t>
        </is>
      </c>
      <c r="K1191" t="inlineStr">
        <is>
          <t>139</t>
        </is>
      </c>
      <c r="L1191">
        <f>159</f>
        <v/>
      </c>
      <c r="M1191" t="inlineStr">
        <is>
          <t>167=</t>
        </is>
      </c>
      <c r="N1191" t="inlineStr">
        <is>
          <t>59.1</t>
        </is>
      </c>
      <c r="O1191" t="inlineStr">
        <is>
          <t>50.2</t>
        </is>
      </c>
      <c r="P1191" t="n">
        <v>91.90000000000001</v>
      </c>
      <c r="Q1191" t="inlineStr">
        <is>
          <t>61</t>
        </is>
      </c>
      <c r="R1191" t="n">
        <v>92</v>
      </c>
      <c r="S1191" t="inlineStr">
        <is>
          <t>63</t>
        </is>
      </c>
      <c r="T1191" t="n">
        <v>10.9</v>
      </c>
      <c r="U1191" t="inlineStr">
        <is>
          <t>801+</t>
        </is>
      </c>
      <c r="V1191" t="n">
        <v>18.2</v>
      </c>
      <c r="W1191" t="inlineStr">
        <is>
          <t>747</t>
        </is>
      </c>
      <c r="X1191" t="n">
        <v>12.2</v>
      </c>
      <c r="Y1191" t="inlineStr">
        <is>
          <t>801+</t>
        </is>
      </c>
      <c r="Z1191" t="n">
        <v>8.1</v>
      </c>
      <c r="AA1191" t="inlineStr">
        <is>
          <t>801+</t>
        </is>
      </c>
      <c r="AB1191" t="n">
        <v>13.1</v>
      </c>
      <c r="AC1191" t="inlineStr">
        <is>
          <t>801+</t>
        </is>
      </c>
      <c r="AD1191" t="n">
        <v>77.90000000000001</v>
      </c>
      <c r="AE1191" t="inlineStr">
        <is>
          <t>384</t>
        </is>
      </c>
      <c r="AF1191" t="n">
        <v>97.59999999999999</v>
      </c>
      <c r="AG1191" t="inlineStr">
        <is>
          <t>50</t>
        </is>
      </c>
      <c r="AH1191" t="n">
        <v>69.5</v>
      </c>
      <c r="AI1191" t="inlineStr">
        <is>
          <t>321=</t>
        </is>
      </c>
      <c r="AJ1191" t="inlineStr">
        <is>
          <t>81.5</t>
        </is>
      </c>
      <c r="AK1191" t="inlineStr">
        <is>
          <t>66</t>
        </is>
      </c>
      <c r="AL1191" t="inlineStr">
        <is>
          <t>96.6</t>
        </is>
      </c>
      <c r="AM1191" t="inlineStr">
        <is>
          <t>30</t>
        </is>
      </c>
      <c r="AN1191" t="inlineStr">
        <is>
          <t>9.7</t>
        </is>
      </c>
      <c r="AO1191" t="inlineStr">
        <is>
          <t>701+</t>
        </is>
      </c>
      <c r="AP1191" t="inlineStr">
        <is>
          <t>12.5</t>
        </is>
      </c>
      <c r="AQ1191" t="inlineStr">
        <is>
          <t>687</t>
        </is>
      </c>
      <c r="AR1191" t="inlineStr">
        <is>
          <t>9.0</t>
        </is>
      </c>
      <c r="AS1191" t="inlineStr">
        <is>
          <t>701+</t>
        </is>
      </c>
      <c r="AT1191" t="inlineStr">
        <is>
          <t>5.0</t>
        </is>
      </c>
      <c r="AU1191" t="inlineStr">
        <is>
          <t>701+</t>
        </is>
      </c>
      <c r="AV1191" t="inlineStr">
        <is>
          <t>48.6</t>
        </is>
      </c>
      <c r="AW1191" t="inlineStr">
        <is>
          <t>322</t>
        </is>
      </c>
      <c r="AX1191" t="inlineStr">
        <is>
          <t>50.4</t>
        </is>
      </c>
      <c r="AY1191" t="inlineStr">
        <is>
          <t>130</t>
        </is>
      </c>
      <c r="AZ1191" t="inlineStr">
        <is>
          <t>36.3</t>
        </is>
      </c>
      <c r="BA1191" t="inlineStr">
        <is>
          <t>389=</t>
        </is>
      </c>
    </row>
    <row r="1192">
      <c r="A1192" t="inlineStr">
        <is>
          <t>Universidad de Concepción</t>
        </is>
      </c>
      <c r="B1192" t="inlineStr">
        <is>
          <t>Chile</t>
        </is>
      </c>
      <c r="C1192" t="inlineStr">
        <is>
          <t>CL</t>
        </is>
      </c>
      <c r="D1192" t="inlineStr">
        <is>
          <t>Americas</t>
        </is>
      </c>
      <c r="E1192" t="inlineStr">
        <is>
          <t>L</t>
        </is>
      </c>
      <c r="F1192" t="inlineStr">
        <is>
          <t>FC</t>
        </is>
      </c>
      <c r="G1192" t="inlineStr">
        <is>
          <t>HI</t>
        </is>
      </c>
      <c r="H1192" t="inlineStr">
        <is>
          <t>5</t>
        </is>
      </c>
      <c r="I1192" t="inlineStr">
        <is>
          <t>Private not for Profit</t>
        </is>
      </c>
      <c r="J1192" t="inlineStr">
        <is>
          <t>613</t>
        </is>
      </c>
      <c r="K1192" t="inlineStr">
        <is>
          <t>631-640</t>
        </is>
      </c>
      <c r="L1192" t="inlineStr">
        <is>
          <t>601-610</t>
        </is>
      </c>
      <c r="M1192" t="inlineStr">
        <is>
          <t>601-650</t>
        </is>
      </c>
      <c r="N1192" t="inlineStr">
        <is>
          <t>27.8</t>
        </is>
      </c>
      <c r="O1192" t="inlineStr">
        <is>
          <t>-</t>
        </is>
      </c>
      <c r="P1192" t="n">
        <v>36.8</v>
      </c>
      <c r="Q1192" t="inlineStr">
        <is>
          <t>325</t>
        </is>
      </c>
      <c r="R1192" t="n">
        <v>34</v>
      </c>
      <c r="S1192" t="inlineStr">
        <is>
          <t>422</t>
        </is>
      </c>
      <c r="T1192" t="n">
        <v>20.2</v>
      </c>
      <c r="U1192" t="inlineStr">
        <is>
          <t>801+</t>
        </is>
      </c>
      <c r="V1192" t="n">
        <v>12.3</v>
      </c>
      <c r="W1192" t="inlineStr">
        <is>
          <t>801+</t>
        </is>
      </c>
      <c r="X1192" t="n">
        <v>14.5</v>
      </c>
      <c r="Y1192" t="inlineStr">
        <is>
          <t>801+</t>
        </is>
      </c>
      <c r="Z1192" t="n">
        <v>2.6</v>
      </c>
      <c r="AA1192" t="inlineStr">
        <is>
          <t>801+</t>
        </is>
      </c>
      <c r="AB1192" t="n">
        <v>6.9</v>
      </c>
      <c r="AC1192" t="inlineStr">
        <is>
          <t>801+</t>
        </is>
      </c>
      <c r="AD1192" t="n">
        <v>64.09999999999999</v>
      </c>
      <c r="AE1192" t="inlineStr">
        <is>
          <t>634</t>
        </is>
      </c>
      <c r="AF1192" t="n">
        <v>16.9</v>
      </c>
      <c r="AG1192" t="inlineStr">
        <is>
          <t>786</t>
        </is>
      </c>
      <c r="AH1192" t="n">
        <v>69.5</v>
      </c>
      <c r="AI1192" t="inlineStr">
        <is>
          <t>321=</t>
        </is>
      </c>
      <c r="AJ1192" t="inlineStr">
        <is>
          <t>27.0</t>
        </is>
      </c>
      <c r="AK1192" t="inlineStr">
        <is>
          <t>322</t>
        </is>
      </c>
      <c r="AL1192" t="inlineStr">
        <is>
          <t>35.6</t>
        </is>
      </c>
      <c r="AM1192" t="inlineStr">
        <is>
          <t>273</t>
        </is>
      </c>
      <c r="AN1192" t="inlineStr">
        <is>
          <t>13.1</t>
        </is>
      </c>
      <c r="AO1192" t="inlineStr">
        <is>
          <t>701+</t>
        </is>
      </c>
      <c r="AP1192" t="inlineStr">
        <is>
          <t>7.4</t>
        </is>
      </c>
      <c r="AQ1192" t="inlineStr">
        <is>
          <t>701+</t>
        </is>
      </c>
      <c r="AR1192" t="inlineStr">
        <is>
          <t>13.1</t>
        </is>
      </c>
      <c r="AS1192" t="inlineStr">
        <is>
          <t>699</t>
        </is>
      </c>
      <c r="AT1192" t="inlineStr">
        <is>
          <t>2.2</t>
        </is>
      </c>
      <c r="AU1192" t="inlineStr">
        <is>
          <t>701+</t>
        </is>
      </c>
      <c r="AV1192" t="inlineStr">
        <is>
          <t>16.3</t>
        </is>
      </c>
      <c r="AW1192" t="inlineStr">
        <is>
          <t>581</t>
        </is>
      </c>
      <c r="AX1192" t="inlineStr">
        <is>
          <t>9.5</t>
        </is>
      </c>
      <c r="AY1192" t="inlineStr">
        <is>
          <t>701+</t>
        </is>
      </c>
      <c r="AZ1192" t="inlineStr">
        <is>
          <t>31.6</t>
        </is>
      </c>
      <c r="BA1192" t="inlineStr">
        <is>
          <t>425=</t>
        </is>
      </c>
    </row>
    <row r="1193">
      <c r="A1193" t="inlineStr">
        <is>
          <t>Universidad de Costa Rica</t>
        </is>
      </c>
      <c r="B1193" t="inlineStr">
        <is>
          <t>Costa Rica</t>
        </is>
      </c>
      <c r="C1193" t="inlineStr">
        <is>
          <t>CR</t>
        </is>
      </c>
      <c r="D1193" t="inlineStr">
        <is>
          <t>Americas</t>
        </is>
      </c>
      <c r="E1193" t="inlineStr">
        <is>
          <t>XL</t>
        </is>
      </c>
      <c r="F1193" t="inlineStr">
        <is>
          <t>CO</t>
        </is>
      </c>
      <c r="G1193" t="inlineStr">
        <is>
          <t>HI</t>
        </is>
      </c>
      <c r="H1193" t="inlineStr">
        <is>
          <t>4</t>
        </is>
      </c>
      <c r="I1193" t="inlineStr">
        <is>
          <t>Public</t>
        </is>
      </c>
      <c r="J1193" t="inlineStr">
        <is>
          <t>499</t>
        </is>
      </c>
      <c r="K1193" t="inlineStr">
        <is>
          <t>497</t>
        </is>
      </c>
      <c r="L1193" t="inlineStr">
        <is>
          <t>544</t>
        </is>
      </c>
      <c r="M1193" t="inlineStr">
        <is>
          <t>511-520</t>
        </is>
      </c>
      <c r="N1193" t="inlineStr">
        <is>
          <t>32.2</t>
        </is>
      </c>
      <c r="O1193" t="inlineStr">
        <is>
          <t>21.6</t>
        </is>
      </c>
      <c r="P1193" t="n">
        <v>46.4</v>
      </c>
      <c r="Q1193" t="inlineStr">
        <is>
          <t>253</t>
        </is>
      </c>
      <c r="R1193" t="n">
        <v>31.6</v>
      </c>
      <c r="S1193" t="inlineStr">
        <is>
          <t>453</t>
        </is>
      </c>
      <c r="T1193" t="n">
        <v>44.4</v>
      </c>
      <c r="U1193" t="inlineStr">
        <is>
          <t>445</t>
        </is>
      </c>
      <c r="V1193" t="n">
        <v>2.5</v>
      </c>
      <c r="W1193" t="inlineStr">
        <is>
          <t>801+</t>
        </is>
      </c>
      <c r="X1193" t="n">
        <v>3</v>
      </c>
      <c r="Y1193" t="inlineStr">
        <is>
          <t>801+</t>
        </is>
      </c>
      <c r="Z1193" t="n">
        <v>3.4</v>
      </c>
      <c r="AA1193" t="inlineStr">
        <is>
          <t>801+</t>
        </is>
      </c>
      <c r="AB1193" t="n">
        <v>2.8</v>
      </c>
      <c r="AC1193" t="inlineStr">
        <is>
          <t>801+</t>
        </is>
      </c>
      <c r="AD1193" t="n">
        <v>46.1</v>
      </c>
      <c r="AE1193" t="inlineStr">
        <is>
          <t>801+</t>
        </is>
      </c>
      <c r="AF1193" t="n">
        <v>86.09999999999999</v>
      </c>
      <c r="AG1193" t="inlineStr">
        <is>
          <t>130</t>
        </is>
      </c>
      <c r="AH1193" t="n">
        <v>53.7</v>
      </c>
      <c r="AI1193" t="inlineStr">
        <is>
          <t>627=</t>
        </is>
      </c>
      <c r="AJ1193" t="inlineStr">
        <is>
          <t>33.5</t>
        </is>
      </c>
      <c r="AK1193" t="inlineStr">
        <is>
          <t>260</t>
        </is>
      </c>
      <c r="AL1193" t="inlineStr">
        <is>
          <t>37.6</t>
        </is>
      </c>
      <c r="AM1193" t="inlineStr">
        <is>
          <t>260</t>
        </is>
      </c>
      <c r="AN1193" t="inlineStr">
        <is>
          <t>34.7</t>
        </is>
      </c>
      <c r="AO1193" t="inlineStr">
        <is>
          <t>459</t>
        </is>
      </c>
      <c r="AP1193" t="inlineStr">
        <is>
          <t>1.8</t>
        </is>
      </c>
      <c r="AQ1193" t="inlineStr">
        <is>
          <t>701+</t>
        </is>
      </c>
      <c r="AR1193" t="inlineStr"/>
      <c r="AS1193" t="inlineStr"/>
      <c r="AT1193" t="inlineStr"/>
      <c r="AU1193" t="inlineStr"/>
      <c r="AV1193" t="inlineStr">
        <is>
          <t>6.0</t>
        </is>
      </c>
      <c r="AW1193" t="inlineStr">
        <is>
          <t>701+</t>
        </is>
      </c>
      <c r="AX1193" t="inlineStr">
        <is>
          <t>33.7</t>
        </is>
      </c>
      <c r="AY1193" t="inlineStr">
        <is>
          <t>227</t>
        </is>
      </c>
      <c r="AZ1193" t="inlineStr">
        <is>
          <t>4.7</t>
        </is>
      </c>
      <c r="BA1193" t="inlineStr">
        <is>
          <t>701+</t>
        </is>
      </c>
    </row>
    <row r="1194">
      <c r="A1194" t="inlineStr">
        <is>
          <t>Universidad de Cuenca</t>
        </is>
      </c>
      <c r="B1194" t="inlineStr">
        <is>
          <t>Ecuador</t>
        </is>
      </c>
      <c r="C1194" t="inlineStr">
        <is>
          <t>EC</t>
        </is>
      </c>
      <c r="D1194" t="inlineStr">
        <is>
          <t>Americas</t>
        </is>
      </c>
      <c r="E1194" t="inlineStr">
        <is>
          <t>L</t>
        </is>
      </c>
      <c r="F1194" t="inlineStr">
        <is>
          <t>FC</t>
        </is>
      </c>
      <c r="G1194" t="inlineStr">
        <is>
          <t>MD</t>
        </is>
      </c>
      <c r="H1194" t="inlineStr">
        <is>
          <t>5</t>
        </is>
      </c>
      <c r="I1194" t="inlineStr">
        <is>
          <t>Public</t>
        </is>
      </c>
      <c r="J1194" t="inlineStr">
        <is>
          <t>1401+</t>
        </is>
      </c>
      <c r="K1194" t="inlineStr">
        <is>
          <t>1401+</t>
        </is>
      </c>
      <c r="L1194" t="inlineStr">
        <is>
          <t>1401+</t>
        </is>
      </c>
      <c r="M1194" t="inlineStr">
        <is>
          <t>1201-1400</t>
        </is>
      </c>
      <c r="N1194" t="inlineStr">
        <is>
          <t>-</t>
        </is>
      </c>
      <c r="O1194" t="inlineStr">
        <is>
          <t>-</t>
        </is>
      </c>
      <c r="P1194" t="n">
        <v>11.1</v>
      </c>
      <c r="Q1194" t="inlineStr">
        <is>
          <t>701+</t>
        </is>
      </c>
      <c r="R1194" t="n">
        <v>5.1</v>
      </c>
      <c r="S1194" t="inlineStr">
        <is>
          <t>701+</t>
        </is>
      </c>
      <c r="T1194" t="n">
        <v>6.1</v>
      </c>
      <c r="U1194" t="inlineStr">
        <is>
          <t>801+</t>
        </is>
      </c>
      <c r="V1194" t="n">
        <v>3.1</v>
      </c>
      <c r="W1194" t="inlineStr">
        <is>
          <t>801+</t>
        </is>
      </c>
      <c r="X1194" t="n">
        <v>6.8</v>
      </c>
      <c r="Y1194" t="inlineStr">
        <is>
          <t>801+</t>
        </is>
      </c>
      <c r="Z1194" t="n">
        <v>3.2</v>
      </c>
      <c r="AA1194" t="inlineStr">
        <is>
          <t>801+</t>
        </is>
      </c>
      <c r="AB1194" t="n">
        <v>2.6</v>
      </c>
      <c r="AC1194" t="inlineStr">
        <is>
          <t>801+</t>
        </is>
      </c>
      <c r="AD1194" t="n">
        <v>20.2</v>
      </c>
      <c r="AE1194" t="inlineStr">
        <is>
          <t>801+</t>
        </is>
      </c>
      <c r="AF1194" t="n">
        <v>16.1</v>
      </c>
      <c r="AG1194" t="inlineStr">
        <is>
          <t>801+</t>
        </is>
      </c>
      <c r="AH1194" t="n">
        <v>39.3</v>
      </c>
      <c r="AI1194" t="inlineStr">
        <is>
          <t>801+</t>
        </is>
      </c>
      <c r="AJ1194" t="inlineStr">
        <is>
          <t>6.3</t>
        </is>
      </c>
      <c r="AK1194" t="inlineStr">
        <is>
          <t>601+</t>
        </is>
      </c>
      <c r="AL1194" t="inlineStr">
        <is>
          <t>2.3</t>
        </is>
      </c>
      <c r="AM1194" t="inlineStr">
        <is>
          <t>601+</t>
        </is>
      </c>
      <c r="AN1194" t="inlineStr">
        <is>
          <t>4.4</t>
        </is>
      </c>
      <c r="AO1194" t="inlineStr">
        <is>
          <t>701+</t>
        </is>
      </c>
      <c r="AP1194" t="inlineStr">
        <is>
          <t>2.3</t>
        </is>
      </c>
      <c r="AQ1194" t="inlineStr">
        <is>
          <t>701+</t>
        </is>
      </c>
      <c r="AR1194" t="inlineStr">
        <is>
          <t>3.3</t>
        </is>
      </c>
      <c r="AS1194" t="inlineStr">
        <is>
          <t>701+</t>
        </is>
      </c>
      <c r="AT1194" t="inlineStr">
        <is>
          <t>1.5</t>
        </is>
      </c>
      <c r="AU1194" t="inlineStr">
        <is>
          <t>701+</t>
        </is>
      </c>
      <c r="AV1194" t="inlineStr">
        <is>
          <t>1.1</t>
        </is>
      </c>
      <c r="AW1194" t="inlineStr">
        <is>
          <t>701+</t>
        </is>
      </c>
      <c r="AX1194" t="inlineStr">
        <is>
          <t>6.1</t>
        </is>
      </c>
      <c r="AY1194" t="inlineStr">
        <is>
          <t>701+</t>
        </is>
      </c>
      <c r="AZ1194" t="inlineStr">
        <is>
          <t>1.1</t>
        </is>
      </c>
      <c r="BA1194" t="inlineStr">
        <is>
          <t>701+</t>
        </is>
      </c>
    </row>
    <row r="1195">
      <c r="A1195" t="inlineStr">
        <is>
          <t>Universidad de Córdoba - Colombia</t>
        </is>
      </c>
      <c r="B1195" t="inlineStr">
        <is>
          <t>Colombia</t>
        </is>
      </c>
      <c r="C1195" t="inlineStr">
        <is>
          <t>CO</t>
        </is>
      </c>
      <c r="D1195" t="inlineStr"/>
      <c r="E1195" t="inlineStr">
        <is>
          <t>L</t>
        </is>
      </c>
      <c r="F1195" t="inlineStr">
        <is>
          <t>CO</t>
        </is>
      </c>
      <c r="G1195" t="inlineStr">
        <is>
          <t>MD</t>
        </is>
      </c>
      <c r="H1195" t="inlineStr">
        <is>
          <t>4</t>
        </is>
      </c>
      <c r="I1195" t="inlineStr">
        <is>
          <t>A</t>
        </is>
      </c>
      <c r="J1195" t="inlineStr"/>
      <c r="K1195" t="inlineStr"/>
      <c r="L1195" t="inlineStr">
        <is>
          <t>1201-1400</t>
        </is>
      </c>
      <c r="M1195" t="inlineStr">
        <is>
          <t>1001-1200</t>
        </is>
      </c>
      <c r="N1195" t="inlineStr"/>
      <c r="O1195" t="inlineStr">
        <is>
          <t>-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>
        <is>
          <t>15.0</t>
        </is>
      </c>
      <c r="AK1195" t="inlineStr">
        <is>
          <t>578</t>
        </is>
      </c>
      <c r="AL1195" t="inlineStr">
        <is>
          <t>2.5</t>
        </is>
      </c>
      <c r="AM1195" t="inlineStr">
        <is>
          <t>601+</t>
        </is>
      </c>
      <c r="AN1195" t="inlineStr">
        <is>
          <t>2.7</t>
        </is>
      </c>
      <c r="AO1195" t="inlineStr">
        <is>
          <t>701+</t>
        </is>
      </c>
      <c r="AP1195" t="inlineStr">
        <is>
          <t>1.4</t>
        </is>
      </c>
      <c r="AQ1195" t="inlineStr">
        <is>
          <t>701+</t>
        </is>
      </c>
      <c r="AR1195" t="inlineStr"/>
      <c r="AS1195" t="inlineStr"/>
      <c r="AT1195" t="inlineStr"/>
      <c r="AU1195" t="inlineStr"/>
      <c r="AV1195" t="inlineStr">
        <is>
          <t>1.0</t>
        </is>
      </c>
      <c r="AW1195" t="inlineStr">
        <is>
          <t>701+</t>
        </is>
      </c>
      <c r="AX1195" t="inlineStr">
        <is>
          <t>4.1</t>
        </is>
      </c>
      <c r="AY1195" t="inlineStr">
        <is>
          <t>701+</t>
        </is>
      </c>
      <c r="AZ1195" t="inlineStr">
        <is>
          <t>1</t>
        </is>
      </c>
      <c r="BA1195" t="inlineStr">
        <is>
          <t>701+</t>
        </is>
      </c>
    </row>
    <row r="1196">
      <c r="A1196" t="inlineStr">
        <is>
          <t>Universidad de Córdoba - España</t>
        </is>
      </c>
      <c r="B1196" t="inlineStr">
        <is>
          <t>Spain</t>
        </is>
      </c>
      <c r="C1196" t="inlineStr">
        <is>
          <t>ES</t>
        </is>
      </c>
      <c r="D1196" t="inlineStr">
        <is>
          <t>Europe</t>
        </is>
      </c>
      <c r="E1196" t="inlineStr">
        <is>
          <t>L</t>
        </is>
      </c>
      <c r="F1196" t="inlineStr">
        <is>
          <t>CO</t>
        </is>
      </c>
      <c r="G1196" t="inlineStr">
        <is>
          <t>VH</t>
        </is>
      </c>
      <c r="H1196" t="inlineStr">
        <is>
          <t>4</t>
        </is>
      </c>
      <c r="I1196" t="inlineStr"/>
      <c r="J1196" t="inlineStr">
        <is>
          <t>951-1000</t>
        </is>
      </c>
      <c r="K1196" t="inlineStr">
        <is>
          <t>951-1000</t>
        </is>
      </c>
      <c r="L1196" t="inlineStr">
        <is>
          <t>1001-1200</t>
        </is>
      </c>
      <c r="M1196" t="inlineStr"/>
      <c r="N1196" t="inlineStr">
        <is>
          <t>-</t>
        </is>
      </c>
      <c r="O1196" t="inlineStr">
        <is>
          <t>-</t>
        </is>
      </c>
      <c r="P1196" t="n">
        <v>15.5</v>
      </c>
      <c r="Q1196" t="inlineStr">
        <is>
          <t>701+</t>
        </is>
      </c>
      <c r="R1196" t="n">
        <v>6.5</v>
      </c>
      <c r="S1196" t="inlineStr">
        <is>
          <t>701+</t>
        </is>
      </c>
      <c r="T1196" t="n">
        <v>32.8</v>
      </c>
      <c r="U1196" t="inlineStr">
        <is>
          <t>591</t>
        </is>
      </c>
      <c r="V1196" t="n">
        <v>18.1</v>
      </c>
      <c r="W1196" t="inlineStr">
        <is>
          <t>749</t>
        </is>
      </c>
      <c r="X1196" t="inlineStr"/>
      <c r="Y1196" t="inlineStr"/>
      <c r="Z1196" t="inlineStr"/>
      <c r="AA1196" t="inlineStr"/>
      <c r="AB1196" t="inlineStr"/>
      <c r="AC1196" t="inlineStr"/>
      <c r="AD1196" t="n">
        <v>79.5</v>
      </c>
      <c r="AE1196" t="inlineStr">
        <is>
          <t>360</t>
        </is>
      </c>
      <c r="AF1196" t="n">
        <v>5.9</v>
      </c>
      <c r="AG1196" t="inlineStr">
        <is>
          <t>801+</t>
        </is>
      </c>
      <c r="AH1196" t="n">
        <v>46</v>
      </c>
      <c r="AI1196" t="inlineStr">
        <is>
          <t>801+</t>
        </is>
      </c>
      <c r="AJ1196" t="inlineStr">
        <is>
          <t>10.6</t>
        </is>
      </c>
      <c r="AK1196" t="inlineStr">
        <is>
          <t>601+</t>
        </is>
      </c>
      <c r="AL1196" t="inlineStr">
        <is>
          <t>3.4</t>
        </is>
      </c>
      <c r="AM1196" t="inlineStr">
        <is>
          <t>601+</t>
        </is>
      </c>
      <c r="AN1196" t="inlineStr">
        <is>
          <t>28.0</t>
        </is>
      </c>
      <c r="AO1196" t="inlineStr">
        <is>
          <t>546</t>
        </is>
      </c>
      <c r="AP1196" t="inlineStr">
        <is>
          <t>10.4</t>
        </is>
      </c>
      <c r="AQ1196" t="inlineStr">
        <is>
          <t>701+</t>
        </is>
      </c>
      <c r="AR1196" t="inlineStr"/>
      <c r="AS1196" t="inlineStr"/>
      <c r="AT1196" t="inlineStr"/>
      <c r="AU1196" t="inlineStr"/>
      <c r="AV1196" t="inlineStr">
        <is>
          <t>33.3</t>
        </is>
      </c>
      <c r="AW1196" t="inlineStr">
        <is>
          <t>430</t>
        </is>
      </c>
      <c r="AX1196" t="inlineStr">
        <is>
          <t>4.3</t>
        </is>
      </c>
      <c r="AY1196" t="inlineStr">
        <is>
          <t>701+</t>
        </is>
      </c>
      <c r="AZ1196" t="inlineStr"/>
      <c r="BA1196" t="inlineStr"/>
    </row>
    <row r="1197">
      <c r="A1197" t="inlineStr">
        <is>
          <t>Universidad de Guadalajara (UDG)</t>
        </is>
      </c>
      <c r="B1197" t="inlineStr">
        <is>
          <t>Mexico</t>
        </is>
      </c>
      <c r="C1197" t="inlineStr">
        <is>
          <t>MX</t>
        </is>
      </c>
      <c r="D1197" t="inlineStr">
        <is>
          <t>Americas</t>
        </is>
      </c>
      <c r="E1197" t="inlineStr">
        <is>
          <t>XL</t>
        </is>
      </c>
      <c r="F1197" t="inlineStr">
        <is>
          <t>FC</t>
        </is>
      </c>
      <c r="G1197" t="inlineStr">
        <is>
          <t>HI</t>
        </is>
      </c>
      <c r="H1197" t="inlineStr">
        <is>
          <t>5</t>
        </is>
      </c>
      <c r="I1197" t="inlineStr">
        <is>
          <t>Public</t>
        </is>
      </c>
      <c r="J1197" t="inlineStr">
        <is>
          <t>1001-1200</t>
        </is>
      </c>
      <c r="K1197" t="inlineStr">
        <is>
          <t>1001-1200</t>
        </is>
      </c>
      <c r="L1197" t="inlineStr">
        <is>
          <t>851-900</t>
        </is>
      </c>
      <c r="M1197" t="inlineStr">
        <is>
          <t>801-1000</t>
        </is>
      </c>
      <c r="N1197" t="inlineStr">
        <is>
          <t>-</t>
        </is>
      </c>
      <c r="O1197" t="inlineStr">
        <is>
          <t>-</t>
        </is>
      </c>
      <c r="P1197" t="n">
        <v>26.5</v>
      </c>
      <c r="Q1197" t="inlineStr">
        <is>
          <t>475</t>
        </is>
      </c>
      <c r="R1197" t="n">
        <v>12.5</v>
      </c>
      <c r="S1197" t="inlineStr">
        <is>
          <t>701+</t>
        </is>
      </c>
      <c r="T1197" t="n">
        <v>21.3</v>
      </c>
      <c r="U1197" t="inlineStr">
        <is>
          <t>801+</t>
        </is>
      </c>
      <c r="V1197" t="n">
        <v>1.6</v>
      </c>
      <c r="W1197" t="inlineStr">
        <is>
          <t>801+</t>
        </is>
      </c>
      <c r="X1197" t="n">
        <v>2.8</v>
      </c>
      <c r="Y1197" t="inlineStr">
        <is>
          <t>801+</t>
        </is>
      </c>
      <c r="Z1197" t="n">
        <v>1.3</v>
      </c>
      <c r="AA1197" t="inlineStr">
        <is>
          <t>801+</t>
        </is>
      </c>
      <c r="AB1197" t="n">
        <v>5.7</v>
      </c>
      <c r="AC1197" t="inlineStr">
        <is>
          <t>801+</t>
        </is>
      </c>
      <c r="AD1197" t="n">
        <v>45.1</v>
      </c>
      <c r="AE1197" t="inlineStr">
        <is>
          <t>801+</t>
        </is>
      </c>
      <c r="AF1197" t="n">
        <v>9.800000000000001</v>
      </c>
      <c r="AG1197" t="inlineStr">
        <is>
          <t>801+</t>
        </is>
      </c>
      <c r="AH1197" t="n">
        <v>55.2</v>
      </c>
      <c r="AI1197" t="inlineStr">
        <is>
          <t>601</t>
        </is>
      </c>
      <c r="AJ1197" t="inlineStr">
        <is>
          <t>20.3</t>
        </is>
      </c>
      <c r="AK1197" t="inlineStr">
        <is>
          <t>432</t>
        </is>
      </c>
      <c r="AL1197" t="inlineStr">
        <is>
          <t>9.2</t>
        </is>
      </c>
      <c r="AM1197" t="inlineStr">
        <is>
          <t>601+</t>
        </is>
      </c>
      <c r="AN1197" t="inlineStr">
        <is>
          <t>19.6</t>
        </is>
      </c>
      <c r="AO1197" t="inlineStr">
        <is>
          <t>677</t>
        </is>
      </c>
      <c r="AP1197" t="inlineStr">
        <is>
          <t>1.3</t>
        </is>
      </c>
      <c r="AQ1197" t="inlineStr">
        <is>
          <t>701+</t>
        </is>
      </c>
      <c r="AR1197" t="inlineStr">
        <is>
          <t>2.4</t>
        </is>
      </c>
      <c r="AS1197" t="inlineStr">
        <is>
          <t>701+</t>
        </is>
      </c>
      <c r="AT1197" t="inlineStr">
        <is>
          <t>1.1</t>
        </is>
      </c>
      <c r="AU1197" t="inlineStr">
        <is>
          <t>701+</t>
        </is>
      </c>
      <c r="AV1197" t="inlineStr">
        <is>
          <t>7.5</t>
        </is>
      </c>
      <c r="AW1197" t="inlineStr">
        <is>
          <t>701+</t>
        </is>
      </c>
      <c r="AX1197" t="inlineStr">
        <is>
          <t>8.5</t>
        </is>
      </c>
      <c r="AY1197" t="inlineStr">
        <is>
          <t>701+</t>
        </is>
      </c>
      <c r="AZ1197" t="inlineStr">
        <is>
          <t>37.8</t>
        </is>
      </c>
      <c r="BA1197" t="inlineStr">
        <is>
          <t>379=</t>
        </is>
      </c>
    </row>
    <row r="1198">
      <c r="A1198" t="inlineStr">
        <is>
          <t>Universidad de Guanajuato</t>
        </is>
      </c>
      <c r="B1198" t="inlineStr">
        <is>
          <t>Mexico</t>
        </is>
      </c>
      <c r="C1198" t="inlineStr">
        <is>
          <t>MX</t>
        </is>
      </c>
      <c r="D1198" t="inlineStr">
        <is>
          <t>Americas</t>
        </is>
      </c>
      <c r="E1198" t="inlineStr">
        <is>
          <t>XL</t>
        </is>
      </c>
      <c r="F1198" t="inlineStr">
        <is>
          <t>CO</t>
        </is>
      </c>
      <c r="G1198" t="inlineStr">
        <is>
          <t>HI</t>
        </is>
      </c>
      <c r="H1198" t="inlineStr">
        <is>
          <t>4</t>
        </is>
      </c>
      <c r="I1198" t="inlineStr">
        <is>
          <t>Public</t>
        </is>
      </c>
      <c r="J1198" t="inlineStr">
        <is>
          <t>1401+</t>
        </is>
      </c>
      <c r="K1198" t="inlineStr">
        <is>
          <t>1401+</t>
        </is>
      </c>
      <c r="L1198" t="inlineStr">
        <is>
          <t>1201-1400</t>
        </is>
      </c>
      <c r="M1198" t="inlineStr">
        <is>
          <t>1201-1400</t>
        </is>
      </c>
      <c r="N1198" t="inlineStr">
        <is>
          <t>-</t>
        </is>
      </c>
      <c r="O1198" t="inlineStr">
        <is>
          <t>-</t>
        </is>
      </c>
      <c r="P1198" t="n">
        <v>11.4</v>
      </c>
      <c r="Q1198" t="inlineStr">
        <is>
          <t>701+</t>
        </is>
      </c>
      <c r="R1198" t="n">
        <v>3.6</v>
      </c>
      <c r="S1198" t="inlineStr">
        <is>
          <t>701+</t>
        </is>
      </c>
      <c r="T1198" t="n">
        <v>7.2</v>
      </c>
      <c r="U1198" t="inlineStr">
        <is>
          <t>801+</t>
        </is>
      </c>
      <c r="V1198" t="n">
        <v>4.8</v>
      </c>
      <c r="W1198" t="inlineStr">
        <is>
          <t>801+</t>
        </is>
      </c>
      <c r="X1198" t="n">
        <v>7.5</v>
      </c>
      <c r="Y1198" t="inlineStr">
        <is>
          <t>801+</t>
        </is>
      </c>
      <c r="Z1198" t="n">
        <v>2</v>
      </c>
      <c r="AA1198" t="inlineStr">
        <is>
          <t>801+</t>
        </is>
      </c>
      <c r="AB1198" t="n">
        <v>6.3</v>
      </c>
      <c r="AC1198" t="inlineStr">
        <is>
          <t>801+</t>
        </is>
      </c>
      <c r="AD1198" t="n">
        <v>24.6</v>
      </c>
      <c r="AE1198" t="inlineStr">
        <is>
          <t>801+</t>
        </is>
      </c>
      <c r="AF1198" t="n">
        <v>9.5</v>
      </c>
      <c r="AG1198" t="inlineStr">
        <is>
          <t>801+</t>
        </is>
      </c>
      <c r="AH1198" t="n">
        <v>23.5</v>
      </c>
      <c r="AI1198" t="inlineStr">
        <is>
          <t>801+</t>
        </is>
      </c>
      <c r="AJ1198" t="inlineStr">
        <is>
          <t>7.9</t>
        </is>
      </c>
      <c r="AK1198" t="inlineStr">
        <is>
          <t>601+</t>
        </is>
      </c>
      <c r="AL1198" t="inlineStr">
        <is>
          <t>3.0</t>
        </is>
      </c>
      <c r="AM1198" t="inlineStr">
        <is>
          <t>601+</t>
        </is>
      </c>
      <c r="AN1198" t="inlineStr">
        <is>
          <t>5.9</t>
        </is>
      </c>
      <c r="AO1198" t="inlineStr">
        <is>
          <t>701+</t>
        </is>
      </c>
      <c r="AP1198" t="inlineStr">
        <is>
          <t>3.0</t>
        </is>
      </c>
      <c r="AQ1198" t="inlineStr">
        <is>
          <t>701+</t>
        </is>
      </c>
      <c r="AR1198" t="inlineStr">
        <is>
          <t>6.0</t>
        </is>
      </c>
      <c r="AS1198" t="inlineStr">
        <is>
          <t>701+</t>
        </is>
      </c>
      <c r="AT1198" t="inlineStr">
        <is>
          <t>1.4</t>
        </is>
      </c>
      <c r="AU1198" t="inlineStr">
        <is>
          <t>701+</t>
        </is>
      </c>
      <c r="AV1198" t="inlineStr">
        <is>
          <t>1.1</t>
        </is>
      </c>
      <c r="AW1198" t="inlineStr">
        <is>
          <t>701+</t>
        </is>
      </c>
      <c r="AX1198" t="inlineStr">
        <is>
          <t>8.7</t>
        </is>
      </c>
      <c r="AY1198" t="inlineStr">
        <is>
          <t>701+</t>
        </is>
      </c>
      <c r="AZ1198" t="inlineStr">
        <is>
          <t>1.2</t>
        </is>
      </c>
      <c r="BA1198" t="inlineStr">
        <is>
          <t>701+</t>
        </is>
      </c>
    </row>
    <row r="1199">
      <c r="A1199" t="inlineStr">
        <is>
          <t>Universidad de la Frontera (UFRO)</t>
        </is>
      </c>
      <c r="B1199" t="inlineStr">
        <is>
          <t>Chile</t>
        </is>
      </c>
      <c r="C1199" t="inlineStr">
        <is>
          <t>CL</t>
        </is>
      </c>
      <c r="D1199" t="inlineStr">
        <is>
          <t>Americas</t>
        </is>
      </c>
      <c r="E1199" t="inlineStr">
        <is>
          <t>M</t>
        </is>
      </c>
      <c r="F1199" t="inlineStr">
        <is>
          <t>CO</t>
        </is>
      </c>
      <c r="G1199" t="inlineStr">
        <is>
          <t>VH</t>
        </is>
      </c>
      <c r="H1199" t="inlineStr">
        <is>
          <t>3</t>
        </is>
      </c>
      <c r="I1199" t="inlineStr">
        <is>
          <t>Public</t>
        </is>
      </c>
      <c r="J1199" t="inlineStr">
        <is>
          <t>1201-1400</t>
        </is>
      </c>
      <c r="K1199" t="inlineStr">
        <is>
          <t>1001-1200</t>
        </is>
      </c>
      <c r="L1199" t="inlineStr">
        <is>
          <t>1201-1400</t>
        </is>
      </c>
      <c r="M1199" t="inlineStr">
        <is>
          <t>1201-1400</t>
        </is>
      </c>
      <c r="N1199" t="inlineStr">
        <is>
          <t>-</t>
        </is>
      </c>
      <c r="O1199" t="inlineStr">
        <is>
          <t>-</t>
        </is>
      </c>
      <c r="P1199" t="n">
        <v>14.4</v>
      </c>
      <c r="Q1199" t="inlineStr">
        <is>
          <t>701+</t>
        </is>
      </c>
      <c r="R1199" t="n">
        <v>7.5</v>
      </c>
      <c r="S1199" t="inlineStr">
        <is>
          <t>701+</t>
        </is>
      </c>
      <c r="T1199" t="n">
        <v>6.5</v>
      </c>
      <c r="U1199" t="inlineStr">
        <is>
          <t>801+</t>
        </is>
      </c>
      <c r="V1199" t="n">
        <v>19.2</v>
      </c>
      <c r="W1199" t="inlineStr">
        <is>
          <t>726</t>
        </is>
      </c>
      <c r="X1199" t="n">
        <v>3.1</v>
      </c>
      <c r="Y1199" t="inlineStr">
        <is>
          <t>801+</t>
        </is>
      </c>
      <c r="Z1199" t="n">
        <v>1.7</v>
      </c>
      <c r="AA1199" t="inlineStr">
        <is>
          <t>801+</t>
        </is>
      </c>
      <c r="AB1199" t="n">
        <v>1.5</v>
      </c>
      <c r="AC1199" t="inlineStr">
        <is>
          <t>801+</t>
        </is>
      </c>
      <c r="AD1199" t="n">
        <v>44</v>
      </c>
      <c r="AE1199" t="inlineStr">
        <is>
          <t>801+</t>
        </is>
      </c>
      <c r="AF1199" t="n">
        <v>2.7</v>
      </c>
      <c r="AG1199" t="inlineStr">
        <is>
          <t>801+</t>
        </is>
      </c>
      <c r="AH1199" t="n">
        <v>32.3</v>
      </c>
      <c r="AI1199" t="inlineStr">
        <is>
          <t>801+</t>
        </is>
      </c>
      <c r="AJ1199" t="inlineStr">
        <is>
          <t>9.7</t>
        </is>
      </c>
      <c r="AK1199" t="inlineStr">
        <is>
          <t>601+</t>
        </is>
      </c>
      <c r="AL1199" t="inlineStr">
        <is>
          <t>4.4</t>
        </is>
      </c>
      <c r="AM1199" t="inlineStr">
        <is>
          <t>601+</t>
        </is>
      </c>
      <c r="AN1199" t="inlineStr">
        <is>
          <t>3.6</t>
        </is>
      </c>
      <c r="AO1199" t="inlineStr">
        <is>
          <t>701+</t>
        </is>
      </c>
      <c r="AP1199" t="inlineStr">
        <is>
          <t>8.5</t>
        </is>
      </c>
      <c r="AQ1199" t="inlineStr">
        <is>
          <t>701+</t>
        </is>
      </c>
      <c r="AR1199" t="inlineStr">
        <is>
          <t>6.6</t>
        </is>
      </c>
      <c r="AS1199" t="inlineStr">
        <is>
          <t>701+</t>
        </is>
      </c>
      <c r="AT1199" t="inlineStr">
        <is>
          <t>1.2</t>
        </is>
      </c>
      <c r="AU1199" t="inlineStr">
        <is>
          <t>701+</t>
        </is>
      </c>
      <c r="AV1199" t="inlineStr">
        <is>
          <t>9.4</t>
        </is>
      </c>
      <c r="AW1199" t="inlineStr">
        <is>
          <t>682</t>
        </is>
      </c>
      <c r="AX1199" t="inlineStr">
        <is>
          <t>9</t>
        </is>
      </c>
      <c r="AY1199" t="inlineStr">
        <is>
          <t>701+</t>
        </is>
      </c>
      <c r="AZ1199" t="inlineStr">
        <is>
          <t>2.1</t>
        </is>
      </c>
      <c r="BA1199" t="inlineStr">
        <is>
          <t>701+</t>
        </is>
      </c>
    </row>
    <row r="1200">
      <c r="A1200" t="inlineStr">
        <is>
          <t>Universidad de la Habana</t>
        </is>
      </c>
      <c r="B1200" t="inlineStr">
        <is>
          <t>Cuba</t>
        </is>
      </c>
      <c r="C1200" t="inlineStr">
        <is>
          <t>CU</t>
        </is>
      </c>
      <c r="D1200" t="inlineStr">
        <is>
          <t>Americas</t>
        </is>
      </c>
      <c r="E1200" t="inlineStr">
        <is>
          <t>L</t>
        </is>
      </c>
      <c r="F1200" t="inlineStr">
        <is>
          <t>FO</t>
        </is>
      </c>
      <c r="G1200" t="inlineStr">
        <is>
          <t>HI</t>
        </is>
      </c>
      <c r="H1200" t="inlineStr">
        <is>
          <t>5</t>
        </is>
      </c>
      <c r="I1200" t="inlineStr">
        <is>
          <t>Public</t>
        </is>
      </c>
      <c r="J1200" t="inlineStr">
        <is>
          <t>801-850</t>
        </is>
      </c>
      <c r="K1200" t="inlineStr">
        <is>
          <t>691-700</t>
        </is>
      </c>
      <c r="L1200" t="inlineStr">
        <is>
          <t>641-650</t>
        </is>
      </c>
      <c r="M1200" t="inlineStr">
        <is>
          <t>467=</t>
        </is>
      </c>
      <c r="N1200" t="inlineStr">
        <is>
          <t>-</t>
        </is>
      </c>
      <c r="O1200" t="inlineStr">
        <is>
          <t>-</t>
        </is>
      </c>
      <c r="P1200" t="n">
        <v>19.9</v>
      </c>
      <c r="Q1200" t="inlineStr">
        <is>
          <t>617</t>
        </is>
      </c>
      <c r="R1200" t="n">
        <v>17.8</v>
      </c>
      <c r="S1200" t="inlineStr">
        <is>
          <t>701+</t>
        </is>
      </c>
      <c r="T1200" t="n">
        <v>71</v>
      </c>
      <c r="U1200" t="inlineStr">
        <is>
          <t>218</t>
        </is>
      </c>
      <c r="V1200" t="n">
        <v>2.4</v>
      </c>
      <c r="W1200" t="inlineStr">
        <is>
          <t>801+</t>
        </is>
      </c>
      <c r="X1200" t="n">
        <v>3.3</v>
      </c>
      <c r="Y1200" t="inlineStr">
        <is>
          <t>801+</t>
        </is>
      </c>
      <c r="Z1200" t="n">
        <v>6.9</v>
      </c>
      <c r="AA1200" t="inlineStr">
        <is>
          <t>801+</t>
        </is>
      </c>
      <c r="AB1200" t="n">
        <v>5.3</v>
      </c>
      <c r="AC1200" t="inlineStr">
        <is>
          <t>801+</t>
        </is>
      </c>
      <c r="AD1200" t="n">
        <v>19.3</v>
      </c>
      <c r="AE1200" t="inlineStr">
        <is>
          <t>801+</t>
        </is>
      </c>
      <c r="AF1200" t="n">
        <v>86</v>
      </c>
      <c r="AG1200" t="inlineStr">
        <is>
          <t>131</t>
        </is>
      </c>
      <c r="AH1200" t="n">
        <v>32.2</v>
      </c>
      <c r="AI1200" t="inlineStr">
        <is>
          <t>801+</t>
        </is>
      </c>
      <c r="AJ1200" t="inlineStr">
        <is>
          <t>19.5</t>
        </is>
      </c>
      <c r="AK1200" t="inlineStr">
        <is>
          <t>454</t>
        </is>
      </c>
      <c r="AL1200" t="inlineStr">
        <is>
          <t>17.3</t>
        </is>
      </c>
      <c r="AM1200" t="inlineStr">
        <is>
          <t>501</t>
        </is>
      </c>
      <c r="AN1200" t="inlineStr">
        <is>
          <t>72.9</t>
        </is>
      </c>
      <c r="AO1200" t="inlineStr">
        <is>
          <t>173</t>
        </is>
      </c>
      <c r="AP1200" t="inlineStr">
        <is>
          <t>1.6</t>
        </is>
      </c>
      <c r="AQ1200" t="inlineStr">
        <is>
          <t>701+</t>
        </is>
      </c>
      <c r="AR1200" t="inlineStr">
        <is>
          <t>1.9</t>
        </is>
      </c>
      <c r="AS1200" t="inlineStr">
        <is>
          <t>701+</t>
        </is>
      </c>
      <c r="AT1200" t="inlineStr">
        <is>
          <t>4.0</t>
        </is>
      </c>
      <c r="AU1200" t="inlineStr">
        <is>
          <t>701+</t>
        </is>
      </c>
      <c r="AV1200" t="inlineStr">
        <is>
          <t>1.2</t>
        </is>
      </c>
      <c r="AW1200" t="inlineStr">
        <is>
          <t>701+</t>
        </is>
      </c>
      <c r="AX1200" t="inlineStr">
        <is>
          <t>35.3</t>
        </is>
      </c>
      <c r="AY1200" t="inlineStr">
        <is>
          <t>212</t>
        </is>
      </c>
      <c r="AZ1200" t="inlineStr">
        <is>
          <t>1.2</t>
        </is>
      </c>
      <c r="BA1200" t="inlineStr">
        <is>
          <t>701+</t>
        </is>
      </c>
    </row>
    <row r="1201">
      <c r="A1201" t="inlineStr">
        <is>
          <t>Universidad de la República (UdelaR)</t>
        </is>
      </c>
      <c r="B1201" t="inlineStr">
        <is>
          <t>Uruguay</t>
        </is>
      </c>
      <c r="C1201" t="inlineStr">
        <is>
          <t>UY</t>
        </is>
      </c>
      <c r="D1201" t="inlineStr">
        <is>
          <t>Americas</t>
        </is>
      </c>
      <c r="E1201" t="inlineStr">
        <is>
          <t>XL</t>
        </is>
      </c>
      <c r="F1201" t="inlineStr">
        <is>
          <t>FC</t>
        </is>
      </c>
      <c r="G1201" t="inlineStr">
        <is>
          <t>HI</t>
        </is>
      </c>
      <c r="H1201" t="inlineStr">
        <is>
          <t>5</t>
        </is>
      </c>
      <c r="I1201" t="inlineStr">
        <is>
          <t>Public</t>
        </is>
      </c>
      <c r="J1201" t="inlineStr">
        <is>
          <t>650</t>
        </is>
      </c>
      <c r="K1201" t="inlineStr">
        <is>
          <t>661-670</t>
        </is>
      </c>
      <c r="L1201" t="inlineStr">
        <is>
          <t>801-850</t>
        </is>
      </c>
      <c r="M1201" t="inlineStr">
        <is>
          <t>751-800</t>
        </is>
      </c>
      <c r="N1201" t="inlineStr">
        <is>
          <t>26.7</t>
        </is>
      </c>
      <c r="O1201" t="inlineStr">
        <is>
          <t>-</t>
        </is>
      </c>
      <c r="P1201" t="n">
        <v>40</v>
      </c>
      <c r="Q1201" t="inlineStr">
        <is>
          <t>302</t>
        </is>
      </c>
      <c r="R1201" t="n">
        <v>20.4</v>
      </c>
      <c r="S1201" t="inlineStr">
        <is>
          <t>645</t>
        </is>
      </c>
      <c r="T1201" t="n">
        <v>18.2</v>
      </c>
      <c r="U1201" t="inlineStr">
        <is>
          <t>801+</t>
        </is>
      </c>
      <c r="V1201" t="n">
        <v>2.3</v>
      </c>
      <c r="W1201" t="inlineStr">
        <is>
          <t>801+</t>
        </is>
      </c>
      <c r="X1201" t="n">
        <v>10.7</v>
      </c>
      <c r="Y1201" t="inlineStr">
        <is>
          <t>801+</t>
        </is>
      </c>
      <c r="Z1201" t="n">
        <v>4.1</v>
      </c>
      <c r="AA1201" t="inlineStr">
        <is>
          <t>801+</t>
        </is>
      </c>
      <c r="AB1201" t="n">
        <v>3.3</v>
      </c>
      <c r="AC1201" t="inlineStr">
        <is>
          <t>801+</t>
        </is>
      </c>
      <c r="AD1201" t="n">
        <v>63.2</v>
      </c>
      <c r="AE1201" t="inlineStr">
        <is>
          <t>649</t>
        </is>
      </c>
      <c r="AF1201" t="n">
        <v>90.59999999999999</v>
      </c>
      <c r="AG1201" t="inlineStr">
        <is>
          <t>99</t>
        </is>
      </c>
      <c r="AH1201" t="n">
        <v>43.3</v>
      </c>
      <c r="AI1201" t="inlineStr">
        <is>
          <t>801+</t>
        </is>
      </c>
      <c r="AJ1201" t="inlineStr">
        <is>
          <t>25.1</t>
        </is>
      </c>
      <c r="AK1201" t="inlineStr">
        <is>
          <t>350</t>
        </is>
      </c>
      <c r="AL1201" t="inlineStr">
        <is>
          <t>14.4</t>
        </is>
      </c>
      <c r="AM1201" t="inlineStr">
        <is>
          <t>568</t>
        </is>
      </c>
      <c r="AN1201" t="inlineStr">
        <is>
          <t>17.5</t>
        </is>
      </c>
      <c r="AO1201" t="inlineStr">
        <is>
          <t>701+</t>
        </is>
      </c>
      <c r="AP1201" t="inlineStr">
        <is>
          <t>1.6</t>
        </is>
      </c>
      <c r="AQ1201" t="inlineStr">
        <is>
          <t>701+</t>
        </is>
      </c>
      <c r="AR1201" t="inlineStr">
        <is>
          <t>8.4</t>
        </is>
      </c>
      <c r="AS1201" t="inlineStr">
        <is>
          <t>701+</t>
        </is>
      </c>
      <c r="AT1201" t="inlineStr">
        <is>
          <t>2.5</t>
        </is>
      </c>
      <c r="AU1201" t="inlineStr">
        <is>
          <t>701+</t>
        </is>
      </c>
      <c r="AV1201" t="inlineStr">
        <is>
          <t>8.3</t>
        </is>
      </c>
      <c r="AW1201" t="inlineStr">
        <is>
          <t>701+</t>
        </is>
      </c>
      <c r="AX1201" t="inlineStr">
        <is>
          <t>22.5</t>
        </is>
      </c>
      <c r="AY1201" t="inlineStr">
        <is>
          <t>368</t>
        </is>
      </c>
      <c r="AZ1201" t="inlineStr">
        <is>
          <t>4.1</t>
        </is>
      </c>
      <c r="BA1201" t="inlineStr">
        <is>
          <t>701+</t>
        </is>
      </c>
    </row>
    <row r="1202">
      <c r="A1202" t="inlineStr">
        <is>
          <t>Universidad de La Sabana</t>
        </is>
      </c>
      <c r="B1202" t="inlineStr">
        <is>
          <t>Colombia</t>
        </is>
      </c>
      <c r="C1202" t="inlineStr">
        <is>
          <t>CO</t>
        </is>
      </c>
      <c r="D1202" t="inlineStr">
        <is>
          <t>Americas</t>
        </is>
      </c>
      <c r="E1202" t="inlineStr">
        <is>
          <t>M</t>
        </is>
      </c>
      <c r="F1202" t="inlineStr">
        <is>
          <t>FC</t>
        </is>
      </c>
      <c r="G1202" t="inlineStr">
        <is>
          <t>HI</t>
        </is>
      </c>
      <c r="H1202" t="inlineStr">
        <is>
          <t>3</t>
        </is>
      </c>
      <c r="I1202" t="inlineStr">
        <is>
          <t>Private not for Profit</t>
        </is>
      </c>
      <c r="J1202" t="inlineStr">
        <is>
          <t>951-1000</t>
        </is>
      </c>
      <c r="K1202" t="inlineStr">
        <is>
          <t>951-1000</t>
        </is>
      </c>
      <c r="L1202" t="inlineStr">
        <is>
          <t>791-800</t>
        </is>
      </c>
      <c r="M1202" t="inlineStr">
        <is>
          <t>701-750</t>
        </is>
      </c>
      <c r="N1202" t="inlineStr">
        <is>
          <t>-</t>
        </is>
      </c>
      <c r="O1202" t="inlineStr">
        <is>
          <t>-</t>
        </is>
      </c>
      <c r="P1202" t="n">
        <v>30.1</v>
      </c>
      <c r="Q1202" t="inlineStr">
        <is>
          <t>403</t>
        </is>
      </c>
      <c r="R1202" t="n">
        <v>30.1</v>
      </c>
      <c r="S1202" t="inlineStr">
        <is>
          <t>472</t>
        </is>
      </c>
      <c r="T1202" t="n">
        <v>21.8</v>
      </c>
      <c r="U1202" t="inlineStr">
        <is>
          <t>800</t>
        </is>
      </c>
      <c r="V1202" t="n">
        <v>3.6</v>
      </c>
      <c r="W1202" t="inlineStr">
        <is>
          <t>801+</t>
        </is>
      </c>
      <c r="X1202" t="n">
        <v>3.7</v>
      </c>
      <c r="Y1202" t="inlineStr">
        <is>
          <t>801+</t>
        </is>
      </c>
      <c r="Z1202" t="n">
        <v>2.6</v>
      </c>
      <c r="AA1202" t="inlineStr">
        <is>
          <t>801+</t>
        </is>
      </c>
      <c r="AB1202" t="n">
        <v>6.9</v>
      </c>
      <c r="AC1202" t="inlineStr">
        <is>
          <t>801+</t>
        </is>
      </c>
      <c r="AD1202" t="n">
        <v>17.6</v>
      </c>
      <c r="AE1202" t="inlineStr">
        <is>
          <t>801+</t>
        </is>
      </c>
      <c r="AF1202" t="n">
        <v>14.4</v>
      </c>
      <c r="AG1202" t="inlineStr">
        <is>
          <t>801+</t>
        </is>
      </c>
      <c r="AH1202" t="n">
        <v>31.5</v>
      </c>
      <c r="AI1202" t="inlineStr">
        <is>
          <t>801+</t>
        </is>
      </c>
      <c r="AJ1202" t="inlineStr">
        <is>
          <t>19.4</t>
        </is>
      </c>
      <c r="AK1202" t="inlineStr">
        <is>
          <t>459</t>
        </is>
      </c>
      <c r="AL1202" t="inlineStr">
        <is>
          <t>39.1</t>
        </is>
      </c>
      <c r="AM1202" t="inlineStr">
        <is>
          <t>242</t>
        </is>
      </c>
      <c r="AN1202" t="inlineStr">
        <is>
          <t>15.4</t>
        </is>
      </c>
      <c r="AO1202" t="inlineStr">
        <is>
          <t>701+</t>
        </is>
      </c>
      <c r="AP1202" t="inlineStr">
        <is>
          <t>2.0</t>
        </is>
      </c>
      <c r="AQ1202" t="inlineStr">
        <is>
          <t>701+</t>
        </is>
      </c>
      <c r="AR1202" t="inlineStr">
        <is>
          <t>6.7</t>
        </is>
      </c>
      <c r="AS1202" t="inlineStr">
        <is>
          <t>701+</t>
        </is>
      </c>
      <c r="AT1202" t="inlineStr">
        <is>
          <t>3.3</t>
        </is>
      </c>
      <c r="AU1202" t="inlineStr">
        <is>
          <t>701+</t>
        </is>
      </c>
      <c r="AV1202" t="inlineStr">
        <is>
          <t>1.0</t>
        </is>
      </c>
      <c r="AW1202" t="inlineStr">
        <is>
          <t>701+</t>
        </is>
      </c>
      <c r="AX1202" t="inlineStr">
        <is>
          <t>11.3</t>
        </is>
      </c>
      <c r="AY1202" t="inlineStr">
        <is>
          <t>701+</t>
        </is>
      </c>
      <c r="AZ1202" t="inlineStr">
        <is>
          <t>3.7</t>
        </is>
      </c>
      <c r="BA1202" t="inlineStr">
        <is>
          <t>701+</t>
        </is>
      </c>
    </row>
    <row r="1203">
      <c r="A1203" t="inlineStr">
        <is>
          <t>Universidad de La Salle</t>
        </is>
      </c>
      <c r="B1203" t="inlineStr">
        <is>
          <t>Colombia</t>
        </is>
      </c>
      <c r="C1203" t="inlineStr">
        <is>
          <t>CO</t>
        </is>
      </c>
      <c r="D1203" t="inlineStr"/>
      <c r="E1203" t="inlineStr">
        <is>
          <t>M</t>
        </is>
      </c>
      <c r="F1203" t="inlineStr">
        <is>
          <t>FO</t>
        </is>
      </c>
      <c r="G1203" t="inlineStr">
        <is>
          <t>HI</t>
        </is>
      </c>
      <c r="H1203" t="inlineStr">
        <is>
          <t>4</t>
        </is>
      </c>
      <c r="I1203" t="inlineStr">
        <is>
          <t>B</t>
        </is>
      </c>
      <c r="J1203" t="inlineStr"/>
      <c r="K1203" t="inlineStr"/>
      <c r="L1203" t="inlineStr">
        <is>
          <t>1401+</t>
        </is>
      </c>
      <c r="M1203" t="inlineStr">
        <is>
          <t>1201-1400</t>
        </is>
      </c>
      <c r="N1203" t="inlineStr"/>
      <c r="O1203" t="inlineStr">
        <is>
          <t>-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>
        <is>
          <t>6.3</t>
        </is>
      </c>
      <c r="AK1203" t="inlineStr">
        <is>
          <t>601+</t>
        </is>
      </c>
      <c r="AL1203" t="inlineStr">
        <is>
          <t>4.8</t>
        </is>
      </c>
      <c r="AM1203" t="inlineStr">
        <is>
          <t>601+</t>
        </is>
      </c>
      <c r="AN1203" t="inlineStr">
        <is>
          <t>5.8</t>
        </is>
      </c>
      <c r="AO1203" t="inlineStr">
        <is>
          <t>701+</t>
        </is>
      </c>
      <c r="AP1203" t="inlineStr">
        <is>
          <t>1.3</t>
        </is>
      </c>
      <c r="AQ1203" t="inlineStr">
        <is>
          <t>701+</t>
        </is>
      </c>
      <c r="AR1203" t="inlineStr">
        <is>
          <t>2.2</t>
        </is>
      </c>
      <c r="AS1203" t="inlineStr">
        <is>
          <t>701+</t>
        </is>
      </c>
      <c r="AT1203" t="inlineStr">
        <is>
          <t>1.5</t>
        </is>
      </c>
      <c r="AU1203" t="inlineStr">
        <is>
          <t>701+</t>
        </is>
      </c>
      <c r="AV1203" t="inlineStr">
        <is>
          <t>1.0</t>
        </is>
      </c>
      <c r="AW1203" t="inlineStr">
        <is>
          <t>701+</t>
        </is>
      </c>
      <c r="AX1203" t="inlineStr">
        <is>
          <t>7.3</t>
        </is>
      </c>
      <c r="AY1203" t="inlineStr">
        <is>
          <t>701+</t>
        </is>
      </c>
      <c r="AZ1203" t="inlineStr">
        <is>
          <t>1.1</t>
        </is>
      </c>
      <c r="BA1203" t="inlineStr">
        <is>
          <t>701+</t>
        </is>
      </c>
    </row>
    <row r="1204">
      <c r="A1204" t="inlineStr">
        <is>
          <t>Universidad de La Serena</t>
        </is>
      </c>
      <c r="B1204" t="inlineStr">
        <is>
          <t>Chile</t>
        </is>
      </c>
      <c r="C1204" t="inlineStr">
        <is>
          <t>CL</t>
        </is>
      </c>
      <c r="D1204" t="inlineStr"/>
      <c r="E1204" t="inlineStr">
        <is>
          <t>M</t>
        </is>
      </c>
      <c r="F1204" t="inlineStr">
        <is>
          <t>FO</t>
        </is>
      </c>
      <c r="G1204" t="inlineStr">
        <is>
          <t>HI</t>
        </is>
      </c>
      <c r="H1204" t="inlineStr">
        <is>
          <t>3</t>
        </is>
      </c>
      <c r="I1204" t="inlineStr">
        <is>
          <t>A</t>
        </is>
      </c>
      <c r="J1204" t="inlineStr"/>
      <c r="K1204" t="inlineStr"/>
      <c r="L1204" t="inlineStr">
        <is>
          <t>1401+</t>
        </is>
      </c>
      <c r="M1204" t="inlineStr">
        <is>
          <t>1201-1400</t>
        </is>
      </c>
      <c r="N1204" t="inlineStr"/>
      <c r="O1204" t="inlineStr">
        <is>
          <t>-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>
        <is>
          <t>3.9</t>
        </is>
      </c>
      <c r="AK1204" t="inlineStr">
        <is>
          <t>601+</t>
        </is>
      </c>
      <c r="AL1204" t="inlineStr">
        <is>
          <t>2.0</t>
        </is>
      </c>
      <c r="AM1204" t="inlineStr">
        <is>
          <t>601+</t>
        </is>
      </c>
      <c r="AN1204" t="inlineStr">
        <is>
          <t>3.0</t>
        </is>
      </c>
      <c r="AO1204" t="inlineStr">
        <is>
          <t>701+</t>
        </is>
      </c>
      <c r="AP1204" t="inlineStr">
        <is>
          <t>7.3</t>
        </is>
      </c>
      <c r="AQ1204" t="inlineStr">
        <is>
          <t>701+</t>
        </is>
      </c>
      <c r="AR1204" t="inlineStr">
        <is>
          <t>4.7</t>
        </is>
      </c>
      <c r="AS1204" t="inlineStr">
        <is>
          <t>701+</t>
        </is>
      </c>
      <c r="AT1204" t="inlineStr">
        <is>
          <t>1.3</t>
        </is>
      </c>
      <c r="AU1204" t="inlineStr">
        <is>
          <t>701+</t>
        </is>
      </c>
      <c r="AV1204" t="inlineStr">
        <is>
          <t>1.0</t>
        </is>
      </c>
      <c r="AW1204" t="inlineStr">
        <is>
          <t>701+</t>
        </is>
      </c>
      <c r="AX1204" t="inlineStr">
        <is>
          <t>7.7</t>
        </is>
      </c>
      <c r="AY1204" t="inlineStr">
        <is>
          <t>701+</t>
        </is>
      </c>
      <c r="AZ1204" t="inlineStr">
        <is>
          <t>1.2</t>
        </is>
      </c>
      <c r="BA1204" t="inlineStr">
        <is>
          <t>701+</t>
        </is>
      </c>
    </row>
    <row r="1205">
      <c r="A1205" t="inlineStr">
        <is>
          <t>Universidad de las Américas Puebla (UDLAP)</t>
        </is>
      </c>
      <c r="B1205" t="inlineStr">
        <is>
          <t>Mexico</t>
        </is>
      </c>
      <c r="C1205" t="inlineStr">
        <is>
          <t>MX</t>
        </is>
      </c>
      <c r="D1205" t="inlineStr">
        <is>
          <t>Americas</t>
        </is>
      </c>
      <c r="E1205" t="inlineStr">
        <is>
          <t>M</t>
        </is>
      </c>
      <c r="F1205" t="inlineStr">
        <is>
          <t>FC</t>
        </is>
      </c>
      <c r="G1205" t="inlineStr">
        <is>
          <t>MD</t>
        </is>
      </c>
      <c r="H1205" t="inlineStr">
        <is>
          <t>4</t>
        </is>
      </c>
      <c r="I1205" t="inlineStr">
        <is>
          <t>Private not for Profit</t>
        </is>
      </c>
      <c r="J1205" t="inlineStr">
        <is>
          <t>1001-1200</t>
        </is>
      </c>
      <c r="K1205" t="inlineStr">
        <is>
          <t>1001-1200</t>
        </is>
      </c>
      <c r="L1205" t="inlineStr">
        <is>
          <t>951-1000</t>
        </is>
      </c>
      <c r="M1205" t="inlineStr">
        <is>
          <t>801-1000</t>
        </is>
      </c>
      <c r="N1205" t="inlineStr">
        <is>
          <t>-</t>
        </is>
      </c>
      <c r="O1205" t="inlineStr">
        <is>
          <t>-</t>
        </is>
      </c>
      <c r="P1205" t="n">
        <v>11.7</v>
      </c>
      <c r="Q1205" t="inlineStr">
        <is>
          <t>701+</t>
        </is>
      </c>
      <c r="R1205" t="n">
        <v>13.1</v>
      </c>
      <c r="S1205" t="inlineStr">
        <is>
          <t>701+</t>
        </is>
      </c>
      <c r="T1205" t="n">
        <v>56</v>
      </c>
      <c r="U1205" t="inlineStr">
        <is>
          <t>332</t>
        </is>
      </c>
      <c r="V1205" t="n">
        <v>3.4</v>
      </c>
      <c r="W1205" t="inlineStr">
        <is>
          <t>801+</t>
        </is>
      </c>
      <c r="X1205" t="n">
        <v>21.9</v>
      </c>
      <c r="Y1205" t="inlineStr">
        <is>
          <t>689</t>
        </is>
      </c>
      <c r="Z1205" t="n">
        <v>15.7</v>
      </c>
      <c r="AA1205" t="inlineStr">
        <is>
          <t>801+</t>
        </is>
      </c>
      <c r="AB1205" t="n">
        <v>16.6</v>
      </c>
      <c r="AC1205" t="inlineStr">
        <is>
          <t>801+</t>
        </is>
      </c>
      <c r="AD1205" t="n">
        <v>6.9</v>
      </c>
      <c r="AE1205" t="inlineStr">
        <is>
          <t>801+</t>
        </is>
      </c>
      <c r="AF1205" t="n">
        <v>4.7</v>
      </c>
      <c r="AG1205" t="inlineStr">
        <is>
          <t>801+</t>
        </is>
      </c>
      <c r="AH1205" t="n">
        <v>18.6</v>
      </c>
      <c r="AI1205" t="inlineStr">
        <is>
          <t>801+</t>
        </is>
      </c>
      <c r="AJ1205" t="inlineStr">
        <is>
          <t>8.3</t>
        </is>
      </c>
      <c r="AK1205" t="inlineStr">
        <is>
          <t>601+</t>
        </is>
      </c>
      <c r="AL1205" t="inlineStr">
        <is>
          <t>13.1</t>
        </is>
      </c>
      <c r="AM1205" t="inlineStr">
        <is>
          <t>601+</t>
        </is>
      </c>
      <c r="AN1205" t="inlineStr">
        <is>
          <t>39.9</t>
        </is>
      </c>
      <c r="AO1205" t="inlineStr">
        <is>
          <t>394</t>
        </is>
      </c>
      <c r="AP1205" t="inlineStr">
        <is>
          <t>1.9</t>
        </is>
      </c>
      <c r="AQ1205" t="inlineStr">
        <is>
          <t>701+</t>
        </is>
      </c>
      <c r="AR1205" t="inlineStr">
        <is>
          <t>26.1</t>
        </is>
      </c>
      <c r="AS1205" t="inlineStr">
        <is>
          <t>522</t>
        </is>
      </c>
      <c r="AT1205" t="inlineStr">
        <is>
          <t>5.3</t>
        </is>
      </c>
      <c r="AU1205" t="inlineStr">
        <is>
          <t>701+</t>
        </is>
      </c>
      <c r="AV1205" t="inlineStr">
        <is>
          <t>1.0</t>
        </is>
      </c>
      <c r="AW1205" t="inlineStr">
        <is>
          <t>701+</t>
        </is>
      </c>
      <c r="AX1205" t="inlineStr">
        <is>
          <t>9.5</t>
        </is>
      </c>
      <c r="AY1205" t="inlineStr">
        <is>
          <t>701+</t>
        </is>
      </c>
      <c r="AZ1205" t="inlineStr">
        <is>
          <t>1</t>
        </is>
      </c>
      <c r="BA1205" t="inlineStr">
        <is>
          <t>701+</t>
        </is>
      </c>
    </row>
    <row r="1206">
      <c r="A1206" t="inlineStr">
        <is>
          <t>Universidad de Las Américas (UDLA) Ecuador</t>
        </is>
      </c>
      <c r="B1206" t="inlineStr">
        <is>
          <t>Ecuador</t>
        </is>
      </c>
      <c r="C1206" t="inlineStr">
        <is>
          <t>EC</t>
        </is>
      </c>
      <c r="D1206" t="inlineStr">
        <is>
          <t>Americas</t>
        </is>
      </c>
      <c r="E1206" t="inlineStr">
        <is>
          <t>L</t>
        </is>
      </c>
      <c r="F1206" t="inlineStr">
        <is>
          <t>CO</t>
        </is>
      </c>
      <c r="G1206" t="inlineStr">
        <is>
          <t>HI</t>
        </is>
      </c>
      <c r="H1206" t="inlineStr">
        <is>
          <t>3</t>
        </is>
      </c>
      <c r="I1206" t="inlineStr">
        <is>
          <t>Private not for Profit</t>
        </is>
      </c>
      <c r="J1206" t="inlineStr">
        <is>
          <t>1201-1400</t>
        </is>
      </c>
      <c r="K1206" t="inlineStr">
        <is>
          <t>1201-1400</t>
        </is>
      </c>
      <c r="L1206" t="inlineStr">
        <is>
          <t>1201-1400</t>
        </is>
      </c>
      <c r="M1206" t="inlineStr">
        <is>
          <t>1201-1400</t>
        </is>
      </c>
      <c r="N1206" t="inlineStr">
        <is>
          <t>-</t>
        </is>
      </c>
      <c r="O1206" t="inlineStr">
        <is>
          <t>-</t>
        </is>
      </c>
      <c r="P1206" t="n">
        <v>14.4</v>
      </c>
      <c r="Q1206" t="inlineStr">
        <is>
          <t>701+</t>
        </is>
      </c>
      <c r="R1206" t="n">
        <v>8.4</v>
      </c>
      <c r="S1206" t="inlineStr">
        <is>
          <t>701+</t>
        </is>
      </c>
      <c r="T1206" t="n">
        <v>21.1</v>
      </c>
      <c r="U1206" t="inlineStr">
        <is>
          <t>801+</t>
        </is>
      </c>
      <c r="V1206" t="n">
        <v>2.6</v>
      </c>
      <c r="W1206" t="inlineStr">
        <is>
          <t>801+</t>
        </is>
      </c>
      <c r="X1206" t="n">
        <v>24.7</v>
      </c>
      <c r="Y1206" t="inlineStr">
        <is>
          <t>654</t>
        </is>
      </c>
      <c r="Z1206" t="n">
        <v>5</v>
      </c>
      <c r="AA1206" t="inlineStr">
        <is>
          <t>801+</t>
        </is>
      </c>
      <c r="AB1206" t="n">
        <v>9.199999999999999</v>
      </c>
      <c r="AC1206" t="inlineStr">
        <is>
          <t>801+</t>
        </is>
      </c>
      <c r="AD1206" t="n">
        <v>18.3</v>
      </c>
      <c r="AE1206" t="inlineStr">
        <is>
          <t>801+</t>
        </is>
      </c>
      <c r="AF1206" t="n">
        <v>7</v>
      </c>
      <c r="AG1206" t="inlineStr">
        <is>
          <t>801+</t>
        </is>
      </c>
      <c r="AH1206" t="n">
        <v>30.9</v>
      </c>
      <c r="AI1206" t="inlineStr">
        <is>
          <t>801+</t>
        </is>
      </c>
      <c r="AJ1206" t="inlineStr">
        <is>
          <t>7.1</t>
        </is>
      </c>
      <c r="AK1206" t="inlineStr">
        <is>
          <t>601+</t>
        </is>
      </c>
      <c r="AL1206" t="inlineStr">
        <is>
          <t>4.5</t>
        </is>
      </c>
      <c r="AM1206" t="inlineStr">
        <is>
          <t>601+</t>
        </is>
      </c>
      <c r="AN1206" t="inlineStr">
        <is>
          <t>12.6</t>
        </is>
      </c>
      <c r="AO1206" t="inlineStr">
        <is>
          <t>701+</t>
        </is>
      </c>
      <c r="AP1206" t="inlineStr">
        <is>
          <t>1.6</t>
        </is>
      </c>
      <c r="AQ1206" t="inlineStr">
        <is>
          <t>701+</t>
        </is>
      </c>
      <c r="AR1206" t="inlineStr">
        <is>
          <t>22.8</t>
        </is>
      </c>
      <c r="AS1206" t="inlineStr">
        <is>
          <t>565</t>
        </is>
      </c>
      <c r="AT1206" t="inlineStr">
        <is>
          <t>2.5</t>
        </is>
      </c>
      <c r="AU1206" t="inlineStr">
        <is>
          <t>701+</t>
        </is>
      </c>
      <c r="AV1206" t="inlineStr">
        <is>
          <t>1.1</t>
        </is>
      </c>
      <c r="AW1206" t="inlineStr">
        <is>
          <t>701+</t>
        </is>
      </c>
      <c r="AX1206" t="inlineStr">
        <is>
          <t>10.6</t>
        </is>
      </c>
      <c r="AY1206" t="inlineStr">
        <is>
          <t>701+</t>
        </is>
      </c>
      <c r="AZ1206" t="inlineStr">
        <is>
          <t>1</t>
        </is>
      </c>
      <c r="BA1206" t="inlineStr">
        <is>
          <t>701+</t>
        </is>
      </c>
    </row>
    <row r="1207">
      <c r="A1207" t="inlineStr">
        <is>
          <t>Universidad de las Fuerzas Armadas ESPE (Ex - Escuela Politécnica del Ejército)</t>
        </is>
      </c>
      <c r="B1207" t="inlineStr">
        <is>
          <t>Ecuador</t>
        </is>
      </c>
      <c r="C1207" t="inlineStr">
        <is>
          <t>EC</t>
        </is>
      </c>
      <c r="D1207" t="inlineStr"/>
      <c r="E1207" t="inlineStr">
        <is>
          <t>L</t>
        </is>
      </c>
      <c r="F1207" t="inlineStr">
        <is>
          <t>CO</t>
        </is>
      </c>
      <c r="G1207" t="inlineStr">
        <is>
          <t>HI</t>
        </is>
      </c>
      <c r="H1207" t="inlineStr">
        <is>
          <t>5</t>
        </is>
      </c>
      <c r="I1207" t="inlineStr">
        <is>
          <t>A</t>
        </is>
      </c>
      <c r="J1207" t="inlineStr"/>
      <c r="K1207" t="inlineStr"/>
      <c r="L1207" t="inlineStr">
        <is>
          <t>1201-1400</t>
        </is>
      </c>
      <c r="M1207" t="inlineStr">
        <is>
          <t>1201-1400</t>
        </is>
      </c>
      <c r="N1207" t="inlineStr"/>
      <c r="O1207" t="inlineStr">
        <is>
          <t>-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>
        <is>
          <t>5.1</t>
        </is>
      </c>
      <c r="AK1207" t="inlineStr">
        <is>
          <t>601+</t>
        </is>
      </c>
      <c r="AL1207" t="inlineStr">
        <is>
          <t>5.4</t>
        </is>
      </c>
      <c r="AM1207" t="inlineStr">
        <is>
          <t>601+</t>
        </is>
      </c>
      <c r="AN1207" t="inlineStr">
        <is>
          <t>9.4</t>
        </is>
      </c>
      <c r="AO1207" t="inlineStr">
        <is>
          <t>701+</t>
        </is>
      </c>
      <c r="AP1207" t="inlineStr">
        <is>
          <t>1.4</t>
        </is>
      </c>
      <c r="AQ1207" t="inlineStr">
        <is>
          <t>701+</t>
        </is>
      </c>
      <c r="AR1207" t="inlineStr">
        <is>
          <t>3.0</t>
        </is>
      </c>
      <c r="AS1207" t="inlineStr">
        <is>
          <t>701+</t>
        </is>
      </c>
      <c r="AT1207" t="inlineStr">
        <is>
          <t>1.1</t>
        </is>
      </c>
      <c r="AU1207" t="inlineStr">
        <is>
          <t>701+</t>
        </is>
      </c>
      <c r="AV1207" t="inlineStr">
        <is>
          <t>1.0</t>
        </is>
      </c>
      <c r="AW1207" t="inlineStr">
        <is>
          <t>701+</t>
        </is>
      </c>
      <c r="AX1207" t="inlineStr">
        <is>
          <t>7.3</t>
        </is>
      </c>
      <c r="AY1207" t="inlineStr">
        <is>
          <t>701+</t>
        </is>
      </c>
      <c r="AZ1207" t="inlineStr">
        <is>
          <t>6.7</t>
        </is>
      </c>
      <c r="BA1207" t="inlineStr">
        <is>
          <t>701+</t>
        </is>
      </c>
    </row>
    <row r="1208">
      <c r="A1208" t="inlineStr">
        <is>
          <t>Universidad de León</t>
        </is>
      </c>
      <c r="B1208" t="inlineStr">
        <is>
          <t>Spain</t>
        </is>
      </c>
      <c r="C1208" t="inlineStr">
        <is>
          <t>ES</t>
        </is>
      </c>
      <c r="D1208" t="inlineStr">
        <is>
          <t>Europe</t>
        </is>
      </c>
      <c r="E1208" t="inlineStr">
        <is>
          <t>M</t>
        </is>
      </c>
      <c r="F1208" t="inlineStr">
        <is>
          <t>CO</t>
        </is>
      </c>
      <c r="G1208" t="inlineStr">
        <is>
          <t>VH</t>
        </is>
      </c>
      <c r="H1208" t="inlineStr">
        <is>
          <t>3</t>
        </is>
      </c>
      <c r="I1208" t="inlineStr"/>
      <c r="J1208" t="inlineStr">
        <is>
          <t>1001-1200</t>
        </is>
      </c>
      <c r="K1208" t="inlineStr">
        <is>
          <t>951-1000</t>
        </is>
      </c>
      <c r="L1208" t="inlineStr">
        <is>
          <t>1001-1200</t>
        </is>
      </c>
      <c r="M1208" t="inlineStr"/>
      <c r="N1208" t="inlineStr">
        <is>
          <t>-</t>
        </is>
      </c>
      <c r="O1208" t="inlineStr">
        <is>
          <t>-</t>
        </is>
      </c>
      <c r="P1208" t="n">
        <v>10.4</v>
      </c>
      <c r="Q1208" t="inlineStr">
        <is>
          <t>701+</t>
        </is>
      </c>
      <c r="R1208" t="n">
        <v>7.1</v>
      </c>
      <c r="S1208" t="inlineStr">
        <is>
          <t>701+</t>
        </is>
      </c>
      <c r="T1208" t="n">
        <v>52.1</v>
      </c>
      <c r="U1208" t="inlineStr">
        <is>
          <t>361</t>
        </is>
      </c>
      <c r="V1208" t="n">
        <v>9.6</v>
      </c>
      <c r="W1208" t="inlineStr">
        <is>
          <t>801+</t>
        </is>
      </c>
      <c r="X1208" t="n">
        <v>3.7</v>
      </c>
      <c r="Y1208" t="inlineStr">
        <is>
          <t>801+</t>
        </is>
      </c>
      <c r="Z1208" t="n">
        <v>20.6</v>
      </c>
      <c r="AA1208" t="inlineStr">
        <is>
          <t>722</t>
        </is>
      </c>
      <c r="AB1208" t="n">
        <v>15.5</v>
      </c>
      <c r="AC1208" t="inlineStr">
        <is>
          <t>801+</t>
        </is>
      </c>
      <c r="AD1208" t="n">
        <v>46.6</v>
      </c>
      <c r="AE1208" t="inlineStr">
        <is>
          <t>801+</t>
        </is>
      </c>
      <c r="AF1208" t="n">
        <v>3.5</v>
      </c>
      <c r="AG1208" t="inlineStr">
        <is>
          <t>801+</t>
        </is>
      </c>
      <c r="AH1208" t="n">
        <v>60.7</v>
      </c>
      <c r="AI1208" t="inlineStr">
        <is>
          <t>494=</t>
        </is>
      </c>
      <c r="AJ1208" t="inlineStr">
        <is>
          <t>5.7</t>
        </is>
      </c>
      <c r="AK1208" t="inlineStr">
        <is>
          <t>601+</t>
        </is>
      </c>
      <c r="AL1208" t="inlineStr">
        <is>
          <t>3.1</t>
        </is>
      </c>
      <c r="AM1208" t="inlineStr">
        <is>
          <t>601+</t>
        </is>
      </c>
      <c r="AN1208" t="inlineStr">
        <is>
          <t>63.9</t>
        </is>
      </c>
      <c r="AO1208" t="inlineStr">
        <is>
          <t>220</t>
        </is>
      </c>
      <c r="AP1208" t="inlineStr">
        <is>
          <t>3.9</t>
        </is>
      </c>
      <c r="AQ1208" t="inlineStr">
        <is>
          <t>701+</t>
        </is>
      </c>
      <c r="AR1208" t="inlineStr">
        <is>
          <t>3.5</t>
        </is>
      </c>
      <c r="AS1208" t="inlineStr">
        <is>
          <t>701+</t>
        </is>
      </c>
      <c r="AT1208" t="inlineStr">
        <is>
          <t>4.4</t>
        </is>
      </c>
      <c r="AU1208" t="inlineStr">
        <is>
          <t>701+</t>
        </is>
      </c>
      <c r="AV1208" t="inlineStr">
        <is>
          <t>4.5</t>
        </is>
      </c>
      <c r="AW1208" t="inlineStr">
        <is>
          <t>701+</t>
        </is>
      </c>
      <c r="AX1208" t="inlineStr">
        <is>
          <t>8.1</t>
        </is>
      </c>
      <c r="AY1208" t="inlineStr">
        <is>
          <t>701+</t>
        </is>
      </c>
      <c r="AZ1208" t="inlineStr"/>
      <c r="BA1208" t="inlineStr"/>
    </row>
    <row r="1209">
      <c r="A1209" t="inlineStr">
        <is>
          <t>Universidad de Lima</t>
        </is>
      </c>
      <c r="B1209" t="inlineStr">
        <is>
          <t>Peru</t>
        </is>
      </c>
      <c r="C1209" t="inlineStr">
        <is>
          <t>PE</t>
        </is>
      </c>
      <c r="D1209" t="inlineStr">
        <is>
          <t>Americas</t>
        </is>
      </c>
      <c r="E1209" t="inlineStr">
        <is>
          <t>L</t>
        </is>
      </c>
      <c r="F1209" t="inlineStr">
        <is>
          <t>SP</t>
        </is>
      </c>
      <c r="G1209" t="inlineStr">
        <is>
          <t>HI</t>
        </is>
      </c>
      <c r="H1209" t="inlineStr">
        <is>
          <t>4</t>
        </is>
      </c>
      <c r="I1209" t="inlineStr">
        <is>
          <t>Private not for Profit</t>
        </is>
      </c>
      <c r="J1209" t="inlineStr">
        <is>
          <t>1201-1400</t>
        </is>
      </c>
      <c r="K1209" t="inlineStr">
        <is>
          <t>1001-1200</t>
        </is>
      </c>
      <c r="L1209" t="inlineStr">
        <is>
          <t>1001-1200</t>
        </is>
      </c>
      <c r="M1209" t="inlineStr">
        <is>
          <t>1001-1200</t>
        </is>
      </c>
      <c r="N1209" t="inlineStr">
        <is>
          <t>-</t>
        </is>
      </c>
      <c r="O1209" t="inlineStr">
        <is>
          <t>-</t>
        </is>
      </c>
      <c r="P1209" t="n">
        <v>14.1</v>
      </c>
      <c r="Q1209" t="inlineStr">
        <is>
          <t>701+</t>
        </is>
      </c>
      <c r="R1209" t="n">
        <v>31.8</v>
      </c>
      <c r="S1209" t="inlineStr">
        <is>
          <t>450</t>
        </is>
      </c>
      <c r="T1209" t="n">
        <v>6.8</v>
      </c>
      <c r="U1209" t="inlineStr">
        <is>
          <t>801+</t>
        </is>
      </c>
      <c r="V1209" t="n">
        <v>1.7</v>
      </c>
      <c r="W1209" t="inlineStr">
        <is>
          <t>801+</t>
        </is>
      </c>
      <c r="X1209" t="n">
        <v>3.7</v>
      </c>
      <c r="Y1209" t="inlineStr">
        <is>
          <t>801+</t>
        </is>
      </c>
      <c r="Z1209" t="n">
        <v>3.7</v>
      </c>
      <c r="AA1209" t="inlineStr">
        <is>
          <t>801+</t>
        </is>
      </c>
      <c r="AB1209" t="n">
        <v>8.1</v>
      </c>
      <c r="AC1209" t="inlineStr">
        <is>
          <t>801+</t>
        </is>
      </c>
      <c r="AD1209" t="n">
        <v>11.3</v>
      </c>
      <c r="AE1209" t="inlineStr">
        <is>
          <t>801+</t>
        </is>
      </c>
      <c r="AF1209" t="n">
        <v>30.3</v>
      </c>
      <c r="AG1209" t="inlineStr">
        <is>
          <t>548</t>
        </is>
      </c>
      <c r="AH1209" t="n">
        <v>33.9</v>
      </c>
      <c r="AI1209" t="inlineStr">
        <is>
          <t>801+</t>
        </is>
      </c>
      <c r="AJ1209" t="inlineStr">
        <is>
          <t>10.3</t>
        </is>
      </c>
      <c r="AK1209" t="inlineStr">
        <is>
          <t>601+</t>
        </is>
      </c>
      <c r="AL1209" t="inlineStr">
        <is>
          <t>27.3</t>
        </is>
      </c>
      <c r="AM1209" t="inlineStr">
        <is>
          <t>355</t>
        </is>
      </c>
      <c r="AN1209" t="inlineStr">
        <is>
          <t>4.3</t>
        </is>
      </c>
      <c r="AO1209" t="inlineStr">
        <is>
          <t>701+</t>
        </is>
      </c>
      <c r="AP1209" t="inlineStr">
        <is>
          <t>1.2</t>
        </is>
      </c>
      <c r="AQ1209" t="inlineStr">
        <is>
          <t>701+</t>
        </is>
      </c>
      <c r="AR1209" t="inlineStr">
        <is>
          <t>3.4</t>
        </is>
      </c>
      <c r="AS1209" t="inlineStr">
        <is>
          <t>701+</t>
        </is>
      </c>
      <c r="AT1209" t="inlineStr">
        <is>
          <t>2.0</t>
        </is>
      </c>
      <c r="AU1209" t="inlineStr">
        <is>
          <t>701+</t>
        </is>
      </c>
      <c r="AV1209" t="inlineStr">
        <is>
          <t>1.0</t>
        </is>
      </c>
      <c r="AW1209" t="inlineStr">
        <is>
          <t>701+</t>
        </is>
      </c>
      <c r="AX1209" t="inlineStr">
        <is>
          <t>16.1</t>
        </is>
      </c>
      <c r="AY1209" t="inlineStr">
        <is>
          <t>522</t>
        </is>
      </c>
      <c r="AZ1209" t="inlineStr">
        <is>
          <t>1.5</t>
        </is>
      </c>
      <c r="BA1209" t="inlineStr">
        <is>
          <t>701+</t>
        </is>
      </c>
    </row>
    <row r="1210">
      <c r="A1210" t="inlineStr">
        <is>
          <t>Universidad de los Andes</t>
        </is>
      </c>
      <c r="B1210" t="inlineStr">
        <is>
          <t>Colombia</t>
        </is>
      </c>
      <c r="C1210" t="inlineStr">
        <is>
          <t>CO</t>
        </is>
      </c>
      <c r="D1210" t="inlineStr"/>
      <c r="E1210" t="inlineStr">
        <is>
          <t>L</t>
        </is>
      </c>
      <c r="F1210" t="inlineStr">
        <is>
          <t>FC</t>
        </is>
      </c>
      <c r="G1210" t="inlineStr">
        <is>
          <t>HI</t>
        </is>
      </c>
      <c r="H1210" t="inlineStr">
        <is>
          <t>4</t>
        </is>
      </c>
      <c r="I1210" t="inlineStr">
        <is>
          <t>B</t>
        </is>
      </c>
      <c r="J1210" t="inlineStr"/>
      <c r="K1210" t="inlineStr"/>
      <c r="L1210" t="inlineStr">
        <is>
          <t>198</t>
        </is>
      </c>
      <c r="M1210" t="inlineStr">
        <is>
          <t>220=</t>
        </is>
      </c>
      <c r="N1210" t="inlineStr"/>
      <c r="O1210" t="inlineStr">
        <is>
          <t>46.0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>
        <is>
          <t>65.4</t>
        </is>
      </c>
      <c r="AK1210" t="inlineStr">
        <is>
          <t>103</t>
        </is>
      </c>
      <c r="AL1210" t="inlineStr">
        <is>
          <t>95.7</t>
        </is>
      </c>
      <c r="AM1210" t="inlineStr">
        <is>
          <t>35</t>
        </is>
      </c>
      <c r="AN1210" t="inlineStr">
        <is>
          <t>17.6</t>
        </is>
      </c>
      <c r="AO1210" t="inlineStr">
        <is>
          <t>701+</t>
        </is>
      </c>
      <c r="AP1210" t="inlineStr">
        <is>
          <t>5.9</t>
        </is>
      </c>
      <c r="AQ1210" t="inlineStr">
        <is>
          <t>701+</t>
        </is>
      </c>
      <c r="AR1210" t="inlineStr">
        <is>
          <t>26.4</t>
        </is>
      </c>
      <c r="AS1210" t="inlineStr">
        <is>
          <t>517</t>
        </is>
      </c>
      <c r="AT1210" t="inlineStr">
        <is>
          <t>2.0</t>
        </is>
      </c>
      <c r="AU1210" t="inlineStr">
        <is>
          <t>701+</t>
        </is>
      </c>
      <c r="AV1210" t="inlineStr">
        <is>
          <t>11.1</t>
        </is>
      </c>
      <c r="AW1210" t="inlineStr">
        <is>
          <t>649</t>
        </is>
      </c>
      <c r="AX1210" t="inlineStr">
        <is>
          <t>96.2</t>
        </is>
      </c>
      <c r="AY1210" t="inlineStr">
        <is>
          <t>23</t>
        </is>
      </c>
      <c r="AZ1210" t="inlineStr">
        <is>
          <t>40.2</t>
        </is>
      </c>
      <c r="BA1210" t="inlineStr">
        <is>
          <t>362=</t>
        </is>
      </c>
    </row>
    <row r="1211">
      <c r="A1211" t="inlineStr">
        <is>
          <t>Universidad de los Andes Chile</t>
        </is>
      </c>
      <c r="B1211" t="inlineStr">
        <is>
          <t>Chile</t>
        </is>
      </c>
      <c r="C1211" t="inlineStr">
        <is>
          <t>CL</t>
        </is>
      </c>
      <c r="D1211" t="inlineStr">
        <is>
          <t>Americas</t>
        </is>
      </c>
      <c r="E1211" t="inlineStr">
        <is>
          <t>M</t>
        </is>
      </c>
      <c r="F1211" t="inlineStr">
        <is>
          <t>FC</t>
        </is>
      </c>
      <c r="G1211" t="inlineStr">
        <is>
          <t>HI</t>
        </is>
      </c>
      <c r="H1211" t="inlineStr">
        <is>
          <t>3</t>
        </is>
      </c>
      <c r="I1211" t="inlineStr">
        <is>
          <t>Private not for Profit</t>
        </is>
      </c>
      <c r="J1211" t="inlineStr">
        <is>
          <t>901-950</t>
        </is>
      </c>
      <c r="K1211" t="inlineStr">
        <is>
          <t>951-1000</t>
        </is>
      </c>
      <c r="L1211" t="inlineStr">
        <is>
          <t>951-1000</t>
        </is>
      </c>
      <c r="M1211" t="inlineStr">
        <is>
          <t>801-1000</t>
        </is>
      </c>
      <c r="N1211" t="inlineStr">
        <is>
          <t>-</t>
        </is>
      </c>
      <c r="O1211" t="inlineStr">
        <is>
          <t>-</t>
        </is>
      </c>
      <c r="P1211" t="n">
        <v>25.3</v>
      </c>
      <c r="Q1211" t="inlineStr">
        <is>
          <t>504</t>
        </is>
      </c>
      <c r="R1211" t="n">
        <v>36.5</v>
      </c>
      <c r="S1211" t="inlineStr">
        <is>
          <t>392</t>
        </is>
      </c>
      <c r="T1211" t="n">
        <v>13.4</v>
      </c>
      <c r="U1211" t="inlineStr">
        <is>
          <t>801+</t>
        </is>
      </c>
      <c r="V1211" t="n">
        <v>4.7</v>
      </c>
      <c r="W1211" t="inlineStr">
        <is>
          <t>801+</t>
        </is>
      </c>
      <c r="X1211" t="n">
        <v>15.1</v>
      </c>
      <c r="Y1211" t="inlineStr">
        <is>
          <t>801+</t>
        </is>
      </c>
      <c r="Z1211" t="n">
        <v>3.5</v>
      </c>
      <c r="AA1211" t="inlineStr">
        <is>
          <t>801+</t>
        </is>
      </c>
      <c r="AB1211" t="n">
        <v>7.7</v>
      </c>
      <c r="AC1211" t="inlineStr">
        <is>
          <t>801+</t>
        </is>
      </c>
      <c r="AD1211" t="n">
        <v>17.9</v>
      </c>
      <c r="AE1211" t="inlineStr">
        <is>
          <t>801+</t>
        </is>
      </c>
      <c r="AF1211" t="n">
        <v>45.2</v>
      </c>
      <c r="AG1211" t="inlineStr">
        <is>
          <t>388</t>
        </is>
      </c>
      <c r="AH1211" t="n">
        <v>28.9</v>
      </c>
      <c r="AI1211" t="inlineStr">
        <is>
          <t>801+</t>
        </is>
      </c>
      <c r="AJ1211" t="inlineStr">
        <is>
          <t>15.0</t>
        </is>
      </c>
      <c r="AK1211" t="inlineStr">
        <is>
          <t>581</t>
        </is>
      </c>
      <c r="AL1211" t="inlineStr">
        <is>
          <t>24.5</t>
        </is>
      </c>
      <c r="AM1211" t="inlineStr">
        <is>
          <t>394</t>
        </is>
      </c>
      <c r="AN1211" t="inlineStr">
        <is>
          <t>9.0</t>
        </is>
      </c>
      <c r="AO1211" t="inlineStr">
        <is>
          <t>701+</t>
        </is>
      </c>
      <c r="AP1211" t="inlineStr">
        <is>
          <t>3.0</t>
        </is>
      </c>
      <c r="AQ1211" t="inlineStr">
        <is>
          <t>701+</t>
        </is>
      </c>
      <c r="AR1211" t="inlineStr">
        <is>
          <t>12.4</t>
        </is>
      </c>
      <c r="AS1211" t="inlineStr">
        <is>
          <t>701+</t>
        </is>
      </c>
      <c r="AT1211" t="inlineStr">
        <is>
          <t>2.3</t>
        </is>
      </c>
      <c r="AU1211" t="inlineStr">
        <is>
          <t>701+</t>
        </is>
      </c>
      <c r="AV1211" t="inlineStr">
        <is>
          <t>1.2</t>
        </is>
      </c>
      <c r="AW1211" t="inlineStr">
        <is>
          <t>701+</t>
        </is>
      </c>
      <c r="AX1211" t="inlineStr">
        <is>
          <t>9.1</t>
        </is>
      </c>
      <c r="AY1211" t="inlineStr">
        <is>
          <t>701+</t>
        </is>
      </c>
      <c r="AZ1211" t="inlineStr">
        <is>
          <t>1.1</t>
        </is>
      </c>
      <c r="BA1211" t="inlineStr">
        <is>
          <t>701+</t>
        </is>
      </c>
    </row>
    <row r="1212">
      <c r="A1212" t="inlineStr">
        <is>
          <t>Universidad de Los Andes Colombia</t>
        </is>
      </c>
      <c r="B1212" t="inlineStr">
        <is>
          <t>Colombia</t>
        </is>
      </c>
      <c r="C1212" t="inlineStr"/>
      <c r="D1212" t="inlineStr">
        <is>
          <t>Americas</t>
        </is>
      </c>
      <c r="E1212" t="inlineStr">
        <is>
          <t>L</t>
        </is>
      </c>
      <c r="F1212" t="inlineStr">
        <is>
          <t>FC</t>
        </is>
      </c>
      <c r="G1212" t="inlineStr">
        <is>
          <t>HI</t>
        </is>
      </c>
      <c r="H1212" t="inlineStr"/>
      <c r="I1212" t="inlineStr">
        <is>
          <t>Private not for Profit</t>
        </is>
      </c>
      <c r="J1212" t="inlineStr">
        <is>
          <t>212</t>
        </is>
      </c>
      <c r="K1212" t="inlineStr">
        <is>
          <t>179</t>
        </is>
      </c>
      <c r="L1212" t="inlineStr"/>
      <c r="M1212" t="inlineStr"/>
      <c r="N1212" t="inlineStr">
        <is>
          <t>54.6</t>
        </is>
      </c>
      <c r="O1212" t="inlineStr"/>
      <c r="P1212" t="n">
        <v>81.5</v>
      </c>
      <c r="Q1212" t="inlineStr">
        <is>
          <t>92</t>
        </is>
      </c>
      <c r="R1212" t="n">
        <v>90.5</v>
      </c>
      <c r="S1212" t="inlineStr">
        <is>
          <t>70</t>
        </is>
      </c>
      <c r="T1212" t="n">
        <v>17.6</v>
      </c>
      <c r="U1212" t="inlineStr">
        <is>
          <t>801+</t>
        </is>
      </c>
      <c r="V1212" t="n">
        <v>10.8</v>
      </c>
      <c r="W1212" t="inlineStr">
        <is>
          <t>801+</t>
        </is>
      </c>
      <c r="X1212" t="n">
        <v>28.7</v>
      </c>
      <c r="Y1212" t="inlineStr">
        <is>
          <t>597</t>
        </is>
      </c>
      <c r="Z1212" t="n">
        <v>3.3</v>
      </c>
      <c r="AA1212" t="inlineStr">
        <is>
          <t>801+</t>
        </is>
      </c>
      <c r="AB1212" t="n">
        <v>7.9</v>
      </c>
      <c r="AC1212" t="inlineStr">
        <is>
          <t>801+</t>
        </is>
      </c>
      <c r="AD1212" t="n">
        <v>54.7</v>
      </c>
      <c r="AE1212" t="inlineStr">
        <is>
          <t>774</t>
        </is>
      </c>
      <c r="AF1212" t="n">
        <v>98.40000000000001</v>
      </c>
      <c r="AG1212" t="inlineStr">
        <is>
          <t>35</t>
        </is>
      </c>
      <c r="AH1212" t="n">
        <v>75.90000000000001</v>
      </c>
      <c r="AI1212" t="inlineStr">
        <is>
          <t>223=</t>
        </is>
      </c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</row>
    <row r="1213">
      <c r="A1213" t="inlineStr">
        <is>
          <t>Universidad de los Andes Mérida</t>
        </is>
      </c>
      <c r="B1213" t="inlineStr">
        <is>
          <t>Venezuela (Bolivarian Republic of)</t>
        </is>
      </c>
      <c r="C1213" t="inlineStr"/>
      <c r="D1213" t="inlineStr">
        <is>
          <t>Americas</t>
        </is>
      </c>
      <c r="E1213" t="inlineStr">
        <is>
          <t>L</t>
        </is>
      </c>
      <c r="F1213" t="inlineStr">
        <is>
          <t>FC</t>
        </is>
      </c>
      <c r="G1213" t="inlineStr">
        <is>
          <t>MD</t>
        </is>
      </c>
      <c r="H1213" t="inlineStr"/>
      <c r="I1213" t="inlineStr">
        <is>
          <t>Public</t>
        </is>
      </c>
      <c r="J1213" t="inlineStr">
        <is>
          <t>1201-1400</t>
        </is>
      </c>
      <c r="K1213" t="inlineStr">
        <is>
          <t>1001-1200</t>
        </is>
      </c>
      <c r="L1213" t="inlineStr"/>
      <c r="M1213" t="inlineStr"/>
      <c r="N1213" t="inlineStr">
        <is>
          <t>-</t>
        </is>
      </c>
      <c r="O1213" t="inlineStr"/>
      <c r="P1213" t="n">
        <v>20.2</v>
      </c>
      <c r="Q1213" t="inlineStr">
        <is>
          <t>608</t>
        </is>
      </c>
      <c r="R1213" t="n">
        <v>12.7</v>
      </c>
      <c r="S1213" t="inlineStr">
        <is>
          <t>701+</t>
        </is>
      </c>
      <c r="T1213" t="n">
        <v>26.3</v>
      </c>
      <c r="U1213" t="inlineStr">
        <is>
          <t>711</t>
        </is>
      </c>
      <c r="V1213" t="n">
        <v>1.6</v>
      </c>
      <c r="W1213" t="inlineStr">
        <is>
          <t>801+</t>
        </is>
      </c>
      <c r="X1213" t="n">
        <v>1.5</v>
      </c>
      <c r="Y1213" t="inlineStr">
        <is>
          <t>801+</t>
        </is>
      </c>
      <c r="Z1213" t="n">
        <v>2</v>
      </c>
      <c r="AA1213" t="inlineStr">
        <is>
          <t>801+</t>
        </is>
      </c>
      <c r="AB1213" t="n">
        <v>6.3</v>
      </c>
      <c r="AC1213" t="inlineStr">
        <is>
          <t>801+</t>
        </is>
      </c>
      <c r="AD1213" t="n">
        <v>19.3</v>
      </c>
      <c r="AE1213" t="inlineStr">
        <is>
          <t>801+</t>
        </is>
      </c>
      <c r="AF1213" t="n">
        <v>22.4</v>
      </c>
      <c r="AG1213" t="inlineStr">
        <is>
          <t>688</t>
        </is>
      </c>
      <c r="AH1213" t="n">
        <v>32</v>
      </c>
      <c r="AI1213" t="inlineStr">
        <is>
          <t>801+</t>
        </is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</row>
    <row r="1214">
      <c r="A1214" t="inlineStr">
        <is>
          <t>Universidad de Los Andes - (ULA) Mérida</t>
        </is>
      </c>
      <c r="B1214" t="inlineStr">
        <is>
          <t>Venezuela</t>
        </is>
      </c>
      <c r="C1214" t="inlineStr">
        <is>
          <t>VE</t>
        </is>
      </c>
      <c r="D1214" t="inlineStr"/>
      <c r="E1214" t="inlineStr">
        <is>
          <t>L</t>
        </is>
      </c>
      <c r="F1214" t="inlineStr">
        <is>
          <t>FC</t>
        </is>
      </c>
      <c r="G1214" t="inlineStr">
        <is>
          <t>MD</t>
        </is>
      </c>
      <c r="H1214" t="inlineStr">
        <is>
          <t>5</t>
        </is>
      </c>
      <c r="I1214" t="inlineStr">
        <is>
          <t>A</t>
        </is>
      </c>
      <c r="J1214" t="inlineStr"/>
      <c r="K1214" t="inlineStr"/>
      <c r="L1214" t="inlineStr">
        <is>
          <t>1001-1200</t>
        </is>
      </c>
      <c r="M1214" t="inlineStr">
        <is>
          <t>801-1000</t>
        </is>
      </c>
      <c r="N1214" t="inlineStr"/>
      <c r="O1214" t="inlineStr">
        <is>
          <t>-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>
        <is>
          <t>16.2</t>
        </is>
      </c>
      <c r="AK1214" t="inlineStr">
        <is>
          <t>541</t>
        </is>
      </c>
      <c r="AL1214" t="inlineStr">
        <is>
          <t>12.8</t>
        </is>
      </c>
      <c r="AM1214" t="inlineStr">
        <is>
          <t>601+</t>
        </is>
      </c>
      <c r="AN1214" t="inlineStr">
        <is>
          <t>23.0</t>
        </is>
      </c>
      <c r="AO1214" t="inlineStr">
        <is>
          <t>616</t>
        </is>
      </c>
      <c r="AP1214" t="inlineStr">
        <is>
          <t>1.2</t>
        </is>
      </c>
      <c r="AQ1214" t="inlineStr">
        <is>
          <t>701+</t>
        </is>
      </c>
      <c r="AR1214" t="inlineStr">
        <is>
          <t>1.3</t>
        </is>
      </c>
      <c r="AS1214" t="inlineStr">
        <is>
          <t>701+</t>
        </is>
      </c>
      <c r="AT1214" t="inlineStr">
        <is>
          <t>1.8</t>
        </is>
      </c>
      <c r="AU1214" t="inlineStr">
        <is>
          <t>701+</t>
        </is>
      </c>
      <c r="AV1214" t="inlineStr">
        <is>
          <t>1.2</t>
        </is>
      </c>
      <c r="AW1214" t="inlineStr">
        <is>
          <t>701+</t>
        </is>
      </c>
      <c r="AX1214" t="inlineStr">
        <is>
          <t>10.4</t>
        </is>
      </c>
      <c r="AY1214" t="inlineStr">
        <is>
          <t>701+</t>
        </is>
      </c>
      <c r="AZ1214" t="inlineStr">
        <is>
          <t>2.3</t>
        </is>
      </c>
      <c r="BA1214" t="inlineStr">
        <is>
          <t>701+</t>
        </is>
      </c>
    </row>
    <row r="1215">
      <c r="A1215" t="inlineStr">
        <is>
          <t>Universidad de Medellín</t>
        </is>
      </c>
      <c r="B1215" t="inlineStr">
        <is>
          <t>Colombia</t>
        </is>
      </c>
      <c r="C1215" t="inlineStr">
        <is>
          <t>CO</t>
        </is>
      </c>
      <c r="D1215" t="inlineStr"/>
      <c r="E1215" t="inlineStr">
        <is>
          <t>M</t>
        </is>
      </c>
      <c r="F1215" t="inlineStr">
        <is>
          <t>SP</t>
        </is>
      </c>
      <c r="G1215" t="inlineStr"/>
      <c r="H1215" t="inlineStr">
        <is>
          <t>4</t>
        </is>
      </c>
      <c r="I1215" t="inlineStr">
        <is>
          <t>C</t>
        </is>
      </c>
      <c r="J1215" t="inlineStr"/>
      <c r="K1215" t="inlineStr"/>
      <c r="L1215" t="inlineStr">
        <is>
          <t>1201-1400</t>
        </is>
      </c>
      <c r="M1215" t="inlineStr">
        <is>
          <t>1201-1400</t>
        </is>
      </c>
      <c r="N1215" t="inlineStr"/>
      <c r="O1215" t="inlineStr">
        <is>
          <t>-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>
        <is>
          <t>6.9</t>
        </is>
      </c>
      <c r="AK1215" t="inlineStr">
        <is>
          <t>601+</t>
        </is>
      </c>
      <c r="AL1215" t="inlineStr">
        <is>
          <t>5.2</t>
        </is>
      </c>
      <c r="AM1215" t="inlineStr">
        <is>
          <t>601+</t>
        </is>
      </c>
      <c r="AN1215" t="inlineStr">
        <is>
          <t>6.8</t>
        </is>
      </c>
      <c r="AO1215" t="inlineStr">
        <is>
          <t>701+</t>
        </is>
      </c>
      <c r="AP1215" t="inlineStr">
        <is>
          <t>2.1</t>
        </is>
      </c>
      <c r="AQ1215" t="inlineStr">
        <is>
          <t>701+</t>
        </is>
      </c>
      <c r="AR1215" t="inlineStr">
        <is>
          <t>3.4</t>
        </is>
      </c>
      <c r="AS1215" t="inlineStr">
        <is>
          <t>701+</t>
        </is>
      </c>
      <c r="AT1215" t="inlineStr">
        <is>
          <t>1.8</t>
        </is>
      </c>
      <c r="AU1215" t="inlineStr">
        <is>
          <t>701+</t>
        </is>
      </c>
      <c r="AV1215" t="inlineStr">
        <is>
          <t>1.0</t>
        </is>
      </c>
      <c r="AW1215" t="inlineStr">
        <is>
          <t>701+</t>
        </is>
      </c>
      <c r="AX1215" t="inlineStr">
        <is>
          <t>8.4</t>
        </is>
      </c>
      <c r="AY1215" t="inlineStr">
        <is>
          <t>701+</t>
        </is>
      </c>
      <c r="AZ1215" t="inlineStr">
        <is>
          <t>1.8</t>
        </is>
      </c>
      <c r="BA1215" t="inlineStr">
        <is>
          <t>701+</t>
        </is>
      </c>
    </row>
    <row r="1216">
      <c r="A1216" t="inlineStr">
        <is>
          <t>Universidad de Monterrey</t>
        </is>
      </c>
      <c r="B1216" t="inlineStr">
        <is>
          <t>Mexico</t>
        </is>
      </c>
      <c r="C1216" t="inlineStr"/>
      <c r="D1216" t="inlineStr">
        <is>
          <t>Americas</t>
        </is>
      </c>
      <c r="E1216" t="inlineStr">
        <is>
          <t>M</t>
        </is>
      </c>
      <c r="F1216" t="inlineStr">
        <is>
          <t>FO</t>
        </is>
      </c>
      <c r="G1216" t="inlineStr">
        <is>
          <t>HI</t>
        </is>
      </c>
      <c r="H1216" t="inlineStr"/>
      <c r="I1216" t="inlineStr">
        <is>
          <t>Private not for Profit</t>
        </is>
      </c>
      <c r="J1216" t="inlineStr">
        <is>
          <t>1201-1400</t>
        </is>
      </c>
      <c r="K1216" t="inlineStr">
        <is>
          <t>1201-1400</t>
        </is>
      </c>
      <c r="L1216" t="inlineStr"/>
      <c r="M1216" t="inlineStr"/>
      <c r="N1216" t="inlineStr">
        <is>
          <t>-</t>
        </is>
      </c>
      <c r="O1216" t="inlineStr"/>
      <c r="P1216" t="n">
        <v>19.8</v>
      </c>
      <c r="Q1216" t="inlineStr">
        <is>
          <t>622</t>
        </is>
      </c>
      <c r="R1216" t="n">
        <v>15.4</v>
      </c>
      <c r="S1216" t="inlineStr">
        <is>
          <t>701+</t>
        </is>
      </c>
      <c r="T1216" t="n">
        <v>8.699999999999999</v>
      </c>
      <c r="U1216" t="inlineStr">
        <is>
          <t>801+</t>
        </is>
      </c>
      <c r="V1216" t="n">
        <v>2.4</v>
      </c>
      <c r="W1216" t="inlineStr">
        <is>
          <t>801+</t>
        </is>
      </c>
      <c r="X1216" t="n">
        <v>18.2</v>
      </c>
      <c r="Y1216" t="inlineStr">
        <is>
          <t>737</t>
        </is>
      </c>
      <c r="Z1216" t="n">
        <v>6.8</v>
      </c>
      <c r="AA1216" t="inlineStr">
        <is>
          <t>801+</t>
        </is>
      </c>
      <c r="AB1216" t="n">
        <v>5.3</v>
      </c>
      <c r="AC1216" t="inlineStr">
        <is>
          <t>801+</t>
        </is>
      </c>
      <c r="AD1216" t="n">
        <v>9.199999999999999</v>
      </c>
      <c r="AE1216" t="inlineStr">
        <is>
          <t>801+</t>
        </is>
      </c>
      <c r="AF1216" t="n">
        <v>6.4</v>
      </c>
      <c r="AG1216" t="inlineStr">
        <is>
          <t>801+</t>
        </is>
      </c>
      <c r="AH1216" t="n">
        <v>32.5</v>
      </c>
      <c r="AI1216" t="inlineStr">
        <is>
          <t>801+</t>
        </is>
      </c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</row>
    <row r="1217">
      <c r="A1217" t="inlineStr">
        <is>
          <t>Universidad de Monterrey (UDEM)</t>
        </is>
      </c>
      <c r="B1217" t="inlineStr">
        <is>
          <t>Mexico</t>
        </is>
      </c>
      <c r="C1217" t="inlineStr">
        <is>
          <t>MX</t>
        </is>
      </c>
      <c r="D1217" t="inlineStr"/>
      <c r="E1217" t="inlineStr">
        <is>
          <t>M</t>
        </is>
      </c>
      <c r="F1217" t="inlineStr">
        <is>
          <t>FO</t>
        </is>
      </c>
      <c r="G1217" t="inlineStr">
        <is>
          <t>HI</t>
        </is>
      </c>
      <c r="H1217" t="inlineStr">
        <is>
          <t>4</t>
        </is>
      </c>
      <c r="I1217" t="inlineStr">
        <is>
          <t>B</t>
        </is>
      </c>
      <c r="J1217" t="inlineStr"/>
      <c r="K1217" t="inlineStr"/>
      <c r="L1217" t="inlineStr">
        <is>
          <t>1001-1200</t>
        </is>
      </c>
      <c r="M1217" t="inlineStr">
        <is>
          <t>1001-1200</t>
        </is>
      </c>
      <c r="N1217" t="inlineStr"/>
      <c r="O1217" t="inlineStr">
        <is>
          <t>-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>
        <is>
          <t>12.2</t>
        </is>
      </c>
      <c r="AK1217" t="inlineStr">
        <is>
          <t>601+</t>
        </is>
      </c>
      <c r="AL1217" t="inlineStr">
        <is>
          <t>23.1</t>
        </is>
      </c>
      <c r="AM1217" t="inlineStr">
        <is>
          <t>411</t>
        </is>
      </c>
      <c r="AN1217" t="inlineStr">
        <is>
          <t>9.9</t>
        </is>
      </c>
      <c r="AO1217" t="inlineStr">
        <is>
          <t>701+</t>
        </is>
      </c>
      <c r="AP1217" t="inlineStr">
        <is>
          <t>1.4</t>
        </is>
      </c>
      <c r="AQ1217" t="inlineStr">
        <is>
          <t>701+</t>
        </is>
      </c>
      <c r="AR1217" t="inlineStr">
        <is>
          <t>8.6</t>
        </is>
      </c>
      <c r="AS1217" t="inlineStr">
        <is>
          <t>701+</t>
        </is>
      </c>
      <c r="AT1217" t="inlineStr">
        <is>
          <t>1.5</t>
        </is>
      </c>
      <c r="AU1217" t="inlineStr">
        <is>
          <t>701+</t>
        </is>
      </c>
      <c r="AV1217" t="inlineStr">
        <is>
          <t>1.0</t>
        </is>
      </c>
      <c r="AW1217" t="inlineStr">
        <is>
          <t>701+</t>
        </is>
      </c>
      <c r="AX1217" t="inlineStr">
        <is>
          <t>9.2</t>
        </is>
      </c>
      <c r="AY1217" t="inlineStr">
        <is>
          <t>701+</t>
        </is>
      </c>
      <c r="AZ1217" t="inlineStr">
        <is>
          <t>1</t>
        </is>
      </c>
      <c r="BA1217" t="inlineStr">
        <is>
          <t>701+</t>
        </is>
      </c>
    </row>
    <row r="1218">
      <c r="A1218" t="inlineStr">
        <is>
          <t>Universidad de Montevideo</t>
        </is>
      </c>
      <c r="B1218" t="inlineStr">
        <is>
          <t>Uruguay</t>
        </is>
      </c>
      <c r="C1218" t="inlineStr"/>
      <c r="D1218" t="inlineStr">
        <is>
          <t>Americas</t>
        </is>
      </c>
      <c r="E1218" t="inlineStr">
        <is>
          <t>S</t>
        </is>
      </c>
      <c r="F1218" t="inlineStr">
        <is>
          <t>FC</t>
        </is>
      </c>
      <c r="G1218" t="inlineStr">
        <is>
          <t>MD</t>
        </is>
      </c>
      <c r="H1218" t="inlineStr"/>
      <c r="I1218" t="inlineStr">
        <is>
          <t>Private not for Profit</t>
        </is>
      </c>
      <c r="J1218" t="inlineStr">
        <is>
          <t>801-850</t>
        </is>
      </c>
      <c r="K1218" t="inlineStr">
        <is>
          <t>741-750</t>
        </is>
      </c>
      <c r="L1218" t="inlineStr"/>
      <c r="M1218" t="inlineStr"/>
      <c r="N1218" t="inlineStr">
        <is>
          <t>-</t>
        </is>
      </c>
      <c r="O1218" t="inlineStr"/>
      <c r="P1218" t="n">
        <v>24.9</v>
      </c>
      <c r="Q1218" t="inlineStr">
        <is>
          <t>513</t>
        </is>
      </c>
      <c r="R1218" t="n">
        <v>25.8</v>
      </c>
      <c r="S1218" t="inlineStr">
        <is>
          <t>525</t>
        </is>
      </c>
      <c r="T1218" t="n">
        <v>81.2</v>
      </c>
      <c r="U1218" t="inlineStr">
        <is>
          <t>161</t>
        </is>
      </c>
      <c r="V1218" t="n">
        <v>1.4</v>
      </c>
      <c r="W1218" t="inlineStr">
        <is>
          <t>801+</t>
        </is>
      </c>
      <c r="X1218" t="n">
        <v>27</v>
      </c>
      <c r="Y1218" t="inlineStr">
        <is>
          <t>625</t>
        </is>
      </c>
      <c r="Z1218" t="n">
        <v>6.1</v>
      </c>
      <c r="AA1218" t="inlineStr">
        <is>
          <t>801+</t>
        </is>
      </c>
      <c r="AB1218" t="n">
        <v>9.9</v>
      </c>
      <c r="AC1218" t="inlineStr">
        <is>
          <t>801+</t>
        </is>
      </c>
      <c r="AD1218" t="n">
        <v>7.9</v>
      </c>
      <c r="AE1218" t="inlineStr">
        <is>
          <t>801+</t>
        </is>
      </c>
      <c r="AF1218" t="n">
        <v>13.4</v>
      </c>
      <c r="AG1218" t="inlineStr">
        <is>
          <t>801+</t>
        </is>
      </c>
      <c r="AH1218" t="n">
        <v>11.7</v>
      </c>
      <c r="AI1218" t="inlineStr">
        <is>
          <t>801+</t>
        </is>
      </c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</row>
    <row r="1219">
      <c r="A1219" t="inlineStr">
        <is>
          <t>Universidad de Montevideo (UM)</t>
        </is>
      </c>
      <c r="B1219" t="inlineStr">
        <is>
          <t>Uruguay</t>
        </is>
      </c>
      <c r="C1219" t="inlineStr">
        <is>
          <t>UY</t>
        </is>
      </c>
      <c r="D1219" t="inlineStr"/>
      <c r="E1219" t="inlineStr">
        <is>
          <t>S</t>
        </is>
      </c>
      <c r="F1219" t="inlineStr">
        <is>
          <t>FC</t>
        </is>
      </c>
      <c r="G1219" t="inlineStr">
        <is>
          <t>MD</t>
        </is>
      </c>
      <c r="H1219" t="inlineStr">
        <is>
          <t>3</t>
        </is>
      </c>
      <c r="I1219" t="inlineStr">
        <is>
          <t>B</t>
        </is>
      </c>
      <c r="J1219" t="inlineStr"/>
      <c r="K1219" t="inlineStr"/>
      <c r="L1219" t="inlineStr">
        <is>
          <t>651-660</t>
        </is>
      </c>
      <c r="M1219" t="inlineStr">
        <is>
          <t>449=</t>
        </is>
      </c>
      <c r="N1219" t="inlineStr"/>
      <c r="O1219" t="inlineStr">
        <is>
          <t>-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>
        <is>
          <t>18.6</t>
        </is>
      </c>
      <c r="AK1219" t="inlineStr">
        <is>
          <t>479</t>
        </is>
      </c>
      <c r="AL1219" t="inlineStr">
        <is>
          <t>13.5</t>
        </is>
      </c>
      <c r="AM1219" t="inlineStr">
        <is>
          <t>599</t>
        </is>
      </c>
      <c r="AN1219" t="inlineStr">
        <is>
          <t>80.2</t>
        </is>
      </c>
      <c r="AO1219" t="inlineStr">
        <is>
          <t>138</t>
        </is>
      </c>
      <c r="AP1219" t="inlineStr">
        <is>
          <t>1.1</t>
        </is>
      </c>
      <c r="AQ1219" t="inlineStr">
        <is>
          <t>701+</t>
        </is>
      </c>
      <c r="AR1219" t="inlineStr">
        <is>
          <t>23.7</t>
        </is>
      </c>
      <c r="AS1219" t="inlineStr">
        <is>
          <t>556</t>
        </is>
      </c>
      <c r="AT1219" t="inlineStr">
        <is>
          <t>3.3</t>
        </is>
      </c>
      <c r="AU1219" t="inlineStr">
        <is>
          <t>701+</t>
        </is>
      </c>
      <c r="AV1219" t="inlineStr">
        <is>
          <t>1.0</t>
        </is>
      </c>
      <c r="AW1219" t="inlineStr">
        <is>
          <t>701+</t>
        </is>
      </c>
      <c r="AX1219" t="inlineStr">
        <is>
          <t>18.8</t>
        </is>
      </c>
      <c r="AY1219" t="inlineStr">
        <is>
          <t>443</t>
        </is>
      </c>
      <c r="AZ1219" t="inlineStr"/>
      <c r="BA1219" t="inlineStr"/>
    </row>
    <row r="1220">
      <c r="A1220" t="inlineStr">
        <is>
          <t>Universidad de Oriente Santiago de Cuba</t>
        </is>
      </c>
      <c r="B1220" t="inlineStr">
        <is>
          <t>Cuba</t>
        </is>
      </c>
      <c r="C1220" t="inlineStr">
        <is>
          <t>CU</t>
        </is>
      </c>
      <c r="D1220" t="inlineStr"/>
      <c r="E1220" t="inlineStr">
        <is>
          <t>L</t>
        </is>
      </c>
      <c r="F1220" t="inlineStr">
        <is>
          <t>FO</t>
        </is>
      </c>
      <c r="G1220" t="inlineStr">
        <is>
          <t>MD</t>
        </is>
      </c>
      <c r="H1220" t="inlineStr">
        <is>
          <t>4</t>
        </is>
      </c>
      <c r="I1220" t="inlineStr">
        <is>
          <t>A</t>
        </is>
      </c>
      <c r="J1220" t="inlineStr"/>
      <c r="K1220" t="inlineStr"/>
      <c r="L1220" t="inlineStr">
        <is>
          <t>1001-1200</t>
        </is>
      </c>
      <c r="M1220" t="inlineStr">
        <is>
          <t>801-1000</t>
        </is>
      </c>
      <c r="N1220" t="inlineStr"/>
      <c r="O1220" t="inlineStr">
        <is>
          <t>-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>
        <is>
          <t>10.6</t>
        </is>
      </c>
      <c r="AK1220" t="inlineStr">
        <is>
          <t>601+</t>
        </is>
      </c>
      <c r="AL1220" t="inlineStr">
        <is>
          <t>10.8</t>
        </is>
      </c>
      <c r="AM1220" t="inlineStr">
        <is>
          <t>601+</t>
        </is>
      </c>
      <c r="AN1220" t="inlineStr">
        <is>
          <t>25.9</t>
        </is>
      </c>
      <c r="AO1220" t="inlineStr">
        <is>
          <t>571</t>
        </is>
      </c>
      <c r="AP1220" t="inlineStr">
        <is>
          <t>1.1</t>
        </is>
      </c>
      <c r="AQ1220" t="inlineStr">
        <is>
          <t>701+</t>
        </is>
      </c>
      <c r="AR1220" t="inlineStr"/>
      <c r="AS1220" t="inlineStr"/>
      <c r="AT1220" t="inlineStr"/>
      <c r="AU1220" t="inlineStr"/>
      <c r="AV1220" t="inlineStr">
        <is>
          <t>1.0</t>
        </is>
      </c>
      <c r="AW1220" t="inlineStr">
        <is>
          <t>701+</t>
        </is>
      </c>
      <c r="AX1220" t="inlineStr">
        <is>
          <t>13.9</t>
        </is>
      </c>
      <c r="AY1220" t="inlineStr">
        <is>
          <t>612</t>
        </is>
      </c>
      <c r="AZ1220" t="inlineStr"/>
      <c r="BA1220" t="inlineStr"/>
    </row>
    <row r="1221">
      <c r="A1221" t="inlineStr">
        <is>
          <t>Universidad de Oviedo</t>
        </is>
      </c>
      <c r="B1221" t="inlineStr">
        <is>
          <t>Spain</t>
        </is>
      </c>
      <c r="C1221" t="inlineStr">
        <is>
          <t>ES</t>
        </is>
      </c>
      <c r="D1221" t="inlineStr">
        <is>
          <t>Europe</t>
        </is>
      </c>
      <c r="E1221" t="inlineStr">
        <is>
          <t>L</t>
        </is>
      </c>
      <c r="F1221" t="inlineStr">
        <is>
          <t>CO</t>
        </is>
      </c>
      <c r="G1221" t="inlineStr">
        <is>
          <t>VH</t>
        </is>
      </c>
      <c r="H1221" t="inlineStr">
        <is>
          <t>5</t>
        </is>
      </c>
      <c r="I1221" t="inlineStr">
        <is>
          <t>Public</t>
        </is>
      </c>
      <c r="J1221" t="inlineStr">
        <is>
          <t>901-950</t>
        </is>
      </c>
      <c r="K1221" t="inlineStr">
        <is>
          <t>1001-1200</t>
        </is>
      </c>
      <c r="L1221" t="inlineStr">
        <is>
          <t>1001-1200</t>
        </is>
      </c>
      <c r="M1221" t="inlineStr">
        <is>
          <t>1001-1200</t>
        </is>
      </c>
      <c r="N1221" t="inlineStr">
        <is>
          <t>-</t>
        </is>
      </c>
      <c r="O1221" t="inlineStr">
        <is>
          <t>-</t>
        </is>
      </c>
      <c r="P1221" t="n">
        <v>18.2</v>
      </c>
      <c r="Q1221" t="inlineStr">
        <is>
          <t>671</t>
        </is>
      </c>
      <c r="R1221" t="n">
        <v>8.4</v>
      </c>
      <c r="S1221" t="inlineStr">
        <is>
          <t>701+</t>
        </is>
      </c>
      <c r="T1221" t="n">
        <v>34.1</v>
      </c>
      <c r="U1221" t="inlineStr">
        <is>
          <t>576</t>
        </is>
      </c>
      <c r="V1221" t="n">
        <v>11.6</v>
      </c>
      <c r="W1221" t="inlineStr">
        <is>
          <t>801+</t>
        </is>
      </c>
      <c r="X1221" t="n">
        <v>5.8</v>
      </c>
      <c r="Y1221" t="inlineStr">
        <is>
          <t>801+</t>
        </is>
      </c>
      <c r="Z1221" t="n">
        <v>6</v>
      </c>
      <c r="AA1221" t="inlineStr">
        <is>
          <t>801+</t>
        </is>
      </c>
      <c r="AB1221" t="n">
        <v>11.4</v>
      </c>
      <c r="AC1221" t="inlineStr">
        <is>
          <t>801+</t>
        </is>
      </c>
      <c r="AD1221" t="n">
        <v>74</v>
      </c>
      <c r="AE1221" t="inlineStr">
        <is>
          <t>468</t>
        </is>
      </c>
      <c r="AF1221" t="n">
        <v>11.9</v>
      </c>
      <c r="AG1221" t="inlineStr">
        <is>
          <t>801+</t>
        </is>
      </c>
      <c r="AH1221" t="n">
        <v>63.7</v>
      </c>
      <c r="AI1221" t="inlineStr">
        <is>
          <t>429=</t>
        </is>
      </c>
      <c r="AJ1221" t="inlineStr">
        <is>
          <t>12.6</t>
        </is>
      </c>
      <c r="AK1221" t="inlineStr">
        <is>
          <t>601+</t>
        </is>
      </c>
      <c r="AL1221" t="inlineStr">
        <is>
          <t>3.5</t>
        </is>
      </c>
      <c r="AM1221" t="inlineStr">
        <is>
          <t>601+</t>
        </is>
      </c>
      <c r="AN1221" t="inlineStr">
        <is>
          <t>14.3</t>
        </is>
      </c>
      <c r="AO1221" t="inlineStr">
        <is>
          <t>701+</t>
        </is>
      </c>
      <c r="AP1221" t="inlineStr">
        <is>
          <t>7.7</t>
        </is>
      </c>
      <c r="AQ1221" t="inlineStr">
        <is>
          <t>701+</t>
        </is>
      </c>
      <c r="AR1221" t="inlineStr"/>
      <c r="AS1221" t="inlineStr"/>
      <c r="AT1221" t="inlineStr"/>
      <c r="AU1221" t="inlineStr"/>
      <c r="AV1221" t="inlineStr">
        <is>
          <t>24.8</t>
        </is>
      </c>
      <c r="AW1221" t="inlineStr">
        <is>
          <t>500</t>
        </is>
      </c>
      <c r="AX1221" t="inlineStr">
        <is>
          <t>4.3</t>
        </is>
      </c>
      <c r="AY1221" t="inlineStr">
        <is>
          <t>701+</t>
        </is>
      </c>
      <c r="AZ1221" t="inlineStr">
        <is>
          <t>7.2</t>
        </is>
      </c>
      <c r="BA1221" t="inlineStr">
        <is>
          <t>701+</t>
        </is>
      </c>
    </row>
    <row r="1222">
      <c r="A1222" t="inlineStr">
        <is>
          <t>Universidad de Palermo</t>
        </is>
      </c>
      <c r="B1222" t="inlineStr">
        <is>
          <t>Argentina</t>
        </is>
      </c>
      <c r="C1222" t="inlineStr"/>
      <c r="D1222" t="inlineStr">
        <is>
          <t>Americas</t>
        </is>
      </c>
      <c r="E1222" t="inlineStr">
        <is>
          <t>S</t>
        </is>
      </c>
      <c r="F1222" t="inlineStr">
        <is>
          <t>FO</t>
        </is>
      </c>
      <c r="G1222" t="inlineStr">
        <is>
          <t>HI</t>
        </is>
      </c>
      <c r="H1222" t="inlineStr"/>
      <c r="I1222" t="inlineStr">
        <is>
          <t>Private not for Profit</t>
        </is>
      </c>
      <c r="J1222" t="inlineStr">
        <is>
          <t>771-780</t>
        </is>
      </c>
      <c r="K1222" t="inlineStr">
        <is>
          <t>621-630</t>
        </is>
      </c>
      <c r="L1222" t="inlineStr"/>
      <c r="M1222" t="inlineStr"/>
      <c r="N1222" t="inlineStr">
        <is>
          <t>-</t>
        </is>
      </c>
      <c r="O1222" t="inlineStr"/>
      <c r="P1222" t="n">
        <v>15.8</v>
      </c>
      <c r="Q1222" t="inlineStr">
        <is>
          <t>701+</t>
        </is>
      </c>
      <c r="R1222" t="n">
        <v>16</v>
      </c>
      <c r="S1222" t="inlineStr">
        <is>
          <t>701+</t>
        </is>
      </c>
      <c r="T1222" t="n">
        <v>96</v>
      </c>
      <c r="U1222" t="inlineStr">
        <is>
          <t>68</t>
        </is>
      </c>
      <c r="V1222" t="n">
        <v>1.1</v>
      </c>
      <c r="W1222" t="inlineStr">
        <is>
          <t>801+</t>
        </is>
      </c>
      <c r="X1222" t="n">
        <v>42</v>
      </c>
      <c r="Y1222" t="inlineStr">
        <is>
          <t>481</t>
        </is>
      </c>
      <c r="Z1222" t="n">
        <v>94.3</v>
      </c>
      <c r="AA1222" t="inlineStr">
        <is>
          <t>136</t>
        </is>
      </c>
      <c r="AB1222" t="n">
        <v>90</v>
      </c>
      <c r="AC1222" t="inlineStr">
        <is>
          <t>148</t>
        </is>
      </c>
      <c r="AD1222" t="n">
        <v>3.6</v>
      </c>
      <c r="AE1222" t="inlineStr">
        <is>
          <t>801+</t>
        </is>
      </c>
      <c r="AF1222" t="n">
        <v>10.1</v>
      </c>
      <c r="AG1222" t="inlineStr">
        <is>
          <t>801+</t>
        </is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</row>
    <row r="1223">
      <c r="A1223" t="inlineStr">
        <is>
          <t>Universidad de Palermo (UP)</t>
        </is>
      </c>
      <c r="B1223" t="inlineStr">
        <is>
          <t>Argentina</t>
        </is>
      </c>
      <c r="C1223" t="inlineStr">
        <is>
          <t>AR</t>
        </is>
      </c>
      <c r="D1223" t="inlineStr"/>
      <c r="E1223" t="inlineStr">
        <is>
          <t>S</t>
        </is>
      </c>
      <c r="F1223" t="inlineStr">
        <is>
          <t>FO</t>
        </is>
      </c>
      <c r="G1223" t="inlineStr">
        <is>
          <t>MD</t>
        </is>
      </c>
      <c r="H1223" t="inlineStr">
        <is>
          <t>3</t>
        </is>
      </c>
      <c r="I1223" t="inlineStr">
        <is>
          <t>B</t>
        </is>
      </c>
      <c r="J1223" t="inlineStr"/>
      <c r="K1223" t="inlineStr"/>
      <c r="L1223">
        <f>530</f>
        <v/>
      </c>
      <c r="M1223" t="inlineStr">
        <is>
          <t>390=</t>
        </is>
      </c>
      <c r="N1223" t="inlineStr"/>
      <c r="O1223" t="inlineStr">
        <is>
          <t>22.1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>
        <is>
          <t>9.3</t>
        </is>
      </c>
      <c r="AK1223" t="inlineStr">
        <is>
          <t>601+</t>
        </is>
      </c>
      <c r="AL1223" t="inlineStr">
        <is>
          <t>17.8</t>
        </is>
      </c>
      <c r="AM1223" t="inlineStr">
        <is>
          <t>493</t>
        </is>
      </c>
      <c r="AN1223" t="inlineStr">
        <is>
          <t>90.5</t>
        </is>
      </c>
      <c r="AO1223" t="inlineStr">
        <is>
          <t>83</t>
        </is>
      </c>
      <c r="AP1223" t="inlineStr">
        <is>
          <t>1.1</t>
        </is>
      </c>
      <c r="AQ1223" t="inlineStr">
        <is>
          <t>701+</t>
        </is>
      </c>
      <c r="AR1223" t="inlineStr">
        <is>
          <t>40.4</t>
        </is>
      </c>
      <c r="AS1223" t="inlineStr">
        <is>
          <t>411</t>
        </is>
      </c>
      <c r="AT1223" t="inlineStr">
        <is>
          <t>96.6</t>
        </is>
      </c>
      <c r="AU1223" t="inlineStr">
        <is>
          <t>79</t>
        </is>
      </c>
      <c r="AV1223" t="inlineStr">
        <is>
          <t>1.0</t>
        </is>
      </c>
      <c r="AW1223" t="inlineStr">
        <is>
          <t>701+</t>
        </is>
      </c>
      <c r="AX1223" t="inlineStr">
        <is>
          <t>9.6</t>
        </is>
      </c>
      <c r="AY1223" t="inlineStr">
        <is>
          <t>701+</t>
        </is>
      </c>
      <c r="AZ1223" t="inlineStr">
        <is>
          <t>1</t>
        </is>
      </c>
      <c r="BA1223" t="inlineStr">
        <is>
          <t>701+</t>
        </is>
      </c>
    </row>
    <row r="1224">
      <c r="A1224" t="inlineStr">
        <is>
          <t>Universidad de Panama</t>
        </is>
      </c>
      <c r="B1224" t="inlineStr">
        <is>
          <t>Panama</t>
        </is>
      </c>
      <c r="C1224" t="inlineStr">
        <is>
          <t>PA</t>
        </is>
      </c>
      <c r="D1224" t="inlineStr">
        <is>
          <t>Americas</t>
        </is>
      </c>
      <c r="E1224" t="inlineStr">
        <is>
          <t>XL</t>
        </is>
      </c>
      <c r="F1224" t="inlineStr">
        <is>
          <t>FO</t>
        </is>
      </c>
      <c r="G1224" t="inlineStr">
        <is>
          <t>MD</t>
        </is>
      </c>
      <c r="H1224" t="inlineStr">
        <is>
          <t>4</t>
        </is>
      </c>
      <c r="I1224" t="inlineStr">
        <is>
          <t>Public</t>
        </is>
      </c>
      <c r="J1224" t="inlineStr">
        <is>
          <t>1401+</t>
        </is>
      </c>
      <c r="K1224" t="inlineStr">
        <is>
          <t>1201-1400</t>
        </is>
      </c>
      <c r="L1224" t="inlineStr">
        <is>
          <t>1201-1400</t>
        </is>
      </c>
      <c r="M1224" t="inlineStr">
        <is>
          <t>1201-1400</t>
        </is>
      </c>
      <c r="N1224" t="inlineStr">
        <is>
          <t>-</t>
        </is>
      </c>
      <c r="O1224" t="inlineStr">
        <is>
          <t>-</t>
        </is>
      </c>
      <c r="P1224" t="n">
        <v>8.5</v>
      </c>
      <c r="Q1224" t="inlineStr">
        <is>
          <t>701+</t>
        </is>
      </c>
      <c r="R1224" t="n">
        <v>6.4</v>
      </c>
      <c r="S1224" t="inlineStr">
        <is>
          <t>701+</t>
        </is>
      </c>
      <c r="T1224" t="n">
        <v>4.3</v>
      </c>
      <c r="U1224" t="inlineStr">
        <is>
          <t>801+</t>
        </is>
      </c>
      <c r="V1224" t="n">
        <v>1.2</v>
      </c>
      <c r="W1224" t="inlineStr">
        <is>
          <t>801+</t>
        </is>
      </c>
      <c r="X1224" t="n">
        <v>4.1</v>
      </c>
      <c r="Y1224" t="inlineStr">
        <is>
          <t>801+</t>
        </is>
      </c>
      <c r="Z1224" t="n">
        <v>4.6</v>
      </c>
      <c r="AA1224" t="inlineStr">
        <is>
          <t>801+</t>
        </is>
      </c>
      <c r="AB1224" t="n">
        <v>8.9</v>
      </c>
      <c r="AC1224" t="inlineStr">
        <is>
          <t>801+</t>
        </is>
      </c>
      <c r="AD1224" t="n">
        <v>11.2</v>
      </c>
      <c r="AE1224" t="inlineStr">
        <is>
          <t>801+</t>
        </is>
      </c>
      <c r="AF1224" t="n">
        <v>63.1</v>
      </c>
      <c r="AG1224" t="inlineStr">
        <is>
          <t>247</t>
        </is>
      </c>
      <c r="AH1224" t="n">
        <v>25.9</v>
      </c>
      <c r="AI1224" t="inlineStr">
        <is>
          <t>801+</t>
        </is>
      </c>
      <c r="AJ1224" t="inlineStr">
        <is>
          <t>6.5</t>
        </is>
      </c>
      <c r="AK1224" t="inlineStr">
        <is>
          <t>601+</t>
        </is>
      </c>
      <c r="AL1224" t="inlineStr">
        <is>
          <t>8.0</t>
        </is>
      </c>
      <c r="AM1224" t="inlineStr">
        <is>
          <t>601+</t>
        </is>
      </c>
      <c r="AN1224" t="inlineStr">
        <is>
          <t>3.2</t>
        </is>
      </c>
      <c r="AO1224" t="inlineStr">
        <is>
          <t>701+</t>
        </is>
      </c>
      <c r="AP1224" t="inlineStr">
        <is>
          <t>1.1</t>
        </is>
      </c>
      <c r="AQ1224" t="inlineStr">
        <is>
          <t>701+</t>
        </is>
      </c>
      <c r="AR1224" t="inlineStr">
        <is>
          <t>4.9</t>
        </is>
      </c>
      <c r="AS1224" t="inlineStr">
        <is>
          <t>701+</t>
        </is>
      </c>
      <c r="AT1224" t="inlineStr">
        <is>
          <t>2.3</t>
        </is>
      </c>
      <c r="AU1224" t="inlineStr">
        <is>
          <t>701+</t>
        </is>
      </c>
      <c r="AV1224" t="inlineStr">
        <is>
          <t>1.0</t>
        </is>
      </c>
      <c r="AW1224" t="inlineStr">
        <is>
          <t>701+</t>
        </is>
      </c>
      <c r="AX1224" t="inlineStr">
        <is>
          <t>13.7</t>
        </is>
      </c>
      <c r="AY1224" t="inlineStr">
        <is>
          <t>625</t>
        </is>
      </c>
      <c r="AZ1224" t="inlineStr">
        <is>
          <t>1.2</t>
        </is>
      </c>
      <c r="BA1224" t="inlineStr">
        <is>
          <t>701+</t>
        </is>
      </c>
    </row>
    <row r="1225">
      <c r="A1225" t="inlineStr">
        <is>
          <t>Universidad de Piura</t>
        </is>
      </c>
      <c r="B1225" t="inlineStr">
        <is>
          <t>Peru</t>
        </is>
      </c>
      <c r="C1225" t="inlineStr">
        <is>
          <t>PE</t>
        </is>
      </c>
      <c r="D1225" t="inlineStr">
        <is>
          <t>Americas</t>
        </is>
      </c>
      <c r="E1225" t="inlineStr">
        <is>
          <t>M</t>
        </is>
      </c>
      <c r="F1225" t="inlineStr">
        <is>
          <t>FO</t>
        </is>
      </c>
      <c r="G1225" t="inlineStr">
        <is>
          <t>HI</t>
        </is>
      </c>
      <c r="H1225" t="inlineStr">
        <is>
          <t>4</t>
        </is>
      </c>
      <c r="I1225" t="inlineStr">
        <is>
          <t>Private not for Profit</t>
        </is>
      </c>
      <c r="J1225" t="inlineStr">
        <is>
          <t>1401+</t>
        </is>
      </c>
      <c r="K1225" t="inlineStr">
        <is>
          <t>1201-1400</t>
        </is>
      </c>
      <c r="L1225" t="inlineStr">
        <is>
          <t>1201-1400</t>
        </is>
      </c>
      <c r="M1225" t="inlineStr">
        <is>
          <t>1201-1400</t>
        </is>
      </c>
      <c r="N1225" t="inlineStr">
        <is>
          <t>-</t>
        </is>
      </c>
      <c r="O1225" t="inlineStr">
        <is>
          <t>-</t>
        </is>
      </c>
      <c r="P1225" t="n">
        <v>11.8</v>
      </c>
      <c r="Q1225" t="inlineStr">
        <is>
          <t>701+</t>
        </is>
      </c>
      <c r="R1225" t="n">
        <v>14.1</v>
      </c>
      <c r="S1225" t="inlineStr">
        <is>
          <t>701+</t>
        </is>
      </c>
      <c r="T1225" t="n">
        <v>8</v>
      </c>
      <c r="U1225" t="inlineStr">
        <is>
          <t>801+</t>
        </is>
      </c>
      <c r="V1225" t="n">
        <v>1.4</v>
      </c>
      <c r="W1225" t="inlineStr">
        <is>
          <t>801+</t>
        </is>
      </c>
      <c r="X1225" t="n">
        <v>7.6</v>
      </c>
      <c r="Y1225" t="inlineStr">
        <is>
          <t>801+</t>
        </is>
      </c>
      <c r="Z1225" t="n">
        <v>1.2</v>
      </c>
      <c r="AA1225" t="inlineStr">
        <is>
          <t>801+</t>
        </is>
      </c>
      <c r="AB1225" t="n">
        <v>1.2</v>
      </c>
      <c r="AC1225" t="inlineStr">
        <is>
          <t>801+</t>
        </is>
      </c>
      <c r="AD1225" t="n">
        <v>4.7</v>
      </c>
      <c r="AE1225" t="inlineStr">
        <is>
          <t>801+</t>
        </is>
      </c>
      <c r="AF1225" t="n">
        <v>15.4</v>
      </c>
      <c r="AG1225" t="inlineStr">
        <is>
          <t>801+</t>
        </is>
      </c>
      <c r="AH1225" t="n">
        <v>13.9</v>
      </c>
      <c r="AI1225" t="inlineStr">
        <is>
          <t>801+</t>
        </is>
      </c>
      <c r="AJ1225" t="inlineStr">
        <is>
          <t>6.4</t>
        </is>
      </c>
      <c r="AK1225" t="inlineStr">
        <is>
          <t>601+</t>
        </is>
      </c>
      <c r="AL1225" t="inlineStr">
        <is>
          <t>10.2</t>
        </is>
      </c>
      <c r="AM1225" t="inlineStr">
        <is>
          <t>601+</t>
        </is>
      </c>
      <c r="AN1225" t="inlineStr">
        <is>
          <t>4.5</t>
        </is>
      </c>
      <c r="AO1225" t="inlineStr">
        <is>
          <t>701+</t>
        </is>
      </c>
      <c r="AP1225" t="inlineStr">
        <is>
          <t>1.2</t>
        </is>
      </c>
      <c r="AQ1225" t="inlineStr">
        <is>
          <t>701+</t>
        </is>
      </c>
      <c r="AR1225" t="inlineStr">
        <is>
          <t>8.4</t>
        </is>
      </c>
      <c r="AS1225" t="inlineStr">
        <is>
          <t>701+</t>
        </is>
      </c>
      <c r="AT1225" t="inlineStr">
        <is>
          <t>1.0</t>
        </is>
      </c>
      <c r="AU1225" t="inlineStr">
        <is>
          <t>701+</t>
        </is>
      </c>
      <c r="AV1225" t="inlineStr">
        <is>
          <t>1.0</t>
        </is>
      </c>
      <c r="AW1225" t="inlineStr">
        <is>
          <t>701+</t>
        </is>
      </c>
      <c r="AX1225" t="inlineStr">
        <is>
          <t>17.1</t>
        </is>
      </c>
      <c r="AY1225" t="inlineStr">
        <is>
          <t>497</t>
        </is>
      </c>
      <c r="AZ1225" t="inlineStr">
        <is>
          <t>1.6</t>
        </is>
      </c>
      <c r="BA1225" t="inlineStr">
        <is>
          <t>701+</t>
        </is>
      </c>
    </row>
    <row r="1226">
      <c r="A1226" t="inlineStr">
        <is>
          <t>Universidad de Puerto Rico</t>
        </is>
      </c>
      <c r="B1226" t="inlineStr">
        <is>
          <t>Puerto Rico</t>
        </is>
      </c>
      <c r="C1226" t="inlineStr">
        <is>
          <t>PR</t>
        </is>
      </c>
      <c r="D1226" t="inlineStr">
        <is>
          <t>Americas</t>
        </is>
      </c>
      <c r="E1226" t="inlineStr">
        <is>
          <t>XL</t>
        </is>
      </c>
      <c r="F1226" t="inlineStr">
        <is>
          <t>FC</t>
        </is>
      </c>
      <c r="G1226" t="inlineStr">
        <is>
          <t>HI</t>
        </is>
      </c>
      <c r="H1226" t="inlineStr">
        <is>
          <t>5</t>
        </is>
      </c>
      <c r="I1226" t="inlineStr">
        <is>
          <t>Public</t>
        </is>
      </c>
      <c r="J1226" t="inlineStr">
        <is>
          <t>1001-1200</t>
        </is>
      </c>
      <c r="K1226" t="inlineStr">
        <is>
          <t>1001-1200</t>
        </is>
      </c>
      <c r="L1226" t="inlineStr">
        <is>
          <t>1001-1200</t>
        </is>
      </c>
      <c r="M1226" t="inlineStr">
        <is>
          <t>1201-1400</t>
        </is>
      </c>
      <c r="N1226" t="inlineStr">
        <is>
          <t>-</t>
        </is>
      </c>
      <c r="O1226" t="inlineStr">
        <is>
          <t>-</t>
        </is>
      </c>
      <c r="P1226" t="n">
        <v>14.8</v>
      </c>
      <c r="Q1226" t="inlineStr">
        <is>
          <t>701+</t>
        </is>
      </c>
      <c r="R1226" t="n">
        <v>10.8</v>
      </c>
      <c r="S1226" t="inlineStr">
        <is>
          <t>701+</t>
        </is>
      </c>
      <c r="T1226" t="n">
        <v>23</v>
      </c>
      <c r="U1226" t="inlineStr">
        <is>
          <t>776</t>
        </is>
      </c>
      <c r="V1226" t="n">
        <v>3.5</v>
      </c>
      <c r="W1226" t="inlineStr">
        <is>
          <t>801+</t>
        </is>
      </c>
      <c r="X1226" t="n">
        <v>8.300000000000001</v>
      </c>
      <c r="Y1226" t="inlineStr">
        <is>
          <t>801+</t>
        </is>
      </c>
      <c r="Z1226" t="n">
        <v>2.1</v>
      </c>
      <c r="AA1226" t="inlineStr">
        <is>
          <t>801+</t>
        </is>
      </c>
      <c r="AB1226" t="n">
        <v>6.4</v>
      </c>
      <c r="AC1226" t="inlineStr">
        <is>
          <t>801+</t>
        </is>
      </c>
      <c r="AD1226" t="n">
        <v>43.4</v>
      </c>
      <c r="AE1226" t="inlineStr">
        <is>
          <t>801+</t>
        </is>
      </c>
      <c r="AF1226" t="n">
        <v>71.8</v>
      </c>
      <c r="AG1226" t="inlineStr">
        <is>
          <t>202</t>
        </is>
      </c>
      <c r="AH1226" t="n">
        <v>37.7</v>
      </c>
      <c r="AI1226" t="inlineStr">
        <is>
          <t>801+</t>
        </is>
      </c>
      <c r="AJ1226" t="inlineStr">
        <is>
          <t>9.4</t>
        </is>
      </c>
      <c r="AK1226" t="inlineStr">
        <is>
          <t>601+</t>
        </is>
      </c>
      <c r="AL1226" t="inlineStr">
        <is>
          <t>6.2</t>
        </is>
      </c>
      <c r="AM1226" t="inlineStr">
        <is>
          <t>601+</t>
        </is>
      </c>
      <c r="AN1226" t="inlineStr">
        <is>
          <t>11.4</t>
        </is>
      </c>
      <c r="AO1226" t="inlineStr">
        <is>
          <t>701+</t>
        </is>
      </c>
      <c r="AP1226" t="inlineStr">
        <is>
          <t>2.1</t>
        </is>
      </c>
      <c r="AQ1226" t="inlineStr">
        <is>
          <t>701+</t>
        </is>
      </c>
      <c r="AR1226" t="inlineStr">
        <is>
          <t>1.4</t>
        </is>
      </c>
      <c r="AS1226" t="inlineStr">
        <is>
          <t>701+</t>
        </is>
      </c>
      <c r="AT1226" t="inlineStr">
        <is>
          <t>1.5</t>
        </is>
      </c>
      <c r="AU1226" t="inlineStr">
        <is>
          <t>701+</t>
        </is>
      </c>
      <c r="AV1226" t="inlineStr">
        <is>
          <t>2.4</t>
        </is>
      </c>
      <c r="AW1226" t="inlineStr">
        <is>
          <t>701+</t>
        </is>
      </c>
      <c r="AX1226" t="inlineStr">
        <is>
          <t>46.4</t>
        </is>
      </c>
      <c r="AY1226" t="inlineStr">
        <is>
          <t>150</t>
        </is>
      </c>
      <c r="AZ1226" t="inlineStr">
        <is>
          <t>29.1</t>
        </is>
      </c>
      <c r="BA1226" t="inlineStr">
        <is>
          <t>456=</t>
        </is>
      </c>
    </row>
    <row r="1227">
      <c r="A1227" t="inlineStr">
        <is>
          <t>Universidad de San Andrés</t>
        </is>
      </c>
      <c r="B1227" t="inlineStr">
        <is>
          <t>Argentina</t>
        </is>
      </c>
      <c r="C1227" t="inlineStr"/>
      <c r="D1227" t="inlineStr">
        <is>
          <t>Americas</t>
        </is>
      </c>
      <c r="E1227" t="inlineStr">
        <is>
          <t>S</t>
        </is>
      </c>
      <c r="F1227" t="inlineStr">
        <is>
          <t>SP</t>
        </is>
      </c>
      <c r="G1227" t="inlineStr">
        <is>
          <t>HI</t>
        </is>
      </c>
      <c r="H1227" t="inlineStr"/>
      <c r="I1227" t="inlineStr">
        <is>
          <t>Private not for Profit</t>
        </is>
      </c>
      <c r="J1227" t="inlineStr">
        <is>
          <t>1001-1200</t>
        </is>
      </c>
      <c r="K1227" t="inlineStr">
        <is>
          <t>951-1000</t>
        </is>
      </c>
      <c r="L1227" t="inlineStr"/>
      <c r="M1227" t="inlineStr"/>
      <c r="N1227" t="inlineStr">
        <is>
          <t>-</t>
        </is>
      </c>
      <c r="O1227" t="inlineStr"/>
      <c r="P1227" t="n">
        <v>11.7</v>
      </c>
      <c r="Q1227" t="inlineStr">
        <is>
          <t>701+</t>
        </is>
      </c>
      <c r="R1227" t="n">
        <v>25.2</v>
      </c>
      <c r="S1227" t="inlineStr">
        <is>
          <t>535</t>
        </is>
      </c>
      <c r="T1227" t="n">
        <v>53</v>
      </c>
      <c r="U1227" t="inlineStr">
        <is>
          <t>354</t>
        </is>
      </c>
      <c r="V1227" t="n">
        <v>4.1</v>
      </c>
      <c r="W1227" t="inlineStr">
        <is>
          <t>801+</t>
        </is>
      </c>
      <c r="X1227" t="n">
        <v>10.2</v>
      </c>
      <c r="Y1227" t="inlineStr">
        <is>
          <t>801+</t>
        </is>
      </c>
      <c r="Z1227" t="n">
        <v>7.6</v>
      </c>
      <c r="AA1227" t="inlineStr">
        <is>
          <t>801+</t>
        </is>
      </c>
      <c r="AB1227" t="n">
        <v>5.9</v>
      </c>
      <c r="AC1227" t="inlineStr">
        <is>
          <t>801+</t>
        </is>
      </c>
      <c r="AD1227" t="n">
        <v>11.7</v>
      </c>
      <c r="AE1227" t="inlineStr">
        <is>
          <t>801+</t>
        </is>
      </c>
      <c r="AF1227" t="n">
        <v>32.5</v>
      </c>
      <c r="AG1227" t="inlineStr">
        <is>
          <t>522</t>
        </is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</row>
    <row r="1228">
      <c r="A1228" t="inlineStr">
        <is>
          <t>Universidad de San Andrés - UdeSA</t>
        </is>
      </c>
      <c r="B1228" t="inlineStr">
        <is>
          <t>Argentina</t>
        </is>
      </c>
      <c r="C1228" t="inlineStr">
        <is>
          <t>AR</t>
        </is>
      </c>
      <c r="D1228" t="inlineStr"/>
      <c r="E1228" t="inlineStr">
        <is>
          <t>S</t>
        </is>
      </c>
      <c r="F1228" t="inlineStr">
        <is>
          <t>SP</t>
        </is>
      </c>
      <c r="G1228" t="inlineStr"/>
      <c r="H1228" t="inlineStr">
        <is>
          <t>3</t>
        </is>
      </c>
      <c r="I1228" t="inlineStr">
        <is>
          <t>B</t>
        </is>
      </c>
      <c r="J1228" t="inlineStr"/>
      <c r="K1228" t="inlineStr"/>
      <c r="L1228" t="inlineStr">
        <is>
          <t>801-850</t>
        </is>
      </c>
      <c r="M1228" t="inlineStr">
        <is>
          <t>751-800</t>
        </is>
      </c>
      <c r="N1228" t="inlineStr"/>
      <c r="O1228" t="inlineStr">
        <is>
          <t>-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>
        <is>
          <t>6.8</t>
        </is>
      </c>
      <c r="AK1228" t="inlineStr">
        <is>
          <t>601+</t>
        </is>
      </c>
      <c r="AL1228" t="inlineStr">
        <is>
          <t>32.6</t>
        </is>
      </c>
      <c r="AM1228" t="inlineStr">
        <is>
          <t>301</t>
        </is>
      </c>
      <c r="AN1228" t="inlineStr">
        <is>
          <t>48.1</t>
        </is>
      </c>
      <c r="AO1228" t="inlineStr">
        <is>
          <t>326</t>
        </is>
      </c>
      <c r="AP1228" t="inlineStr">
        <is>
          <t>2.1</t>
        </is>
      </c>
      <c r="AQ1228" t="inlineStr">
        <is>
          <t>701+</t>
        </is>
      </c>
      <c r="AR1228" t="inlineStr">
        <is>
          <t>8.0</t>
        </is>
      </c>
      <c r="AS1228" t="inlineStr">
        <is>
          <t>701+</t>
        </is>
      </c>
      <c r="AT1228" t="inlineStr">
        <is>
          <t>4.4</t>
        </is>
      </c>
      <c r="AU1228" t="inlineStr">
        <is>
          <t>701+</t>
        </is>
      </c>
      <c r="AV1228" t="inlineStr">
        <is>
          <t>1.0</t>
        </is>
      </c>
      <c r="AW1228" t="inlineStr">
        <is>
          <t>701+</t>
        </is>
      </c>
      <c r="AX1228" t="inlineStr">
        <is>
          <t>18</t>
        </is>
      </c>
      <c r="AY1228" t="inlineStr">
        <is>
          <t>465</t>
        </is>
      </c>
      <c r="AZ1228" t="inlineStr">
        <is>
          <t>1</t>
        </is>
      </c>
      <c r="BA1228" t="inlineStr">
        <is>
          <t>701+</t>
        </is>
      </c>
    </row>
    <row r="1229">
      <c r="A1229" t="inlineStr">
        <is>
          <t>Universidad de San Carlos de Guatemala - USAC</t>
        </is>
      </c>
      <c r="B1229" t="inlineStr">
        <is>
          <t>Guatemala</t>
        </is>
      </c>
      <c r="C1229" t="inlineStr">
        <is>
          <t>GT</t>
        </is>
      </c>
      <c r="D1229" t="inlineStr"/>
      <c r="E1229" t="inlineStr">
        <is>
          <t>XL</t>
        </is>
      </c>
      <c r="F1229" t="inlineStr">
        <is>
          <t>FC</t>
        </is>
      </c>
      <c r="G1229" t="inlineStr">
        <is>
          <t>LO</t>
        </is>
      </c>
      <c r="H1229" t="inlineStr">
        <is>
          <t>5</t>
        </is>
      </c>
      <c r="I1229" t="inlineStr">
        <is>
          <t>A</t>
        </is>
      </c>
      <c r="J1229" t="inlineStr"/>
      <c r="K1229" t="inlineStr"/>
      <c r="L1229" t="inlineStr">
        <is>
          <t>1201-1400</t>
        </is>
      </c>
      <c r="M1229" t="inlineStr">
        <is>
          <t>1201-1400</t>
        </is>
      </c>
      <c r="N1229" t="inlineStr"/>
      <c r="O1229" t="inlineStr">
        <is>
          <t>-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>
        <is>
          <t>9.3</t>
        </is>
      </c>
      <c r="AK1229" t="inlineStr">
        <is>
          <t>601+</t>
        </is>
      </c>
      <c r="AL1229" t="inlineStr">
        <is>
          <t>7.6</t>
        </is>
      </c>
      <c r="AM1229" t="inlineStr">
        <is>
          <t>601+</t>
        </is>
      </c>
      <c r="AN1229" t="inlineStr">
        <is>
          <t>3.9</t>
        </is>
      </c>
      <c r="AO1229" t="inlineStr">
        <is>
          <t>701+</t>
        </is>
      </c>
      <c r="AP1229" t="inlineStr">
        <is>
          <t>1.0</t>
        </is>
      </c>
      <c r="AQ1229" t="inlineStr">
        <is>
          <t>701+</t>
        </is>
      </c>
      <c r="AR1229" t="inlineStr"/>
      <c r="AS1229" t="inlineStr"/>
      <c r="AT1229" t="inlineStr"/>
      <c r="AU1229" t="inlineStr"/>
      <c r="AV1229" t="inlineStr">
        <is>
          <t>1.0</t>
        </is>
      </c>
      <c r="AW1229" t="inlineStr">
        <is>
          <t>701+</t>
        </is>
      </c>
      <c r="AX1229" t="inlineStr">
        <is>
          <t>20.6</t>
        </is>
      </c>
      <c r="AY1229" t="inlineStr">
        <is>
          <t>405</t>
        </is>
      </c>
      <c r="AZ1229" t="inlineStr">
        <is>
          <t>1</t>
        </is>
      </c>
      <c r="BA1229" t="inlineStr">
        <is>
          <t>701+</t>
        </is>
      </c>
    </row>
    <row r="1230">
      <c r="A1230" t="inlineStr">
        <is>
          <t>Universidad de San Francisco de Quito</t>
        </is>
      </c>
      <c r="B1230" t="inlineStr">
        <is>
          <t>Ecuador</t>
        </is>
      </c>
      <c r="C1230" t="inlineStr"/>
      <c r="D1230" t="inlineStr">
        <is>
          <t>Americas</t>
        </is>
      </c>
      <c r="E1230" t="inlineStr">
        <is>
          <t>M</t>
        </is>
      </c>
      <c r="F1230" t="inlineStr">
        <is>
          <t>FC</t>
        </is>
      </c>
      <c r="G1230" t="inlineStr">
        <is>
          <t>HI</t>
        </is>
      </c>
      <c r="H1230" t="inlineStr"/>
      <c r="I1230" t="inlineStr">
        <is>
          <t>Private not for Profit</t>
        </is>
      </c>
      <c r="J1230" t="inlineStr">
        <is>
          <t>801-850</t>
        </is>
      </c>
      <c r="K1230" t="inlineStr">
        <is>
          <t>801-850</t>
        </is>
      </c>
      <c r="L1230" t="inlineStr"/>
      <c r="M1230" t="inlineStr"/>
      <c r="N1230" t="inlineStr">
        <is>
          <t>-</t>
        </is>
      </c>
      <c r="O1230" t="inlineStr"/>
      <c r="P1230" t="n">
        <v>25</v>
      </c>
      <c r="Q1230" t="inlineStr">
        <is>
          <t>510</t>
        </is>
      </c>
      <c r="R1230" t="n">
        <v>18.2</v>
      </c>
      <c r="S1230" t="inlineStr">
        <is>
          <t>701+</t>
        </is>
      </c>
      <c r="T1230" t="n">
        <v>41.4</v>
      </c>
      <c r="U1230" t="inlineStr">
        <is>
          <t>489</t>
        </is>
      </c>
      <c r="V1230" t="n">
        <v>4.6</v>
      </c>
      <c r="W1230" t="inlineStr">
        <is>
          <t>801+</t>
        </is>
      </c>
      <c r="X1230" t="n">
        <v>57.2</v>
      </c>
      <c r="Y1230" t="inlineStr">
        <is>
          <t>403</t>
        </is>
      </c>
      <c r="Z1230" t="n">
        <v>2.9</v>
      </c>
      <c r="AA1230" t="inlineStr">
        <is>
          <t>801+</t>
        </is>
      </c>
      <c r="AB1230" t="n">
        <v>7.3</v>
      </c>
      <c r="AC1230" t="inlineStr">
        <is>
          <t>801+</t>
        </is>
      </c>
      <c r="AD1230" t="n">
        <v>32.1</v>
      </c>
      <c r="AE1230" t="inlineStr">
        <is>
          <t>801+</t>
        </is>
      </c>
      <c r="AF1230" t="n">
        <v>12.5</v>
      </c>
      <c r="AG1230" t="inlineStr">
        <is>
          <t>801+</t>
        </is>
      </c>
      <c r="AH1230" t="n">
        <v>54.8</v>
      </c>
      <c r="AI1230" t="inlineStr">
        <is>
          <t>606=</t>
        </is>
      </c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</row>
    <row r="1231">
      <c r="A1231" t="inlineStr">
        <is>
          <t>Universidad de Santander - UDES</t>
        </is>
      </c>
      <c r="B1231" t="inlineStr">
        <is>
          <t>Colombia</t>
        </is>
      </c>
      <c r="C1231" t="inlineStr">
        <is>
          <t>CO</t>
        </is>
      </c>
      <c r="D1231" t="inlineStr"/>
      <c r="E1231" t="inlineStr">
        <is>
          <t>L</t>
        </is>
      </c>
      <c r="F1231" t="inlineStr">
        <is>
          <t>FO</t>
        </is>
      </c>
      <c r="G1231" t="inlineStr">
        <is>
          <t>MD</t>
        </is>
      </c>
      <c r="H1231" t="inlineStr">
        <is>
          <t>3</t>
        </is>
      </c>
      <c r="I1231" t="inlineStr">
        <is>
          <t>C</t>
        </is>
      </c>
      <c r="J1231" t="inlineStr"/>
      <c r="K1231" t="inlineStr"/>
      <c r="L1231" t="inlineStr">
        <is>
          <t>1401+</t>
        </is>
      </c>
      <c r="M1231" t="inlineStr">
        <is>
          <t>1201-1400</t>
        </is>
      </c>
      <c r="N1231" t="inlineStr"/>
      <c r="O1231" t="inlineStr">
        <is>
          <t>-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>
        <is>
          <t>3.8</t>
        </is>
      </c>
      <c r="AK1231" t="inlineStr">
        <is>
          <t>601+</t>
        </is>
      </c>
      <c r="AL1231" t="inlineStr">
        <is>
          <t>2.9</t>
        </is>
      </c>
      <c r="AM1231" t="inlineStr">
        <is>
          <t>601+</t>
        </is>
      </c>
      <c r="AN1231" t="inlineStr">
        <is>
          <t>6.7</t>
        </is>
      </c>
      <c r="AO1231" t="inlineStr">
        <is>
          <t>701+</t>
        </is>
      </c>
      <c r="AP1231" t="inlineStr">
        <is>
          <t>1.3</t>
        </is>
      </c>
      <c r="AQ1231" t="inlineStr">
        <is>
          <t>701+</t>
        </is>
      </c>
      <c r="AR1231" t="inlineStr">
        <is>
          <t>8.7</t>
        </is>
      </c>
      <c r="AS1231" t="inlineStr">
        <is>
          <t>701+</t>
        </is>
      </c>
      <c r="AT1231" t="inlineStr">
        <is>
          <t>1.6</t>
        </is>
      </c>
      <c r="AU1231" t="inlineStr">
        <is>
          <t>701+</t>
        </is>
      </c>
      <c r="AV1231" t="inlineStr">
        <is>
          <t>1.0</t>
        </is>
      </c>
      <c r="AW1231" t="inlineStr">
        <is>
          <t>701+</t>
        </is>
      </c>
      <c r="AX1231" t="inlineStr">
        <is>
          <t>8</t>
        </is>
      </c>
      <c r="AY1231" t="inlineStr">
        <is>
          <t>701+</t>
        </is>
      </c>
      <c r="AZ1231" t="inlineStr">
        <is>
          <t>1</t>
        </is>
      </c>
      <c r="BA1231" t="inlineStr">
        <is>
          <t>701+</t>
        </is>
      </c>
    </row>
    <row r="1232">
      <c r="A1232" t="inlineStr">
        <is>
          <t>Universidad de Santiago de Chile - USACH</t>
        </is>
      </c>
      <c r="B1232" t="inlineStr">
        <is>
          <t>Chile</t>
        </is>
      </c>
      <c r="C1232" t="inlineStr">
        <is>
          <t>CL</t>
        </is>
      </c>
      <c r="D1232" t="inlineStr">
        <is>
          <t>Americas</t>
        </is>
      </c>
      <c r="E1232" t="inlineStr">
        <is>
          <t>L</t>
        </is>
      </c>
      <c r="F1232" t="inlineStr">
        <is>
          <t>FC</t>
        </is>
      </c>
      <c r="G1232" t="inlineStr">
        <is>
          <t>HI</t>
        </is>
      </c>
      <c r="H1232" t="inlineStr">
        <is>
          <t>5</t>
        </is>
      </c>
      <c r="I1232" t="inlineStr">
        <is>
          <t>Public</t>
        </is>
      </c>
      <c r="J1232" t="inlineStr">
        <is>
          <t>490</t>
        </is>
      </c>
      <c r="K1232" t="inlineStr">
        <is>
          <t>461</t>
        </is>
      </c>
      <c r="L1232">
        <f>410</f>
        <v/>
      </c>
      <c r="M1232" t="inlineStr">
        <is>
          <t>465=</t>
        </is>
      </c>
      <c r="N1232" t="inlineStr">
        <is>
          <t>32.7</t>
        </is>
      </c>
      <c r="O1232" t="inlineStr">
        <is>
          <t>27.2</t>
        </is>
      </c>
      <c r="P1232" t="n">
        <v>50.4</v>
      </c>
      <c r="Q1232" t="inlineStr">
        <is>
          <t>222</t>
        </is>
      </c>
      <c r="R1232" t="n">
        <v>59.9</v>
      </c>
      <c r="S1232" t="inlineStr">
        <is>
          <t>193</t>
        </is>
      </c>
      <c r="T1232" t="n">
        <v>11.4</v>
      </c>
      <c r="U1232" t="inlineStr">
        <is>
          <t>801+</t>
        </is>
      </c>
      <c r="V1232" t="n">
        <v>7.8</v>
      </c>
      <c r="W1232" t="inlineStr">
        <is>
          <t>801+</t>
        </is>
      </c>
      <c r="X1232" t="n">
        <v>10.6</v>
      </c>
      <c r="Y1232" t="inlineStr">
        <is>
          <t>801+</t>
        </is>
      </c>
      <c r="Z1232" t="n">
        <v>3.8</v>
      </c>
      <c r="AA1232" t="inlineStr">
        <is>
          <t>801+</t>
        </is>
      </c>
      <c r="AB1232" t="n">
        <v>8</v>
      </c>
      <c r="AC1232" t="inlineStr">
        <is>
          <t>801+</t>
        </is>
      </c>
      <c r="AD1232" t="n">
        <v>53.9</v>
      </c>
      <c r="AE1232" t="inlineStr">
        <is>
          <t>783</t>
        </is>
      </c>
      <c r="AF1232" t="n">
        <v>17.5</v>
      </c>
      <c r="AG1232" t="inlineStr">
        <is>
          <t>772</t>
        </is>
      </c>
      <c r="AH1232" t="n">
        <v>53.7</v>
      </c>
      <c r="AI1232" t="inlineStr">
        <is>
          <t>627=</t>
        </is>
      </c>
      <c r="AJ1232" t="inlineStr">
        <is>
          <t>43.3</t>
        </is>
      </c>
      <c r="AK1232" t="inlineStr">
        <is>
          <t>197</t>
        </is>
      </c>
      <c r="AL1232" t="inlineStr">
        <is>
          <t>72.9</t>
        </is>
      </c>
      <c r="AM1232" t="inlineStr">
        <is>
          <t>92</t>
        </is>
      </c>
      <c r="AN1232" t="inlineStr">
        <is>
          <t>8.7</t>
        </is>
      </c>
      <c r="AO1232" t="inlineStr">
        <is>
          <t>701+</t>
        </is>
      </c>
      <c r="AP1232" t="inlineStr">
        <is>
          <t>4.0</t>
        </is>
      </c>
      <c r="AQ1232" t="inlineStr">
        <is>
          <t>701+</t>
        </is>
      </c>
      <c r="AR1232" t="inlineStr">
        <is>
          <t>6.6</t>
        </is>
      </c>
      <c r="AS1232" t="inlineStr">
        <is>
          <t>701+</t>
        </is>
      </c>
      <c r="AT1232" t="inlineStr">
        <is>
          <t>2.2</t>
        </is>
      </c>
      <c r="AU1232" t="inlineStr">
        <is>
          <t>701+</t>
        </is>
      </c>
      <c r="AV1232" t="inlineStr">
        <is>
          <t>7.3</t>
        </is>
      </c>
      <c r="AW1232" t="inlineStr">
        <is>
          <t>701+</t>
        </is>
      </c>
      <c r="AX1232" t="inlineStr">
        <is>
          <t>4</t>
        </is>
      </c>
      <c r="AY1232" t="inlineStr">
        <is>
          <t>701+</t>
        </is>
      </c>
      <c r="AZ1232" t="inlineStr">
        <is>
          <t>12.9</t>
        </is>
      </c>
      <c r="BA1232" t="inlineStr">
        <is>
          <t>635</t>
        </is>
      </c>
    </row>
    <row r="1233">
      <c r="A1233" t="inlineStr">
        <is>
          <t>Universidad de Sevilla</t>
        </is>
      </c>
      <c r="B1233" t="inlineStr">
        <is>
          <t>Spain</t>
        </is>
      </c>
      <c r="C1233" t="inlineStr">
        <is>
          <t>ES</t>
        </is>
      </c>
      <c r="D1233" t="inlineStr">
        <is>
          <t>Europe</t>
        </is>
      </c>
      <c r="E1233" t="inlineStr">
        <is>
          <t>XL</t>
        </is>
      </c>
      <c r="F1233" t="inlineStr">
        <is>
          <t>FC</t>
        </is>
      </c>
      <c r="G1233" t="inlineStr">
        <is>
          <t>VH</t>
        </is>
      </c>
      <c r="H1233" t="inlineStr">
        <is>
          <t>5</t>
        </is>
      </c>
      <c r="I1233" t="inlineStr">
        <is>
          <t>Public</t>
        </is>
      </c>
      <c r="J1233" t="inlineStr">
        <is>
          <t>469</t>
        </is>
      </c>
      <c r="K1233" t="inlineStr">
        <is>
          <t>462</t>
        </is>
      </c>
      <c r="L1233">
        <f>494</f>
        <v/>
      </c>
      <c r="M1233" t="inlineStr">
        <is>
          <t>561-570</t>
        </is>
      </c>
      <c r="N1233" t="inlineStr">
        <is>
          <t>33.7</t>
        </is>
      </c>
      <c r="O1233" t="inlineStr">
        <is>
          <t>23.4</t>
        </is>
      </c>
      <c r="P1233" t="n">
        <v>52.7</v>
      </c>
      <c r="Q1233" t="inlineStr">
        <is>
          <t>210</t>
        </is>
      </c>
      <c r="R1233" t="n">
        <v>20.6</v>
      </c>
      <c r="S1233" t="inlineStr">
        <is>
          <t>640</t>
        </is>
      </c>
      <c r="T1233" t="n">
        <v>23.4</v>
      </c>
      <c r="U1233" t="inlineStr">
        <is>
          <t>763</t>
        </is>
      </c>
      <c r="V1233" t="n">
        <v>15.1</v>
      </c>
      <c r="W1233" t="inlineStr">
        <is>
          <t>801+</t>
        </is>
      </c>
      <c r="X1233" t="n">
        <v>5.1</v>
      </c>
      <c r="Y1233" t="inlineStr">
        <is>
          <t>801+</t>
        </is>
      </c>
      <c r="Z1233" t="n">
        <v>25.8</v>
      </c>
      <c r="AA1233" t="inlineStr">
        <is>
          <t>648</t>
        </is>
      </c>
      <c r="AB1233" t="n">
        <v>31.9</v>
      </c>
      <c r="AC1233" t="inlineStr">
        <is>
          <t>591</t>
        </is>
      </c>
      <c r="AD1233" t="n">
        <v>90.8</v>
      </c>
      <c r="AE1233" t="inlineStr">
        <is>
          <t>164</t>
        </is>
      </c>
      <c r="AF1233" t="n">
        <v>22.1</v>
      </c>
      <c r="AG1233" t="inlineStr">
        <is>
          <t>694</t>
        </is>
      </c>
      <c r="AH1233" t="n">
        <v>66.09999999999999</v>
      </c>
      <c r="AI1233" t="inlineStr">
        <is>
          <t>376=</t>
        </is>
      </c>
      <c r="AJ1233" t="inlineStr">
        <is>
          <t>38.8</t>
        </is>
      </c>
      <c r="AK1233" t="inlineStr">
        <is>
          <t>220</t>
        </is>
      </c>
      <c r="AL1233" t="inlineStr">
        <is>
          <t>10.4</t>
        </is>
      </c>
      <c r="AM1233" t="inlineStr">
        <is>
          <t>601+</t>
        </is>
      </c>
      <c r="AN1233" t="inlineStr">
        <is>
          <t>16.7</t>
        </is>
      </c>
      <c r="AO1233" t="inlineStr">
        <is>
          <t>701+</t>
        </is>
      </c>
      <c r="AP1233" t="inlineStr">
        <is>
          <t>8.5</t>
        </is>
      </c>
      <c r="AQ1233" t="inlineStr">
        <is>
          <t>701+</t>
        </is>
      </c>
      <c r="AR1233" t="inlineStr">
        <is>
          <t>3.6</t>
        </is>
      </c>
      <c r="AS1233" t="inlineStr">
        <is>
          <t>701+</t>
        </is>
      </c>
      <c r="AT1233" t="inlineStr">
        <is>
          <t>16.0</t>
        </is>
      </c>
      <c r="AU1233" t="inlineStr">
        <is>
          <t>599</t>
        </is>
      </c>
      <c r="AV1233" t="inlineStr">
        <is>
          <t>82.0</t>
        </is>
      </c>
      <c r="AW1233" t="inlineStr">
        <is>
          <t>135</t>
        </is>
      </c>
      <c r="AX1233" t="inlineStr">
        <is>
          <t>8</t>
        </is>
      </c>
      <c r="AY1233" t="inlineStr">
        <is>
          <t>701+</t>
        </is>
      </c>
      <c r="AZ1233" t="inlineStr">
        <is>
          <t>29.1</t>
        </is>
      </c>
      <c r="BA1233" t="inlineStr">
        <is>
          <t>456=</t>
        </is>
      </c>
    </row>
    <row r="1234">
      <c r="A1234" t="inlineStr">
        <is>
          <t>Universidad de Sonora</t>
        </is>
      </c>
      <c r="B1234" t="inlineStr">
        <is>
          <t>Mexico</t>
        </is>
      </c>
      <c r="C1234" t="inlineStr">
        <is>
          <t>MX</t>
        </is>
      </c>
      <c r="D1234" t="inlineStr"/>
      <c r="E1234" t="inlineStr">
        <is>
          <t>XL</t>
        </is>
      </c>
      <c r="F1234" t="inlineStr">
        <is>
          <t>CO</t>
        </is>
      </c>
      <c r="G1234" t="inlineStr">
        <is>
          <t>HI</t>
        </is>
      </c>
      <c r="H1234" t="inlineStr">
        <is>
          <t>4</t>
        </is>
      </c>
      <c r="I1234" t="inlineStr">
        <is>
          <t>A</t>
        </is>
      </c>
      <c r="J1234" t="inlineStr"/>
      <c r="K1234" t="inlineStr"/>
      <c r="L1234" t="inlineStr">
        <is>
          <t>1401+</t>
        </is>
      </c>
      <c r="M1234" t="inlineStr">
        <is>
          <t>1201-1400</t>
        </is>
      </c>
      <c r="N1234" t="inlineStr"/>
      <c r="O1234" t="inlineStr">
        <is>
          <t>-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>
        <is>
          <t>4.0</t>
        </is>
      </c>
      <c r="AK1234" t="inlineStr">
        <is>
          <t>601+</t>
        </is>
      </c>
      <c r="AL1234" t="inlineStr">
        <is>
          <t>1.7</t>
        </is>
      </c>
      <c r="AM1234" t="inlineStr">
        <is>
          <t>601+</t>
        </is>
      </c>
      <c r="AN1234" t="inlineStr">
        <is>
          <t>4.5</t>
        </is>
      </c>
      <c r="AO1234" t="inlineStr">
        <is>
          <t>701+</t>
        </is>
      </c>
      <c r="AP1234" t="inlineStr">
        <is>
          <t>1.8</t>
        </is>
      </c>
      <c r="AQ1234" t="inlineStr">
        <is>
          <t>701+</t>
        </is>
      </c>
      <c r="AR1234" t="inlineStr">
        <is>
          <t>3.7</t>
        </is>
      </c>
      <c r="AS1234" t="inlineStr">
        <is>
          <t>701+</t>
        </is>
      </c>
      <c r="AT1234" t="inlineStr">
        <is>
          <t>1.5</t>
        </is>
      </c>
      <c r="AU1234" t="inlineStr">
        <is>
          <t>701+</t>
        </is>
      </c>
      <c r="AV1234" t="inlineStr">
        <is>
          <t>1.0</t>
        </is>
      </c>
      <c r="AW1234" t="inlineStr">
        <is>
          <t>701+</t>
        </is>
      </c>
      <c r="AX1234" t="inlineStr">
        <is>
          <t>8.2</t>
        </is>
      </c>
      <c r="AY1234" t="inlineStr">
        <is>
          <t>701+</t>
        </is>
      </c>
      <c r="AZ1234" t="inlineStr">
        <is>
          <t>1</t>
        </is>
      </c>
      <c r="BA1234" t="inlineStr">
        <is>
          <t>701+</t>
        </is>
      </c>
    </row>
    <row r="1235">
      <c r="A1235" t="inlineStr">
        <is>
          <t>Universidad de Talca</t>
        </is>
      </c>
      <c r="B1235" t="inlineStr">
        <is>
          <t>Chile</t>
        </is>
      </c>
      <c r="C1235" t="inlineStr">
        <is>
          <t>CL</t>
        </is>
      </c>
      <c r="D1235" t="inlineStr">
        <is>
          <t>Americas</t>
        </is>
      </c>
      <c r="E1235" t="inlineStr">
        <is>
          <t>M</t>
        </is>
      </c>
      <c r="F1235" t="inlineStr">
        <is>
          <t>FO</t>
        </is>
      </c>
      <c r="G1235" t="inlineStr">
        <is>
          <t>VH</t>
        </is>
      </c>
      <c r="H1235" t="inlineStr">
        <is>
          <t>3</t>
        </is>
      </c>
      <c r="I1235" t="inlineStr">
        <is>
          <t>Public</t>
        </is>
      </c>
      <c r="J1235" t="inlineStr">
        <is>
          <t>1001-1200</t>
        </is>
      </c>
      <c r="K1235" t="inlineStr">
        <is>
          <t>1001-1200</t>
        </is>
      </c>
      <c r="L1235" t="inlineStr">
        <is>
          <t>1001-1200</t>
        </is>
      </c>
      <c r="M1235" t="inlineStr">
        <is>
          <t>1001-1200</t>
        </is>
      </c>
      <c r="N1235" t="inlineStr">
        <is>
          <t>-</t>
        </is>
      </c>
      <c r="O1235" t="inlineStr">
        <is>
          <t>-</t>
        </is>
      </c>
      <c r="P1235" t="n">
        <v>14.4</v>
      </c>
      <c r="Q1235" t="inlineStr">
        <is>
          <t>701+</t>
        </is>
      </c>
      <c r="R1235" t="n">
        <v>11.7</v>
      </c>
      <c r="S1235" t="inlineStr">
        <is>
          <t>701+</t>
        </is>
      </c>
      <c r="T1235" t="n">
        <v>9.1</v>
      </c>
      <c r="U1235" t="inlineStr">
        <is>
          <t>801+</t>
        </is>
      </c>
      <c r="V1235" t="n">
        <v>13.2</v>
      </c>
      <c r="W1235" t="inlineStr">
        <is>
          <t>801+</t>
        </is>
      </c>
      <c r="X1235" t="n">
        <v>27.4</v>
      </c>
      <c r="Y1235" t="inlineStr">
        <is>
          <t>619</t>
        </is>
      </c>
      <c r="Z1235" t="n">
        <v>1.9</v>
      </c>
      <c r="AA1235" t="inlineStr">
        <is>
          <t>801+</t>
        </is>
      </c>
      <c r="AB1235" t="n">
        <v>1.7</v>
      </c>
      <c r="AC1235" t="inlineStr">
        <is>
          <t>801+</t>
        </is>
      </c>
      <c r="AD1235" t="n">
        <v>46.4</v>
      </c>
      <c r="AE1235" t="inlineStr">
        <is>
          <t>801+</t>
        </is>
      </c>
      <c r="AF1235" t="n">
        <v>2.5</v>
      </c>
      <c r="AG1235" t="inlineStr">
        <is>
          <t>801+</t>
        </is>
      </c>
      <c r="AH1235" t="n">
        <v>29.4</v>
      </c>
      <c r="AI1235" t="inlineStr">
        <is>
          <t>801+</t>
        </is>
      </c>
      <c r="AJ1235" t="inlineStr">
        <is>
          <t>11.0</t>
        </is>
      </c>
      <c r="AK1235" t="inlineStr">
        <is>
          <t>601+</t>
        </is>
      </c>
      <c r="AL1235" t="inlineStr">
        <is>
          <t>8.6</t>
        </is>
      </c>
      <c r="AM1235" t="inlineStr">
        <is>
          <t>601+</t>
        </is>
      </c>
      <c r="AN1235" t="inlineStr">
        <is>
          <t>6.7</t>
        </is>
      </c>
      <c r="AO1235" t="inlineStr">
        <is>
          <t>701+</t>
        </is>
      </c>
      <c r="AP1235" t="inlineStr">
        <is>
          <t>5.7</t>
        </is>
      </c>
      <c r="AQ1235" t="inlineStr">
        <is>
          <t>701+</t>
        </is>
      </c>
      <c r="AR1235" t="inlineStr">
        <is>
          <t>22.5</t>
        </is>
      </c>
      <c r="AS1235" t="inlineStr">
        <is>
          <t>567</t>
        </is>
      </c>
      <c r="AT1235" t="inlineStr">
        <is>
          <t>1.4</t>
        </is>
      </c>
      <c r="AU1235" t="inlineStr">
        <is>
          <t>701+</t>
        </is>
      </c>
      <c r="AV1235" t="inlineStr">
        <is>
          <t>3.8</t>
        </is>
      </c>
      <c r="AW1235" t="inlineStr">
        <is>
          <t>701+</t>
        </is>
      </c>
      <c r="AX1235" t="inlineStr">
        <is>
          <t>6.8</t>
        </is>
      </c>
      <c r="AY1235" t="inlineStr">
        <is>
          <t>701+</t>
        </is>
      </c>
      <c r="AZ1235" t="inlineStr">
        <is>
          <t>7</t>
        </is>
      </c>
      <c r="BA1235" t="inlineStr">
        <is>
          <t>701+</t>
        </is>
      </c>
    </row>
    <row r="1236">
      <c r="A1236" t="inlineStr">
        <is>
          <t>Universidad de Tarapaca</t>
        </is>
      </c>
      <c r="B1236" t="inlineStr">
        <is>
          <t>Chile</t>
        </is>
      </c>
      <c r="C1236" t="inlineStr">
        <is>
          <t>CL</t>
        </is>
      </c>
      <c r="D1236" t="inlineStr">
        <is>
          <t>Americas</t>
        </is>
      </c>
      <c r="E1236" t="inlineStr">
        <is>
          <t>M</t>
        </is>
      </c>
      <c r="F1236" t="inlineStr">
        <is>
          <t>CO</t>
        </is>
      </c>
      <c r="G1236" t="inlineStr">
        <is>
          <t>VH</t>
        </is>
      </c>
      <c r="H1236" t="inlineStr">
        <is>
          <t>3</t>
        </is>
      </c>
      <c r="I1236" t="inlineStr">
        <is>
          <t>Public</t>
        </is>
      </c>
      <c r="J1236" t="inlineStr">
        <is>
          <t>1401+</t>
        </is>
      </c>
      <c r="K1236" t="inlineStr">
        <is>
          <t>1201-1400</t>
        </is>
      </c>
      <c r="L1236" t="inlineStr">
        <is>
          <t>1401+</t>
        </is>
      </c>
      <c r="M1236" t="inlineStr">
        <is>
          <t>1401+</t>
        </is>
      </c>
      <c r="N1236" t="inlineStr">
        <is>
          <t>-</t>
        </is>
      </c>
      <c r="O1236" t="inlineStr">
        <is>
          <t>-</t>
        </is>
      </c>
      <c r="P1236" t="n">
        <v>4.1</v>
      </c>
      <c r="Q1236" t="inlineStr">
        <is>
          <t>701+</t>
        </is>
      </c>
      <c r="R1236" t="n">
        <v>2.1</v>
      </c>
      <c r="S1236" t="inlineStr">
        <is>
          <t>701+</t>
        </is>
      </c>
      <c r="T1236" t="n">
        <v>4.4</v>
      </c>
      <c r="U1236" t="inlineStr">
        <is>
          <t>801+</t>
        </is>
      </c>
      <c r="V1236" t="n">
        <v>20.4</v>
      </c>
      <c r="W1236" t="inlineStr">
        <is>
          <t>706</t>
        </is>
      </c>
      <c r="X1236" t="n">
        <v>17.7</v>
      </c>
      <c r="Y1236" t="inlineStr">
        <is>
          <t>755</t>
        </is>
      </c>
      <c r="Z1236" t="inlineStr"/>
      <c r="AA1236" t="inlineStr"/>
      <c r="AB1236" t="inlineStr"/>
      <c r="AC1236" t="inlineStr"/>
      <c r="AD1236" t="n">
        <v>49.6</v>
      </c>
      <c r="AE1236" t="inlineStr">
        <is>
          <t>801+</t>
        </is>
      </c>
      <c r="AF1236" t="n">
        <v>2.5</v>
      </c>
      <c r="AG1236" t="inlineStr">
        <is>
          <t>801+</t>
        </is>
      </c>
      <c r="AH1236" t="n">
        <v>21</v>
      </c>
      <c r="AI1236" t="inlineStr">
        <is>
          <t>801+</t>
        </is>
      </c>
      <c r="AJ1236" t="inlineStr">
        <is>
          <t>3.6</t>
        </is>
      </c>
      <c r="AK1236" t="inlineStr">
        <is>
          <t>601+</t>
        </is>
      </c>
      <c r="AL1236" t="inlineStr">
        <is>
          <t>2.3</t>
        </is>
      </c>
      <c r="AM1236" t="inlineStr">
        <is>
          <t>601+</t>
        </is>
      </c>
      <c r="AN1236" t="inlineStr">
        <is>
          <t>2.1</t>
        </is>
      </c>
      <c r="AO1236" t="inlineStr">
        <is>
          <t>701+</t>
        </is>
      </c>
      <c r="AP1236" t="inlineStr">
        <is>
          <t>8.0</t>
        </is>
      </c>
      <c r="AQ1236" t="inlineStr">
        <is>
          <t>701+</t>
        </is>
      </c>
      <c r="AR1236" t="inlineStr"/>
      <c r="AS1236" t="inlineStr"/>
      <c r="AT1236" t="inlineStr"/>
      <c r="AU1236" t="inlineStr"/>
      <c r="AV1236" t="inlineStr">
        <is>
          <t>2.6</t>
        </is>
      </c>
      <c r="AW1236" t="inlineStr">
        <is>
          <t>701+</t>
        </is>
      </c>
      <c r="AX1236" t="inlineStr">
        <is>
          <t>4.1</t>
        </is>
      </c>
      <c r="AY1236" t="inlineStr">
        <is>
          <t>701+</t>
        </is>
      </c>
      <c r="AZ1236" t="inlineStr">
        <is>
          <t>1</t>
        </is>
      </c>
      <c r="BA1236" t="inlineStr">
        <is>
          <t>701+</t>
        </is>
      </c>
    </row>
    <row r="1237">
      <c r="A1237" t="inlineStr">
        <is>
          <t>Universidad de Valladolid</t>
        </is>
      </c>
      <c r="B1237" t="inlineStr">
        <is>
          <t>Spain</t>
        </is>
      </c>
      <c r="C1237" t="inlineStr">
        <is>
          <t>ES</t>
        </is>
      </c>
      <c r="D1237" t="inlineStr">
        <is>
          <t>Europe</t>
        </is>
      </c>
      <c r="E1237" t="inlineStr">
        <is>
          <t>L</t>
        </is>
      </c>
      <c r="F1237" t="inlineStr">
        <is>
          <t>CO</t>
        </is>
      </c>
      <c r="G1237" t="inlineStr">
        <is>
          <t>VH</t>
        </is>
      </c>
      <c r="H1237" t="inlineStr">
        <is>
          <t>4</t>
        </is>
      </c>
      <c r="I1237" t="inlineStr"/>
      <c r="J1237" t="inlineStr">
        <is>
          <t>901-950</t>
        </is>
      </c>
      <c r="K1237" t="inlineStr">
        <is>
          <t>851-900</t>
        </is>
      </c>
      <c r="L1237" t="inlineStr">
        <is>
          <t>951-1000</t>
        </is>
      </c>
      <c r="M1237" t="inlineStr">
        <is>
          <t>1001-1200</t>
        </is>
      </c>
      <c r="N1237" t="inlineStr">
        <is>
          <t>-</t>
        </is>
      </c>
      <c r="O1237" t="inlineStr">
        <is>
          <t>-</t>
        </is>
      </c>
      <c r="P1237" t="n">
        <v>16.1</v>
      </c>
      <c r="Q1237" t="inlineStr">
        <is>
          <t>701+</t>
        </is>
      </c>
      <c r="R1237" t="n">
        <v>6.4</v>
      </c>
      <c r="S1237" t="inlineStr">
        <is>
          <t>701+</t>
        </is>
      </c>
      <c r="T1237" t="n">
        <v>41.2</v>
      </c>
      <c r="U1237" t="inlineStr">
        <is>
          <t>491</t>
        </is>
      </c>
      <c r="V1237" t="n">
        <v>7.1</v>
      </c>
      <c r="W1237" t="inlineStr">
        <is>
          <t>801+</t>
        </is>
      </c>
      <c r="X1237" t="n">
        <v>9.6</v>
      </c>
      <c r="Y1237" t="inlineStr">
        <is>
          <t>801+</t>
        </is>
      </c>
      <c r="Z1237" t="n">
        <v>7.7</v>
      </c>
      <c r="AA1237" t="inlineStr">
        <is>
          <t>801+</t>
        </is>
      </c>
      <c r="AB1237" t="n">
        <v>13.3</v>
      </c>
      <c r="AC1237" t="inlineStr">
        <is>
          <t>801+</t>
        </is>
      </c>
      <c r="AD1237" t="n">
        <v>84.90000000000001</v>
      </c>
      <c r="AE1237" t="inlineStr">
        <is>
          <t>257</t>
        </is>
      </c>
      <c r="AF1237" t="n">
        <v>20.3</v>
      </c>
      <c r="AG1237" t="inlineStr">
        <is>
          <t>721</t>
        </is>
      </c>
      <c r="AH1237" t="n">
        <v>59.2</v>
      </c>
      <c r="AI1237" t="inlineStr">
        <is>
          <t>516=</t>
        </is>
      </c>
      <c r="AJ1237" t="inlineStr">
        <is>
          <t>10.3</t>
        </is>
      </c>
      <c r="AK1237" t="inlineStr">
        <is>
          <t>601+</t>
        </is>
      </c>
      <c r="AL1237" t="inlineStr">
        <is>
          <t>3.6</t>
        </is>
      </c>
      <c r="AM1237" t="inlineStr">
        <is>
          <t>601+</t>
        </is>
      </c>
      <c r="AN1237" t="inlineStr">
        <is>
          <t>30.0</t>
        </is>
      </c>
      <c r="AO1237" t="inlineStr">
        <is>
          <t>521</t>
        </is>
      </c>
      <c r="AP1237" t="inlineStr">
        <is>
          <t>4.5</t>
        </is>
      </c>
      <c r="AQ1237" t="inlineStr">
        <is>
          <t>701+</t>
        </is>
      </c>
      <c r="AR1237" t="inlineStr">
        <is>
          <t>5.3</t>
        </is>
      </c>
      <c r="AS1237" t="inlineStr">
        <is>
          <t>701+</t>
        </is>
      </c>
      <c r="AT1237" t="inlineStr">
        <is>
          <t>3.9</t>
        </is>
      </c>
      <c r="AU1237" t="inlineStr">
        <is>
          <t>701+</t>
        </is>
      </c>
      <c r="AV1237" t="inlineStr">
        <is>
          <t>54.4</t>
        </is>
      </c>
      <c r="AW1237" t="inlineStr">
        <is>
          <t>290</t>
        </is>
      </c>
      <c r="AX1237" t="inlineStr">
        <is>
          <t>9.5</t>
        </is>
      </c>
      <c r="AY1237" t="inlineStr">
        <is>
          <t>701+</t>
        </is>
      </c>
      <c r="AZ1237" t="inlineStr"/>
      <c r="BA1237" t="inlineStr"/>
    </row>
    <row r="1238">
      <c r="A1238" t="inlineStr">
        <is>
          <t>Universidad de Valparaíso</t>
        </is>
      </c>
      <c r="B1238" t="inlineStr">
        <is>
          <t>Chile</t>
        </is>
      </c>
      <c r="C1238" t="inlineStr"/>
      <c r="D1238" t="inlineStr">
        <is>
          <t>Americas</t>
        </is>
      </c>
      <c r="E1238" t="inlineStr">
        <is>
          <t>L</t>
        </is>
      </c>
      <c r="F1238" t="inlineStr">
        <is>
          <t>FC</t>
        </is>
      </c>
      <c r="G1238" t="inlineStr">
        <is>
          <t>HI</t>
        </is>
      </c>
      <c r="H1238" t="inlineStr"/>
      <c r="I1238" t="inlineStr">
        <is>
          <t>Public</t>
        </is>
      </c>
      <c r="J1238" t="inlineStr">
        <is>
          <t>1201-1400</t>
        </is>
      </c>
      <c r="K1238" t="inlineStr">
        <is>
          <t>1201-1400</t>
        </is>
      </c>
      <c r="L1238" t="inlineStr"/>
      <c r="M1238" t="inlineStr"/>
      <c r="N1238" t="inlineStr">
        <is>
          <t>-</t>
        </is>
      </c>
      <c r="O1238" t="inlineStr"/>
      <c r="P1238" t="n">
        <v>15.5</v>
      </c>
      <c r="Q1238" t="inlineStr">
        <is>
          <t>701+</t>
        </is>
      </c>
      <c r="R1238" t="n">
        <v>8.4</v>
      </c>
      <c r="S1238" t="inlineStr">
        <is>
          <t>701+</t>
        </is>
      </c>
      <c r="T1238" t="n">
        <v>12.8</v>
      </c>
      <c r="U1238" t="inlineStr">
        <is>
          <t>801+</t>
        </is>
      </c>
      <c r="V1238" t="n">
        <v>5</v>
      </c>
      <c r="W1238" t="inlineStr">
        <is>
          <t>801+</t>
        </is>
      </c>
      <c r="X1238" t="n">
        <v>8.6</v>
      </c>
      <c r="Y1238" t="inlineStr">
        <is>
          <t>801+</t>
        </is>
      </c>
      <c r="Z1238" t="n">
        <v>2.9</v>
      </c>
      <c r="AA1238" t="inlineStr">
        <is>
          <t>801+</t>
        </is>
      </c>
      <c r="AB1238" t="n">
        <v>2.4</v>
      </c>
      <c r="AC1238" t="inlineStr">
        <is>
          <t>801+</t>
        </is>
      </c>
      <c r="AD1238" t="n">
        <v>34.3</v>
      </c>
      <c r="AE1238" t="inlineStr">
        <is>
          <t>801+</t>
        </is>
      </c>
      <c r="AF1238" t="n">
        <v>4.8</v>
      </c>
      <c r="AG1238" t="inlineStr">
        <is>
          <t>801+</t>
        </is>
      </c>
      <c r="AH1238" t="n">
        <v>39.7</v>
      </c>
      <c r="AI1238" t="inlineStr">
        <is>
          <t>801+</t>
        </is>
      </c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</row>
    <row r="1239">
      <c r="A1239" t="inlineStr">
        <is>
          <t>Universidad de Valparaíso (UV)</t>
        </is>
      </c>
      <c r="B1239" t="inlineStr">
        <is>
          <t>Chile</t>
        </is>
      </c>
      <c r="C1239" t="inlineStr">
        <is>
          <t>CL</t>
        </is>
      </c>
      <c r="D1239" t="inlineStr"/>
      <c r="E1239" t="inlineStr">
        <is>
          <t>L</t>
        </is>
      </c>
      <c r="F1239" t="inlineStr">
        <is>
          <t>FC</t>
        </is>
      </c>
      <c r="G1239" t="inlineStr">
        <is>
          <t>MD</t>
        </is>
      </c>
      <c r="H1239" t="inlineStr">
        <is>
          <t>3</t>
        </is>
      </c>
      <c r="I1239" t="inlineStr">
        <is>
          <t>A</t>
        </is>
      </c>
      <c r="J1239" t="inlineStr"/>
      <c r="K1239" t="inlineStr"/>
      <c r="L1239" t="inlineStr">
        <is>
          <t>1201-1400</t>
        </is>
      </c>
      <c r="M1239" t="inlineStr">
        <is>
          <t>1001-1200</t>
        </is>
      </c>
      <c r="N1239" t="inlineStr"/>
      <c r="O1239" t="inlineStr">
        <is>
          <t>-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>
        <is>
          <t>10.4</t>
        </is>
      </c>
      <c r="AK1239" t="inlineStr">
        <is>
          <t>601+</t>
        </is>
      </c>
      <c r="AL1239" t="inlineStr">
        <is>
          <t>6.8</t>
        </is>
      </c>
      <c r="AM1239" t="inlineStr">
        <is>
          <t>601+</t>
        </is>
      </c>
      <c r="AN1239" t="inlineStr">
        <is>
          <t>7.8</t>
        </is>
      </c>
      <c r="AO1239" t="inlineStr">
        <is>
          <t>701+</t>
        </is>
      </c>
      <c r="AP1239" t="inlineStr">
        <is>
          <t>3.5</t>
        </is>
      </c>
      <c r="AQ1239" t="inlineStr">
        <is>
          <t>701+</t>
        </is>
      </c>
      <c r="AR1239" t="inlineStr">
        <is>
          <t>7.2</t>
        </is>
      </c>
      <c r="AS1239" t="inlineStr">
        <is>
          <t>701+</t>
        </is>
      </c>
      <c r="AT1239" t="inlineStr">
        <is>
          <t>1.8</t>
        </is>
      </c>
      <c r="AU1239" t="inlineStr">
        <is>
          <t>701+</t>
        </is>
      </c>
      <c r="AV1239" t="inlineStr">
        <is>
          <t>4.6</t>
        </is>
      </c>
      <c r="AW1239" t="inlineStr">
        <is>
          <t>701+</t>
        </is>
      </c>
      <c r="AX1239" t="inlineStr">
        <is>
          <t>8.5</t>
        </is>
      </c>
      <c r="AY1239" t="inlineStr">
        <is>
          <t>701+</t>
        </is>
      </c>
      <c r="AZ1239" t="inlineStr">
        <is>
          <t>6.3</t>
        </is>
      </c>
      <c r="BA1239" t="inlineStr">
        <is>
          <t>701+</t>
        </is>
      </c>
    </row>
    <row r="1240">
      <c r="A1240" t="inlineStr">
        <is>
          <t>Universidad de Zaragoza</t>
        </is>
      </c>
      <c r="B1240" t="inlineStr">
        <is>
          <t>Spain</t>
        </is>
      </c>
      <c r="C1240" t="inlineStr">
        <is>
          <t>ES</t>
        </is>
      </c>
      <c r="D1240" t="inlineStr">
        <is>
          <t>Europe</t>
        </is>
      </c>
      <c r="E1240" t="inlineStr">
        <is>
          <t>L</t>
        </is>
      </c>
      <c r="F1240" t="inlineStr">
        <is>
          <t>FC</t>
        </is>
      </c>
      <c r="G1240" t="inlineStr">
        <is>
          <t>VH</t>
        </is>
      </c>
      <c r="H1240" t="inlineStr">
        <is>
          <t>5</t>
        </is>
      </c>
      <c r="I1240" t="inlineStr">
        <is>
          <t>Public</t>
        </is>
      </c>
      <c r="J1240" t="inlineStr">
        <is>
          <t>638</t>
        </is>
      </c>
      <c r="K1240" t="inlineStr">
        <is>
          <t>544</t>
        </is>
      </c>
      <c r="L1240">
        <f>523</f>
        <v/>
      </c>
      <c r="M1240" t="inlineStr">
        <is>
          <t>551-560</t>
        </is>
      </c>
      <c r="N1240" t="inlineStr">
        <is>
          <t>27.1</t>
        </is>
      </c>
      <c r="O1240" t="inlineStr">
        <is>
          <t>22.5</t>
        </is>
      </c>
      <c r="P1240" t="n">
        <v>29.7</v>
      </c>
      <c r="Q1240" t="inlineStr">
        <is>
          <t>413</t>
        </is>
      </c>
      <c r="R1240" t="n">
        <v>9.9</v>
      </c>
      <c r="S1240" t="inlineStr">
        <is>
          <t>701+</t>
        </is>
      </c>
      <c r="T1240" t="n">
        <v>54.6</v>
      </c>
      <c r="U1240" t="inlineStr">
        <is>
          <t>346</t>
        </is>
      </c>
      <c r="V1240" t="n">
        <v>15.6</v>
      </c>
      <c r="W1240" t="inlineStr">
        <is>
          <t>792</t>
        </is>
      </c>
      <c r="X1240" t="n">
        <v>2.3</v>
      </c>
      <c r="Y1240" t="inlineStr">
        <is>
          <t>801+</t>
        </is>
      </c>
      <c r="Z1240" t="n">
        <v>10.2</v>
      </c>
      <c r="AA1240" t="inlineStr">
        <is>
          <t>801+</t>
        </is>
      </c>
      <c r="AB1240" t="n">
        <v>16</v>
      </c>
      <c r="AC1240" t="inlineStr">
        <is>
          <t>801+</t>
        </is>
      </c>
      <c r="AD1240" t="n">
        <v>89.2</v>
      </c>
      <c r="AE1240" t="inlineStr">
        <is>
          <t>185</t>
        </is>
      </c>
      <c r="AF1240" t="n">
        <v>14.8</v>
      </c>
      <c r="AG1240" t="inlineStr">
        <is>
          <t>801+</t>
        </is>
      </c>
      <c r="AH1240" t="n">
        <v>69.7</v>
      </c>
      <c r="AI1240" t="inlineStr">
        <is>
          <t>319</t>
        </is>
      </c>
      <c r="AJ1240" t="inlineStr">
        <is>
          <t>22.9</t>
        </is>
      </c>
      <c r="AK1240" t="inlineStr">
        <is>
          <t>381</t>
        </is>
      </c>
      <c r="AL1240" t="inlineStr">
        <is>
          <t>4.5</t>
        </is>
      </c>
      <c r="AM1240" t="inlineStr">
        <is>
          <t>601+</t>
        </is>
      </c>
      <c r="AN1240" t="inlineStr">
        <is>
          <t>57.6</t>
        </is>
      </c>
      <c r="AO1240" t="inlineStr">
        <is>
          <t>252</t>
        </is>
      </c>
      <c r="AP1240" t="inlineStr">
        <is>
          <t>7.1</t>
        </is>
      </c>
      <c r="AQ1240" t="inlineStr">
        <is>
          <t>701+</t>
        </is>
      </c>
      <c r="AR1240" t="inlineStr">
        <is>
          <t>4.1</t>
        </is>
      </c>
      <c r="AS1240" t="inlineStr">
        <is>
          <t>701+</t>
        </is>
      </c>
      <c r="AT1240" t="inlineStr">
        <is>
          <t>9.7</t>
        </is>
      </c>
      <c r="AU1240" t="inlineStr">
        <is>
          <t>701+</t>
        </is>
      </c>
      <c r="AV1240" t="inlineStr">
        <is>
          <t>55.3</t>
        </is>
      </c>
      <c r="AW1240" t="inlineStr">
        <is>
          <t>282</t>
        </is>
      </c>
      <c r="AX1240" t="inlineStr">
        <is>
          <t>8</t>
        </is>
      </c>
      <c r="AY1240" t="inlineStr">
        <is>
          <t>701+</t>
        </is>
      </c>
      <c r="AZ1240" t="inlineStr">
        <is>
          <t>80.6</t>
        </is>
      </c>
      <c r="BA1240" t="inlineStr">
        <is>
          <t>145</t>
        </is>
      </c>
    </row>
    <row r="1241">
      <c r="A1241" t="inlineStr">
        <is>
          <t>Universidad del Bio-Bio</t>
        </is>
      </c>
      <c r="B1241" t="inlineStr">
        <is>
          <t>Chile</t>
        </is>
      </c>
      <c r="C1241" t="inlineStr"/>
      <c r="D1241" t="inlineStr">
        <is>
          <t>Americas</t>
        </is>
      </c>
      <c r="E1241" t="inlineStr">
        <is>
          <t>M</t>
        </is>
      </c>
      <c r="F1241" t="inlineStr">
        <is>
          <t>CO</t>
        </is>
      </c>
      <c r="G1241" t="inlineStr">
        <is>
          <t>VH</t>
        </is>
      </c>
      <c r="H1241" t="inlineStr"/>
      <c r="I1241" t="inlineStr">
        <is>
          <t>Public</t>
        </is>
      </c>
      <c r="J1241" t="inlineStr">
        <is>
          <t>1401+</t>
        </is>
      </c>
      <c r="K1241" t="inlineStr">
        <is>
          <t>1201-1400</t>
        </is>
      </c>
      <c r="L1241" t="inlineStr"/>
      <c r="M1241" t="inlineStr"/>
      <c r="N1241" t="inlineStr">
        <is>
          <t>-</t>
        </is>
      </c>
      <c r="O1241" t="inlineStr"/>
      <c r="P1241" t="n">
        <v>11.6</v>
      </c>
      <c r="Q1241" t="inlineStr">
        <is>
          <t>701+</t>
        </is>
      </c>
      <c r="R1241" t="n">
        <v>5</v>
      </c>
      <c r="S1241" t="inlineStr">
        <is>
          <t>701+</t>
        </is>
      </c>
      <c r="T1241" t="n">
        <v>4.9</v>
      </c>
      <c r="U1241" t="inlineStr">
        <is>
          <t>801+</t>
        </is>
      </c>
      <c r="V1241" t="n">
        <v>8.6</v>
      </c>
      <c r="W1241" t="inlineStr">
        <is>
          <t>801+</t>
        </is>
      </c>
      <c r="X1241" t="n">
        <v>11.8</v>
      </c>
      <c r="Y1241" t="inlineStr">
        <is>
          <t>801+</t>
        </is>
      </c>
      <c r="Z1241" t="n">
        <v>1.9</v>
      </c>
      <c r="AA1241" t="inlineStr">
        <is>
          <t>801+</t>
        </is>
      </c>
      <c r="AB1241" t="n">
        <v>1.6</v>
      </c>
      <c r="AC1241" t="inlineStr">
        <is>
          <t>801+</t>
        </is>
      </c>
      <c r="AD1241" t="n">
        <v>32.1</v>
      </c>
      <c r="AE1241" t="inlineStr">
        <is>
          <t>801+</t>
        </is>
      </c>
      <c r="AF1241" t="n">
        <v>2.5</v>
      </c>
      <c r="AG1241" t="inlineStr">
        <is>
          <t>801+</t>
        </is>
      </c>
      <c r="AH1241" t="n">
        <v>24</v>
      </c>
      <c r="AI1241" t="inlineStr">
        <is>
          <t>801+</t>
        </is>
      </c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</row>
    <row r="1242">
      <c r="A1242" t="inlineStr">
        <is>
          <t>Universidad del Bío-Bío</t>
        </is>
      </c>
      <c r="B1242" t="inlineStr">
        <is>
          <t>Chile</t>
        </is>
      </c>
      <c r="C1242" t="inlineStr">
        <is>
          <t>CL</t>
        </is>
      </c>
      <c r="D1242" t="inlineStr"/>
      <c r="E1242" t="inlineStr">
        <is>
          <t>L</t>
        </is>
      </c>
      <c r="F1242" t="inlineStr">
        <is>
          <t>CO</t>
        </is>
      </c>
      <c r="G1242" t="inlineStr">
        <is>
          <t>HI</t>
        </is>
      </c>
      <c r="H1242" t="inlineStr">
        <is>
          <t>4</t>
        </is>
      </c>
      <c r="I1242" t="inlineStr">
        <is>
          <t>A</t>
        </is>
      </c>
      <c r="J1242" t="inlineStr"/>
      <c r="K1242" t="inlineStr"/>
      <c r="L1242" t="inlineStr">
        <is>
          <t>1201-1400</t>
        </is>
      </c>
      <c r="M1242" t="inlineStr">
        <is>
          <t>1201-1400</t>
        </is>
      </c>
      <c r="N1242" t="inlineStr"/>
      <c r="O1242" t="inlineStr">
        <is>
          <t>-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>
        <is>
          <t>8.6</t>
        </is>
      </c>
      <c r="AK1242" t="inlineStr">
        <is>
          <t>601+</t>
        </is>
      </c>
      <c r="AL1242" t="inlineStr">
        <is>
          <t>4.2</t>
        </is>
      </c>
      <c r="AM1242" t="inlineStr">
        <is>
          <t>601+</t>
        </is>
      </c>
      <c r="AN1242" t="inlineStr">
        <is>
          <t>2.9</t>
        </is>
      </c>
      <c r="AO1242" t="inlineStr">
        <is>
          <t>701+</t>
        </is>
      </c>
      <c r="AP1242" t="inlineStr">
        <is>
          <t>3.8</t>
        </is>
      </c>
      <c r="AQ1242" t="inlineStr">
        <is>
          <t>701+</t>
        </is>
      </c>
      <c r="AR1242" t="inlineStr">
        <is>
          <t>9.7</t>
        </is>
      </c>
      <c r="AS1242" t="inlineStr">
        <is>
          <t>701+</t>
        </is>
      </c>
      <c r="AT1242" t="inlineStr">
        <is>
          <t>1.4</t>
        </is>
      </c>
      <c r="AU1242" t="inlineStr">
        <is>
          <t>701+</t>
        </is>
      </c>
      <c r="AV1242" t="inlineStr">
        <is>
          <t>1.4</t>
        </is>
      </c>
      <c r="AW1242" t="inlineStr">
        <is>
          <t>701+</t>
        </is>
      </c>
      <c r="AX1242" t="inlineStr">
        <is>
          <t>4.1</t>
        </is>
      </c>
      <c r="AY1242" t="inlineStr">
        <is>
          <t>701+</t>
        </is>
      </c>
      <c r="AZ1242" t="inlineStr">
        <is>
          <t>1.1</t>
        </is>
      </c>
      <c r="BA1242" t="inlineStr">
        <is>
          <t>701+</t>
        </is>
      </c>
    </row>
    <row r="1243">
      <c r="A1243" t="inlineStr">
        <is>
          <t>Universidad del Cauca</t>
        </is>
      </c>
      <c r="B1243" t="inlineStr">
        <is>
          <t>Colombia</t>
        </is>
      </c>
      <c r="C1243" t="inlineStr">
        <is>
          <t>CO</t>
        </is>
      </c>
      <c r="D1243" t="inlineStr"/>
      <c r="E1243" t="inlineStr">
        <is>
          <t>L</t>
        </is>
      </c>
      <c r="F1243" t="inlineStr">
        <is>
          <t>CO</t>
        </is>
      </c>
      <c r="G1243" t="inlineStr">
        <is>
          <t>MD</t>
        </is>
      </c>
      <c r="H1243" t="inlineStr">
        <is>
          <t>5</t>
        </is>
      </c>
      <c r="I1243" t="inlineStr">
        <is>
          <t>A</t>
        </is>
      </c>
      <c r="J1243" t="inlineStr"/>
      <c r="K1243" t="inlineStr"/>
      <c r="L1243" t="inlineStr">
        <is>
          <t>1201-1400</t>
        </is>
      </c>
      <c r="M1243" t="inlineStr">
        <is>
          <t>1201-1400</t>
        </is>
      </c>
      <c r="N1243" t="inlineStr"/>
      <c r="O1243" t="inlineStr">
        <is>
          <t>-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>
        <is>
          <t>9.5</t>
        </is>
      </c>
      <c r="AK1243" t="inlineStr">
        <is>
          <t>601+</t>
        </is>
      </c>
      <c r="AL1243" t="inlineStr">
        <is>
          <t>4.0</t>
        </is>
      </c>
      <c r="AM1243" t="inlineStr">
        <is>
          <t>601+</t>
        </is>
      </c>
      <c r="AN1243" t="inlineStr">
        <is>
          <t>5.3</t>
        </is>
      </c>
      <c r="AO1243" t="inlineStr">
        <is>
          <t>701+</t>
        </is>
      </c>
      <c r="AP1243" t="inlineStr">
        <is>
          <t>1.8</t>
        </is>
      </c>
      <c r="AQ1243" t="inlineStr">
        <is>
          <t>701+</t>
        </is>
      </c>
      <c r="AR1243" t="inlineStr">
        <is>
          <t>23.6</t>
        </is>
      </c>
      <c r="AS1243" t="inlineStr">
        <is>
          <t>559</t>
        </is>
      </c>
      <c r="AT1243" t="inlineStr">
        <is>
          <t>1.1</t>
        </is>
      </c>
      <c r="AU1243" t="inlineStr">
        <is>
          <t>701+</t>
        </is>
      </c>
      <c r="AV1243" t="inlineStr">
        <is>
          <t>1.0</t>
        </is>
      </c>
      <c r="AW1243" t="inlineStr">
        <is>
          <t>701+</t>
        </is>
      </c>
      <c r="AX1243" t="inlineStr">
        <is>
          <t>4.5</t>
        </is>
      </c>
      <c r="AY1243" t="inlineStr">
        <is>
          <t>701+</t>
        </is>
      </c>
      <c r="AZ1243" t="inlineStr">
        <is>
          <t>1</t>
        </is>
      </c>
      <c r="BA1243" t="inlineStr">
        <is>
          <t>701+</t>
        </is>
      </c>
    </row>
    <row r="1244">
      <c r="A1244" t="inlineStr">
        <is>
          <t>Universidad del Desarrollo</t>
        </is>
      </c>
      <c r="B1244" t="inlineStr">
        <is>
          <t>Chile</t>
        </is>
      </c>
      <c r="C1244" t="inlineStr"/>
      <c r="D1244" t="inlineStr">
        <is>
          <t>Americas</t>
        </is>
      </c>
      <c r="E1244" t="inlineStr">
        <is>
          <t>L</t>
        </is>
      </c>
      <c r="F1244" t="inlineStr">
        <is>
          <t>CO</t>
        </is>
      </c>
      <c r="G1244" t="inlineStr">
        <is>
          <t>HI</t>
        </is>
      </c>
      <c r="H1244" t="inlineStr"/>
      <c r="I1244" t="inlineStr">
        <is>
          <t>Private not for Profit</t>
        </is>
      </c>
      <c r="J1244" t="inlineStr">
        <is>
          <t>1201-1400</t>
        </is>
      </c>
      <c r="K1244" t="inlineStr">
        <is>
          <t>1201-1400</t>
        </is>
      </c>
      <c r="L1244" t="inlineStr"/>
      <c r="M1244" t="inlineStr"/>
      <c r="N1244" t="inlineStr">
        <is>
          <t>-</t>
        </is>
      </c>
      <c r="O1244" t="inlineStr"/>
      <c r="P1244" t="n">
        <v>11.8</v>
      </c>
      <c r="Q1244" t="inlineStr">
        <is>
          <t>701+</t>
        </is>
      </c>
      <c r="R1244" t="n">
        <v>15.7</v>
      </c>
      <c r="S1244" t="inlineStr">
        <is>
          <t>701+</t>
        </is>
      </c>
      <c r="T1244" t="n">
        <v>15.7</v>
      </c>
      <c r="U1244" t="inlineStr">
        <is>
          <t>801+</t>
        </is>
      </c>
      <c r="V1244" t="n">
        <v>4</v>
      </c>
      <c r="W1244" t="inlineStr">
        <is>
          <t>801+</t>
        </is>
      </c>
      <c r="X1244" t="n">
        <v>10.6</v>
      </c>
      <c r="Y1244" t="inlineStr">
        <is>
          <t>801+</t>
        </is>
      </c>
      <c r="Z1244" t="n">
        <v>3.3</v>
      </c>
      <c r="AA1244" t="inlineStr">
        <is>
          <t>801+</t>
        </is>
      </c>
      <c r="AB1244" t="n">
        <v>7.6</v>
      </c>
      <c r="AC1244" t="inlineStr">
        <is>
          <t>801+</t>
        </is>
      </c>
      <c r="AD1244" t="n">
        <v>18.3</v>
      </c>
      <c r="AE1244" t="inlineStr">
        <is>
          <t>801+</t>
        </is>
      </c>
      <c r="AF1244" t="n">
        <v>6.8</v>
      </c>
      <c r="AG1244" t="inlineStr">
        <is>
          <t>801+</t>
        </is>
      </c>
      <c r="AH1244" t="n">
        <v>47.5</v>
      </c>
      <c r="AI1244" t="inlineStr">
        <is>
          <t>774=</t>
        </is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</row>
    <row r="1245">
      <c r="A1245" t="inlineStr">
        <is>
          <t>Universidad del Desarrollo (UDD)</t>
        </is>
      </c>
      <c r="B1245" t="inlineStr">
        <is>
          <t>Chile</t>
        </is>
      </c>
      <c r="C1245" t="inlineStr">
        <is>
          <t>CL</t>
        </is>
      </c>
      <c r="D1245" t="inlineStr"/>
      <c r="E1245" t="inlineStr">
        <is>
          <t>L</t>
        </is>
      </c>
      <c r="F1245" t="inlineStr">
        <is>
          <t>CO</t>
        </is>
      </c>
      <c r="G1245" t="inlineStr">
        <is>
          <t>HI</t>
        </is>
      </c>
      <c r="H1245" t="inlineStr">
        <is>
          <t>3</t>
        </is>
      </c>
      <c r="I1245" t="inlineStr">
        <is>
          <t>B</t>
        </is>
      </c>
      <c r="J1245" t="inlineStr"/>
      <c r="K1245" t="inlineStr"/>
      <c r="L1245" t="inlineStr">
        <is>
          <t>1201-1400</t>
        </is>
      </c>
      <c r="M1245" t="inlineStr">
        <is>
          <t>1201-1400</t>
        </is>
      </c>
      <c r="N1245" t="inlineStr"/>
      <c r="O1245" t="inlineStr">
        <is>
          <t>-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>
        <is>
          <t>6.6</t>
        </is>
      </c>
      <c r="AK1245" t="inlineStr">
        <is>
          <t>601+</t>
        </is>
      </c>
      <c r="AL1245" t="inlineStr">
        <is>
          <t>14.6</t>
        </is>
      </c>
      <c r="AM1245" t="inlineStr">
        <is>
          <t>560</t>
        </is>
      </c>
      <c r="AN1245" t="inlineStr">
        <is>
          <t>12.9</t>
        </is>
      </c>
      <c r="AO1245" t="inlineStr">
        <is>
          <t>701+</t>
        </is>
      </c>
      <c r="AP1245" t="inlineStr">
        <is>
          <t>2.2</t>
        </is>
      </c>
      <c r="AQ1245" t="inlineStr">
        <is>
          <t>701+</t>
        </is>
      </c>
      <c r="AR1245" t="inlineStr">
        <is>
          <t>7.6</t>
        </is>
      </c>
      <c r="AS1245" t="inlineStr">
        <is>
          <t>701+</t>
        </is>
      </c>
      <c r="AT1245" t="inlineStr">
        <is>
          <t>2.0</t>
        </is>
      </c>
      <c r="AU1245" t="inlineStr">
        <is>
          <t>701+</t>
        </is>
      </c>
      <c r="AV1245" t="inlineStr">
        <is>
          <t>1.1</t>
        </is>
      </c>
      <c r="AW1245" t="inlineStr">
        <is>
          <t>701+</t>
        </is>
      </c>
      <c r="AX1245" t="inlineStr">
        <is>
          <t>8.4</t>
        </is>
      </c>
      <c r="AY1245" t="inlineStr">
        <is>
          <t>701+</t>
        </is>
      </c>
      <c r="AZ1245" t="inlineStr">
        <is>
          <t>3.5</t>
        </is>
      </c>
      <c r="BA1245" t="inlineStr">
        <is>
          <t>701+</t>
        </is>
      </c>
    </row>
    <row r="1246">
      <c r="A1246" t="inlineStr">
        <is>
          <t>Universidad del Magdalena</t>
        </is>
      </c>
      <c r="B1246" t="inlineStr">
        <is>
          <t>Colombia</t>
        </is>
      </c>
      <c r="C1246" t="inlineStr">
        <is>
          <t>CO</t>
        </is>
      </c>
      <c r="D1246" t="inlineStr"/>
      <c r="E1246" t="inlineStr">
        <is>
          <t>L</t>
        </is>
      </c>
      <c r="F1246" t="inlineStr">
        <is>
          <t>CO</t>
        </is>
      </c>
      <c r="G1246" t="inlineStr">
        <is>
          <t>MD</t>
        </is>
      </c>
      <c r="H1246" t="inlineStr">
        <is>
          <t>4</t>
        </is>
      </c>
      <c r="I1246" t="inlineStr">
        <is>
          <t>A</t>
        </is>
      </c>
      <c r="J1246" t="inlineStr"/>
      <c r="K1246" t="inlineStr"/>
      <c r="L1246" t="inlineStr">
        <is>
          <t>1401+</t>
        </is>
      </c>
      <c r="M1246" t="inlineStr">
        <is>
          <t>1201-1400</t>
        </is>
      </c>
      <c r="N1246" t="inlineStr"/>
      <c r="O1246" t="inlineStr">
        <is>
          <t>-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>
        <is>
          <t>4.2</t>
        </is>
      </c>
      <c r="AK1246" t="inlineStr">
        <is>
          <t>601+</t>
        </is>
      </c>
      <c r="AL1246" t="inlineStr">
        <is>
          <t>4.6</t>
        </is>
      </c>
      <c r="AM1246" t="inlineStr">
        <is>
          <t>601+</t>
        </is>
      </c>
      <c r="AN1246" t="inlineStr">
        <is>
          <t>2.7</t>
        </is>
      </c>
      <c r="AO1246" t="inlineStr">
        <is>
          <t>701+</t>
        </is>
      </c>
      <c r="AP1246" t="inlineStr">
        <is>
          <t>1.3</t>
        </is>
      </c>
      <c r="AQ1246" t="inlineStr">
        <is>
          <t>701+</t>
        </is>
      </c>
      <c r="AR1246" t="inlineStr">
        <is>
          <t>6.4</t>
        </is>
      </c>
      <c r="AS1246" t="inlineStr">
        <is>
          <t>701+</t>
        </is>
      </c>
      <c r="AT1246" t="inlineStr">
        <is>
          <t>1.3</t>
        </is>
      </c>
      <c r="AU1246" t="inlineStr">
        <is>
          <t>701+</t>
        </is>
      </c>
      <c r="AV1246" t="inlineStr">
        <is>
          <t>1.0</t>
        </is>
      </c>
      <c r="AW1246" t="inlineStr">
        <is>
          <t>701+</t>
        </is>
      </c>
      <c r="AX1246" t="inlineStr">
        <is>
          <t>6.4</t>
        </is>
      </c>
      <c r="AY1246" t="inlineStr">
        <is>
          <t>701+</t>
        </is>
      </c>
      <c r="AZ1246" t="inlineStr">
        <is>
          <t>1</t>
        </is>
      </c>
      <c r="BA1246" t="inlineStr">
        <is>
          <t>701+</t>
        </is>
      </c>
    </row>
    <row r="1247">
      <c r="A1247" t="inlineStr">
        <is>
          <t>Universidad del Norte</t>
        </is>
      </c>
      <c r="B1247" t="inlineStr">
        <is>
          <t>Colombia</t>
        </is>
      </c>
      <c r="C1247" t="inlineStr">
        <is>
          <t>CO</t>
        </is>
      </c>
      <c r="D1247" t="inlineStr">
        <is>
          <t>Americas</t>
        </is>
      </c>
      <c r="E1247" t="inlineStr">
        <is>
          <t>M</t>
        </is>
      </c>
      <c r="F1247" t="inlineStr">
        <is>
          <t>FC</t>
        </is>
      </c>
      <c r="G1247" t="inlineStr">
        <is>
          <t>HI</t>
        </is>
      </c>
      <c r="H1247" t="inlineStr">
        <is>
          <t>4</t>
        </is>
      </c>
      <c r="I1247" t="inlineStr">
        <is>
          <t>Private not for Profit</t>
        </is>
      </c>
      <c r="J1247" t="inlineStr">
        <is>
          <t>1201-1400</t>
        </is>
      </c>
      <c r="K1247" t="inlineStr">
        <is>
          <t>1001-1200</t>
        </is>
      </c>
      <c r="L1247" t="inlineStr">
        <is>
          <t>1001-1200</t>
        </is>
      </c>
      <c r="M1247" t="inlineStr">
        <is>
          <t>1001-1200</t>
        </is>
      </c>
      <c r="N1247" t="inlineStr">
        <is>
          <t>-</t>
        </is>
      </c>
      <c r="O1247" t="inlineStr">
        <is>
          <t>-</t>
        </is>
      </c>
      <c r="P1247" t="n">
        <v>13.2</v>
      </c>
      <c r="Q1247" t="inlineStr">
        <is>
          <t>701+</t>
        </is>
      </c>
      <c r="R1247" t="n">
        <v>14.3</v>
      </c>
      <c r="S1247" t="inlineStr">
        <is>
          <t>701+</t>
        </is>
      </c>
      <c r="T1247" t="n">
        <v>12.7</v>
      </c>
      <c r="U1247" t="inlineStr">
        <is>
          <t>801+</t>
        </is>
      </c>
      <c r="V1247" t="n">
        <v>6</v>
      </c>
      <c r="W1247" t="inlineStr">
        <is>
          <t>801+</t>
        </is>
      </c>
      <c r="X1247" t="n">
        <v>8.5</v>
      </c>
      <c r="Y1247" t="inlineStr">
        <is>
          <t>801+</t>
        </is>
      </c>
      <c r="Z1247" t="n">
        <v>1.7</v>
      </c>
      <c r="AA1247" t="inlineStr">
        <is>
          <t>801+</t>
        </is>
      </c>
      <c r="AB1247" t="n">
        <v>6</v>
      </c>
      <c r="AC1247" t="inlineStr">
        <is>
          <t>801+</t>
        </is>
      </c>
      <c r="AD1247" t="n">
        <v>27.1</v>
      </c>
      <c r="AE1247" t="inlineStr">
        <is>
          <t>801+</t>
        </is>
      </c>
      <c r="AF1247" t="n">
        <v>10.8</v>
      </c>
      <c r="AG1247" t="inlineStr">
        <is>
          <t>801+</t>
        </is>
      </c>
      <c r="AH1247" t="n">
        <v>44.2</v>
      </c>
      <c r="AI1247" t="inlineStr">
        <is>
          <t>801+</t>
        </is>
      </c>
      <c r="AJ1247" t="inlineStr">
        <is>
          <t>9.8</t>
        </is>
      </c>
      <c r="AK1247" t="inlineStr">
        <is>
          <t>601+</t>
        </is>
      </c>
      <c r="AL1247" t="inlineStr">
        <is>
          <t>20.8</t>
        </is>
      </c>
      <c r="AM1247" t="inlineStr">
        <is>
          <t>447</t>
        </is>
      </c>
      <c r="AN1247" t="inlineStr">
        <is>
          <t>12.3</t>
        </is>
      </c>
      <c r="AO1247" t="inlineStr">
        <is>
          <t>701+</t>
        </is>
      </c>
      <c r="AP1247" t="inlineStr">
        <is>
          <t>2.7</t>
        </is>
      </c>
      <c r="AQ1247" t="inlineStr">
        <is>
          <t>701+</t>
        </is>
      </c>
      <c r="AR1247" t="inlineStr">
        <is>
          <t>8.3</t>
        </is>
      </c>
      <c r="AS1247" t="inlineStr">
        <is>
          <t>701+</t>
        </is>
      </c>
      <c r="AT1247" t="inlineStr">
        <is>
          <t>1.3</t>
        </is>
      </c>
      <c r="AU1247" t="inlineStr">
        <is>
          <t>701+</t>
        </is>
      </c>
      <c r="AV1247" t="inlineStr">
        <is>
          <t>1.7</t>
        </is>
      </c>
      <c r="AW1247" t="inlineStr">
        <is>
          <t>701+</t>
        </is>
      </c>
      <c r="AX1247" t="inlineStr">
        <is>
          <t>9.2</t>
        </is>
      </c>
      <c r="AY1247" t="inlineStr">
        <is>
          <t>701+</t>
        </is>
      </c>
      <c r="AZ1247" t="inlineStr">
        <is>
          <t>1.7</t>
        </is>
      </c>
      <c r="BA1247" t="inlineStr">
        <is>
          <t>701+</t>
        </is>
      </c>
    </row>
    <row r="1248">
      <c r="A1248" t="inlineStr">
        <is>
          <t>Universidad del Pacífico</t>
        </is>
      </c>
      <c r="B1248" t="inlineStr">
        <is>
          <t>Peru</t>
        </is>
      </c>
      <c r="C1248" t="inlineStr">
        <is>
          <t>PE</t>
        </is>
      </c>
      <c r="D1248" t="inlineStr"/>
      <c r="E1248" t="inlineStr">
        <is>
          <t>M</t>
        </is>
      </c>
      <c r="F1248" t="inlineStr">
        <is>
          <t>SP</t>
        </is>
      </c>
      <c r="G1248" t="inlineStr"/>
      <c r="H1248" t="inlineStr">
        <is>
          <t>4</t>
        </is>
      </c>
      <c r="I1248" t="inlineStr">
        <is>
          <t>B</t>
        </is>
      </c>
      <c r="J1248" t="inlineStr"/>
      <c r="K1248" t="inlineStr"/>
      <c r="L1248" t="inlineStr">
        <is>
          <t>1001-1200</t>
        </is>
      </c>
      <c r="M1248" t="inlineStr">
        <is>
          <t>1001-1200</t>
        </is>
      </c>
      <c r="N1248" t="inlineStr"/>
      <c r="O1248" t="inlineStr">
        <is>
          <t>-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>
        <is>
          <t>7.3</t>
        </is>
      </c>
      <c r="AK1248" t="inlineStr">
        <is>
          <t>601+</t>
        </is>
      </c>
      <c r="AL1248" t="inlineStr">
        <is>
          <t>30.8</t>
        </is>
      </c>
      <c r="AM1248" t="inlineStr">
        <is>
          <t>318</t>
        </is>
      </c>
      <c r="AN1248" t="inlineStr">
        <is>
          <t>3.3</t>
        </is>
      </c>
      <c r="AO1248" t="inlineStr">
        <is>
          <t>701+</t>
        </is>
      </c>
      <c r="AP1248" t="inlineStr">
        <is>
          <t>3.1</t>
        </is>
      </c>
      <c r="AQ1248" t="inlineStr">
        <is>
          <t>701+</t>
        </is>
      </c>
      <c r="AR1248" t="inlineStr">
        <is>
          <t>18.2</t>
        </is>
      </c>
      <c r="AS1248" t="inlineStr">
        <is>
          <t>612</t>
        </is>
      </c>
      <c r="AT1248" t="inlineStr">
        <is>
          <t>3.0</t>
        </is>
      </c>
      <c r="AU1248" t="inlineStr">
        <is>
          <t>701+</t>
        </is>
      </c>
      <c r="AV1248" t="inlineStr">
        <is>
          <t>1.0</t>
        </is>
      </c>
      <c r="AW1248" t="inlineStr">
        <is>
          <t>701+</t>
        </is>
      </c>
      <c r="AX1248" t="inlineStr">
        <is>
          <t>7.7</t>
        </is>
      </c>
      <c r="AY1248" t="inlineStr">
        <is>
          <t>701+</t>
        </is>
      </c>
      <c r="AZ1248" t="inlineStr">
        <is>
          <t>1</t>
        </is>
      </c>
      <c r="BA1248" t="inlineStr">
        <is>
          <t>701+</t>
        </is>
      </c>
    </row>
    <row r="1249">
      <c r="A1249" t="inlineStr">
        <is>
          <t>Universidad del Pais Vasco</t>
        </is>
      </c>
      <c r="B1249" t="inlineStr">
        <is>
          <t>Spain</t>
        </is>
      </c>
      <c r="C1249" t="inlineStr"/>
      <c r="D1249" t="inlineStr">
        <is>
          <t>Europe</t>
        </is>
      </c>
      <c r="E1249" t="inlineStr">
        <is>
          <t>XL</t>
        </is>
      </c>
      <c r="F1249" t="inlineStr">
        <is>
          <t>CO</t>
        </is>
      </c>
      <c r="G1249" t="inlineStr">
        <is>
          <t>VH</t>
        </is>
      </c>
      <c r="H1249" t="inlineStr"/>
      <c r="I1249" t="inlineStr">
        <is>
          <t>Public</t>
        </is>
      </c>
      <c r="J1249" t="inlineStr">
        <is>
          <t>624</t>
        </is>
      </c>
      <c r="K1249" t="inlineStr">
        <is>
          <t>641-650</t>
        </is>
      </c>
      <c r="L1249" t="inlineStr"/>
      <c r="M1249" t="inlineStr"/>
      <c r="N1249" t="inlineStr">
        <is>
          <t>27.5</t>
        </is>
      </c>
      <c r="O1249" t="inlineStr"/>
      <c r="P1249" t="n">
        <v>28.6</v>
      </c>
      <c r="Q1249" t="inlineStr">
        <is>
          <t>435</t>
        </is>
      </c>
      <c r="R1249" t="n">
        <v>10.8</v>
      </c>
      <c r="S1249" t="inlineStr">
        <is>
          <t>701+</t>
        </is>
      </c>
      <c r="T1249" t="n">
        <v>38.4</v>
      </c>
      <c r="U1249" t="inlineStr">
        <is>
          <t>530</t>
        </is>
      </c>
      <c r="V1249" t="n">
        <v>27.8</v>
      </c>
      <c r="W1249" t="inlineStr">
        <is>
          <t>608</t>
        </is>
      </c>
      <c r="X1249" t="n">
        <v>3</v>
      </c>
      <c r="Y1249" t="inlineStr">
        <is>
          <t>801+</t>
        </is>
      </c>
      <c r="Z1249" t="n">
        <v>6.3</v>
      </c>
      <c r="AA1249" t="inlineStr">
        <is>
          <t>801+</t>
        </is>
      </c>
      <c r="AB1249" t="n">
        <v>4.9</v>
      </c>
      <c r="AC1249" t="inlineStr">
        <is>
          <t>801+</t>
        </is>
      </c>
      <c r="AD1249" t="n">
        <v>90.09999999999999</v>
      </c>
      <c r="AE1249" t="inlineStr">
        <is>
          <t>172</t>
        </is>
      </c>
      <c r="AF1249" t="n">
        <v>31.2</v>
      </c>
      <c r="AG1249" t="inlineStr">
        <is>
          <t>533</t>
        </is>
      </c>
      <c r="AH1249" t="n">
        <v>51.5</v>
      </c>
      <c r="AI1249" t="inlineStr">
        <is>
          <t>673=</t>
        </is>
      </c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</row>
    <row r="1250">
      <c r="A1250" t="inlineStr">
        <is>
          <t>Universidad del Rosario</t>
        </is>
      </c>
      <c r="B1250" t="inlineStr">
        <is>
          <t>Colombia</t>
        </is>
      </c>
      <c r="C1250" t="inlineStr">
        <is>
          <t>CO</t>
        </is>
      </c>
      <c r="D1250" t="inlineStr">
        <is>
          <t>Americas</t>
        </is>
      </c>
      <c r="E1250" t="inlineStr">
        <is>
          <t>M</t>
        </is>
      </c>
      <c r="F1250" t="inlineStr">
        <is>
          <t>FC</t>
        </is>
      </c>
      <c r="G1250" t="inlineStr">
        <is>
          <t>HI</t>
        </is>
      </c>
      <c r="H1250" t="inlineStr">
        <is>
          <t>5</t>
        </is>
      </c>
      <c r="I1250" t="inlineStr">
        <is>
          <t>Private not for Profit</t>
        </is>
      </c>
      <c r="J1250" t="inlineStr">
        <is>
          <t>781-790</t>
        </is>
      </c>
      <c r="K1250" t="inlineStr">
        <is>
          <t>771-780</t>
        </is>
      </c>
      <c r="L1250" t="inlineStr">
        <is>
          <t>711-720</t>
        </is>
      </c>
      <c r="M1250" t="inlineStr">
        <is>
          <t>751-800</t>
        </is>
      </c>
      <c r="N1250" t="inlineStr">
        <is>
          <t>-</t>
        </is>
      </c>
      <c r="O1250" t="inlineStr">
        <is>
          <t>-</t>
        </is>
      </c>
      <c r="P1250" t="n">
        <v>23.8</v>
      </c>
      <c r="Q1250" t="inlineStr">
        <is>
          <t>531</t>
        </is>
      </c>
      <c r="R1250" t="n">
        <v>32.7</v>
      </c>
      <c r="S1250" t="inlineStr">
        <is>
          <t>439</t>
        </is>
      </c>
      <c r="T1250" t="n">
        <v>35.1</v>
      </c>
      <c r="U1250" t="inlineStr">
        <is>
          <t>563</t>
        </is>
      </c>
      <c r="V1250" t="n">
        <v>4.4</v>
      </c>
      <c r="W1250" t="inlineStr">
        <is>
          <t>801+</t>
        </is>
      </c>
      <c r="X1250" t="n">
        <v>9.800000000000001</v>
      </c>
      <c r="Y1250" t="inlineStr">
        <is>
          <t>801+</t>
        </is>
      </c>
      <c r="Z1250" t="n">
        <v>5.8</v>
      </c>
      <c r="AA1250" t="inlineStr">
        <is>
          <t>801+</t>
        </is>
      </c>
      <c r="AB1250" t="n">
        <v>4.6</v>
      </c>
      <c r="AC1250" t="inlineStr">
        <is>
          <t>801+</t>
        </is>
      </c>
      <c r="AD1250" t="n">
        <v>31.2</v>
      </c>
      <c r="AE1250" t="inlineStr">
        <is>
          <t>801+</t>
        </is>
      </c>
      <c r="AF1250" t="n">
        <v>48.5</v>
      </c>
      <c r="AG1250" t="inlineStr">
        <is>
          <t>357</t>
        </is>
      </c>
      <c r="AH1250" t="n">
        <v>58.2</v>
      </c>
      <c r="AI1250" t="inlineStr">
        <is>
          <t>543=</t>
        </is>
      </c>
      <c r="AJ1250" t="inlineStr">
        <is>
          <t>14.4</t>
        </is>
      </c>
      <c r="AK1250" t="inlineStr">
        <is>
          <t>601+</t>
        </is>
      </c>
      <c r="AL1250" t="inlineStr">
        <is>
          <t>43.4</t>
        </is>
      </c>
      <c r="AM1250" t="inlineStr">
        <is>
          <t>213</t>
        </is>
      </c>
      <c r="AN1250" t="inlineStr">
        <is>
          <t>21.0</t>
        </is>
      </c>
      <c r="AO1250" t="inlineStr">
        <is>
          <t>645</t>
        </is>
      </c>
      <c r="AP1250" t="inlineStr">
        <is>
          <t>2.7</t>
        </is>
      </c>
      <c r="AQ1250" t="inlineStr">
        <is>
          <t>701+</t>
        </is>
      </c>
      <c r="AR1250" t="inlineStr">
        <is>
          <t>9.5</t>
        </is>
      </c>
      <c r="AS1250" t="inlineStr">
        <is>
          <t>701+</t>
        </is>
      </c>
      <c r="AT1250" t="inlineStr">
        <is>
          <t>2.4</t>
        </is>
      </c>
      <c r="AU1250" t="inlineStr">
        <is>
          <t>701+</t>
        </is>
      </c>
      <c r="AV1250" t="inlineStr">
        <is>
          <t>1.1</t>
        </is>
      </c>
      <c r="AW1250" t="inlineStr">
        <is>
          <t>701+</t>
        </is>
      </c>
      <c r="AX1250" t="inlineStr">
        <is>
          <t>27.5</t>
        </is>
      </c>
      <c r="AY1250" t="inlineStr">
        <is>
          <t>295</t>
        </is>
      </c>
      <c r="AZ1250" t="inlineStr">
        <is>
          <t>22.5</t>
        </is>
      </c>
      <c r="BA1250" t="inlineStr">
        <is>
          <t>521=</t>
        </is>
      </c>
    </row>
    <row r="1251">
      <c r="A1251" t="inlineStr">
        <is>
          <t>Universidad del Salvador</t>
        </is>
      </c>
      <c r="B1251" t="inlineStr">
        <is>
          <t>Argentina</t>
        </is>
      </c>
      <c r="C1251" t="inlineStr">
        <is>
          <t>AR</t>
        </is>
      </c>
      <c r="D1251" t="inlineStr"/>
      <c r="E1251" t="inlineStr">
        <is>
          <t>L</t>
        </is>
      </c>
      <c r="F1251" t="inlineStr">
        <is>
          <t>FO</t>
        </is>
      </c>
      <c r="G1251" t="inlineStr">
        <is>
          <t>MD</t>
        </is>
      </c>
      <c r="H1251" t="inlineStr">
        <is>
          <t>4</t>
        </is>
      </c>
      <c r="I1251" t="inlineStr">
        <is>
          <t>B</t>
        </is>
      </c>
      <c r="J1251" t="inlineStr"/>
      <c r="K1251" t="inlineStr"/>
      <c r="L1251" t="inlineStr">
        <is>
          <t>1201-1400</t>
        </is>
      </c>
      <c r="M1251" t="inlineStr">
        <is>
          <t>1201-1400</t>
        </is>
      </c>
      <c r="N1251" t="inlineStr"/>
      <c r="O1251" t="inlineStr">
        <is>
          <t>-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>
        <is>
          <t>4.3</t>
        </is>
      </c>
      <c r="AK1251" t="inlineStr">
        <is>
          <t>601+</t>
        </is>
      </c>
      <c r="AL1251" t="inlineStr">
        <is>
          <t>9.0</t>
        </is>
      </c>
      <c r="AM1251" t="inlineStr">
        <is>
          <t>601+</t>
        </is>
      </c>
      <c r="AN1251" t="inlineStr">
        <is>
          <t>16.7</t>
        </is>
      </c>
      <c r="AO1251" t="inlineStr">
        <is>
          <t>701+</t>
        </is>
      </c>
      <c r="AP1251" t="inlineStr">
        <is>
          <t>1.0</t>
        </is>
      </c>
      <c r="AQ1251" t="inlineStr">
        <is>
          <t>701+</t>
        </is>
      </c>
      <c r="AR1251" t="inlineStr">
        <is>
          <t>5.3</t>
        </is>
      </c>
      <c r="AS1251" t="inlineStr">
        <is>
          <t>701+</t>
        </is>
      </c>
      <c r="AT1251" t="inlineStr">
        <is>
          <t>8.0</t>
        </is>
      </c>
      <c r="AU1251" t="inlineStr">
        <is>
          <t>701+</t>
        </is>
      </c>
      <c r="AV1251" t="inlineStr">
        <is>
          <t>1.0</t>
        </is>
      </c>
      <c r="AW1251" t="inlineStr">
        <is>
          <t>701+</t>
        </is>
      </c>
      <c r="AX1251" t="inlineStr">
        <is>
          <t>7.1</t>
        </is>
      </c>
      <c r="AY1251" t="inlineStr">
        <is>
          <t>701+</t>
        </is>
      </c>
      <c r="AZ1251" t="inlineStr"/>
      <c r="BA1251" t="inlineStr"/>
    </row>
    <row r="1252">
      <c r="A1252" t="inlineStr">
        <is>
          <t>Universidad del Valle</t>
        </is>
      </c>
      <c r="B1252" t="inlineStr">
        <is>
          <t>Colombia</t>
        </is>
      </c>
      <c r="C1252" t="inlineStr">
        <is>
          <t>CO</t>
        </is>
      </c>
      <c r="D1252" t="inlineStr">
        <is>
          <t>Americas</t>
        </is>
      </c>
      <c r="E1252" t="inlineStr">
        <is>
          <t>XL</t>
        </is>
      </c>
      <c r="F1252" t="inlineStr">
        <is>
          <t>FC</t>
        </is>
      </c>
      <c r="G1252" t="inlineStr">
        <is>
          <t>MD</t>
        </is>
      </c>
      <c r="H1252" t="inlineStr">
        <is>
          <t>4</t>
        </is>
      </c>
      <c r="I1252" t="inlineStr">
        <is>
          <t>Public</t>
        </is>
      </c>
      <c r="J1252" t="inlineStr">
        <is>
          <t>1001-1200</t>
        </is>
      </c>
      <c r="K1252" t="inlineStr">
        <is>
          <t>1001-1200</t>
        </is>
      </c>
      <c r="L1252" t="inlineStr">
        <is>
          <t>1001-1200</t>
        </is>
      </c>
      <c r="M1252" t="inlineStr">
        <is>
          <t>801-1000</t>
        </is>
      </c>
      <c r="N1252" t="inlineStr">
        <is>
          <t>-</t>
        </is>
      </c>
      <c r="O1252" t="inlineStr">
        <is>
          <t>-</t>
        </is>
      </c>
      <c r="P1252" t="n">
        <v>24.1</v>
      </c>
      <c r="Q1252" t="inlineStr">
        <is>
          <t>529</t>
        </is>
      </c>
      <c r="R1252" t="n">
        <v>9.699999999999999</v>
      </c>
      <c r="S1252" t="inlineStr">
        <is>
          <t>701+</t>
        </is>
      </c>
      <c r="T1252" t="n">
        <v>11.1</v>
      </c>
      <c r="U1252" t="inlineStr">
        <is>
          <t>801+</t>
        </is>
      </c>
      <c r="V1252" t="n">
        <v>2.8</v>
      </c>
      <c r="W1252" t="inlineStr">
        <is>
          <t>801+</t>
        </is>
      </c>
      <c r="X1252" t="n">
        <v>3.3</v>
      </c>
      <c r="Y1252" t="inlineStr">
        <is>
          <t>801+</t>
        </is>
      </c>
      <c r="Z1252" t="n">
        <v>2.2</v>
      </c>
      <c r="AA1252" t="inlineStr">
        <is>
          <t>801+</t>
        </is>
      </c>
      <c r="AB1252" t="n">
        <v>6.6</v>
      </c>
      <c r="AC1252" t="inlineStr">
        <is>
          <t>801+</t>
        </is>
      </c>
      <c r="AD1252" t="n">
        <v>24.7</v>
      </c>
      <c r="AE1252" t="inlineStr">
        <is>
          <t>801+</t>
        </is>
      </c>
      <c r="AF1252" t="n">
        <v>28.8</v>
      </c>
      <c r="AG1252" t="inlineStr">
        <is>
          <t>580</t>
        </is>
      </c>
      <c r="AH1252" t="n">
        <v>34.9</v>
      </c>
      <c r="AI1252" t="inlineStr">
        <is>
          <t>801+</t>
        </is>
      </c>
      <c r="AJ1252" t="inlineStr">
        <is>
          <t>18.2</t>
        </is>
      </c>
      <c r="AK1252" t="inlineStr">
        <is>
          <t>492</t>
        </is>
      </c>
      <c r="AL1252" t="inlineStr">
        <is>
          <t>15.0</t>
        </is>
      </c>
      <c r="AM1252" t="inlineStr">
        <is>
          <t>549</t>
        </is>
      </c>
      <c r="AN1252" t="inlineStr">
        <is>
          <t>8.1</t>
        </is>
      </c>
      <c r="AO1252" t="inlineStr">
        <is>
          <t>701+</t>
        </is>
      </c>
      <c r="AP1252" t="inlineStr">
        <is>
          <t>2.0</t>
        </is>
      </c>
      <c r="AQ1252" t="inlineStr">
        <is>
          <t>701+</t>
        </is>
      </c>
      <c r="AR1252" t="inlineStr">
        <is>
          <t>2.2</t>
        </is>
      </c>
      <c r="AS1252" t="inlineStr">
        <is>
          <t>701+</t>
        </is>
      </c>
      <c r="AT1252" t="inlineStr">
        <is>
          <t>1.4</t>
        </is>
      </c>
      <c r="AU1252" t="inlineStr">
        <is>
          <t>701+</t>
        </is>
      </c>
      <c r="AV1252" t="inlineStr">
        <is>
          <t>1.2</t>
        </is>
      </c>
      <c r="AW1252" t="inlineStr">
        <is>
          <t>701+</t>
        </is>
      </c>
      <c r="AX1252" t="inlineStr">
        <is>
          <t>10</t>
        </is>
      </c>
      <c r="AY1252" t="inlineStr">
        <is>
          <t>701+</t>
        </is>
      </c>
      <c r="AZ1252" t="inlineStr">
        <is>
          <t>2.1</t>
        </is>
      </c>
      <c r="BA1252" t="inlineStr">
        <is>
          <t>701+</t>
        </is>
      </c>
    </row>
    <row r="1253">
      <c r="A1253" t="inlineStr">
        <is>
          <t>Universidad del Valle de Guatemala (UVG)</t>
        </is>
      </c>
      <c r="B1253" t="inlineStr">
        <is>
          <t>Guatemala</t>
        </is>
      </c>
      <c r="C1253" t="inlineStr"/>
      <c r="D1253" t="inlineStr">
        <is>
          <t>Americas</t>
        </is>
      </c>
      <c r="E1253" t="inlineStr">
        <is>
          <t>M</t>
        </is>
      </c>
      <c r="F1253" t="inlineStr">
        <is>
          <t>CO</t>
        </is>
      </c>
      <c r="G1253" t="inlineStr">
        <is>
          <t>MD</t>
        </is>
      </c>
      <c r="H1253" t="inlineStr"/>
      <c r="I1253" t="inlineStr">
        <is>
          <t>Private not for Profit</t>
        </is>
      </c>
      <c r="J1253" t="inlineStr">
        <is>
          <t>1201-1400</t>
        </is>
      </c>
      <c r="K1253" t="inlineStr"/>
      <c r="L1253" t="inlineStr"/>
      <c r="M1253" t="inlineStr"/>
      <c r="N1253" t="inlineStr">
        <is>
          <t>-</t>
        </is>
      </c>
      <c r="O1253" t="inlineStr"/>
      <c r="P1253" t="n">
        <v>6.5</v>
      </c>
      <c r="Q1253" t="inlineStr">
        <is>
          <t>701+</t>
        </is>
      </c>
      <c r="R1253" t="n">
        <v>11</v>
      </c>
      <c r="S1253" t="inlineStr">
        <is>
          <t>701+</t>
        </is>
      </c>
      <c r="T1253" t="n">
        <v>61.9</v>
      </c>
      <c r="U1253" t="inlineStr">
        <is>
          <t>288</t>
        </is>
      </c>
      <c r="V1253" t="n">
        <v>1.4</v>
      </c>
      <c r="W1253" t="inlineStr">
        <is>
          <t>801+</t>
        </is>
      </c>
      <c r="X1253" t="n">
        <v>9.4</v>
      </c>
      <c r="Y1253" t="inlineStr">
        <is>
          <t>801+</t>
        </is>
      </c>
      <c r="Z1253" t="n">
        <v>3.2</v>
      </c>
      <c r="AA1253" t="inlineStr">
        <is>
          <t>801+</t>
        </is>
      </c>
      <c r="AB1253" t="n">
        <v>7.4</v>
      </c>
      <c r="AC1253" t="inlineStr">
        <is>
          <t>801+</t>
        </is>
      </c>
      <c r="AD1253" t="n">
        <v>5.6</v>
      </c>
      <c r="AE1253" t="inlineStr">
        <is>
          <t>801+</t>
        </is>
      </c>
      <c r="AF1253" t="n">
        <v>15.3</v>
      </c>
      <c r="AG1253" t="inlineStr">
        <is>
          <t>801+</t>
        </is>
      </c>
      <c r="AH1253" t="n">
        <v>11</v>
      </c>
      <c r="AI1253" t="inlineStr">
        <is>
          <t>801+</t>
        </is>
      </c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</row>
    <row r="1254">
      <c r="A1254" t="inlineStr">
        <is>
          <t>Universidad del Valle de Mexico (UVM)</t>
        </is>
      </c>
      <c r="B1254" t="inlineStr">
        <is>
          <t>Mexico</t>
        </is>
      </c>
      <c r="C1254" t="inlineStr">
        <is>
          <t>MX</t>
        </is>
      </c>
      <c r="D1254" t="inlineStr"/>
      <c r="E1254" t="inlineStr">
        <is>
          <t>XL</t>
        </is>
      </c>
      <c r="F1254" t="inlineStr">
        <is>
          <t>FO</t>
        </is>
      </c>
      <c r="G1254" t="inlineStr">
        <is>
          <t>MD</t>
        </is>
      </c>
      <c r="H1254" t="inlineStr">
        <is>
          <t>4</t>
        </is>
      </c>
      <c r="I1254" t="inlineStr">
        <is>
          <t>C</t>
        </is>
      </c>
      <c r="J1254" t="inlineStr"/>
      <c r="K1254" t="inlineStr"/>
      <c r="L1254" t="inlineStr">
        <is>
          <t>1401+</t>
        </is>
      </c>
      <c r="M1254" t="inlineStr">
        <is>
          <t>1201-1400</t>
        </is>
      </c>
      <c r="N1254" t="inlineStr"/>
      <c r="O1254" t="inlineStr">
        <is>
          <t>-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>
        <is>
          <t>3.7</t>
        </is>
      </c>
      <c r="AK1254" t="inlineStr">
        <is>
          <t>601+</t>
        </is>
      </c>
      <c r="AL1254" t="inlineStr">
        <is>
          <t>13.3</t>
        </is>
      </c>
      <c r="AM1254" t="inlineStr">
        <is>
          <t>601+</t>
        </is>
      </c>
      <c r="AN1254" t="inlineStr">
        <is>
          <t>4.6</t>
        </is>
      </c>
      <c r="AO1254" t="inlineStr">
        <is>
          <t>701+</t>
        </is>
      </c>
      <c r="AP1254" t="inlineStr">
        <is>
          <t>1.0</t>
        </is>
      </c>
      <c r="AQ1254" t="inlineStr">
        <is>
          <t>701+</t>
        </is>
      </c>
      <c r="AR1254" t="inlineStr">
        <is>
          <t>1.2</t>
        </is>
      </c>
      <c r="AS1254" t="inlineStr">
        <is>
          <t>701+</t>
        </is>
      </c>
      <c r="AT1254" t="inlineStr">
        <is>
          <t>1.3</t>
        </is>
      </c>
      <c r="AU1254" t="inlineStr">
        <is>
          <t>701+</t>
        </is>
      </c>
      <c r="AV1254" t="inlineStr">
        <is>
          <t>1.0</t>
        </is>
      </c>
      <c r="AW1254" t="inlineStr">
        <is>
          <t>701+</t>
        </is>
      </c>
      <c r="AX1254" t="inlineStr">
        <is>
          <t>4.2</t>
        </is>
      </c>
      <c r="AY1254" t="inlineStr">
        <is>
          <t>701+</t>
        </is>
      </c>
      <c r="AZ1254" t="inlineStr">
        <is>
          <t>1</t>
        </is>
      </c>
      <c r="BA1254" t="inlineStr">
        <is>
          <t>701+</t>
        </is>
      </c>
    </row>
    <row r="1255">
      <c r="A1255" t="inlineStr">
        <is>
          <t>Universidad del Zulia</t>
        </is>
      </c>
      <c r="B1255" t="inlineStr">
        <is>
          <t>Venezuela</t>
        </is>
      </c>
      <c r="C1255" t="inlineStr">
        <is>
          <t>VE</t>
        </is>
      </c>
      <c r="D1255" t="inlineStr"/>
      <c r="E1255" t="inlineStr">
        <is>
          <t>M</t>
        </is>
      </c>
      <c r="F1255" t="inlineStr">
        <is>
          <t>FC</t>
        </is>
      </c>
      <c r="G1255" t="inlineStr">
        <is>
          <t>MD</t>
        </is>
      </c>
      <c r="H1255" t="inlineStr">
        <is>
          <t>5</t>
        </is>
      </c>
      <c r="I1255" t="inlineStr">
        <is>
          <t>A</t>
        </is>
      </c>
      <c r="J1255" t="inlineStr"/>
      <c r="K1255" t="inlineStr"/>
      <c r="L1255" t="inlineStr">
        <is>
          <t>1201-1400</t>
        </is>
      </c>
      <c r="M1255" t="inlineStr">
        <is>
          <t>1201-1400</t>
        </is>
      </c>
      <c r="N1255" t="inlineStr"/>
      <c r="O1255" t="inlineStr">
        <is>
          <t>-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>
        <is>
          <t>10.9</t>
        </is>
      </c>
      <c r="AK1255" t="inlineStr">
        <is>
          <t>601+</t>
        </is>
      </c>
      <c r="AL1255" t="inlineStr">
        <is>
          <t>7.6</t>
        </is>
      </c>
      <c r="AM1255" t="inlineStr">
        <is>
          <t>601+</t>
        </is>
      </c>
      <c r="AN1255" t="inlineStr">
        <is>
          <t>3.2</t>
        </is>
      </c>
      <c r="AO1255" t="inlineStr">
        <is>
          <t>701+</t>
        </is>
      </c>
      <c r="AP1255" t="inlineStr">
        <is>
          <t>2.4</t>
        </is>
      </c>
      <c r="AQ1255" t="inlineStr">
        <is>
          <t>701+</t>
        </is>
      </c>
      <c r="AR1255" t="inlineStr"/>
      <c r="AS1255" t="inlineStr"/>
      <c r="AT1255" t="inlineStr"/>
      <c r="AU1255" t="inlineStr"/>
      <c r="AV1255" t="inlineStr">
        <is>
          <t>1.0</t>
        </is>
      </c>
      <c r="AW1255" t="inlineStr">
        <is>
          <t>701+</t>
        </is>
      </c>
      <c r="AX1255" t="inlineStr">
        <is>
          <t>10.9</t>
        </is>
      </c>
      <c r="AY1255" t="inlineStr">
        <is>
          <t>701+</t>
        </is>
      </c>
      <c r="AZ1255" t="inlineStr">
        <is>
          <t>1</t>
        </is>
      </c>
      <c r="BA1255" t="inlineStr">
        <is>
          <t>701+</t>
        </is>
      </c>
    </row>
    <row r="1256">
      <c r="A1256" t="inlineStr">
        <is>
          <t>Universidad del Zulia</t>
        </is>
      </c>
      <c r="B1256" t="inlineStr">
        <is>
          <t>Venezuela (Bolivarian Republic of)</t>
        </is>
      </c>
      <c r="C1256" t="inlineStr"/>
      <c r="D1256" t="inlineStr">
        <is>
          <t>Americas</t>
        </is>
      </c>
      <c r="E1256" t="inlineStr">
        <is>
          <t>L</t>
        </is>
      </c>
      <c r="F1256" t="inlineStr">
        <is>
          <t>FC</t>
        </is>
      </c>
      <c r="G1256" t="inlineStr">
        <is>
          <t>MD</t>
        </is>
      </c>
      <c r="H1256" t="inlineStr"/>
      <c r="I1256" t="inlineStr">
        <is>
          <t>Public</t>
        </is>
      </c>
      <c r="J1256" t="inlineStr">
        <is>
          <t>1401+</t>
        </is>
      </c>
      <c r="K1256" t="inlineStr">
        <is>
          <t>1201-1400</t>
        </is>
      </c>
      <c r="L1256" t="inlineStr"/>
      <c r="M1256" t="inlineStr"/>
      <c r="N1256" t="inlineStr">
        <is>
          <t>-</t>
        </is>
      </c>
      <c r="O1256" t="inlineStr"/>
      <c r="P1256" t="n">
        <v>14.7</v>
      </c>
      <c r="Q1256" t="inlineStr">
        <is>
          <t>701+</t>
        </is>
      </c>
      <c r="R1256" t="n">
        <v>12.8</v>
      </c>
      <c r="S1256" t="inlineStr">
        <is>
          <t>701+</t>
        </is>
      </c>
      <c r="T1256" t="n">
        <v>5.2</v>
      </c>
      <c r="U1256" t="inlineStr">
        <is>
          <t>801+</t>
        </is>
      </c>
      <c r="V1256" t="n">
        <v>2.6</v>
      </c>
      <c r="W1256" t="inlineStr">
        <is>
          <t>801+</t>
        </is>
      </c>
      <c r="X1256" t="n">
        <v>1.2</v>
      </c>
      <c r="Y1256" t="inlineStr">
        <is>
          <t>801+</t>
        </is>
      </c>
      <c r="Z1256" t="n">
        <v>1.5</v>
      </c>
      <c r="AA1256" t="inlineStr">
        <is>
          <t>801+</t>
        </is>
      </c>
      <c r="AB1256" t="n">
        <v>1.4</v>
      </c>
      <c r="AC1256" t="inlineStr">
        <is>
          <t>801+</t>
        </is>
      </c>
      <c r="AD1256" t="n">
        <v>14.5</v>
      </c>
      <c r="AE1256" t="inlineStr">
        <is>
          <t>801+</t>
        </is>
      </c>
      <c r="AF1256" t="n">
        <v>12.4</v>
      </c>
      <c r="AG1256" t="inlineStr">
        <is>
          <t>801+</t>
        </is>
      </c>
      <c r="AH1256" t="n">
        <v>8.300000000000001</v>
      </c>
      <c r="AI1256" t="inlineStr">
        <is>
          <t>801+</t>
        </is>
      </c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</row>
    <row r="1257">
      <c r="A1257" t="inlineStr">
        <is>
          <t>Universidad Diego Portales</t>
        </is>
      </c>
      <c r="B1257" t="inlineStr">
        <is>
          <t>Chile</t>
        </is>
      </c>
      <c r="C1257" t="inlineStr"/>
      <c r="D1257" t="inlineStr">
        <is>
          <t>Americas</t>
        </is>
      </c>
      <c r="E1257" t="inlineStr">
        <is>
          <t>L</t>
        </is>
      </c>
      <c r="F1257" t="inlineStr">
        <is>
          <t>FO</t>
        </is>
      </c>
      <c r="G1257" t="inlineStr">
        <is>
          <t>VH</t>
        </is>
      </c>
      <c r="H1257" t="inlineStr"/>
      <c r="I1257" t="inlineStr">
        <is>
          <t>Private not for Profit</t>
        </is>
      </c>
      <c r="J1257" t="inlineStr">
        <is>
          <t>1001-1200</t>
        </is>
      </c>
      <c r="K1257" t="inlineStr">
        <is>
          <t>1001-1200</t>
        </is>
      </c>
      <c r="L1257" t="inlineStr"/>
      <c r="M1257" t="inlineStr"/>
      <c r="N1257" t="inlineStr">
        <is>
          <t>-</t>
        </is>
      </c>
      <c r="O1257" t="inlineStr"/>
      <c r="P1257" t="n">
        <v>19</v>
      </c>
      <c r="Q1257" t="inlineStr">
        <is>
          <t>647</t>
        </is>
      </c>
      <c r="R1257" t="n">
        <v>25.8</v>
      </c>
      <c r="S1257" t="inlineStr">
        <is>
          <t>526</t>
        </is>
      </c>
      <c r="T1257" t="n">
        <v>11.9</v>
      </c>
      <c r="U1257" t="inlineStr">
        <is>
          <t>801+</t>
        </is>
      </c>
      <c r="V1257" t="n">
        <v>5.5</v>
      </c>
      <c r="W1257" t="inlineStr">
        <is>
          <t>801+</t>
        </is>
      </c>
      <c r="X1257" t="n">
        <v>17.5</v>
      </c>
      <c r="Y1257" t="inlineStr">
        <is>
          <t>758</t>
        </is>
      </c>
      <c r="Z1257" t="n">
        <v>6.3</v>
      </c>
      <c r="AA1257" t="inlineStr">
        <is>
          <t>801+</t>
        </is>
      </c>
      <c r="AB1257" t="n">
        <v>4.9</v>
      </c>
      <c r="AC1257" t="inlineStr">
        <is>
          <t>801+</t>
        </is>
      </c>
      <c r="AD1257" t="n">
        <v>37.1</v>
      </c>
      <c r="AE1257" t="inlineStr">
        <is>
          <t>801+</t>
        </is>
      </c>
      <c r="AF1257" t="n">
        <v>8.800000000000001</v>
      </c>
      <c r="AG1257" t="inlineStr">
        <is>
          <t>801+</t>
        </is>
      </c>
      <c r="AH1257" t="n">
        <v>36.4</v>
      </c>
      <c r="AI1257" t="inlineStr">
        <is>
          <t>801+</t>
        </is>
      </c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</row>
    <row r="1258">
      <c r="A1258" t="inlineStr">
        <is>
          <t>Universidad Diego Portales (UDP)</t>
        </is>
      </c>
      <c r="B1258" t="inlineStr">
        <is>
          <t>Chile</t>
        </is>
      </c>
      <c r="C1258" t="inlineStr">
        <is>
          <t>CL</t>
        </is>
      </c>
      <c r="D1258" t="inlineStr"/>
      <c r="E1258" t="inlineStr">
        <is>
          <t>L</t>
        </is>
      </c>
      <c r="F1258" t="inlineStr">
        <is>
          <t>FC</t>
        </is>
      </c>
      <c r="G1258" t="inlineStr">
        <is>
          <t>MD</t>
        </is>
      </c>
      <c r="H1258" t="inlineStr">
        <is>
          <t>3</t>
        </is>
      </c>
      <c r="I1258" t="inlineStr">
        <is>
          <t>B</t>
        </is>
      </c>
      <c r="J1258" t="inlineStr"/>
      <c r="K1258" t="inlineStr"/>
      <c r="L1258" t="inlineStr">
        <is>
          <t>951-1000</t>
        </is>
      </c>
      <c r="M1258" t="inlineStr">
        <is>
          <t>801-1000</t>
        </is>
      </c>
      <c r="N1258" t="inlineStr"/>
      <c r="O1258" t="inlineStr">
        <is>
          <t>-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>
        <is>
          <t>15.0</t>
        </is>
      </c>
      <c r="AK1258" t="inlineStr">
        <is>
          <t>582</t>
        </is>
      </c>
      <c r="AL1258" t="inlineStr">
        <is>
          <t>22.2</t>
        </is>
      </c>
      <c r="AM1258" t="inlineStr">
        <is>
          <t>425</t>
        </is>
      </c>
      <c r="AN1258" t="inlineStr">
        <is>
          <t>8.6</t>
        </is>
      </c>
      <c r="AO1258" t="inlineStr">
        <is>
          <t>701+</t>
        </is>
      </c>
      <c r="AP1258" t="inlineStr">
        <is>
          <t>4.7</t>
        </is>
      </c>
      <c r="AQ1258" t="inlineStr">
        <is>
          <t>701+</t>
        </is>
      </c>
      <c r="AR1258" t="inlineStr">
        <is>
          <t>14.3</t>
        </is>
      </c>
      <c r="AS1258" t="inlineStr">
        <is>
          <t>677</t>
        </is>
      </c>
      <c r="AT1258" t="inlineStr">
        <is>
          <t>3.1</t>
        </is>
      </c>
      <c r="AU1258" t="inlineStr">
        <is>
          <t>701+</t>
        </is>
      </c>
      <c r="AV1258" t="inlineStr">
        <is>
          <t>2.8</t>
        </is>
      </c>
      <c r="AW1258" t="inlineStr">
        <is>
          <t>701+</t>
        </is>
      </c>
      <c r="AX1258" t="inlineStr">
        <is>
          <t>8.4</t>
        </is>
      </c>
      <c r="AY1258" t="inlineStr">
        <is>
          <t>701+</t>
        </is>
      </c>
      <c r="AZ1258" t="inlineStr">
        <is>
          <t>1.2</t>
        </is>
      </c>
      <c r="BA1258" t="inlineStr">
        <is>
          <t>701+</t>
        </is>
      </c>
    </row>
    <row r="1259">
      <c r="A1259" t="inlineStr">
        <is>
          <t>Universidad EAFIT</t>
        </is>
      </c>
      <c r="B1259" t="inlineStr">
        <is>
          <t>Colombia</t>
        </is>
      </c>
      <c r="C1259" t="inlineStr">
        <is>
          <t>CO</t>
        </is>
      </c>
      <c r="D1259" t="inlineStr">
        <is>
          <t>Americas</t>
        </is>
      </c>
      <c r="E1259" t="inlineStr">
        <is>
          <t>L</t>
        </is>
      </c>
      <c r="F1259" t="inlineStr">
        <is>
          <t>CO</t>
        </is>
      </c>
      <c r="G1259" t="inlineStr">
        <is>
          <t>HI</t>
        </is>
      </c>
      <c r="H1259" t="inlineStr">
        <is>
          <t>4</t>
        </is>
      </c>
      <c r="I1259" t="inlineStr">
        <is>
          <t>Private not for Profit</t>
        </is>
      </c>
      <c r="J1259" t="inlineStr">
        <is>
          <t>951-1000</t>
        </is>
      </c>
      <c r="K1259" t="inlineStr">
        <is>
          <t>901-950</t>
        </is>
      </c>
      <c r="L1259" t="inlineStr">
        <is>
          <t>731-740</t>
        </is>
      </c>
      <c r="M1259" t="inlineStr">
        <is>
          <t>801-1000</t>
        </is>
      </c>
      <c r="N1259" t="inlineStr">
        <is>
          <t>-</t>
        </is>
      </c>
      <c r="O1259" t="inlineStr">
        <is>
          <t>-</t>
        </is>
      </c>
      <c r="P1259" t="n">
        <v>19.4</v>
      </c>
      <c r="Q1259" t="inlineStr">
        <is>
          <t>634</t>
        </is>
      </c>
      <c r="R1259" t="n">
        <v>46</v>
      </c>
      <c r="S1259" t="inlineStr">
        <is>
          <t>293</t>
        </is>
      </c>
      <c r="T1259" t="n">
        <v>6.8</v>
      </c>
      <c r="U1259" t="inlineStr">
        <is>
          <t>801+</t>
        </is>
      </c>
      <c r="V1259" t="n">
        <v>4.1</v>
      </c>
      <c r="W1259" t="inlineStr">
        <is>
          <t>801+</t>
        </is>
      </c>
      <c r="X1259" t="n">
        <v>4.1</v>
      </c>
      <c r="Y1259" t="inlineStr">
        <is>
          <t>801+</t>
        </is>
      </c>
      <c r="Z1259" t="n">
        <v>1.9</v>
      </c>
      <c r="AA1259" t="inlineStr">
        <is>
          <t>801+</t>
        </is>
      </c>
      <c r="AB1259" t="n">
        <v>1.7</v>
      </c>
      <c r="AC1259" t="inlineStr">
        <is>
          <t>801+</t>
        </is>
      </c>
      <c r="AD1259" t="n">
        <v>10.8</v>
      </c>
      <c r="AE1259" t="inlineStr">
        <is>
          <t>801+</t>
        </is>
      </c>
      <c r="AF1259" t="n">
        <v>51.8</v>
      </c>
      <c r="AG1259" t="inlineStr">
        <is>
          <t>326</t>
        </is>
      </c>
      <c r="AH1259" t="n">
        <v>45.4</v>
      </c>
      <c r="AI1259" t="inlineStr">
        <is>
          <t>801+</t>
        </is>
      </c>
      <c r="AJ1259" t="inlineStr">
        <is>
          <t>13.1</t>
        </is>
      </c>
      <c r="AK1259" t="inlineStr">
        <is>
          <t>601+</t>
        </is>
      </c>
      <c r="AL1259" t="inlineStr">
        <is>
          <t>61.5</t>
        </is>
      </c>
      <c r="AM1259" t="inlineStr">
        <is>
          <t>128</t>
        </is>
      </c>
      <c r="AN1259" t="inlineStr">
        <is>
          <t>4.5</t>
        </is>
      </c>
      <c r="AO1259" t="inlineStr">
        <is>
          <t>701+</t>
        </is>
      </c>
      <c r="AP1259" t="inlineStr">
        <is>
          <t>2.3</t>
        </is>
      </c>
      <c r="AQ1259" t="inlineStr">
        <is>
          <t>701+</t>
        </is>
      </c>
      <c r="AR1259" t="inlineStr">
        <is>
          <t>4.6</t>
        </is>
      </c>
      <c r="AS1259" t="inlineStr">
        <is>
          <t>701+</t>
        </is>
      </c>
      <c r="AT1259" t="inlineStr">
        <is>
          <t>1.6</t>
        </is>
      </c>
      <c r="AU1259" t="inlineStr">
        <is>
          <t>701+</t>
        </is>
      </c>
      <c r="AV1259" t="inlineStr">
        <is>
          <t>1.0</t>
        </is>
      </c>
      <c r="AW1259" t="inlineStr">
        <is>
          <t>701+</t>
        </is>
      </c>
      <c r="AX1259" t="inlineStr">
        <is>
          <t>35.1</t>
        </is>
      </c>
      <c r="AY1259" t="inlineStr">
        <is>
          <t>217</t>
        </is>
      </c>
      <c r="AZ1259" t="inlineStr">
        <is>
          <t>1.1</t>
        </is>
      </c>
      <c r="BA1259" t="inlineStr">
        <is>
          <t>701+</t>
        </is>
      </c>
    </row>
    <row r="1260">
      <c r="A1260" t="inlineStr">
        <is>
          <t>Universidad Espíritu Santo (UEES)</t>
        </is>
      </c>
      <c r="B1260" t="inlineStr">
        <is>
          <t>Ecuador</t>
        </is>
      </c>
      <c r="C1260" t="inlineStr"/>
      <c r="D1260" t="inlineStr">
        <is>
          <t>Americas</t>
        </is>
      </c>
      <c r="E1260" t="inlineStr">
        <is>
          <t>S</t>
        </is>
      </c>
      <c r="F1260" t="inlineStr">
        <is>
          <t>FO</t>
        </is>
      </c>
      <c r="G1260" t="inlineStr">
        <is>
          <t>VH</t>
        </is>
      </c>
      <c r="H1260" t="inlineStr"/>
      <c r="I1260" t="inlineStr">
        <is>
          <t>Private not for Profit</t>
        </is>
      </c>
      <c r="J1260" t="inlineStr">
        <is>
          <t>951-1000</t>
        </is>
      </c>
      <c r="K1260" t="inlineStr"/>
      <c r="L1260" t="inlineStr"/>
      <c r="M1260" t="inlineStr"/>
      <c r="N1260" t="inlineStr">
        <is>
          <t>-</t>
        </is>
      </c>
      <c r="O1260" t="inlineStr"/>
      <c r="P1260" t="n">
        <v>6.1</v>
      </c>
      <c r="Q1260" t="inlineStr">
        <is>
          <t>701+</t>
        </is>
      </c>
      <c r="R1260" t="n">
        <v>8.9</v>
      </c>
      <c r="S1260" t="inlineStr">
        <is>
          <t>701+</t>
        </is>
      </c>
      <c r="T1260" t="n">
        <v>33.7</v>
      </c>
      <c r="U1260" t="inlineStr">
        <is>
          <t>580</t>
        </is>
      </c>
      <c r="V1260" t="n">
        <v>11.2</v>
      </c>
      <c r="W1260" t="inlineStr">
        <is>
          <t>801+</t>
        </is>
      </c>
      <c r="X1260" t="n">
        <v>62.5</v>
      </c>
      <c r="Y1260" t="inlineStr">
        <is>
          <t>373</t>
        </is>
      </c>
      <c r="Z1260" t="n">
        <v>63.5</v>
      </c>
      <c r="AA1260" t="inlineStr">
        <is>
          <t>315</t>
        </is>
      </c>
      <c r="AB1260" t="n">
        <v>47.3</v>
      </c>
      <c r="AC1260" t="inlineStr">
        <is>
          <t>438</t>
        </is>
      </c>
      <c r="AD1260" t="n">
        <v>25.3</v>
      </c>
      <c r="AE1260" t="inlineStr">
        <is>
          <t>801+</t>
        </is>
      </c>
      <c r="AF1260" t="n">
        <v>13.1</v>
      </c>
      <c r="AG1260" t="inlineStr">
        <is>
          <t>801+</t>
        </is>
      </c>
      <c r="AH1260" t="n">
        <v>42.8</v>
      </c>
      <c r="AI1260" t="inlineStr">
        <is>
          <t>801+</t>
        </is>
      </c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</row>
    <row r="1261">
      <c r="A1261" t="inlineStr">
        <is>
          <t>Universidad Europea de Madrid</t>
        </is>
      </c>
      <c r="B1261" t="inlineStr">
        <is>
          <t>Spain</t>
        </is>
      </c>
      <c r="C1261" t="inlineStr"/>
      <c r="D1261" t="inlineStr">
        <is>
          <t>Europe</t>
        </is>
      </c>
      <c r="E1261" t="inlineStr">
        <is>
          <t>L</t>
        </is>
      </c>
      <c r="F1261" t="inlineStr">
        <is>
          <t>FC</t>
        </is>
      </c>
      <c r="G1261" t="inlineStr">
        <is>
          <t>MD</t>
        </is>
      </c>
      <c r="H1261" t="inlineStr"/>
      <c r="I1261" t="inlineStr"/>
      <c r="J1261" t="inlineStr">
        <is>
          <t>901-950</t>
        </is>
      </c>
      <c r="K1261" t="inlineStr"/>
      <c r="L1261" t="inlineStr"/>
      <c r="M1261" t="inlineStr"/>
      <c r="N1261" t="inlineStr">
        <is>
          <t>-</t>
        </is>
      </c>
      <c r="O1261" t="inlineStr"/>
      <c r="P1261" t="n">
        <v>7.7</v>
      </c>
      <c r="Q1261" t="inlineStr">
        <is>
          <t>701+</t>
        </is>
      </c>
      <c r="R1261" t="n">
        <v>19.7</v>
      </c>
      <c r="S1261" t="inlineStr">
        <is>
          <t>668</t>
        </is>
      </c>
      <c r="T1261" t="n">
        <v>56.6</v>
      </c>
      <c r="U1261" t="inlineStr">
        <is>
          <t>328</t>
        </is>
      </c>
      <c r="V1261" t="n">
        <v>3</v>
      </c>
      <c r="W1261" t="inlineStr">
        <is>
          <t>801+</t>
        </is>
      </c>
      <c r="X1261" t="n">
        <v>14.4</v>
      </c>
      <c r="Y1261" t="inlineStr">
        <is>
          <t>801+</t>
        </is>
      </c>
      <c r="Z1261" t="n">
        <v>96.09999999999999</v>
      </c>
      <c r="AA1261" t="inlineStr">
        <is>
          <t>110</t>
        </is>
      </c>
      <c r="AB1261" t="n">
        <v>96.40000000000001</v>
      </c>
      <c r="AC1261" t="inlineStr">
        <is>
          <t>95</t>
        </is>
      </c>
      <c r="AD1261" t="n">
        <v>11.6</v>
      </c>
      <c r="AE1261" t="inlineStr">
        <is>
          <t>801+</t>
        </is>
      </c>
      <c r="AF1261" t="n">
        <v>10.7</v>
      </c>
      <c r="AG1261" t="inlineStr">
        <is>
          <t>801+</t>
        </is>
      </c>
      <c r="AH1261" t="n">
        <v>45</v>
      </c>
      <c r="AI1261" t="inlineStr">
        <is>
          <t>801+</t>
        </is>
      </c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</row>
    <row r="1262">
      <c r="A1262" t="inlineStr">
        <is>
          <t>Universidad Externado de Colombia</t>
        </is>
      </c>
      <c r="B1262" t="inlineStr">
        <is>
          <t>Colombia</t>
        </is>
      </c>
      <c r="C1262" t="inlineStr">
        <is>
          <t>CO</t>
        </is>
      </c>
      <c r="D1262" t="inlineStr">
        <is>
          <t>Americas</t>
        </is>
      </c>
      <c r="E1262" t="inlineStr">
        <is>
          <t>L</t>
        </is>
      </c>
      <c r="F1262" t="inlineStr">
        <is>
          <t>FO</t>
        </is>
      </c>
      <c r="G1262" t="inlineStr">
        <is>
          <t>MD</t>
        </is>
      </c>
      <c r="H1262" t="inlineStr">
        <is>
          <t>5</t>
        </is>
      </c>
      <c r="I1262" t="inlineStr">
        <is>
          <t>Private not for Profit</t>
        </is>
      </c>
      <c r="J1262" t="inlineStr">
        <is>
          <t>951-1000</t>
        </is>
      </c>
      <c r="K1262" t="inlineStr">
        <is>
          <t>901-950</t>
        </is>
      </c>
      <c r="L1262" t="inlineStr">
        <is>
          <t>751-760</t>
        </is>
      </c>
      <c r="M1262" t="inlineStr">
        <is>
          <t>651-700</t>
        </is>
      </c>
      <c r="N1262" t="inlineStr">
        <is>
          <t>-</t>
        </is>
      </c>
      <c r="O1262" t="inlineStr">
        <is>
          <t>-</t>
        </is>
      </c>
      <c r="P1262" t="n">
        <v>15.8</v>
      </c>
      <c r="Q1262" t="inlineStr">
        <is>
          <t>701+</t>
        </is>
      </c>
      <c r="R1262" t="n">
        <v>33.5</v>
      </c>
      <c r="S1262" t="inlineStr">
        <is>
          <t>428</t>
        </is>
      </c>
      <c r="T1262" t="n">
        <v>48.9</v>
      </c>
      <c r="U1262" t="inlineStr">
        <is>
          <t>395</t>
        </is>
      </c>
      <c r="V1262" t="n">
        <v>1.2</v>
      </c>
      <c r="W1262" t="inlineStr">
        <is>
          <t>801+</t>
        </is>
      </c>
      <c r="X1262" t="n">
        <v>10.7</v>
      </c>
      <c r="Y1262" t="inlineStr">
        <is>
          <t>801+</t>
        </is>
      </c>
      <c r="Z1262" t="n">
        <v>2.1</v>
      </c>
      <c r="AA1262" t="inlineStr">
        <is>
          <t>801+</t>
        </is>
      </c>
      <c r="AB1262" t="n">
        <v>1.8</v>
      </c>
      <c r="AC1262" t="inlineStr">
        <is>
          <t>801+</t>
        </is>
      </c>
      <c r="AD1262" t="n">
        <v>5.6</v>
      </c>
      <c r="AE1262" t="inlineStr">
        <is>
          <t>801+</t>
        </is>
      </c>
      <c r="AF1262" t="n">
        <v>41.2</v>
      </c>
      <c r="AG1262" t="inlineStr">
        <is>
          <t>424</t>
        </is>
      </c>
      <c r="AH1262" t="n">
        <v>23.8</v>
      </c>
      <c r="AI1262" t="inlineStr">
        <is>
          <t>801+</t>
        </is>
      </c>
      <c r="AJ1262" t="inlineStr">
        <is>
          <t>14.0</t>
        </is>
      </c>
      <c r="AK1262" t="inlineStr">
        <is>
          <t>601+</t>
        </is>
      </c>
      <c r="AL1262" t="inlineStr">
        <is>
          <t>43.7</t>
        </is>
      </c>
      <c r="AM1262" t="inlineStr">
        <is>
          <t>209</t>
        </is>
      </c>
      <c r="AN1262" t="inlineStr">
        <is>
          <t>31.2</t>
        </is>
      </c>
      <c r="AO1262" t="inlineStr">
        <is>
          <t>506</t>
        </is>
      </c>
      <c r="AP1262" t="inlineStr">
        <is>
          <t>1.1</t>
        </is>
      </c>
      <c r="AQ1262" t="inlineStr">
        <is>
          <t>701+</t>
        </is>
      </c>
      <c r="AR1262" t="inlineStr">
        <is>
          <t>11.3</t>
        </is>
      </c>
      <c r="AS1262" t="inlineStr">
        <is>
          <t>701+</t>
        </is>
      </c>
      <c r="AT1262" t="inlineStr">
        <is>
          <t>1.6</t>
        </is>
      </c>
      <c r="AU1262" t="inlineStr">
        <is>
          <t>701+</t>
        </is>
      </c>
      <c r="AV1262" t="inlineStr">
        <is>
          <t>1.0</t>
        </is>
      </c>
      <c r="AW1262" t="inlineStr">
        <is>
          <t>701+</t>
        </is>
      </c>
      <c r="AX1262" t="inlineStr">
        <is>
          <t>18.8</t>
        </is>
      </c>
      <c r="AY1262" t="inlineStr">
        <is>
          <t>445</t>
        </is>
      </c>
      <c r="AZ1262" t="inlineStr">
        <is>
          <t>1</t>
        </is>
      </c>
      <c r="BA1262" t="inlineStr">
        <is>
          <t>701+</t>
        </is>
      </c>
    </row>
    <row r="1263">
      <c r="A1263" t="inlineStr">
        <is>
          <t>Universidad Iberoamericana IBERO</t>
        </is>
      </c>
      <c r="B1263" t="inlineStr">
        <is>
          <t>Mexico</t>
        </is>
      </c>
      <c r="C1263" t="inlineStr">
        <is>
          <t>MX</t>
        </is>
      </c>
      <c r="D1263" t="inlineStr"/>
      <c r="E1263" t="inlineStr">
        <is>
          <t>L</t>
        </is>
      </c>
      <c r="F1263" t="inlineStr">
        <is>
          <t>FC</t>
        </is>
      </c>
      <c r="G1263" t="inlineStr">
        <is>
          <t>MD</t>
        </is>
      </c>
      <c r="H1263" t="inlineStr">
        <is>
          <t>4</t>
        </is>
      </c>
      <c r="I1263" t="inlineStr">
        <is>
          <t>B</t>
        </is>
      </c>
      <c r="J1263" t="inlineStr"/>
      <c r="K1263" t="inlineStr"/>
      <c r="L1263" t="inlineStr">
        <is>
          <t>691-700</t>
        </is>
      </c>
      <c r="M1263" t="inlineStr">
        <is>
          <t>701-750</t>
        </is>
      </c>
      <c r="N1263" t="inlineStr"/>
      <c r="O1263" t="inlineStr">
        <is>
          <t>-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>
        <is>
          <t>19.1</t>
        </is>
      </c>
      <c r="AK1263" t="inlineStr">
        <is>
          <t>468</t>
        </is>
      </c>
      <c r="AL1263" t="inlineStr">
        <is>
          <t>31.1</t>
        </is>
      </c>
      <c r="AM1263" t="inlineStr">
        <is>
          <t>315</t>
        </is>
      </c>
      <c r="AN1263" t="inlineStr">
        <is>
          <t>31.6</t>
        </is>
      </c>
      <c r="AO1263" t="inlineStr">
        <is>
          <t>496</t>
        </is>
      </c>
      <c r="AP1263" t="inlineStr">
        <is>
          <t>1.3</t>
        </is>
      </c>
      <c r="AQ1263" t="inlineStr">
        <is>
          <t>701+</t>
        </is>
      </c>
      <c r="AR1263" t="inlineStr">
        <is>
          <t>5.5</t>
        </is>
      </c>
      <c r="AS1263" t="inlineStr">
        <is>
          <t>701+</t>
        </is>
      </c>
      <c r="AT1263" t="inlineStr">
        <is>
          <t>2.4</t>
        </is>
      </c>
      <c r="AU1263" t="inlineStr">
        <is>
          <t>701+</t>
        </is>
      </c>
      <c r="AV1263" t="inlineStr">
        <is>
          <t>1.0</t>
        </is>
      </c>
      <c r="AW1263" t="inlineStr">
        <is>
          <t>701+</t>
        </is>
      </c>
      <c r="AX1263" t="inlineStr">
        <is>
          <t>51.4</t>
        </is>
      </c>
      <c r="AY1263" t="inlineStr">
        <is>
          <t>127</t>
        </is>
      </c>
      <c r="AZ1263" t="inlineStr">
        <is>
          <t>7.4</t>
        </is>
      </c>
      <c r="BA1263" t="inlineStr">
        <is>
          <t>701+</t>
        </is>
      </c>
    </row>
    <row r="1264">
      <c r="A1264" t="inlineStr">
        <is>
          <t>Universidad Iberoamericana (UIA)</t>
        </is>
      </c>
      <c r="B1264" t="inlineStr">
        <is>
          <t>Mexico</t>
        </is>
      </c>
      <c r="C1264" t="inlineStr"/>
      <c r="D1264" t="inlineStr">
        <is>
          <t>Americas</t>
        </is>
      </c>
      <c r="E1264" t="inlineStr">
        <is>
          <t>M</t>
        </is>
      </c>
      <c r="F1264" t="inlineStr">
        <is>
          <t>FC</t>
        </is>
      </c>
      <c r="G1264" t="inlineStr">
        <is>
          <t>MD</t>
        </is>
      </c>
      <c r="H1264" t="inlineStr"/>
      <c r="I1264" t="inlineStr">
        <is>
          <t>Private not for Profit</t>
        </is>
      </c>
      <c r="J1264" t="inlineStr">
        <is>
          <t>901-950</t>
        </is>
      </c>
      <c r="K1264" t="inlineStr">
        <is>
          <t>801-850</t>
        </is>
      </c>
      <c r="L1264" t="inlineStr"/>
      <c r="M1264" t="inlineStr"/>
      <c r="N1264" t="inlineStr">
        <is>
          <t>-</t>
        </is>
      </c>
      <c r="O1264" t="inlineStr"/>
      <c r="P1264" t="n">
        <v>24.2</v>
      </c>
      <c r="Q1264" t="inlineStr">
        <is>
          <t>526</t>
        </is>
      </c>
      <c r="R1264" t="n">
        <v>30.2</v>
      </c>
      <c r="S1264" t="inlineStr">
        <is>
          <t>469</t>
        </is>
      </c>
      <c r="T1264" t="n">
        <v>34.2</v>
      </c>
      <c r="U1264" t="inlineStr">
        <is>
          <t>575</t>
        </is>
      </c>
      <c r="V1264" t="n">
        <v>1.8</v>
      </c>
      <c r="W1264" t="inlineStr">
        <is>
          <t>801+</t>
        </is>
      </c>
      <c r="X1264" t="n">
        <v>8.1</v>
      </c>
      <c r="Y1264" t="inlineStr">
        <is>
          <t>801+</t>
        </is>
      </c>
      <c r="Z1264" t="n">
        <v>3.6</v>
      </c>
      <c r="AA1264" t="inlineStr">
        <is>
          <t>801+</t>
        </is>
      </c>
      <c r="AB1264" t="n">
        <v>7.8</v>
      </c>
      <c r="AC1264" t="inlineStr">
        <is>
          <t>801+</t>
        </is>
      </c>
      <c r="AD1264" t="n">
        <v>5.4</v>
      </c>
      <c r="AE1264" t="inlineStr">
        <is>
          <t>801+</t>
        </is>
      </c>
      <c r="AF1264" t="n">
        <v>71.40000000000001</v>
      </c>
      <c r="AG1264" t="inlineStr">
        <is>
          <t>203</t>
        </is>
      </c>
      <c r="AH1264" t="n">
        <v>25.7</v>
      </c>
      <c r="AI1264" t="inlineStr">
        <is>
          <t>801+</t>
        </is>
      </c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</row>
    <row r="1265">
      <c r="A1265" t="inlineStr">
        <is>
          <t>Universidad ICESI</t>
        </is>
      </c>
      <c r="B1265" t="inlineStr">
        <is>
          <t>Colombia</t>
        </is>
      </c>
      <c r="C1265" t="inlineStr">
        <is>
          <t>CO</t>
        </is>
      </c>
      <c r="D1265" t="inlineStr">
        <is>
          <t>Americas</t>
        </is>
      </c>
      <c r="E1265" t="inlineStr">
        <is>
          <t>M</t>
        </is>
      </c>
      <c r="F1265" t="inlineStr">
        <is>
          <t>FO</t>
        </is>
      </c>
      <c r="G1265" t="inlineStr">
        <is>
          <t>HI</t>
        </is>
      </c>
      <c r="H1265" t="inlineStr">
        <is>
          <t>3</t>
        </is>
      </c>
      <c r="I1265" t="inlineStr">
        <is>
          <t>Private not for Profit</t>
        </is>
      </c>
      <c r="J1265" t="inlineStr">
        <is>
          <t>1001-1200</t>
        </is>
      </c>
      <c r="K1265" t="inlineStr">
        <is>
          <t>1001-1200</t>
        </is>
      </c>
      <c r="L1265" t="inlineStr">
        <is>
          <t>901-950</t>
        </is>
      </c>
      <c r="M1265" t="inlineStr">
        <is>
          <t>651-700</t>
        </is>
      </c>
      <c r="N1265" t="inlineStr">
        <is>
          <t>-</t>
        </is>
      </c>
      <c r="O1265" t="inlineStr">
        <is>
          <t>-</t>
        </is>
      </c>
      <c r="P1265" t="n">
        <v>7.8</v>
      </c>
      <c r="Q1265" t="inlineStr">
        <is>
          <t>701+</t>
        </is>
      </c>
      <c r="R1265" t="n">
        <v>8.800000000000001</v>
      </c>
      <c r="S1265" t="inlineStr">
        <is>
          <t>701+</t>
        </is>
      </c>
      <c r="T1265" t="n">
        <v>87.59999999999999</v>
      </c>
      <c r="U1265" t="inlineStr">
        <is>
          <t>114</t>
        </is>
      </c>
      <c r="V1265" t="n">
        <v>2.4</v>
      </c>
      <c r="W1265" t="inlineStr">
        <is>
          <t>801+</t>
        </is>
      </c>
      <c r="X1265" t="n">
        <v>5.1</v>
      </c>
      <c r="Y1265" t="inlineStr">
        <is>
          <t>801+</t>
        </is>
      </c>
      <c r="Z1265" t="n">
        <v>5.2</v>
      </c>
      <c r="AA1265" t="inlineStr">
        <is>
          <t>801+</t>
        </is>
      </c>
      <c r="AB1265" t="n">
        <v>9.300000000000001</v>
      </c>
      <c r="AC1265" t="inlineStr">
        <is>
          <t>801+</t>
        </is>
      </c>
      <c r="AD1265" t="n">
        <v>7.4</v>
      </c>
      <c r="AE1265" t="inlineStr">
        <is>
          <t>801+</t>
        </is>
      </c>
      <c r="AF1265" t="n">
        <v>12.9</v>
      </c>
      <c r="AG1265" t="inlineStr">
        <is>
          <t>801+</t>
        </is>
      </c>
      <c r="AH1265" t="n">
        <v>15.9</v>
      </c>
      <c r="AI1265" t="inlineStr">
        <is>
          <t>801+</t>
        </is>
      </c>
      <c r="AJ1265" t="inlineStr">
        <is>
          <t>5.5</t>
        </is>
      </c>
      <c r="AK1265" t="inlineStr">
        <is>
          <t>601+</t>
        </is>
      </c>
      <c r="AL1265" t="inlineStr">
        <is>
          <t>9.7</t>
        </is>
      </c>
      <c r="AM1265" t="inlineStr">
        <is>
          <t>601+</t>
        </is>
      </c>
      <c r="AN1265" t="inlineStr">
        <is>
          <t>74.3</t>
        </is>
      </c>
      <c r="AO1265" t="inlineStr">
        <is>
          <t>168</t>
        </is>
      </c>
      <c r="AP1265" t="inlineStr">
        <is>
          <t>1.7</t>
        </is>
      </c>
      <c r="AQ1265" t="inlineStr">
        <is>
          <t>701+</t>
        </is>
      </c>
      <c r="AR1265" t="inlineStr">
        <is>
          <t>4.7</t>
        </is>
      </c>
      <c r="AS1265" t="inlineStr">
        <is>
          <t>701+</t>
        </is>
      </c>
      <c r="AT1265" t="inlineStr">
        <is>
          <t>2.5</t>
        </is>
      </c>
      <c r="AU1265" t="inlineStr">
        <is>
          <t>701+</t>
        </is>
      </c>
      <c r="AV1265" t="inlineStr">
        <is>
          <t>1.0</t>
        </is>
      </c>
      <c r="AW1265" t="inlineStr">
        <is>
          <t>701+</t>
        </is>
      </c>
      <c r="AX1265" t="inlineStr">
        <is>
          <t>12.5</t>
        </is>
      </c>
      <c r="AY1265" t="inlineStr">
        <is>
          <t>692</t>
        </is>
      </c>
      <c r="AZ1265" t="inlineStr">
        <is>
          <t>1.2</t>
        </is>
      </c>
      <c r="BA1265" t="inlineStr">
        <is>
          <t>701+</t>
        </is>
      </c>
    </row>
    <row r="1266">
      <c r="A1266" t="inlineStr">
        <is>
          <t>Universidad Industrial de Santander</t>
        </is>
      </c>
      <c r="B1266" t="inlineStr">
        <is>
          <t>Colombia</t>
        </is>
      </c>
      <c r="C1266" t="inlineStr"/>
      <c r="D1266" t="inlineStr">
        <is>
          <t>Americas</t>
        </is>
      </c>
      <c r="E1266" t="inlineStr">
        <is>
          <t>L</t>
        </is>
      </c>
      <c r="F1266" t="inlineStr">
        <is>
          <t>FC</t>
        </is>
      </c>
      <c r="G1266" t="inlineStr">
        <is>
          <t>MD</t>
        </is>
      </c>
      <c r="H1266" t="inlineStr"/>
      <c r="I1266" t="inlineStr">
        <is>
          <t>Public</t>
        </is>
      </c>
      <c r="J1266" t="inlineStr">
        <is>
          <t>1201-1400</t>
        </is>
      </c>
      <c r="K1266" t="inlineStr">
        <is>
          <t>1201-1400</t>
        </is>
      </c>
      <c r="L1266" t="inlineStr"/>
      <c r="M1266" t="inlineStr"/>
      <c r="N1266" t="inlineStr">
        <is>
          <t>-</t>
        </is>
      </c>
      <c r="O1266" t="inlineStr"/>
      <c r="P1266" t="n">
        <v>12.7</v>
      </c>
      <c r="Q1266" t="inlineStr">
        <is>
          <t>701+</t>
        </is>
      </c>
      <c r="R1266" t="n">
        <v>17.6</v>
      </c>
      <c r="S1266" t="inlineStr">
        <is>
          <t>701+</t>
        </is>
      </c>
      <c r="T1266" t="n">
        <v>5.8</v>
      </c>
      <c r="U1266" t="inlineStr">
        <is>
          <t>801+</t>
        </is>
      </c>
      <c r="V1266" t="n">
        <v>3.4</v>
      </c>
      <c r="W1266" t="inlineStr">
        <is>
          <t>801+</t>
        </is>
      </c>
      <c r="X1266" t="n">
        <v>6</v>
      </c>
      <c r="Y1266" t="inlineStr">
        <is>
          <t>801+</t>
        </is>
      </c>
      <c r="Z1266" t="n">
        <v>2</v>
      </c>
      <c r="AA1266" t="inlineStr">
        <is>
          <t>801+</t>
        </is>
      </c>
      <c r="AB1266" t="n">
        <v>6.3</v>
      </c>
      <c r="AC1266" t="inlineStr">
        <is>
          <t>801+</t>
        </is>
      </c>
      <c r="AD1266" t="n">
        <v>18.5</v>
      </c>
      <c r="AE1266" t="inlineStr">
        <is>
          <t>801+</t>
        </is>
      </c>
      <c r="AF1266" t="n">
        <v>13.3</v>
      </c>
      <c r="AG1266" t="inlineStr">
        <is>
          <t>801+</t>
        </is>
      </c>
      <c r="AH1266" t="n">
        <v>28.5</v>
      </c>
      <c r="AI1266" t="inlineStr">
        <is>
          <t>801+</t>
        </is>
      </c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</row>
    <row r="1267">
      <c r="A1267" t="inlineStr">
        <is>
          <t>Universidad Industrial de Santander - UIS</t>
        </is>
      </c>
      <c r="B1267" t="inlineStr">
        <is>
          <t>Colombia</t>
        </is>
      </c>
      <c r="C1267" t="inlineStr">
        <is>
          <t>CO</t>
        </is>
      </c>
      <c r="D1267" t="inlineStr"/>
      <c r="E1267" t="inlineStr">
        <is>
          <t>L</t>
        </is>
      </c>
      <c r="F1267" t="inlineStr">
        <is>
          <t>FC</t>
        </is>
      </c>
      <c r="G1267" t="inlineStr">
        <is>
          <t>MD</t>
        </is>
      </c>
      <c r="H1267" t="inlineStr">
        <is>
          <t>4</t>
        </is>
      </c>
      <c r="I1267" t="inlineStr">
        <is>
          <t>A</t>
        </is>
      </c>
      <c r="J1267" t="inlineStr"/>
      <c r="K1267" t="inlineStr"/>
      <c r="L1267" t="inlineStr">
        <is>
          <t>1001-1200</t>
        </is>
      </c>
      <c r="M1267" t="inlineStr">
        <is>
          <t>1001-1200</t>
        </is>
      </c>
      <c r="N1267" t="inlineStr"/>
      <c r="O1267" t="inlineStr">
        <is>
          <t>-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>
        <is>
          <t>10.3</t>
        </is>
      </c>
      <c r="AK1267" t="inlineStr">
        <is>
          <t>601+</t>
        </is>
      </c>
      <c r="AL1267" t="inlineStr">
        <is>
          <t>25.2</t>
        </is>
      </c>
      <c r="AM1267" t="inlineStr">
        <is>
          <t>380</t>
        </is>
      </c>
      <c r="AN1267" t="inlineStr">
        <is>
          <t>5.2</t>
        </is>
      </c>
      <c r="AO1267" t="inlineStr">
        <is>
          <t>701+</t>
        </is>
      </c>
      <c r="AP1267" t="inlineStr">
        <is>
          <t>2.1</t>
        </is>
      </c>
      <c r="AQ1267" t="inlineStr">
        <is>
          <t>701+</t>
        </is>
      </c>
      <c r="AR1267" t="inlineStr">
        <is>
          <t>4.3</t>
        </is>
      </c>
      <c r="AS1267" t="inlineStr">
        <is>
          <t>701+</t>
        </is>
      </c>
      <c r="AT1267" t="inlineStr">
        <is>
          <t>1.3</t>
        </is>
      </c>
      <c r="AU1267" t="inlineStr">
        <is>
          <t>701+</t>
        </is>
      </c>
      <c r="AV1267" t="inlineStr">
        <is>
          <t>1.0</t>
        </is>
      </c>
      <c r="AW1267" t="inlineStr">
        <is>
          <t>701+</t>
        </is>
      </c>
      <c r="AX1267" t="inlineStr">
        <is>
          <t>6.4</t>
        </is>
      </c>
      <c r="AY1267" t="inlineStr">
        <is>
          <t>701+</t>
        </is>
      </c>
      <c r="AZ1267" t="inlineStr">
        <is>
          <t>6.2</t>
        </is>
      </c>
      <c r="BA1267" t="inlineStr">
        <is>
          <t>701+</t>
        </is>
      </c>
    </row>
    <row r="1268">
      <c r="A1268" t="inlineStr">
        <is>
          <t>Universidad Jesuita de Guadalajara - ITESO</t>
        </is>
      </c>
      <c r="B1268" t="inlineStr">
        <is>
          <t>Mexico</t>
        </is>
      </c>
      <c r="C1268" t="inlineStr"/>
      <c r="D1268" t="inlineStr">
        <is>
          <t>Americas</t>
        </is>
      </c>
      <c r="E1268" t="inlineStr">
        <is>
          <t>M</t>
        </is>
      </c>
      <c r="F1268" t="inlineStr">
        <is>
          <t>FO</t>
        </is>
      </c>
      <c r="G1268" t="inlineStr">
        <is>
          <t>MD</t>
        </is>
      </c>
      <c r="H1268" t="inlineStr"/>
      <c r="I1268" t="inlineStr">
        <is>
          <t>Private not for Profit</t>
        </is>
      </c>
      <c r="J1268" t="inlineStr">
        <is>
          <t>1201-1400</t>
        </is>
      </c>
      <c r="K1268" t="inlineStr">
        <is>
          <t>1001-1200</t>
        </is>
      </c>
      <c r="L1268" t="inlineStr"/>
      <c r="M1268" t="inlineStr"/>
      <c r="N1268" t="inlineStr">
        <is>
          <t>-</t>
        </is>
      </c>
      <c r="O1268" t="inlineStr"/>
      <c r="P1268" t="n">
        <v>9.300000000000001</v>
      </c>
      <c r="Q1268" t="inlineStr">
        <is>
          <t>701+</t>
        </is>
      </c>
      <c r="R1268" t="n">
        <v>7.8</v>
      </c>
      <c r="S1268" t="inlineStr">
        <is>
          <t>701+</t>
        </is>
      </c>
      <c r="T1268" t="n">
        <v>84.59999999999999</v>
      </c>
      <c r="U1268" t="inlineStr">
        <is>
          <t>138</t>
        </is>
      </c>
      <c r="V1268" t="n">
        <v>1.2</v>
      </c>
      <c r="W1268" t="inlineStr">
        <is>
          <t>801+</t>
        </is>
      </c>
      <c r="X1268" t="n">
        <v>3.8</v>
      </c>
      <c r="Y1268" t="inlineStr">
        <is>
          <t>801+</t>
        </is>
      </c>
      <c r="Z1268" t="n">
        <v>2.5</v>
      </c>
      <c r="AA1268" t="inlineStr">
        <is>
          <t>801+</t>
        </is>
      </c>
      <c r="AB1268" t="n">
        <v>2.1</v>
      </c>
      <c r="AC1268" t="inlineStr">
        <is>
          <t>801+</t>
        </is>
      </c>
      <c r="AD1268" t="n">
        <v>3.7</v>
      </c>
      <c r="AE1268" t="inlineStr">
        <is>
          <t>801+</t>
        </is>
      </c>
      <c r="AF1268" t="n">
        <v>2.3</v>
      </c>
      <c r="AG1268" t="inlineStr">
        <is>
          <t>801+</t>
        </is>
      </c>
      <c r="AH1268" t="n">
        <v>21.8</v>
      </c>
      <c r="AI1268" t="inlineStr">
        <is>
          <t>801+</t>
        </is>
      </c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</row>
    <row r="1269">
      <c r="A1269" t="inlineStr">
        <is>
          <t>Universidad La Salle (ULSA)</t>
        </is>
      </c>
      <c r="B1269" t="inlineStr">
        <is>
          <t>Mexico</t>
        </is>
      </c>
      <c r="C1269" t="inlineStr">
        <is>
          <t>MX</t>
        </is>
      </c>
      <c r="D1269" t="inlineStr">
        <is>
          <t>Americas</t>
        </is>
      </c>
      <c r="E1269" t="inlineStr">
        <is>
          <t>M</t>
        </is>
      </c>
      <c r="F1269" t="inlineStr">
        <is>
          <t>FO</t>
        </is>
      </c>
      <c r="G1269" t="inlineStr">
        <is>
          <t>MD</t>
        </is>
      </c>
      <c r="H1269" t="inlineStr">
        <is>
          <t>4</t>
        </is>
      </c>
      <c r="I1269" t="inlineStr">
        <is>
          <t>Private for Profit</t>
        </is>
      </c>
      <c r="J1269" t="inlineStr">
        <is>
          <t>1401+</t>
        </is>
      </c>
      <c r="K1269" t="inlineStr">
        <is>
          <t>1201-1400</t>
        </is>
      </c>
      <c r="L1269" t="inlineStr">
        <is>
          <t>1001-1200</t>
        </is>
      </c>
      <c r="M1269" t="inlineStr">
        <is>
          <t>1201-1400</t>
        </is>
      </c>
      <c r="N1269" t="inlineStr">
        <is>
          <t>-</t>
        </is>
      </c>
      <c r="O1269" t="inlineStr">
        <is>
          <t>-</t>
        </is>
      </c>
      <c r="P1269" t="n">
        <v>6.2</v>
      </c>
      <c r="Q1269" t="inlineStr">
        <is>
          <t>701+</t>
        </is>
      </c>
      <c r="R1269" t="n">
        <v>17.4</v>
      </c>
      <c r="S1269" t="inlineStr">
        <is>
          <t>701+</t>
        </is>
      </c>
      <c r="T1269" t="n">
        <v>28.9</v>
      </c>
      <c r="U1269" t="inlineStr">
        <is>
          <t>651</t>
        </is>
      </c>
      <c r="V1269" t="n">
        <v>1.4</v>
      </c>
      <c r="W1269" t="inlineStr">
        <is>
          <t>801+</t>
        </is>
      </c>
      <c r="X1269" t="n">
        <v>3.4</v>
      </c>
      <c r="Y1269" t="inlineStr">
        <is>
          <t>801+</t>
        </is>
      </c>
      <c r="Z1269" t="n">
        <v>2.4</v>
      </c>
      <c r="AA1269" t="inlineStr">
        <is>
          <t>801+</t>
        </is>
      </c>
      <c r="AB1269" t="n">
        <v>2</v>
      </c>
      <c r="AC1269" t="inlineStr">
        <is>
          <t>801+</t>
        </is>
      </c>
      <c r="AD1269" t="n">
        <v>1.8</v>
      </c>
      <c r="AE1269" t="inlineStr">
        <is>
          <t>801+</t>
        </is>
      </c>
      <c r="AF1269" t="n">
        <v>6.4</v>
      </c>
      <c r="AG1269" t="inlineStr">
        <is>
          <t>801+</t>
        </is>
      </c>
      <c r="AH1269" t="n">
        <v>10.1</v>
      </c>
      <c r="AI1269" t="inlineStr">
        <is>
          <t>801+</t>
        </is>
      </c>
      <c r="AJ1269" t="inlineStr">
        <is>
          <t>3.9</t>
        </is>
      </c>
      <c r="AK1269" t="inlineStr">
        <is>
          <t>601+</t>
        </is>
      </c>
      <c r="AL1269" t="inlineStr">
        <is>
          <t>26.5</t>
        </is>
      </c>
      <c r="AM1269" t="inlineStr">
        <is>
          <t>364</t>
        </is>
      </c>
      <c r="AN1269" t="inlineStr">
        <is>
          <t>20.1</t>
        </is>
      </c>
      <c r="AO1269" t="inlineStr">
        <is>
          <t>663</t>
        </is>
      </c>
      <c r="AP1269" t="inlineStr">
        <is>
          <t>1.1</t>
        </is>
      </c>
      <c r="AQ1269" t="inlineStr">
        <is>
          <t>701+</t>
        </is>
      </c>
      <c r="AR1269" t="inlineStr">
        <is>
          <t>4.1</t>
        </is>
      </c>
      <c r="AS1269" t="inlineStr">
        <is>
          <t>701+</t>
        </is>
      </c>
      <c r="AT1269" t="inlineStr">
        <is>
          <t>1.7</t>
        </is>
      </c>
      <c r="AU1269" t="inlineStr">
        <is>
          <t>701+</t>
        </is>
      </c>
      <c r="AV1269" t="inlineStr">
        <is>
          <t>1.0</t>
        </is>
      </c>
      <c r="AW1269" t="inlineStr">
        <is>
          <t>701+</t>
        </is>
      </c>
      <c r="AX1269" t="inlineStr">
        <is>
          <t>9.6</t>
        </is>
      </c>
      <c r="AY1269" t="inlineStr">
        <is>
          <t>701+</t>
        </is>
      </c>
      <c r="AZ1269" t="inlineStr">
        <is>
          <t>1.2</t>
        </is>
      </c>
      <c r="BA1269" t="inlineStr">
        <is>
          <t>701+</t>
        </is>
      </c>
    </row>
    <row r="1270">
      <c r="A1270" t="inlineStr">
        <is>
          <t>Universidad Latinoamericana de Ciencia y Tecnología Costa Rica (ULACIT)</t>
        </is>
      </c>
      <c r="B1270" t="inlineStr">
        <is>
          <t>Costa Rica</t>
        </is>
      </c>
      <c r="C1270" t="inlineStr"/>
      <c r="D1270" t="inlineStr">
        <is>
          <t>Americas</t>
        </is>
      </c>
      <c r="E1270" t="inlineStr">
        <is>
          <t>S</t>
        </is>
      </c>
      <c r="F1270" t="inlineStr">
        <is>
          <t>CO</t>
        </is>
      </c>
      <c r="G1270" t="inlineStr">
        <is>
          <t>LO</t>
        </is>
      </c>
      <c r="H1270" t="inlineStr"/>
      <c r="I1270" t="inlineStr">
        <is>
          <t>Private not for Profit</t>
        </is>
      </c>
      <c r="J1270" t="inlineStr">
        <is>
          <t>1401+</t>
        </is>
      </c>
      <c r="K1270" t="inlineStr">
        <is>
          <t>1201-1400</t>
        </is>
      </c>
      <c r="L1270" t="inlineStr"/>
      <c r="M1270" t="inlineStr"/>
      <c r="N1270" t="inlineStr">
        <is>
          <t>-</t>
        </is>
      </c>
      <c r="O1270" t="inlineStr"/>
      <c r="P1270" t="n">
        <v>7.8</v>
      </c>
      <c r="Q1270" t="inlineStr">
        <is>
          <t>701+</t>
        </is>
      </c>
      <c r="R1270" t="n">
        <v>17.2</v>
      </c>
      <c r="S1270" t="inlineStr">
        <is>
          <t>701+</t>
        </is>
      </c>
      <c r="T1270" t="n">
        <v>32.6</v>
      </c>
      <c r="U1270" t="inlineStr">
        <is>
          <t>592</t>
        </is>
      </c>
      <c r="V1270" t="n">
        <v>1.1</v>
      </c>
      <c r="W1270" t="inlineStr">
        <is>
          <t>801+</t>
        </is>
      </c>
      <c r="X1270" t="n">
        <v>13.8</v>
      </c>
      <c r="Y1270" t="inlineStr">
        <is>
          <t>801+</t>
        </is>
      </c>
      <c r="Z1270" t="n">
        <v>12.8</v>
      </c>
      <c r="AA1270" t="inlineStr">
        <is>
          <t>801+</t>
        </is>
      </c>
      <c r="AB1270" t="n">
        <v>9.800000000000001</v>
      </c>
      <c r="AC1270" t="inlineStr">
        <is>
          <t>801+</t>
        </is>
      </c>
      <c r="AD1270" t="n">
        <v>1.1</v>
      </c>
      <c r="AE1270" t="inlineStr">
        <is>
          <t>801+</t>
        </is>
      </c>
      <c r="AF1270" t="n">
        <v>12.3</v>
      </c>
      <c r="AG1270" t="inlineStr">
        <is>
          <t>801+</t>
        </is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</row>
    <row r="1271">
      <c r="A1271" t="inlineStr">
        <is>
          <t>Universidad Mayor de San Andrés (UMSA)</t>
        </is>
      </c>
      <c r="B1271" t="inlineStr">
        <is>
          <t>Bolivia</t>
        </is>
      </c>
      <c r="C1271" t="inlineStr">
        <is>
          <t>BO</t>
        </is>
      </c>
      <c r="D1271" t="inlineStr"/>
      <c r="E1271" t="inlineStr">
        <is>
          <t>XL</t>
        </is>
      </c>
      <c r="F1271" t="inlineStr">
        <is>
          <t>FC</t>
        </is>
      </c>
      <c r="G1271" t="inlineStr">
        <is>
          <t>LO</t>
        </is>
      </c>
      <c r="H1271" t="inlineStr">
        <is>
          <t>5</t>
        </is>
      </c>
      <c r="I1271" t="inlineStr">
        <is>
          <t>A</t>
        </is>
      </c>
      <c r="J1271" t="inlineStr"/>
      <c r="K1271" t="inlineStr"/>
      <c r="L1271" t="inlineStr">
        <is>
          <t>1201-1400</t>
        </is>
      </c>
      <c r="M1271" t="inlineStr">
        <is>
          <t>1201-1400</t>
        </is>
      </c>
      <c r="N1271" t="inlineStr"/>
      <c r="O1271" t="inlineStr">
        <is>
          <t>-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>
        <is>
          <t>7.7</t>
        </is>
      </c>
      <c r="AK1271" t="inlineStr">
        <is>
          <t>601+</t>
        </is>
      </c>
      <c r="AL1271" t="inlineStr">
        <is>
          <t>2.4</t>
        </is>
      </c>
      <c r="AM1271" t="inlineStr">
        <is>
          <t>601+</t>
        </is>
      </c>
      <c r="AN1271" t="inlineStr">
        <is>
          <t>1.1</t>
        </is>
      </c>
      <c r="AO1271" t="inlineStr">
        <is>
          <t>701+</t>
        </is>
      </c>
      <c r="AP1271" t="inlineStr">
        <is>
          <t>1.6</t>
        </is>
      </c>
      <c r="AQ1271" t="inlineStr">
        <is>
          <t>701+</t>
        </is>
      </c>
      <c r="AR1271" t="inlineStr">
        <is>
          <t>6.8</t>
        </is>
      </c>
      <c r="AS1271" t="inlineStr">
        <is>
          <t>701+</t>
        </is>
      </c>
      <c r="AT1271" t="inlineStr">
        <is>
          <t>1.0</t>
        </is>
      </c>
      <c r="AU1271" t="inlineStr">
        <is>
          <t>701+</t>
        </is>
      </c>
      <c r="AV1271" t="inlineStr">
        <is>
          <t>1.1</t>
        </is>
      </c>
      <c r="AW1271" t="inlineStr">
        <is>
          <t>701+</t>
        </is>
      </c>
      <c r="AX1271" t="inlineStr">
        <is>
          <t>14.8</t>
        </is>
      </c>
      <c r="AY1271" t="inlineStr">
        <is>
          <t>565</t>
        </is>
      </c>
      <c r="AZ1271" t="inlineStr">
        <is>
          <t>1</t>
        </is>
      </c>
      <c r="BA1271" t="inlineStr">
        <is>
          <t>701+</t>
        </is>
      </c>
    </row>
    <row r="1272">
      <c r="A1272" t="inlineStr">
        <is>
          <t>Universidad Mayor de San Simón Cochabamba</t>
        </is>
      </c>
      <c r="B1272" t="inlineStr">
        <is>
          <t>Bolivia</t>
        </is>
      </c>
      <c r="C1272" t="inlineStr">
        <is>
          <t>BO</t>
        </is>
      </c>
      <c r="D1272" t="inlineStr"/>
      <c r="E1272" t="inlineStr">
        <is>
          <t>XL</t>
        </is>
      </c>
      <c r="F1272" t="inlineStr">
        <is>
          <t>CO</t>
        </is>
      </c>
      <c r="G1272" t="inlineStr">
        <is>
          <t>LO</t>
        </is>
      </c>
      <c r="H1272" t="inlineStr">
        <is>
          <t>5</t>
        </is>
      </c>
      <c r="I1272" t="inlineStr">
        <is>
          <t>A</t>
        </is>
      </c>
      <c r="J1272" t="inlineStr"/>
      <c r="K1272" t="inlineStr"/>
      <c r="L1272" t="inlineStr">
        <is>
          <t>1401+</t>
        </is>
      </c>
      <c r="M1272" t="inlineStr">
        <is>
          <t>1401+</t>
        </is>
      </c>
      <c r="N1272" t="inlineStr"/>
      <c r="O1272" t="inlineStr">
        <is>
          <t>-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>
        <is>
          <t>5.0</t>
        </is>
      </c>
      <c r="AK1272" t="inlineStr">
        <is>
          <t>601+</t>
        </is>
      </c>
      <c r="AL1272" t="inlineStr">
        <is>
          <t>2.6</t>
        </is>
      </c>
      <c r="AM1272" t="inlineStr">
        <is>
          <t>601+</t>
        </is>
      </c>
      <c r="AN1272" t="inlineStr">
        <is>
          <t>1.2</t>
        </is>
      </c>
      <c r="AO1272" t="inlineStr">
        <is>
          <t>701+</t>
        </is>
      </c>
      <c r="AP1272" t="inlineStr">
        <is>
          <t>1.1</t>
        </is>
      </c>
      <c r="AQ1272" t="inlineStr">
        <is>
          <t>701+</t>
        </is>
      </c>
      <c r="AR1272" t="inlineStr"/>
      <c r="AS1272" t="inlineStr"/>
      <c r="AT1272" t="inlineStr">
        <is>
          <t>1.1</t>
        </is>
      </c>
      <c r="AU1272" t="inlineStr">
        <is>
          <t>701+</t>
        </is>
      </c>
      <c r="AV1272" t="inlineStr">
        <is>
          <t>1.0</t>
        </is>
      </c>
      <c r="AW1272" t="inlineStr">
        <is>
          <t>701+</t>
        </is>
      </c>
      <c r="AX1272" t="inlineStr">
        <is>
          <t>17.1</t>
        </is>
      </c>
      <c r="AY1272" t="inlineStr">
        <is>
          <t>491</t>
        </is>
      </c>
      <c r="AZ1272" t="inlineStr">
        <is>
          <t>1</t>
        </is>
      </c>
      <c r="BA1272" t="inlineStr">
        <is>
          <t>701+</t>
        </is>
      </c>
    </row>
    <row r="1273">
      <c r="A1273" t="inlineStr">
        <is>
          <t>Universidad Metropolitana</t>
        </is>
      </c>
      <c r="B1273" t="inlineStr">
        <is>
          <t>Venezuela</t>
        </is>
      </c>
      <c r="C1273" t="inlineStr">
        <is>
          <t>VE</t>
        </is>
      </c>
      <c r="D1273" t="inlineStr"/>
      <c r="E1273" t="inlineStr">
        <is>
          <t>S</t>
        </is>
      </c>
      <c r="F1273" t="inlineStr">
        <is>
          <t>CO</t>
        </is>
      </c>
      <c r="G1273" t="inlineStr">
        <is>
          <t>LO</t>
        </is>
      </c>
      <c r="H1273" t="inlineStr">
        <is>
          <t>4</t>
        </is>
      </c>
      <c r="I1273" t="inlineStr">
        <is>
          <t>B</t>
        </is>
      </c>
      <c r="J1273" t="inlineStr"/>
      <c r="K1273" t="inlineStr"/>
      <c r="L1273" t="inlineStr">
        <is>
          <t>1001-1200</t>
        </is>
      </c>
      <c r="M1273" t="inlineStr">
        <is>
          <t>1201-1400</t>
        </is>
      </c>
      <c r="N1273" t="inlineStr"/>
      <c r="O1273" t="inlineStr">
        <is>
          <t>-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>
        <is>
          <t>6.5</t>
        </is>
      </c>
      <c r="AK1273" t="inlineStr">
        <is>
          <t>601+</t>
        </is>
      </c>
      <c r="AL1273" t="inlineStr">
        <is>
          <t>14.6</t>
        </is>
      </c>
      <c r="AM1273" t="inlineStr">
        <is>
          <t>558</t>
        </is>
      </c>
      <c r="AN1273" t="inlineStr">
        <is>
          <t>5.2</t>
        </is>
      </c>
      <c r="AO1273" t="inlineStr">
        <is>
          <t>701+</t>
        </is>
      </c>
      <c r="AP1273" t="inlineStr">
        <is>
          <t>1.1</t>
        </is>
      </c>
      <c r="AQ1273" t="inlineStr">
        <is>
          <t>701+</t>
        </is>
      </c>
      <c r="AR1273" t="inlineStr">
        <is>
          <t>9.9</t>
        </is>
      </c>
      <c r="AS1273" t="inlineStr">
        <is>
          <t>701+</t>
        </is>
      </c>
      <c r="AT1273" t="inlineStr">
        <is>
          <t>1.5</t>
        </is>
      </c>
      <c r="AU1273" t="inlineStr">
        <is>
          <t>701+</t>
        </is>
      </c>
      <c r="AV1273" t="inlineStr"/>
      <c r="AW1273" t="inlineStr"/>
      <c r="AX1273" t="inlineStr">
        <is>
          <t>41.2</t>
        </is>
      </c>
      <c r="AY1273" t="inlineStr">
        <is>
          <t>178</t>
        </is>
      </c>
      <c r="AZ1273" t="inlineStr"/>
      <c r="BA1273" t="inlineStr"/>
    </row>
    <row r="1274">
      <c r="A1274" t="inlineStr">
        <is>
          <t>Universidad Metropolitana</t>
        </is>
      </c>
      <c r="B1274" t="inlineStr">
        <is>
          <t>Venezuela (Bolivarian Republic of)</t>
        </is>
      </c>
      <c r="C1274" t="inlineStr"/>
      <c r="D1274" t="inlineStr">
        <is>
          <t>Americas</t>
        </is>
      </c>
      <c r="E1274" t="inlineStr">
        <is>
          <t>M</t>
        </is>
      </c>
      <c r="F1274" t="inlineStr">
        <is>
          <t>CO</t>
        </is>
      </c>
      <c r="G1274" t="inlineStr">
        <is>
          <t>LO</t>
        </is>
      </c>
      <c r="H1274" t="inlineStr"/>
      <c r="I1274" t="inlineStr">
        <is>
          <t>Private not for Profit</t>
        </is>
      </c>
      <c r="J1274" t="inlineStr">
        <is>
          <t>1401+</t>
        </is>
      </c>
      <c r="K1274" t="inlineStr">
        <is>
          <t>1201-1400</t>
        </is>
      </c>
      <c r="L1274" t="inlineStr"/>
      <c r="M1274" t="inlineStr"/>
      <c r="N1274" t="inlineStr">
        <is>
          <t>-</t>
        </is>
      </c>
      <c r="O1274" t="inlineStr"/>
      <c r="P1274" t="n">
        <v>9.800000000000001</v>
      </c>
      <c r="Q1274" t="inlineStr">
        <is>
          <t>701+</t>
        </is>
      </c>
      <c r="R1274" t="n">
        <v>24.4</v>
      </c>
      <c r="S1274" t="inlineStr">
        <is>
          <t>550</t>
        </is>
      </c>
      <c r="T1274" t="n">
        <v>6.4</v>
      </c>
      <c r="U1274" t="inlineStr">
        <is>
          <t>801+</t>
        </is>
      </c>
      <c r="V1274" t="n">
        <v>1.1</v>
      </c>
      <c r="W1274" t="inlineStr">
        <is>
          <t>801+</t>
        </is>
      </c>
      <c r="X1274" t="n">
        <v>3.9</v>
      </c>
      <c r="Y1274" t="inlineStr">
        <is>
          <t>801+</t>
        </is>
      </c>
      <c r="Z1274" t="n">
        <v>3.3</v>
      </c>
      <c r="AA1274" t="inlineStr">
        <is>
          <t>801+</t>
        </is>
      </c>
      <c r="AB1274" t="n">
        <v>7.4</v>
      </c>
      <c r="AC1274" t="inlineStr">
        <is>
          <t>801+</t>
        </is>
      </c>
      <c r="AD1274" t="n">
        <v>2.3</v>
      </c>
      <c r="AE1274" t="inlineStr">
        <is>
          <t>801+</t>
        </is>
      </c>
      <c r="AF1274" t="n">
        <v>28.1</v>
      </c>
      <c r="AG1274" t="inlineStr">
        <is>
          <t>590</t>
        </is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</row>
    <row r="1275">
      <c r="A1275" t="inlineStr">
        <is>
          <t>Universidad Michoacana de San Nicolás de Hidalgo</t>
        </is>
      </c>
      <c r="B1275" t="inlineStr">
        <is>
          <t>Mexico</t>
        </is>
      </c>
      <c r="C1275" t="inlineStr">
        <is>
          <t>MX</t>
        </is>
      </c>
      <c r="D1275" t="inlineStr"/>
      <c r="E1275" t="inlineStr">
        <is>
          <t>XL</t>
        </is>
      </c>
      <c r="F1275" t="inlineStr">
        <is>
          <t>FC</t>
        </is>
      </c>
      <c r="G1275" t="inlineStr">
        <is>
          <t>MD</t>
        </is>
      </c>
      <c r="H1275" t="inlineStr">
        <is>
          <t>5</t>
        </is>
      </c>
      <c r="I1275" t="inlineStr">
        <is>
          <t>A</t>
        </is>
      </c>
      <c r="J1275" t="inlineStr"/>
      <c r="K1275" t="inlineStr"/>
      <c r="L1275" t="inlineStr">
        <is>
          <t>1401+</t>
        </is>
      </c>
      <c r="M1275" t="inlineStr">
        <is>
          <t>1401+</t>
        </is>
      </c>
      <c r="N1275" t="inlineStr"/>
      <c r="O1275" t="inlineStr">
        <is>
          <t>-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>
        <is>
          <t>3.9</t>
        </is>
      </c>
      <c r="AK1275" t="inlineStr">
        <is>
          <t>601+</t>
        </is>
      </c>
      <c r="AL1275" t="inlineStr">
        <is>
          <t>1.8</t>
        </is>
      </c>
      <c r="AM1275" t="inlineStr">
        <is>
          <t>601+</t>
        </is>
      </c>
      <c r="AN1275" t="inlineStr">
        <is>
          <t>2.9</t>
        </is>
      </c>
      <c r="AO1275" t="inlineStr">
        <is>
          <t>701+</t>
        </is>
      </c>
      <c r="AP1275" t="inlineStr">
        <is>
          <t>2.1</t>
        </is>
      </c>
      <c r="AQ1275" t="inlineStr">
        <is>
          <t>701+</t>
        </is>
      </c>
      <c r="AR1275" t="inlineStr"/>
      <c r="AS1275" t="inlineStr"/>
      <c r="AT1275" t="inlineStr"/>
      <c r="AU1275" t="inlineStr"/>
      <c r="AV1275" t="inlineStr">
        <is>
          <t>1.1</t>
        </is>
      </c>
      <c r="AW1275" t="inlineStr">
        <is>
          <t>701+</t>
        </is>
      </c>
      <c r="AX1275" t="inlineStr">
        <is>
          <t>3.9</t>
        </is>
      </c>
      <c r="AY1275" t="inlineStr">
        <is>
          <t>701+</t>
        </is>
      </c>
      <c r="AZ1275" t="inlineStr">
        <is>
          <t>1</t>
        </is>
      </c>
      <c r="BA1275" t="inlineStr">
        <is>
          <t>701+</t>
        </is>
      </c>
    </row>
    <row r="1276">
      <c r="A1276" t="inlineStr">
        <is>
          <t>Universidad Nacional Agraria la Molina</t>
        </is>
      </c>
      <c r="B1276" t="inlineStr">
        <is>
          <t>Peru</t>
        </is>
      </c>
      <c r="C1276" t="inlineStr">
        <is>
          <t>PE</t>
        </is>
      </c>
      <c r="D1276" t="inlineStr">
        <is>
          <t>Americas</t>
        </is>
      </c>
      <c r="E1276" t="inlineStr">
        <is>
          <t>M</t>
        </is>
      </c>
      <c r="F1276" t="inlineStr">
        <is>
          <t>FO</t>
        </is>
      </c>
      <c r="G1276" t="inlineStr">
        <is>
          <t>VH</t>
        </is>
      </c>
      <c r="H1276" t="inlineStr">
        <is>
          <t>5</t>
        </is>
      </c>
      <c r="I1276" t="inlineStr">
        <is>
          <t>Public</t>
        </is>
      </c>
      <c r="J1276" t="inlineStr">
        <is>
          <t>1401+</t>
        </is>
      </c>
      <c r="K1276" t="inlineStr">
        <is>
          <t>1201-1400</t>
        </is>
      </c>
      <c r="L1276" t="inlineStr">
        <is>
          <t>1201-1400</t>
        </is>
      </c>
      <c r="M1276" t="inlineStr">
        <is>
          <t>1001-1200</t>
        </is>
      </c>
      <c r="N1276" t="inlineStr">
        <is>
          <t>-</t>
        </is>
      </c>
      <c r="O1276" t="inlineStr">
        <is>
          <t>-</t>
        </is>
      </c>
      <c r="P1276" t="n">
        <v>9.300000000000001</v>
      </c>
      <c r="Q1276" t="inlineStr">
        <is>
          <t>701+</t>
        </is>
      </c>
      <c r="R1276" t="n">
        <v>8</v>
      </c>
      <c r="S1276" t="inlineStr">
        <is>
          <t>701+</t>
        </is>
      </c>
      <c r="T1276" t="n">
        <v>16.7</v>
      </c>
      <c r="U1276" t="inlineStr">
        <is>
          <t>801+</t>
        </is>
      </c>
      <c r="V1276" t="n">
        <v>2.8</v>
      </c>
      <c r="W1276" t="inlineStr">
        <is>
          <t>801+</t>
        </is>
      </c>
      <c r="X1276" t="n">
        <v>1.5</v>
      </c>
      <c r="Y1276" t="inlineStr">
        <is>
          <t>801+</t>
        </is>
      </c>
      <c r="Z1276" t="n">
        <v>2.8</v>
      </c>
      <c r="AA1276" t="inlineStr">
        <is>
          <t>801+</t>
        </is>
      </c>
      <c r="AB1276" t="n">
        <v>7</v>
      </c>
      <c r="AC1276" t="inlineStr">
        <is>
          <t>801+</t>
        </is>
      </c>
      <c r="AD1276" t="n">
        <v>12.6</v>
      </c>
      <c r="AE1276" t="inlineStr">
        <is>
          <t>801+</t>
        </is>
      </c>
      <c r="AF1276" t="n">
        <v>4.7</v>
      </c>
      <c r="AG1276" t="inlineStr">
        <is>
          <t>801+</t>
        </is>
      </c>
      <c r="AH1276" t="n">
        <v>34.4</v>
      </c>
      <c r="AI1276" t="inlineStr">
        <is>
          <t>801+</t>
        </is>
      </c>
      <c r="AJ1276" t="inlineStr">
        <is>
          <t>6.8</t>
        </is>
      </c>
      <c r="AK1276" t="inlineStr">
        <is>
          <t>601+</t>
        </is>
      </c>
      <c r="AL1276" t="inlineStr">
        <is>
          <t>8.7</t>
        </is>
      </c>
      <c r="AM1276" t="inlineStr">
        <is>
          <t>601+</t>
        </is>
      </c>
      <c r="AN1276" t="inlineStr">
        <is>
          <t>14.6</t>
        </is>
      </c>
      <c r="AO1276" t="inlineStr">
        <is>
          <t>701+</t>
        </is>
      </c>
      <c r="AP1276" t="inlineStr">
        <is>
          <t>1.6</t>
        </is>
      </c>
      <c r="AQ1276" t="inlineStr">
        <is>
          <t>701+</t>
        </is>
      </c>
      <c r="AR1276" t="inlineStr">
        <is>
          <t>1.4</t>
        </is>
      </c>
      <c r="AS1276" t="inlineStr">
        <is>
          <t>701+</t>
        </is>
      </c>
      <c r="AT1276" t="inlineStr">
        <is>
          <t>1.8</t>
        </is>
      </c>
      <c r="AU1276" t="inlineStr">
        <is>
          <t>701+</t>
        </is>
      </c>
      <c r="AV1276" t="inlineStr">
        <is>
          <t>1.0</t>
        </is>
      </c>
      <c r="AW1276" t="inlineStr">
        <is>
          <t>701+</t>
        </is>
      </c>
      <c r="AX1276" t="inlineStr">
        <is>
          <t>9.8</t>
        </is>
      </c>
      <c r="AY1276" t="inlineStr">
        <is>
          <t>701+</t>
        </is>
      </c>
      <c r="AZ1276" t="inlineStr">
        <is>
          <t>1</t>
        </is>
      </c>
      <c r="BA1276" t="inlineStr">
        <is>
          <t>701+</t>
        </is>
      </c>
    </row>
    <row r="1277">
      <c r="A1277" t="inlineStr">
        <is>
          <t>Universidad Nacional Autónoma de Honduras (UNAH)</t>
        </is>
      </c>
      <c r="B1277" t="inlineStr">
        <is>
          <t>Honduras</t>
        </is>
      </c>
      <c r="C1277" t="inlineStr">
        <is>
          <t>HN</t>
        </is>
      </c>
      <c r="D1277" t="inlineStr"/>
      <c r="E1277" t="inlineStr">
        <is>
          <t>XL</t>
        </is>
      </c>
      <c r="F1277" t="inlineStr">
        <is>
          <t>FC</t>
        </is>
      </c>
      <c r="G1277" t="inlineStr">
        <is>
          <t>LO</t>
        </is>
      </c>
      <c r="H1277" t="inlineStr">
        <is>
          <t>5</t>
        </is>
      </c>
      <c r="I1277" t="inlineStr">
        <is>
          <t>A</t>
        </is>
      </c>
      <c r="J1277" t="inlineStr"/>
      <c r="K1277" t="inlineStr"/>
      <c r="L1277" t="inlineStr">
        <is>
          <t>1401+</t>
        </is>
      </c>
      <c r="M1277" t="inlineStr">
        <is>
          <t>1401+</t>
        </is>
      </c>
      <c r="N1277" t="inlineStr"/>
      <c r="O1277" t="inlineStr">
        <is>
          <t>-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>
        <is>
          <t>4.1</t>
        </is>
      </c>
      <c r="AK1277" t="inlineStr">
        <is>
          <t>601+</t>
        </is>
      </c>
      <c r="AL1277" t="inlineStr">
        <is>
          <t>5.0</t>
        </is>
      </c>
      <c r="AM1277" t="inlineStr">
        <is>
          <t>601+</t>
        </is>
      </c>
      <c r="AN1277" t="inlineStr">
        <is>
          <t>2.9</t>
        </is>
      </c>
      <c r="AO1277" t="inlineStr">
        <is>
          <t>701+</t>
        </is>
      </c>
      <c r="AP1277" t="inlineStr">
        <is>
          <t>1.0</t>
        </is>
      </c>
      <c r="AQ1277" t="inlineStr">
        <is>
          <t>701+</t>
        </is>
      </c>
      <c r="AR1277" t="inlineStr">
        <is>
          <t>1.7</t>
        </is>
      </c>
      <c r="AS1277" t="inlineStr">
        <is>
          <t>701+</t>
        </is>
      </c>
      <c r="AT1277" t="inlineStr"/>
      <c r="AU1277" t="inlineStr"/>
      <c r="AV1277" t="inlineStr">
        <is>
          <t>1.0</t>
        </is>
      </c>
      <c r="AW1277" t="inlineStr">
        <is>
          <t>701+</t>
        </is>
      </c>
      <c r="AX1277" t="inlineStr">
        <is>
          <t>22.4</t>
        </is>
      </c>
      <c r="AY1277" t="inlineStr">
        <is>
          <t>369</t>
        </is>
      </c>
      <c r="AZ1277" t="inlineStr">
        <is>
          <t>1</t>
        </is>
      </c>
      <c r="BA1277" t="inlineStr">
        <is>
          <t>701+</t>
        </is>
      </c>
    </row>
    <row r="1278">
      <c r="A1278" t="inlineStr">
        <is>
          <t>Universidad Nacional Autónoma de México (UNAM)</t>
        </is>
      </c>
      <c r="B1278" t="inlineStr">
        <is>
          <t>Mexico</t>
        </is>
      </c>
      <c r="C1278" t="inlineStr">
        <is>
          <t>MX</t>
        </is>
      </c>
      <c r="D1278" t="inlineStr">
        <is>
          <t>Americas</t>
        </is>
      </c>
      <c r="E1278" t="inlineStr">
        <is>
          <t>XL</t>
        </is>
      </c>
      <c r="F1278" t="inlineStr">
        <is>
          <t>FC</t>
        </is>
      </c>
      <c r="G1278" t="inlineStr">
        <is>
          <t>VH</t>
        </is>
      </c>
      <c r="H1278" t="inlineStr">
        <is>
          <t>5</t>
        </is>
      </c>
      <c r="I1278" t="inlineStr">
        <is>
          <t>Public</t>
        </is>
      </c>
      <c r="J1278" t="inlineStr">
        <is>
          <t>136</t>
        </is>
      </c>
      <c r="K1278" t="inlineStr">
        <is>
          <t>94</t>
        </is>
      </c>
      <c r="L1278">
        <f>93</f>
        <v/>
      </c>
      <c r="M1278" t="inlineStr">
        <is>
          <t>104=</t>
        </is>
      </c>
      <c r="N1278" t="inlineStr">
        <is>
          <t>64</t>
        </is>
      </c>
      <c r="O1278" t="inlineStr">
        <is>
          <t>61.4</t>
        </is>
      </c>
      <c r="P1278" t="n">
        <v>99.2</v>
      </c>
      <c r="Q1278" t="inlineStr">
        <is>
          <t>28</t>
        </is>
      </c>
      <c r="R1278" t="n">
        <v>95.90000000000001</v>
      </c>
      <c r="S1278" t="inlineStr">
        <is>
          <t>43</t>
        </is>
      </c>
      <c r="T1278" t="n">
        <v>47.1</v>
      </c>
      <c r="U1278" t="inlineStr">
        <is>
          <t>419</t>
        </is>
      </c>
      <c r="V1278" t="n">
        <v>4.1</v>
      </c>
      <c r="W1278" t="inlineStr">
        <is>
          <t>801+</t>
        </is>
      </c>
      <c r="X1278" t="n">
        <v>10</v>
      </c>
      <c r="Y1278" t="inlineStr">
        <is>
          <t>801+</t>
        </is>
      </c>
      <c r="Z1278" t="n">
        <v>5.4</v>
      </c>
      <c r="AA1278" t="inlineStr">
        <is>
          <t>801+</t>
        </is>
      </c>
      <c r="AB1278" t="n">
        <v>10.7</v>
      </c>
      <c r="AC1278" t="inlineStr">
        <is>
          <t>801+</t>
        </is>
      </c>
      <c r="AD1278" t="n">
        <v>93.59999999999999</v>
      </c>
      <c r="AE1278" t="inlineStr">
        <is>
          <t>110</t>
        </is>
      </c>
      <c r="AF1278" t="n">
        <v>97.90000000000001</v>
      </c>
      <c r="AG1278" t="inlineStr">
        <is>
          <t>47</t>
        </is>
      </c>
      <c r="AH1278" t="n">
        <v>82.2</v>
      </c>
      <c r="AI1278" t="inlineStr">
        <is>
          <t>146=</t>
        </is>
      </c>
      <c r="AJ1278" t="inlineStr">
        <is>
          <t>96.6</t>
        </is>
      </c>
      <c r="AK1278" t="inlineStr">
        <is>
          <t>28</t>
        </is>
      </c>
      <c r="AL1278" t="inlineStr">
        <is>
          <t>98.2</t>
        </is>
      </c>
      <c r="AM1278" t="inlineStr">
        <is>
          <t>18</t>
        </is>
      </c>
      <c r="AN1278" t="inlineStr">
        <is>
          <t>39.8</t>
        </is>
      </c>
      <c r="AO1278" t="inlineStr">
        <is>
          <t>397</t>
        </is>
      </c>
      <c r="AP1278" t="inlineStr">
        <is>
          <t>2.7</t>
        </is>
      </c>
      <c r="AQ1278" t="inlineStr">
        <is>
          <t>701+</t>
        </is>
      </c>
      <c r="AR1278" t="inlineStr">
        <is>
          <t>8.3</t>
        </is>
      </c>
      <c r="AS1278" t="inlineStr">
        <is>
          <t>701+</t>
        </is>
      </c>
      <c r="AT1278" t="inlineStr">
        <is>
          <t>2.5</t>
        </is>
      </c>
      <c r="AU1278" t="inlineStr">
        <is>
          <t>701+</t>
        </is>
      </c>
      <c r="AV1278" t="inlineStr">
        <is>
          <t>84.5</t>
        </is>
      </c>
      <c r="AW1278" t="inlineStr">
        <is>
          <t>120</t>
        </is>
      </c>
      <c r="AX1278" t="inlineStr">
        <is>
          <t>68.4</t>
        </is>
      </c>
      <c r="AY1278" t="inlineStr">
        <is>
          <t>78</t>
        </is>
      </c>
      <c r="AZ1278" t="inlineStr">
        <is>
          <t>88.5</t>
        </is>
      </c>
      <c r="BA1278" t="inlineStr">
        <is>
          <t>101=</t>
        </is>
      </c>
    </row>
    <row r="1279">
      <c r="A1279" t="inlineStr">
        <is>
          <t>Universidad Nacional Costa Rica</t>
        </is>
      </c>
      <c r="B1279" t="inlineStr">
        <is>
          <t>Costa Rica</t>
        </is>
      </c>
      <c r="C1279" t="inlineStr">
        <is>
          <t>CR</t>
        </is>
      </c>
      <c r="D1279" t="inlineStr">
        <is>
          <t>Americas</t>
        </is>
      </c>
      <c r="E1279" t="inlineStr">
        <is>
          <t>L</t>
        </is>
      </c>
      <c r="F1279" t="inlineStr">
        <is>
          <t>CO</t>
        </is>
      </c>
      <c r="G1279" t="inlineStr">
        <is>
          <t>MD</t>
        </is>
      </c>
      <c r="H1279" t="inlineStr">
        <is>
          <t>4</t>
        </is>
      </c>
      <c r="I1279" t="inlineStr">
        <is>
          <t>Public</t>
        </is>
      </c>
      <c r="J1279" t="inlineStr">
        <is>
          <t>1201-1400</t>
        </is>
      </c>
      <c r="K1279" t="inlineStr">
        <is>
          <t>1201-1400</t>
        </is>
      </c>
      <c r="L1279" t="inlineStr">
        <is>
          <t>1001-1200</t>
        </is>
      </c>
      <c r="M1279" t="inlineStr">
        <is>
          <t>1001-1200</t>
        </is>
      </c>
      <c r="N1279" t="inlineStr">
        <is>
          <t>-</t>
        </is>
      </c>
      <c r="O1279" t="inlineStr">
        <is>
          <t>-</t>
        </is>
      </c>
      <c r="P1279" t="n">
        <v>13.5</v>
      </c>
      <c r="Q1279" t="inlineStr">
        <is>
          <t>701+</t>
        </is>
      </c>
      <c r="R1279" t="n">
        <v>18.4</v>
      </c>
      <c r="S1279" t="inlineStr">
        <is>
          <t>698</t>
        </is>
      </c>
      <c r="T1279" t="n">
        <v>17.5</v>
      </c>
      <c r="U1279" t="inlineStr">
        <is>
          <t>801+</t>
        </is>
      </c>
      <c r="V1279" t="n">
        <v>2.2</v>
      </c>
      <c r="W1279" t="inlineStr">
        <is>
          <t>801+</t>
        </is>
      </c>
      <c r="X1279" t="n">
        <v>13.1</v>
      </c>
      <c r="Y1279" t="inlineStr">
        <is>
          <t>801+</t>
        </is>
      </c>
      <c r="Z1279" t="n">
        <v>4.1</v>
      </c>
      <c r="AA1279" t="inlineStr">
        <is>
          <t>801+</t>
        </is>
      </c>
      <c r="AB1279" t="n">
        <v>3.3</v>
      </c>
      <c r="AC1279" t="inlineStr">
        <is>
          <t>801+</t>
        </is>
      </c>
      <c r="AD1279" t="n">
        <v>16.8</v>
      </c>
      <c r="AE1279" t="inlineStr">
        <is>
          <t>801+</t>
        </is>
      </c>
      <c r="AF1279" t="n">
        <v>11.4</v>
      </c>
      <c r="AG1279" t="inlineStr">
        <is>
          <t>801+</t>
        </is>
      </c>
      <c r="AH1279" t="n">
        <v>23.3</v>
      </c>
      <c r="AI1279" t="inlineStr">
        <is>
          <t>801+</t>
        </is>
      </c>
      <c r="AJ1279" t="inlineStr">
        <is>
          <t>10.8</t>
        </is>
      </c>
      <c r="AK1279" t="inlineStr">
        <is>
          <t>601+</t>
        </is>
      </c>
      <c r="AL1279" t="inlineStr">
        <is>
          <t>18.3</t>
        </is>
      </c>
      <c r="AM1279" t="inlineStr">
        <is>
          <t>479</t>
        </is>
      </c>
      <c r="AN1279" t="inlineStr">
        <is>
          <t>12.8</t>
        </is>
      </c>
      <c r="AO1279" t="inlineStr">
        <is>
          <t>701+</t>
        </is>
      </c>
      <c r="AP1279" t="inlineStr">
        <is>
          <t>1.5</t>
        </is>
      </c>
      <c r="AQ1279" t="inlineStr">
        <is>
          <t>701+</t>
        </is>
      </c>
      <c r="AR1279" t="inlineStr">
        <is>
          <t>10.4</t>
        </is>
      </c>
      <c r="AS1279" t="inlineStr">
        <is>
          <t>701+</t>
        </is>
      </c>
      <c r="AT1279" t="inlineStr">
        <is>
          <t>2.5</t>
        </is>
      </c>
      <c r="AU1279" t="inlineStr">
        <is>
          <t>701+</t>
        </is>
      </c>
      <c r="AV1279" t="inlineStr">
        <is>
          <t>1.1</t>
        </is>
      </c>
      <c r="AW1279" t="inlineStr">
        <is>
          <t>701+</t>
        </is>
      </c>
      <c r="AX1279" t="inlineStr">
        <is>
          <t>9.6</t>
        </is>
      </c>
      <c r="AY1279" t="inlineStr">
        <is>
          <t>701+</t>
        </is>
      </c>
      <c r="AZ1279" t="inlineStr">
        <is>
          <t>1.1</t>
        </is>
      </c>
      <c r="BA1279" t="inlineStr">
        <is>
          <t>701+</t>
        </is>
      </c>
    </row>
    <row r="1280">
      <c r="A1280" t="inlineStr">
        <is>
          <t>Universidad Nacional de Asunción</t>
        </is>
      </c>
      <c r="B1280" t="inlineStr">
        <is>
          <t>Paraguay</t>
        </is>
      </c>
      <c r="C1280" t="inlineStr"/>
      <c r="D1280" t="inlineStr">
        <is>
          <t>Americas</t>
        </is>
      </c>
      <c r="E1280" t="inlineStr">
        <is>
          <t>XL</t>
        </is>
      </c>
      <c r="F1280" t="inlineStr">
        <is>
          <t>FC</t>
        </is>
      </c>
      <c r="G1280" t="inlineStr">
        <is>
          <t>MD</t>
        </is>
      </c>
      <c r="H1280" t="inlineStr"/>
      <c r="I1280" t="inlineStr">
        <is>
          <t>Public</t>
        </is>
      </c>
      <c r="J1280" t="inlineStr">
        <is>
          <t>1201-1400</t>
        </is>
      </c>
      <c r="K1280" t="inlineStr">
        <is>
          <t>1001-1200</t>
        </is>
      </c>
      <c r="L1280" t="inlineStr"/>
      <c r="M1280" t="inlineStr"/>
      <c r="N1280" t="inlineStr">
        <is>
          <t>-</t>
        </is>
      </c>
      <c r="O1280" t="inlineStr"/>
      <c r="P1280" t="n">
        <v>7.6</v>
      </c>
      <c r="Q1280" t="inlineStr">
        <is>
          <t>701+</t>
        </is>
      </c>
      <c r="R1280" t="n">
        <v>5.5</v>
      </c>
      <c r="S1280" t="inlineStr">
        <is>
          <t>701+</t>
        </is>
      </c>
      <c r="T1280" t="n">
        <v>43.1</v>
      </c>
      <c r="U1280" t="inlineStr">
        <is>
          <t>462</t>
        </is>
      </c>
      <c r="V1280" t="n">
        <v>1.2</v>
      </c>
      <c r="W1280" t="inlineStr">
        <is>
          <t>801+</t>
        </is>
      </c>
      <c r="X1280" t="n">
        <v>1.5</v>
      </c>
      <c r="Y1280" t="inlineStr">
        <is>
          <t>801+</t>
        </is>
      </c>
      <c r="Z1280" t="n">
        <v>2.7</v>
      </c>
      <c r="AA1280" t="inlineStr">
        <is>
          <t>801+</t>
        </is>
      </c>
      <c r="AB1280" t="n">
        <v>7</v>
      </c>
      <c r="AC1280" t="inlineStr">
        <is>
          <t>801+</t>
        </is>
      </c>
      <c r="AD1280" t="n">
        <v>13.1</v>
      </c>
      <c r="AE1280" t="inlineStr">
        <is>
          <t>801+</t>
        </is>
      </c>
      <c r="AF1280" t="n">
        <v>73.8</v>
      </c>
      <c r="AG1280" t="inlineStr">
        <is>
          <t>189</t>
        </is>
      </c>
      <c r="AH1280" t="n">
        <v>28.8</v>
      </c>
      <c r="AI1280" t="inlineStr">
        <is>
          <t>801+</t>
        </is>
      </c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</row>
    <row r="1281">
      <c r="A1281" t="inlineStr">
        <is>
          <t>Universidad Nacional de Colombia</t>
        </is>
      </c>
      <c r="B1281" t="inlineStr">
        <is>
          <t>Colombia</t>
        </is>
      </c>
      <c r="C1281" t="inlineStr">
        <is>
          <t>CO</t>
        </is>
      </c>
      <c r="D1281" t="inlineStr">
        <is>
          <t>Americas</t>
        </is>
      </c>
      <c r="E1281" t="inlineStr">
        <is>
          <t>XL</t>
        </is>
      </c>
      <c r="F1281" t="inlineStr">
        <is>
          <t>FC</t>
        </is>
      </c>
      <c r="G1281" t="inlineStr">
        <is>
          <t>HI</t>
        </is>
      </c>
      <c r="H1281" t="inlineStr">
        <is>
          <t>5</t>
        </is>
      </c>
      <c r="I1281" t="inlineStr">
        <is>
          <t>Public</t>
        </is>
      </c>
      <c r="J1281" t="inlineStr">
        <is>
          <t>259</t>
        </is>
      </c>
      <c r="K1281" t="inlineStr">
        <is>
          <t>219</t>
        </is>
      </c>
      <c r="L1281">
        <f>226</f>
        <v/>
      </c>
      <c r="M1281" t="inlineStr">
        <is>
          <t>243=</t>
        </is>
      </c>
      <c r="N1281" t="inlineStr">
        <is>
          <t>49.5</t>
        </is>
      </c>
      <c r="O1281" t="inlineStr">
        <is>
          <t>41.9</t>
        </is>
      </c>
      <c r="P1281" t="n">
        <v>81.09999999999999</v>
      </c>
      <c r="Q1281" t="inlineStr">
        <is>
          <t>94</t>
        </is>
      </c>
      <c r="R1281" t="n">
        <v>90.90000000000001</v>
      </c>
      <c r="S1281" t="inlineStr">
        <is>
          <t>69</t>
        </is>
      </c>
      <c r="T1281" t="n">
        <v>6.7</v>
      </c>
      <c r="U1281" t="inlineStr">
        <is>
          <t>801+</t>
        </is>
      </c>
      <c r="V1281" t="n">
        <v>6.9</v>
      </c>
      <c r="W1281" t="inlineStr">
        <is>
          <t>801+</t>
        </is>
      </c>
      <c r="X1281" t="n">
        <v>8.1</v>
      </c>
      <c r="Y1281" t="inlineStr">
        <is>
          <t>801+</t>
        </is>
      </c>
      <c r="Z1281" t="n">
        <v>2.2</v>
      </c>
      <c r="AA1281" t="inlineStr">
        <is>
          <t>801+</t>
        </is>
      </c>
      <c r="AB1281" t="n">
        <v>6.6</v>
      </c>
      <c r="AC1281" t="inlineStr">
        <is>
          <t>801+</t>
        </is>
      </c>
      <c r="AD1281" t="n">
        <v>62.6</v>
      </c>
      <c r="AE1281" t="inlineStr">
        <is>
          <t>656</t>
        </is>
      </c>
      <c r="AF1281" t="n">
        <v>57.3</v>
      </c>
      <c r="AG1281" t="inlineStr">
        <is>
          <t>292</t>
        </is>
      </c>
      <c r="AH1281" t="n">
        <v>69.3</v>
      </c>
      <c r="AI1281" t="inlineStr">
        <is>
          <t>325</t>
        </is>
      </c>
      <c r="AJ1281" t="inlineStr">
        <is>
          <t>69.5</t>
        </is>
      </c>
      <c r="AK1281" t="inlineStr">
        <is>
          <t>91</t>
        </is>
      </c>
      <c r="AL1281" t="inlineStr">
        <is>
          <t>96.8</t>
        </is>
      </c>
      <c r="AM1281" t="inlineStr">
        <is>
          <t>29</t>
        </is>
      </c>
      <c r="AN1281" t="inlineStr">
        <is>
          <t>6.1</t>
        </is>
      </c>
      <c r="AO1281" t="inlineStr">
        <is>
          <t>701+</t>
        </is>
      </c>
      <c r="AP1281" t="inlineStr">
        <is>
          <t>3.5</t>
        </is>
      </c>
      <c r="AQ1281" t="inlineStr">
        <is>
          <t>701+</t>
        </is>
      </c>
      <c r="AR1281" t="inlineStr">
        <is>
          <t>6.4</t>
        </is>
      </c>
      <c r="AS1281" t="inlineStr">
        <is>
          <t>701+</t>
        </is>
      </c>
      <c r="AT1281" t="inlineStr">
        <is>
          <t>1.5</t>
        </is>
      </c>
      <c r="AU1281" t="inlineStr">
        <is>
          <t>701+</t>
        </is>
      </c>
      <c r="AV1281" t="inlineStr">
        <is>
          <t>13.3</t>
        </is>
      </c>
      <c r="AW1281" t="inlineStr">
        <is>
          <t>620</t>
        </is>
      </c>
      <c r="AX1281" t="inlineStr">
        <is>
          <t>29.9</t>
        </is>
      </c>
      <c r="AY1281" t="inlineStr">
        <is>
          <t>263</t>
        </is>
      </c>
      <c r="AZ1281" t="inlineStr">
        <is>
          <t>49.7</t>
        </is>
      </c>
      <c r="BA1281" t="inlineStr">
        <is>
          <t>309=</t>
        </is>
      </c>
    </row>
    <row r="1282">
      <c r="A1282" t="inlineStr">
        <is>
          <t>Universidad Nacional de Cuyo</t>
        </is>
      </c>
      <c r="B1282" t="inlineStr">
        <is>
          <t>Argentina</t>
        </is>
      </c>
      <c r="C1282" t="inlineStr">
        <is>
          <t>AR</t>
        </is>
      </c>
      <c r="D1282" t="inlineStr">
        <is>
          <t>Americas</t>
        </is>
      </c>
      <c r="E1282" t="inlineStr">
        <is>
          <t>XL</t>
        </is>
      </c>
      <c r="F1282" t="inlineStr">
        <is>
          <t>FC</t>
        </is>
      </c>
      <c r="G1282" t="inlineStr">
        <is>
          <t>HI</t>
        </is>
      </c>
      <c r="H1282" t="inlineStr">
        <is>
          <t>4</t>
        </is>
      </c>
      <c r="I1282" t="inlineStr">
        <is>
          <t>Public</t>
        </is>
      </c>
      <c r="J1282" t="inlineStr">
        <is>
          <t>1201-1400</t>
        </is>
      </c>
      <c r="K1282" t="inlineStr">
        <is>
          <t>1001-1200</t>
        </is>
      </c>
      <c r="L1282" t="inlineStr">
        <is>
          <t>1001-1200</t>
        </is>
      </c>
      <c r="M1282" t="inlineStr">
        <is>
          <t>1001-1200</t>
        </is>
      </c>
      <c r="N1282" t="inlineStr">
        <is>
          <t>-</t>
        </is>
      </c>
      <c r="O1282" t="inlineStr">
        <is>
          <t>-</t>
        </is>
      </c>
      <c r="P1282" t="n">
        <v>17.8</v>
      </c>
      <c r="Q1282" t="inlineStr">
        <is>
          <t>684</t>
        </is>
      </c>
      <c r="R1282" t="n">
        <v>10.7</v>
      </c>
      <c r="S1282" t="inlineStr">
        <is>
          <t>701+</t>
        </is>
      </c>
      <c r="T1282" t="n">
        <v>23.9</v>
      </c>
      <c r="U1282" t="inlineStr">
        <is>
          <t>754</t>
        </is>
      </c>
      <c r="V1282" t="n">
        <v>2.8</v>
      </c>
      <c r="W1282" t="inlineStr">
        <is>
          <t>801+</t>
        </is>
      </c>
      <c r="X1282" t="n">
        <v>2.1</v>
      </c>
      <c r="Y1282" t="inlineStr">
        <is>
          <t>801+</t>
        </is>
      </c>
      <c r="Z1282" t="n">
        <v>11.6</v>
      </c>
      <c r="AA1282" t="inlineStr">
        <is>
          <t>801+</t>
        </is>
      </c>
      <c r="AB1282" t="n">
        <v>8.9</v>
      </c>
      <c r="AC1282" t="inlineStr">
        <is>
          <t>801+</t>
        </is>
      </c>
      <c r="AD1282" t="n">
        <v>26.5</v>
      </c>
      <c r="AE1282" t="inlineStr">
        <is>
          <t>801+</t>
        </is>
      </c>
      <c r="AF1282" t="n">
        <v>14.8</v>
      </c>
      <c r="AG1282" t="inlineStr">
        <is>
          <t>801+</t>
        </is>
      </c>
      <c r="AH1282" t="n">
        <v>43.7</v>
      </c>
      <c r="AI1282" t="inlineStr">
        <is>
          <t>801+</t>
        </is>
      </c>
      <c r="AJ1282" t="inlineStr">
        <is>
          <t>12.3</t>
        </is>
      </c>
      <c r="AK1282" t="inlineStr">
        <is>
          <t>601+</t>
        </is>
      </c>
      <c r="AL1282" t="inlineStr">
        <is>
          <t>6.2</t>
        </is>
      </c>
      <c r="AM1282" t="inlineStr">
        <is>
          <t>601+</t>
        </is>
      </c>
      <c r="AN1282" t="inlineStr">
        <is>
          <t>21.1</t>
        </is>
      </c>
      <c r="AO1282" t="inlineStr">
        <is>
          <t>643</t>
        </is>
      </c>
      <c r="AP1282" t="inlineStr">
        <is>
          <t>1.7</t>
        </is>
      </c>
      <c r="AQ1282" t="inlineStr">
        <is>
          <t>701+</t>
        </is>
      </c>
      <c r="AR1282" t="inlineStr">
        <is>
          <t>1.9</t>
        </is>
      </c>
      <c r="AS1282" t="inlineStr">
        <is>
          <t>701+</t>
        </is>
      </c>
      <c r="AT1282" t="inlineStr">
        <is>
          <t>15.3</t>
        </is>
      </c>
      <c r="AU1282" t="inlineStr">
        <is>
          <t>615</t>
        </is>
      </c>
      <c r="AV1282" t="inlineStr">
        <is>
          <t>1.8</t>
        </is>
      </c>
      <c r="AW1282" t="inlineStr">
        <is>
          <t>701+</t>
        </is>
      </c>
      <c r="AX1282" t="inlineStr">
        <is>
          <t>5.1</t>
        </is>
      </c>
      <c r="AY1282" t="inlineStr">
        <is>
          <t>701+</t>
        </is>
      </c>
      <c r="AZ1282" t="inlineStr">
        <is>
          <t>1.6</t>
        </is>
      </c>
      <c r="BA1282" t="inlineStr">
        <is>
          <t>701+</t>
        </is>
      </c>
    </row>
    <row r="1283">
      <c r="A1283" t="inlineStr">
        <is>
          <t>Universidad Nacional de Córdoba</t>
        </is>
      </c>
      <c r="B1283" t="inlineStr">
        <is>
          <t>Argentina</t>
        </is>
      </c>
      <c r="C1283" t="inlineStr"/>
      <c r="D1283" t="inlineStr">
        <is>
          <t>Americas</t>
        </is>
      </c>
      <c r="E1283" t="inlineStr">
        <is>
          <t>XL</t>
        </is>
      </c>
      <c r="F1283" t="inlineStr">
        <is>
          <t>FC</t>
        </is>
      </c>
      <c r="G1283" t="inlineStr">
        <is>
          <t>HI</t>
        </is>
      </c>
      <c r="H1283" t="inlineStr"/>
      <c r="I1283" t="inlineStr">
        <is>
          <t>Public</t>
        </is>
      </c>
      <c r="J1283" t="inlineStr">
        <is>
          <t>851-900</t>
        </is>
      </c>
      <c r="K1283" t="inlineStr">
        <is>
          <t>901-950</t>
        </is>
      </c>
      <c r="L1283" t="inlineStr"/>
      <c r="M1283" t="inlineStr"/>
      <c r="N1283" t="inlineStr">
        <is>
          <t>-</t>
        </is>
      </c>
      <c r="O1283" t="inlineStr"/>
      <c r="P1283" t="n">
        <v>39</v>
      </c>
      <c r="Q1283" t="inlineStr">
        <is>
          <t>308</t>
        </is>
      </c>
      <c r="R1283" t="n">
        <v>23.3</v>
      </c>
      <c r="S1283" t="inlineStr">
        <is>
          <t>576</t>
        </is>
      </c>
      <c r="T1283" t="n">
        <v>8</v>
      </c>
      <c r="U1283" t="inlineStr">
        <is>
          <t>801+</t>
        </is>
      </c>
      <c r="V1283" t="n">
        <v>2.3</v>
      </c>
      <c r="W1283" t="inlineStr">
        <is>
          <t>801+</t>
        </is>
      </c>
      <c r="X1283" t="n">
        <v>1.6</v>
      </c>
      <c r="Y1283" t="inlineStr">
        <is>
          <t>801+</t>
        </is>
      </c>
      <c r="Z1283" t="n">
        <v>2.2</v>
      </c>
      <c r="AA1283" t="inlineStr">
        <is>
          <t>801+</t>
        </is>
      </c>
      <c r="AB1283" t="n">
        <v>1.9</v>
      </c>
      <c r="AC1283" t="inlineStr">
        <is>
          <t>801+</t>
        </is>
      </c>
      <c r="AD1283" t="n">
        <v>41.3</v>
      </c>
      <c r="AE1283" t="inlineStr">
        <is>
          <t>801+</t>
        </is>
      </c>
      <c r="AF1283" t="n">
        <v>20</v>
      </c>
      <c r="AG1283" t="inlineStr">
        <is>
          <t>726</t>
        </is>
      </c>
      <c r="AH1283" t="n">
        <v>39.1</v>
      </c>
      <c r="AI1283" t="inlineStr">
        <is>
          <t>801+</t>
        </is>
      </c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</row>
    <row r="1284">
      <c r="A1284" t="inlineStr">
        <is>
          <t>Universidad Nacional de Córdoba - UNC</t>
        </is>
      </c>
      <c r="B1284" t="inlineStr">
        <is>
          <t>Argentina</t>
        </is>
      </c>
      <c r="C1284" t="inlineStr">
        <is>
          <t>AR</t>
        </is>
      </c>
      <c r="D1284" t="inlineStr"/>
      <c r="E1284" t="inlineStr">
        <is>
          <t>XL</t>
        </is>
      </c>
      <c r="F1284" t="inlineStr">
        <is>
          <t>FO</t>
        </is>
      </c>
      <c r="G1284" t="inlineStr">
        <is>
          <t>VH</t>
        </is>
      </c>
      <c r="H1284" t="inlineStr">
        <is>
          <t>5</t>
        </is>
      </c>
      <c r="I1284" t="inlineStr">
        <is>
          <t>A</t>
        </is>
      </c>
      <c r="J1284" t="inlineStr"/>
      <c r="K1284" t="inlineStr"/>
      <c r="L1284" t="inlineStr">
        <is>
          <t>951-1000</t>
        </is>
      </c>
      <c r="M1284" t="inlineStr">
        <is>
          <t>801-1000</t>
        </is>
      </c>
      <c r="N1284" t="inlineStr"/>
      <c r="O1284" t="inlineStr">
        <is>
          <t>-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>
        <is>
          <t>24.4</t>
        </is>
      </c>
      <c r="AK1284" t="inlineStr">
        <is>
          <t>353</t>
        </is>
      </c>
      <c r="AL1284" t="inlineStr">
        <is>
          <t>15.5</t>
        </is>
      </c>
      <c r="AM1284" t="inlineStr">
        <is>
          <t>533</t>
        </is>
      </c>
      <c r="AN1284" t="inlineStr">
        <is>
          <t>7.3</t>
        </is>
      </c>
      <c r="AO1284" t="inlineStr">
        <is>
          <t>701+</t>
        </is>
      </c>
      <c r="AP1284" t="inlineStr">
        <is>
          <t>1.6</t>
        </is>
      </c>
      <c r="AQ1284" t="inlineStr">
        <is>
          <t>701+</t>
        </is>
      </c>
      <c r="AR1284" t="inlineStr">
        <is>
          <t>1.4</t>
        </is>
      </c>
      <c r="AS1284" t="inlineStr">
        <is>
          <t>701+</t>
        </is>
      </c>
      <c r="AT1284" t="inlineStr">
        <is>
          <t>1.5</t>
        </is>
      </c>
      <c r="AU1284" t="inlineStr">
        <is>
          <t>701+</t>
        </is>
      </c>
      <c r="AV1284" t="inlineStr">
        <is>
          <t>5.8</t>
        </is>
      </c>
      <c r="AW1284" t="inlineStr">
        <is>
          <t>701+</t>
        </is>
      </c>
      <c r="AX1284" t="inlineStr">
        <is>
          <t>8.5</t>
        </is>
      </c>
      <c r="AY1284" t="inlineStr">
        <is>
          <t>701+</t>
        </is>
      </c>
      <c r="AZ1284" t="inlineStr">
        <is>
          <t>2.2</t>
        </is>
      </c>
      <c r="BA1284" t="inlineStr">
        <is>
          <t>701+</t>
        </is>
      </c>
    </row>
    <row r="1285">
      <c r="A1285" t="inlineStr">
        <is>
          <t>Universidad Nacional de Ingeniería Peru</t>
        </is>
      </c>
      <c r="B1285" t="inlineStr">
        <is>
          <t>Peru</t>
        </is>
      </c>
      <c r="C1285" t="inlineStr">
        <is>
          <t>PE</t>
        </is>
      </c>
      <c r="D1285" t="inlineStr">
        <is>
          <t>Americas</t>
        </is>
      </c>
      <c r="E1285" t="inlineStr">
        <is>
          <t>L</t>
        </is>
      </c>
      <c r="F1285" t="inlineStr">
        <is>
          <t>FO</t>
        </is>
      </c>
      <c r="G1285" t="inlineStr">
        <is>
          <t>HI</t>
        </is>
      </c>
      <c r="H1285" t="inlineStr">
        <is>
          <t>5</t>
        </is>
      </c>
      <c r="I1285" t="inlineStr"/>
      <c r="J1285" t="inlineStr">
        <is>
          <t>1201-1400</t>
        </is>
      </c>
      <c r="K1285" t="inlineStr">
        <is>
          <t>1201-1400</t>
        </is>
      </c>
      <c r="L1285" t="inlineStr">
        <is>
          <t>951-1000</t>
        </is>
      </c>
      <c r="M1285" t="inlineStr"/>
      <c r="N1285" t="inlineStr">
        <is>
          <t>-</t>
        </is>
      </c>
      <c r="O1285" t="inlineStr">
        <is>
          <t>-</t>
        </is>
      </c>
      <c r="P1285" t="n">
        <v>11.2</v>
      </c>
      <c r="Q1285" t="inlineStr">
        <is>
          <t>701+</t>
        </is>
      </c>
      <c r="R1285" t="n">
        <v>31.2</v>
      </c>
      <c r="S1285" t="inlineStr">
        <is>
          <t>458</t>
        </is>
      </c>
      <c r="T1285" t="n">
        <v>10.2</v>
      </c>
      <c r="U1285" t="inlineStr">
        <is>
          <t>801+</t>
        </is>
      </c>
      <c r="V1285" t="n">
        <v>2</v>
      </c>
      <c r="W1285" t="inlineStr">
        <is>
          <t>801+</t>
        </is>
      </c>
      <c r="X1285" t="n">
        <v>1.3</v>
      </c>
      <c r="Y1285" t="inlineStr">
        <is>
          <t>801+</t>
        </is>
      </c>
      <c r="Z1285" t="n">
        <v>1.4</v>
      </c>
      <c r="AA1285" t="inlineStr">
        <is>
          <t>801+</t>
        </is>
      </c>
      <c r="AB1285" t="n">
        <v>5.8</v>
      </c>
      <c r="AC1285" t="inlineStr">
        <is>
          <t>801+</t>
        </is>
      </c>
      <c r="AD1285" t="n">
        <v>7.1</v>
      </c>
      <c r="AE1285" t="inlineStr">
        <is>
          <t>801+</t>
        </is>
      </c>
      <c r="AF1285" t="n">
        <v>27.5</v>
      </c>
      <c r="AG1285" t="inlineStr">
        <is>
          <t>602</t>
        </is>
      </c>
      <c r="AH1285" t="n">
        <v>10.5</v>
      </c>
      <c r="AI1285" t="inlineStr">
        <is>
          <t>801+</t>
        </is>
      </c>
      <c r="AJ1285" t="inlineStr">
        <is>
          <t>7.9</t>
        </is>
      </c>
      <c r="AK1285" t="inlineStr">
        <is>
          <t>601+</t>
        </is>
      </c>
      <c r="AL1285" t="inlineStr">
        <is>
          <t>42.5</t>
        </is>
      </c>
      <c r="AM1285" t="inlineStr">
        <is>
          <t>218</t>
        </is>
      </c>
      <c r="AN1285" t="inlineStr">
        <is>
          <t>21.9</t>
        </is>
      </c>
      <c r="AO1285" t="inlineStr">
        <is>
          <t>633</t>
        </is>
      </c>
      <c r="AP1285" t="inlineStr">
        <is>
          <t>1.3</t>
        </is>
      </c>
      <c r="AQ1285" t="inlineStr">
        <is>
          <t>701+</t>
        </is>
      </c>
      <c r="AR1285" t="inlineStr"/>
      <c r="AS1285" t="inlineStr"/>
      <c r="AT1285" t="inlineStr"/>
      <c r="AU1285" t="inlineStr"/>
      <c r="AV1285" t="inlineStr">
        <is>
          <t>1.0</t>
        </is>
      </c>
      <c r="AW1285" t="inlineStr">
        <is>
          <t>701+</t>
        </is>
      </c>
      <c r="AX1285" t="inlineStr">
        <is>
          <t>4.7</t>
        </is>
      </c>
      <c r="AY1285" t="inlineStr">
        <is>
          <t>701+</t>
        </is>
      </c>
      <c r="AZ1285" t="inlineStr"/>
      <c r="BA1285" t="inlineStr"/>
    </row>
    <row r="1286">
      <c r="A1286" t="inlineStr">
        <is>
          <t>Universidad Nacional de la Asunción</t>
        </is>
      </c>
      <c r="B1286" t="inlineStr">
        <is>
          <t>Paraguay</t>
        </is>
      </c>
      <c r="C1286" t="inlineStr">
        <is>
          <t>PY</t>
        </is>
      </c>
      <c r="D1286" t="inlineStr"/>
      <c r="E1286" t="inlineStr">
        <is>
          <t>XL</t>
        </is>
      </c>
      <c r="F1286" t="inlineStr">
        <is>
          <t>FC</t>
        </is>
      </c>
      <c r="G1286" t="inlineStr">
        <is>
          <t>MD</t>
        </is>
      </c>
      <c r="H1286" t="inlineStr">
        <is>
          <t>5</t>
        </is>
      </c>
      <c r="I1286" t="inlineStr">
        <is>
          <t>A</t>
        </is>
      </c>
      <c r="J1286" t="inlineStr"/>
      <c r="K1286" t="inlineStr"/>
      <c r="L1286" t="inlineStr">
        <is>
          <t>1001-1200</t>
        </is>
      </c>
      <c r="M1286" t="inlineStr">
        <is>
          <t>1001-1200</t>
        </is>
      </c>
      <c r="N1286" t="inlineStr"/>
      <c r="O1286" t="inlineStr">
        <is>
          <t>-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>
        <is>
          <t>5.4</t>
        </is>
      </c>
      <c r="AK1286" t="inlineStr">
        <is>
          <t>601+</t>
        </is>
      </c>
      <c r="AL1286" t="inlineStr">
        <is>
          <t>10.2</t>
        </is>
      </c>
      <c r="AM1286" t="inlineStr">
        <is>
          <t>601+</t>
        </is>
      </c>
      <c r="AN1286" t="inlineStr">
        <is>
          <t>28.6</t>
        </is>
      </c>
      <c r="AO1286" t="inlineStr">
        <is>
          <t>537</t>
        </is>
      </c>
      <c r="AP1286" t="inlineStr">
        <is>
          <t>1.1</t>
        </is>
      </c>
      <c r="AQ1286" t="inlineStr">
        <is>
          <t>701+</t>
        </is>
      </c>
      <c r="AR1286" t="inlineStr">
        <is>
          <t>1.4</t>
        </is>
      </c>
      <c r="AS1286" t="inlineStr">
        <is>
          <t>701+</t>
        </is>
      </c>
      <c r="AT1286" t="inlineStr">
        <is>
          <t>1.8</t>
        </is>
      </c>
      <c r="AU1286" t="inlineStr">
        <is>
          <t>701+</t>
        </is>
      </c>
      <c r="AV1286" t="inlineStr">
        <is>
          <t>1.0</t>
        </is>
      </c>
      <c r="AW1286" t="inlineStr">
        <is>
          <t>701+</t>
        </is>
      </c>
      <c r="AX1286" t="inlineStr">
        <is>
          <t>21.5</t>
        </is>
      </c>
      <c r="AY1286" t="inlineStr">
        <is>
          <t>389</t>
        </is>
      </c>
      <c r="AZ1286" t="inlineStr">
        <is>
          <t>3.4</t>
        </is>
      </c>
      <c r="BA1286" t="inlineStr">
        <is>
          <t>701+</t>
        </is>
      </c>
    </row>
    <row r="1287">
      <c r="A1287" t="inlineStr">
        <is>
          <t>Universidad Nacional de La Plata</t>
        </is>
      </c>
      <c r="B1287" t="inlineStr">
        <is>
          <t>Argentina</t>
        </is>
      </c>
      <c r="C1287" t="inlineStr"/>
      <c r="D1287" t="inlineStr">
        <is>
          <t>Americas</t>
        </is>
      </c>
      <c r="E1287" t="inlineStr">
        <is>
          <t>XL</t>
        </is>
      </c>
      <c r="F1287" t="inlineStr">
        <is>
          <t>FC</t>
        </is>
      </c>
      <c r="G1287" t="inlineStr">
        <is>
          <t>HI</t>
        </is>
      </c>
      <c r="H1287" t="inlineStr"/>
      <c r="I1287" t="inlineStr">
        <is>
          <t>Public</t>
        </is>
      </c>
      <c r="J1287" t="inlineStr">
        <is>
          <t>458</t>
        </is>
      </c>
      <c r="K1287" t="inlineStr">
        <is>
          <t>534</t>
        </is>
      </c>
      <c r="L1287" t="inlineStr"/>
      <c r="M1287" t="inlineStr"/>
      <c r="N1287" t="inlineStr">
        <is>
          <t>34</t>
        </is>
      </c>
      <c r="O1287" t="inlineStr"/>
      <c r="P1287" t="n">
        <v>55.7</v>
      </c>
      <c r="Q1287" t="inlineStr">
        <is>
          <t>199</t>
        </is>
      </c>
      <c r="R1287" t="n">
        <v>30.8</v>
      </c>
      <c r="S1287" t="inlineStr">
        <is>
          <t>464</t>
        </is>
      </c>
      <c r="T1287" t="n">
        <v>40.8</v>
      </c>
      <c r="U1287" t="inlineStr">
        <is>
          <t>496</t>
        </is>
      </c>
      <c r="V1287" t="n">
        <v>2.9</v>
      </c>
      <c r="W1287" t="inlineStr">
        <is>
          <t>801+</t>
        </is>
      </c>
      <c r="X1287" t="n">
        <v>7.2</v>
      </c>
      <c r="Y1287" t="inlineStr">
        <is>
          <t>801+</t>
        </is>
      </c>
      <c r="Z1287" t="n">
        <v>41.6</v>
      </c>
      <c r="AA1287" t="inlineStr">
        <is>
          <t>478</t>
        </is>
      </c>
      <c r="AB1287" t="n">
        <v>31.1</v>
      </c>
      <c r="AC1287" t="inlineStr">
        <is>
          <t>601</t>
        </is>
      </c>
      <c r="AD1287" t="n">
        <v>54.1</v>
      </c>
      <c r="AE1287" t="inlineStr">
        <is>
          <t>780</t>
        </is>
      </c>
      <c r="AF1287" t="n">
        <v>37.7</v>
      </c>
      <c r="AG1287" t="inlineStr">
        <is>
          <t>463</t>
        </is>
      </c>
      <c r="AH1287" t="n">
        <v>39.4</v>
      </c>
      <c r="AI1287" t="inlineStr">
        <is>
          <t>801+</t>
        </is>
      </c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</row>
    <row r="1288">
      <c r="A1288" t="inlineStr">
        <is>
          <t>Universidad Nacional de La Plata (UNLP)</t>
        </is>
      </c>
      <c r="B1288" t="inlineStr">
        <is>
          <t>Argentina</t>
        </is>
      </c>
      <c r="C1288" t="inlineStr">
        <is>
          <t>AR</t>
        </is>
      </c>
      <c r="D1288" t="inlineStr"/>
      <c r="E1288" t="inlineStr">
        <is>
          <t>XL</t>
        </is>
      </c>
      <c r="F1288" t="inlineStr">
        <is>
          <t>FC</t>
        </is>
      </c>
      <c r="G1288" t="inlineStr">
        <is>
          <t>HI</t>
        </is>
      </c>
      <c r="H1288" t="inlineStr">
        <is>
          <t>5</t>
        </is>
      </c>
      <c r="I1288" t="inlineStr">
        <is>
          <t>A</t>
        </is>
      </c>
      <c r="J1288" t="inlineStr"/>
      <c r="K1288" t="inlineStr"/>
      <c r="L1288">
        <f>540</f>
        <v/>
      </c>
      <c r="M1288" t="inlineStr">
        <is>
          <t>541-550</t>
        </is>
      </c>
      <c r="N1288" t="inlineStr"/>
      <c r="O1288" t="inlineStr">
        <is>
          <t>21.8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>
        <is>
          <t>38.7</t>
        </is>
      </c>
      <c r="AK1288" t="inlineStr">
        <is>
          <t>221</t>
        </is>
      </c>
      <c r="AL1288" t="inlineStr">
        <is>
          <t>31.0</t>
        </is>
      </c>
      <c r="AM1288" t="inlineStr">
        <is>
          <t>316</t>
        </is>
      </c>
      <c r="AN1288" t="inlineStr">
        <is>
          <t>23.8</t>
        </is>
      </c>
      <c r="AO1288" t="inlineStr">
        <is>
          <t>598</t>
        </is>
      </c>
      <c r="AP1288" t="inlineStr">
        <is>
          <t>2.1</t>
        </is>
      </c>
      <c r="AQ1288" t="inlineStr">
        <is>
          <t>701+</t>
        </is>
      </c>
      <c r="AR1288" t="inlineStr">
        <is>
          <t>3.6</t>
        </is>
      </c>
      <c r="AS1288" t="inlineStr">
        <is>
          <t>701+</t>
        </is>
      </c>
      <c r="AT1288" t="inlineStr">
        <is>
          <t>29.9</t>
        </is>
      </c>
      <c r="AU1288" t="inlineStr">
        <is>
          <t>423</t>
        </is>
      </c>
      <c r="AV1288" t="inlineStr">
        <is>
          <t>9.1</t>
        </is>
      </c>
      <c r="AW1288" t="inlineStr">
        <is>
          <t>695</t>
        </is>
      </c>
      <c r="AX1288" t="inlineStr">
        <is>
          <t>8.6</t>
        </is>
      </c>
      <c r="AY1288" t="inlineStr">
        <is>
          <t>701+</t>
        </is>
      </c>
      <c r="AZ1288" t="inlineStr">
        <is>
          <t>5.1</t>
        </is>
      </c>
      <c r="BA1288" t="inlineStr">
        <is>
          <t>701+</t>
        </is>
      </c>
    </row>
    <row r="1289">
      <c r="A1289" t="inlineStr">
        <is>
          <t>Universidad Nacional de Mar del Plata</t>
        </is>
      </c>
      <c r="B1289" t="inlineStr">
        <is>
          <t>Argentina</t>
        </is>
      </c>
      <c r="C1289" t="inlineStr">
        <is>
          <t>AR</t>
        </is>
      </c>
      <c r="D1289" t="inlineStr"/>
      <c r="E1289" t="inlineStr">
        <is>
          <t>L</t>
        </is>
      </c>
      <c r="F1289" t="inlineStr">
        <is>
          <t>CO</t>
        </is>
      </c>
      <c r="G1289" t="inlineStr">
        <is>
          <t>HI</t>
        </is>
      </c>
      <c r="H1289" t="inlineStr">
        <is>
          <t>3</t>
        </is>
      </c>
      <c r="I1289" t="inlineStr">
        <is>
          <t>A</t>
        </is>
      </c>
      <c r="J1289" t="inlineStr"/>
      <c r="K1289" t="inlineStr"/>
      <c r="L1289" t="inlineStr">
        <is>
          <t>1201-1400</t>
        </is>
      </c>
      <c r="M1289" t="inlineStr">
        <is>
          <t>1201-1400</t>
        </is>
      </c>
      <c r="N1289" t="inlineStr"/>
      <c r="O1289" t="inlineStr">
        <is>
          <t>-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>
        <is>
          <t>9.5</t>
        </is>
      </c>
      <c r="AK1289" t="inlineStr">
        <is>
          <t>601+</t>
        </is>
      </c>
      <c r="AL1289" t="inlineStr">
        <is>
          <t>2.8</t>
        </is>
      </c>
      <c r="AM1289" t="inlineStr">
        <is>
          <t>601+</t>
        </is>
      </c>
      <c r="AN1289" t="inlineStr">
        <is>
          <t>5.7</t>
        </is>
      </c>
      <c r="AO1289" t="inlineStr">
        <is>
          <t>701+</t>
        </is>
      </c>
      <c r="AP1289" t="inlineStr">
        <is>
          <t>3.7</t>
        </is>
      </c>
      <c r="AQ1289" t="inlineStr">
        <is>
          <t>701+</t>
        </is>
      </c>
      <c r="AR1289" t="inlineStr"/>
      <c r="AS1289" t="inlineStr"/>
      <c r="AT1289" t="inlineStr"/>
      <c r="AU1289" t="inlineStr"/>
      <c r="AV1289" t="inlineStr">
        <is>
          <t>1.3</t>
        </is>
      </c>
      <c r="AW1289" t="inlineStr">
        <is>
          <t>701+</t>
        </is>
      </c>
      <c r="AX1289" t="inlineStr">
        <is>
          <t>5.1</t>
        </is>
      </c>
      <c r="AY1289" t="inlineStr">
        <is>
          <t>701+</t>
        </is>
      </c>
      <c r="AZ1289" t="inlineStr">
        <is>
          <t>1.2</t>
        </is>
      </c>
      <c r="BA1289" t="inlineStr">
        <is>
          <t>701+</t>
        </is>
      </c>
    </row>
    <row r="1290">
      <c r="A1290" t="inlineStr">
        <is>
          <t>Universidad Nacional de Quilmes</t>
        </is>
      </c>
      <c r="B1290" t="inlineStr">
        <is>
          <t>Argentina</t>
        </is>
      </c>
      <c r="C1290" t="inlineStr">
        <is>
          <t>AR</t>
        </is>
      </c>
      <c r="D1290" t="inlineStr"/>
      <c r="E1290" t="inlineStr">
        <is>
          <t>L</t>
        </is>
      </c>
      <c r="F1290" t="inlineStr">
        <is>
          <t>FO</t>
        </is>
      </c>
      <c r="G1290" t="inlineStr">
        <is>
          <t>HI</t>
        </is>
      </c>
      <c r="H1290" t="inlineStr">
        <is>
          <t>3</t>
        </is>
      </c>
      <c r="I1290" t="inlineStr">
        <is>
          <t>A</t>
        </is>
      </c>
      <c r="J1290" t="inlineStr"/>
      <c r="K1290" t="inlineStr"/>
      <c r="L1290" t="inlineStr">
        <is>
          <t>1401+</t>
        </is>
      </c>
      <c r="M1290" t="inlineStr">
        <is>
          <t>1201-1400</t>
        </is>
      </c>
      <c r="N1290" t="inlineStr"/>
      <c r="O1290" t="inlineStr">
        <is>
          <t>-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>
        <is>
          <t>7.4</t>
        </is>
      </c>
      <c r="AK1290" t="inlineStr">
        <is>
          <t>601+</t>
        </is>
      </c>
      <c r="AL1290" t="inlineStr">
        <is>
          <t>2.2</t>
        </is>
      </c>
      <c r="AM1290" t="inlineStr">
        <is>
          <t>601+</t>
        </is>
      </c>
      <c r="AN1290" t="inlineStr">
        <is>
          <t>3.2</t>
        </is>
      </c>
      <c r="AO1290" t="inlineStr">
        <is>
          <t>701+</t>
        </is>
      </c>
      <c r="AP1290" t="inlineStr">
        <is>
          <t>1.8</t>
        </is>
      </c>
      <c r="AQ1290" t="inlineStr">
        <is>
          <t>701+</t>
        </is>
      </c>
      <c r="AR1290" t="inlineStr">
        <is>
          <t>3.1</t>
        </is>
      </c>
      <c r="AS1290" t="inlineStr">
        <is>
          <t>701+</t>
        </is>
      </c>
      <c r="AT1290" t="inlineStr">
        <is>
          <t>1.8</t>
        </is>
      </c>
      <c r="AU1290" t="inlineStr">
        <is>
          <t>701+</t>
        </is>
      </c>
      <c r="AV1290" t="inlineStr">
        <is>
          <t>1.0</t>
        </is>
      </c>
      <c r="AW1290" t="inlineStr">
        <is>
          <t>701+</t>
        </is>
      </c>
      <c r="AX1290" t="inlineStr">
        <is>
          <t>5.1</t>
        </is>
      </c>
      <c r="AY1290" t="inlineStr">
        <is>
          <t>701+</t>
        </is>
      </c>
      <c r="AZ1290" t="inlineStr">
        <is>
          <t>1</t>
        </is>
      </c>
      <c r="BA1290" t="inlineStr">
        <is>
          <t>701+</t>
        </is>
      </c>
    </row>
    <row r="1291">
      <c r="A1291" t="inlineStr">
        <is>
          <t>Universidad Nacional de Rosario</t>
        </is>
      </c>
      <c r="B1291" t="inlineStr">
        <is>
          <t>Argentina</t>
        </is>
      </c>
      <c r="C1291" t="inlineStr"/>
      <c r="D1291" t="inlineStr">
        <is>
          <t>Americas</t>
        </is>
      </c>
      <c r="E1291" t="inlineStr">
        <is>
          <t>XL</t>
        </is>
      </c>
      <c r="F1291" t="inlineStr">
        <is>
          <t>FC</t>
        </is>
      </c>
      <c r="G1291" t="inlineStr">
        <is>
          <t>MD</t>
        </is>
      </c>
      <c r="H1291" t="inlineStr"/>
      <c r="I1291" t="inlineStr">
        <is>
          <t>Public</t>
        </is>
      </c>
      <c r="J1291" t="inlineStr">
        <is>
          <t>1001-1200</t>
        </is>
      </c>
      <c r="K1291" t="inlineStr">
        <is>
          <t>951-1000</t>
        </is>
      </c>
      <c r="L1291" t="inlineStr"/>
      <c r="M1291" t="inlineStr"/>
      <c r="N1291" t="inlineStr">
        <is>
          <t>-</t>
        </is>
      </c>
      <c r="O1291" t="inlineStr"/>
      <c r="P1291" t="n">
        <v>27.4</v>
      </c>
      <c r="Q1291" t="inlineStr">
        <is>
          <t>457</t>
        </is>
      </c>
      <c r="R1291" t="n">
        <v>14.9</v>
      </c>
      <c r="S1291" t="inlineStr">
        <is>
          <t>701+</t>
        </is>
      </c>
      <c r="T1291" t="n">
        <v>29.9</v>
      </c>
      <c r="U1291" t="inlineStr">
        <is>
          <t>635</t>
        </is>
      </c>
      <c r="V1291" t="n">
        <v>1.4</v>
      </c>
      <c r="W1291" t="inlineStr">
        <is>
          <t>801+</t>
        </is>
      </c>
      <c r="X1291" t="inlineStr"/>
      <c r="Y1291" t="inlineStr"/>
      <c r="Z1291" t="n">
        <v>10.8</v>
      </c>
      <c r="AA1291" t="inlineStr">
        <is>
          <t>801+</t>
        </is>
      </c>
      <c r="AB1291" t="n">
        <v>8.300000000000001</v>
      </c>
      <c r="AC1291" t="inlineStr">
        <is>
          <t>801+</t>
        </is>
      </c>
      <c r="AD1291" t="n">
        <v>27</v>
      </c>
      <c r="AE1291" t="inlineStr">
        <is>
          <t>801+</t>
        </is>
      </c>
      <c r="AF1291" t="n">
        <v>15.2</v>
      </c>
      <c r="AG1291" t="inlineStr">
        <is>
          <t>801+</t>
        </is>
      </c>
      <c r="AH1291" t="n">
        <v>18.8</v>
      </c>
      <c r="AI1291" t="inlineStr">
        <is>
          <t>801+</t>
        </is>
      </c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</row>
    <row r="1292">
      <c r="A1292" t="inlineStr">
        <is>
          <t>Universidad Nacional de Rosario (UNR)</t>
        </is>
      </c>
      <c r="B1292" t="inlineStr">
        <is>
          <t>Argentina</t>
        </is>
      </c>
      <c r="C1292" t="inlineStr">
        <is>
          <t>AR</t>
        </is>
      </c>
      <c r="D1292" t="inlineStr"/>
      <c r="E1292" t="inlineStr">
        <is>
          <t>XL</t>
        </is>
      </c>
      <c r="F1292" t="inlineStr">
        <is>
          <t>FC</t>
        </is>
      </c>
      <c r="G1292" t="inlineStr">
        <is>
          <t>MD</t>
        </is>
      </c>
      <c r="H1292" t="inlineStr">
        <is>
          <t>4</t>
        </is>
      </c>
      <c r="I1292" t="inlineStr">
        <is>
          <t>A</t>
        </is>
      </c>
      <c r="J1292" t="inlineStr"/>
      <c r="K1292" t="inlineStr"/>
      <c r="L1292" t="inlineStr">
        <is>
          <t>951-1000</t>
        </is>
      </c>
      <c r="M1292" t="inlineStr">
        <is>
          <t>801-1000</t>
        </is>
      </c>
      <c r="N1292" t="inlineStr"/>
      <c r="O1292" t="inlineStr">
        <is>
          <t>-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>
        <is>
          <t>19.4</t>
        </is>
      </c>
      <c r="AK1292" t="inlineStr">
        <is>
          <t>456</t>
        </is>
      </c>
      <c r="AL1292" t="inlineStr">
        <is>
          <t>8.8</t>
        </is>
      </c>
      <c r="AM1292" t="inlineStr">
        <is>
          <t>601+</t>
        </is>
      </c>
      <c r="AN1292" t="inlineStr">
        <is>
          <t>27.6</t>
        </is>
      </c>
      <c r="AO1292" t="inlineStr">
        <is>
          <t>550</t>
        </is>
      </c>
      <c r="AP1292" t="inlineStr">
        <is>
          <t>1.1</t>
        </is>
      </c>
      <c r="AQ1292" t="inlineStr">
        <is>
          <t>701+</t>
        </is>
      </c>
      <c r="AR1292" t="inlineStr"/>
      <c r="AS1292" t="inlineStr"/>
      <c r="AT1292" t="inlineStr">
        <is>
          <t>7.0</t>
        </is>
      </c>
      <c r="AU1292" t="inlineStr">
        <is>
          <t>701+</t>
        </is>
      </c>
      <c r="AV1292" t="inlineStr">
        <is>
          <t>1.1</t>
        </is>
      </c>
      <c r="AW1292" t="inlineStr">
        <is>
          <t>701+</t>
        </is>
      </c>
      <c r="AX1292" t="inlineStr">
        <is>
          <t>5</t>
        </is>
      </c>
      <c r="AY1292" t="inlineStr">
        <is>
          <t>701+</t>
        </is>
      </c>
      <c r="AZ1292" t="inlineStr">
        <is>
          <t>1.3</t>
        </is>
      </c>
      <c r="BA1292" t="inlineStr">
        <is>
          <t>701+</t>
        </is>
      </c>
    </row>
    <row r="1293">
      <c r="A1293" t="inlineStr">
        <is>
          <t>Universidad Nacional de Río Cuarto - UNRC</t>
        </is>
      </c>
      <c r="B1293" t="inlineStr">
        <is>
          <t>Argentina</t>
        </is>
      </c>
      <c r="C1293" t="inlineStr">
        <is>
          <t>AR</t>
        </is>
      </c>
      <c r="D1293" t="inlineStr"/>
      <c r="E1293" t="inlineStr">
        <is>
          <t>L</t>
        </is>
      </c>
      <c r="F1293" t="inlineStr">
        <is>
          <t>CO</t>
        </is>
      </c>
      <c r="G1293" t="inlineStr">
        <is>
          <t>MD</t>
        </is>
      </c>
      <c r="H1293" t="inlineStr">
        <is>
          <t>4</t>
        </is>
      </c>
      <c r="I1293" t="inlineStr">
        <is>
          <t>A</t>
        </is>
      </c>
      <c r="J1293" t="inlineStr"/>
      <c r="K1293" t="inlineStr"/>
      <c r="L1293" t="inlineStr">
        <is>
          <t>1201-1400</t>
        </is>
      </c>
      <c r="M1293" t="inlineStr">
        <is>
          <t>1001-1200</t>
        </is>
      </c>
      <c r="N1293" t="inlineStr"/>
      <c r="O1293" t="inlineStr">
        <is>
          <t>-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>
        <is>
          <t>4.4</t>
        </is>
      </c>
      <c r="AK1293" t="inlineStr">
        <is>
          <t>601+</t>
        </is>
      </c>
      <c r="AL1293" t="inlineStr">
        <is>
          <t>1.5</t>
        </is>
      </c>
      <c r="AM1293" t="inlineStr">
        <is>
          <t>601+</t>
        </is>
      </c>
      <c r="AN1293" t="inlineStr">
        <is>
          <t>34.9</t>
        </is>
      </c>
      <c r="AO1293" t="inlineStr">
        <is>
          <t>454</t>
        </is>
      </c>
      <c r="AP1293" t="inlineStr">
        <is>
          <t>1.5</t>
        </is>
      </c>
      <c r="AQ1293" t="inlineStr">
        <is>
          <t>701+</t>
        </is>
      </c>
      <c r="AR1293" t="inlineStr"/>
      <c r="AS1293" t="inlineStr"/>
      <c r="AT1293" t="inlineStr"/>
      <c r="AU1293" t="inlineStr"/>
      <c r="AV1293" t="inlineStr">
        <is>
          <t>1.0</t>
        </is>
      </c>
      <c r="AW1293" t="inlineStr">
        <is>
          <t>701+</t>
        </is>
      </c>
      <c r="AX1293" t="inlineStr">
        <is>
          <t>5.1</t>
        </is>
      </c>
      <c r="AY1293" t="inlineStr">
        <is>
          <t>701+</t>
        </is>
      </c>
      <c r="AZ1293" t="inlineStr">
        <is>
          <t>1</t>
        </is>
      </c>
      <c r="BA1293" t="inlineStr">
        <is>
          <t>701+</t>
        </is>
      </c>
    </row>
    <row r="1294">
      <c r="A1294" t="inlineStr">
        <is>
          <t>Universidad Nacional de San Luis</t>
        </is>
      </c>
      <c r="B1294" t="inlineStr">
        <is>
          <t>Argentina</t>
        </is>
      </c>
      <c r="C1294" t="inlineStr">
        <is>
          <t>AR</t>
        </is>
      </c>
      <c r="D1294" t="inlineStr">
        <is>
          <t>Americas</t>
        </is>
      </c>
      <c r="E1294" t="inlineStr">
        <is>
          <t>L</t>
        </is>
      </c>
      <c r="F1294" t="inlineStr">
        <is>
          <t>FO</t>
        </is>
      </c>
      <c r="G1294" t="inlineStr">
        <is>
          <t>HI</t>
        </is>
      </c>
      <c r="H1294" t="inlineStr">
        <is>
          <t>4</t>
        </is>
      </c>
      <c r="I1294" t="inlineStr">
        <is>
          <t>Public</t>
        </is>
      </c>
      <c r="J1294" t="inlineStr">
        <is>
          <t>1201-1400</t>
        </is>
      </c>
      <c r="K1294" t="inlineStr">
        <is>
          <t>1001-1200</t>
        </is>
      </c>
      <c r="L1294" t="inlineStr">
        <is>
          <t>1001-1200</t>
        </is>
      </c>
      <c r="M1294" t="inlineStr">
        <is>
          <t>801-1000</t>
        </is>
      </c>
      <c r="N1294" t="inlineStr">
        <is>
          <t>-</t>
        </is>
      </c>
      <c r="O1294" t="inlineStr">
        <is>
          <t>-</t>
        </is>
      </c>
      <c r="P1294" t="n">
        <v>3.9</v>
      </c>
      <c r="Q1294" t="inlineStr">
        <is>
          <t>701+</t>
        </is>
      </c>
      <c r="R1294" t="n">
        <v>2</v>
      </c>
      <c r="S1294" t="inlineStr">
        <is>
          <t>701+</t>
        </is>
      </c>
      <c r="T1294" t="n">
        <v>84.8</v>
      </c>
      <c r="U1294" t="inlineStr">
        <is>
          <t>136</t>
        </is>
      </c>
      <c r="V1294" t="n">
        <v>1.4</v>
      </c>
      <c r="W1294" t="inlineStr">
        <is>
          <t>801+</t>
        </is>
      </c>
      <c r="X1294" t="inlineStr"/>
      <c r="Y1294" t="inlineStr"/>
      <c r="Z1294" t="inlineStr"/>
      <c r="AA1294" t="inlineStr"/>
      <c r="AB1294" t="inlineStr"/>
      <c r="AC1294" t="inlineStr"/>
      <c r="AD1294" t="n">
        <v>10.1</v>
      </c>
      <c r="AE1294" t="inlineStr">
        <is>
          <t>801+</t>
        </is>
      </c>
      <c r="AF1294" t="n">
        <v>1.5</v>
      </c>
      <c r="AG1294" t="inlineStr">
        <is>
          <t>801+</t>
        </is>
      </c>
      <c r="AH1294" t="n">
        <v>18</v>
      </c>
      <c r="AI1294" t="inlineStr">
        <is>
          <t>801+</t>
        </is>
      </c>
      <c r="AJ1294" t="inlineStr">
        <is>
          <t>4.1</t>
        </is>
      </c>
      <c r="AK1294" t="inlineStr">
        <is>
          <t>601+</t>
        </is>
      </c>
      <c r="AL1294" t="inlineStr">
        <is>
          <t>1.9</t>
        </is>
      </c>
      <c r="AM1294" t="inlineStr">
        <is>
          <t>601+</t>
        </is>
      </c>
      <c r="AN1294" t="inlineStr">
        <is>
          <t>67.5</t>
        </is>
      </c>
      <c r="AO1294" t="inlineStr">
        <is>
          <t>195</t>
        </is>
      </c>
      <c r="AP1294" t="inlineStr">
        <is>
          <t>1.2</t>
        </is>
      </c>
      <c r="AQ1294" t="inlineStr">
        <is>
          <t>701+</t>
        </is>
      </c>
      <c r="AR1294" t="inlineStr"/>
      <c r="AS1294" t="inlineStr"/>
      <c r="AT1294" t="inlineStr"/>
      <c r="AU1294" t="inlineStr"/>
      <c r="AV1294" t="inlineStr">
        <is>
          <t>1.0</t>
        </is>
      </c>
      <c r="AW1294" t="inlineStr">
        <is>
          <t>701+</t>
        </is>
      </c>
      <c r="AX1294" t="inlineStr">
        <is>
          <t>5.1</t>
        </is>
      </c>
      <c r="AY1294" t="inlineStr">
        <is>
          <t>701+</t>
        </is>
      </c>
      <c r="AZ1294" t="inlineStr">
        <is>
          <t>1</t>
        </is>
      </c>
      <c r="BA1294" t="inlineStr">
        <is>
          <t>701+</t>
        </is>
      </c>
    </row>
    <row r="1295">
      <c r="A1295" t="inlineStr">
        <is>
          <t>Universidad Nacional de San Martín (UNSAM)</t>
        </is>
      </c>
      <c r="B1295" t="inlineStr">
        <is>
          <t>Argentina</t>
        </is>
      </c>
      <c r="C1295" t="inlineStr">
        <is>
          <t>AR</t>
        </is>
      </c>
      <c r="D1295" t="inlineStr">
        <is>
          <t>Americas</t>
        </is>
      </c>
      <c r="E1295" t="inlineStr">
        <is>
          <t>L</t>
        </is>
      </c>
      <c r="F1295" t="inlineStr">
        <is>
          <t>CO</t>
        </is>
      </c>
      <c r="G1295" t="inlineStr">
        <is>
          <t>HI</t>
        </is>
      </c>
      <c r="H1295" t="inlineStr">
        <is>
          <t>3</t>
        </is>
      </c>
      <c r="I1295" t="inlineStr">
        <is>
          <t>Public</t>
        </is>
      </c>
      <c r="J1295" t="inlineStr">
        <is>
          <t>1401+</t>
        </is>
      </c>
      <c r="K1295" t="inlineStr">
        <is>
          <t>1201-1400</t>
        </is>
      </c>
      <c r="L1295" t="inlineStr">
        <is>
          <t>1201-1400</t>
        </is>
      </c>
      <c r="M1295" t="inlineStr">
        <is>
          <t>1201-1400</t>
        </is>
      </c>
      <c r="N1295" t="inlineStr">
        <is>
          <t>-</t>
        </is>
      </c>
      <c r="O1295" t="inlineStr">
        <is>
          <t>-</t>
        </is>
      </c>
      <c r="P1295" t="n">
        <v>15.7</v>
      </c>
      <c r="Q1295" t="inlineStr">
        <is>
          <t>701+</t>
        </is>
      </c>
      <c r="R1295" t="n">
        <v>4.7</v>
      </c>
      <c r="S1295" t="inlineStr">
        <is>
          <t>701+</t>
        </is>
      </c>
      <c r="T1295" t="n">
        <v>7.6</v>
      </c>
      <c r="U1295" t="inlineStr">
        <is>
          <t>801+</t>
        </is>
      </c>
      <c r="V1295" t="n">
        <v>3.9</v>
      </c>
      <c r="W1295" t="inlineStr">
        <is>
          <t>801+</t>
        </is>
      </c>
      <c r="X1295" t="n">
        <v>1.9</v>
      </c>
      <c r="Y1295" t="inlineStr">
        <is>
          <t>801+</t>
        </is>
      </c>
      <c r="Z1295" t="n">
        <v>6.9</v>
      </c>
      <c r="AA1295" t="inlineStr">
        <is>
          <t>801+</t>
        </is>
      </c>
      <c r="AB1295" t="n">
        <v>5.4</v>
      </c>
      <c r="AC1295" t="inlineStr">
        <is>
          <t>801+</t>
        </is>
      </c>
      <c r="AD1295" t="n">
        <v>29.1</v>
      </c>
      <c r="AE1295" t="inlineStr">
        <is>
          <t>801+</t>
        </is>
      </c>
      <c r="AF1295" t="n">
        <v>1.5</v>
      </c>
      <c r="AG1295" t="inlineStr">
        <is>
          <t>801+</t>
        </is>
      </c>
      <c r="AH1295" t="n">
        <v>26.9</v>
      </c>
      <c r="AI1295" t="inlineStr">
        <is>
          <t>801+</t>
        </is>
      </c>
      <c r="AJ1295" t="inlineStr">
        <is>
          <t>11.5</t>
        </is>
      </c>
      <c r="AK1295" t="inlineStr">
        <is>
          <t>601+</t>
        </is>
      </c>
      <c r="AL1295" t="inlineStr">
        <is>
          <t>3.2</t>
        </is>
      </c>
      <c r="AM1295" t="inlineStr">
        <is>
          <t>601+</t>
        </is>
      </c>
      <c r="AN1295" t="inlineStr">
        <is>
          <t>7.5</t>
        </is>
      </c>
      <c r="AO1295" t="inlineStr">
        <is>
          <t>701+</t>
        </is>
      </c>
      <c r="AP1295" t="inlineStr">
        <is>
          <t>2.3</t>
        </is>
      </c>
      <c r="AQ1295" t="inlineStr">
        <is>
          <t>701+</t>
        </is>
      </c>
      <c r="AR1295" t="inlineStr">
        <is>
          <t>1.6</t>
        </is>
      </c>
      <c r="AS1295" t="inlineStr">
        <is>
          <t>701+</t>
        </is>
      </c>
      <c r="AT1295" t="inlineStr">
        <is>
          <t>4.7</t>
        </is>
      </c>
      <c r="AU1295" t="inlineStr">
        <is>
          <t>701+</t>
        </is>
      </c>
      <c r="AV1295" t="inlineStr">
        <is>
          <t>1.3</t>
        </is>
      </c>
      <c r="AW1295" t="inlineStr">
        <is>
          <t>701+</t>
        </is>
      </c>
      <c r="AX1295" t="inlineStr">
        <is>
          <t>5.1</t>
        </is>
      </c>
      <c r="AY1295" t="inlineStr">
        <is>
          <t>701+</t>
        </is>
      </c>
      <c r="AZ1295" t="inlineStr">
        <is>
          <t>4.6</t>
        </is>
      </c>
      <c r="BA1295" t="inlineStr">
        <is>
          <t>701+</t>
        </is>
      </c>
    </row>
    <row r="1296">
      <c r="A1296" t="inlineStr">
        <is>
          <t>Universidad Nacional de Tucumán</t>
        </is>
      </c>
      <c r="B1296" t="inlineStr">
        <is>
          <t>Argentina</t>
        </is>
      </c>
      <c r="C1296" t="inlineStr">
        <is>
          <t>AR</t>
        </is>
      </c>
      <c r="D1296" t="inlineStr"/>
      <c r="E1296" t="inlineStr">
        <is>
          <t>XL</t>
        </is>
      </c>
      <c r="F1296" t="inlineStr">
        <is>
          <t>FC</t>
        </is>
      </c>
      <c r="G1296" t="inlineStr">
        <is>
          <t>MD</t>
        </is>
      </c>
      <c r="H1296" t="inlineStr">
        <is>
          <t>5</t>
        </is>
      </c>
      <c r="I1296" t="inlineStr">
        <is>
          <t>A</t>
        </is>
      </c>
      <c r="J1296" t="inlineStr"/>
      <c r="K1296" t="inlineStr"/>
      <c r="L1296" t="inlineStr">
        <is>
          <t>1401+</t>
        </is>
      </c>
      <c r="M1296" t="inlineStr">
        <is>
          <t>1201-1400</t>
        </is>
      </c>
      <c r="N1296" t="inlineStr"/>
      <c r="O1296" t="inlineStr">
        <is>
          <t>-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>
        <is>
          <t>7.4</t>
        </is>
      </c>
      <c r="AK1296" t="inlineStr">
        <is>
          <t>601+</t>
        </is>
      </c>
      <c r="AL1296" t="inlineStr">
        <is>
          <t>2.7</t>
        </is>
      </c>
      <c r="AM1296" t="inlineStr">
        <is>
          <t>601+</t>
        </is>
      </c>
      <c r="AN1296" t="inlineStr">
        <is>
          <t>2.6</t>
        </is>
      </c>
      <c r="AO1296" t="inlineStr">
        <is>
          <t>701+</t>
        </is>
      </c>
      <c r="AP1296" t="inlineStr">
        <is>
          <t>1.6</t>
        </is>
      </c>
      <c r="AQ1296" t="inlineStr">
        <is>
          <t>701+</t>
        </is>
      </c>
      <c r="AR1296" t="inlineStr"/>
      <c r="AS1296" t="inlineStr"/>
      <c r="AT1296" t="inlineStr"/>
      <c r="AU1296" t="inlineStr"/>
      <c r="AV1296" t="inlineStr">
        <is>
          <t>2.3</t>
        </is>
      </c>
      <c r="AW1296" t="inlineStr">
        <is>
          <t>701+</t>
        </is>
      </c>
      <c r="AX1296" t="inlineStr">
        <is>
          <t>5.1</t>
        </is>
      </c>
      <c r="AY1296" t="inlineStr">
        <is>
          <t>701+</t>
        </is>
      </c>
      <c r="AZ1296" t="inlineStr">
        <is>
          <t>1</t>
        </is>
      </c>
      <c r="BA1296" t="inlineStr">
        <is>
          <t>701+</t>
        </is>
      </c>
    </row>
    <row r="1297">
      <c r="A1297" t="inlineStr">
        <is>
          <t>Universidad Nacional del Centro de la Provincia de Buenos Aires</t>
        </is>
      </c>
      <c r="B1297" t="inlineStr">
        <is>
          <t>Argentina</t>
        </is>
      </c>
      <c r="C1297" t="inlineStr"/>
      <c r="D1297" t="inlineStr">
        <is>
          <t>Americas</t>
        </is>
      </c>
      <c r="E1297" t="inlineStr">
        <is>
          <t>L</t>
        </is>
      </c>
      <c r="F1297" t="inlineStr">
        <is>
          <t>FC</t>
        </is>
      </c>
      <c r="G1297" t="inlineStr">
        <is>
          <t>MD</t>
        </is>
      </c>
      <c r="H1297" t="inlineStr"/>
      <c r="I1297" t="inlineStr">
        <is>
          <t>Public</t>
        </is>
      </c>
      <c r="J1297" t="inlineStr">
        <is>
          <t>1201-1400</t>
        </is>
      </c>
      <c r="K1297" t="inlineStr">
        <is>
          <t>1001-1200</t>
        </is>
      </c>
      <c r="L1297" t="inlineStr"/>
      <c r="M1297" t="inlineStr"/>
      <c r="N1297" t="inlineStr">
        <is>
          <t>-</t>
        </is>
      </c>
      <c r="O1297" t="inlineStr"/>
      <c r="P1297" t="n">
        <v>6.3</v>
      </c>
      <c r="Q1297" t="inlineStr">
        <is>
          <t>701+</t>
        </is>
      </c>
      <c r="R1297" t="n">
        <v>6.3</v>
      </c>
      <c r="S1297" t="inlineStr">
        <is>
          <t>701+</t>
        </is>
      </c>
      <c r="T1297" t="n">
        <v>81.40000000000001</v>
      </c>
      <c r="U1297" t="inlineStr">
        <is>
          <t>160</t>
        </is>
      </c>
      <c r="V1297" t="n">
        <v>1.8</v>
      </c>
      <c r="W1297" t="inlineStr">
        <is>
          <t>801+</t>
        </is>
      </c>
      <c r="X1297" t="inlineStr"/>
      <c r="Y1297" t="inlineStr"/>
      <c r="Z1297" t="inlineStr"/>
      <c r="AA1297" t="inlineStr"/>
      <c r="AB1297" t="inlineStr"/>
      <c r="AC1297" t="inlineStr"/>
      <c r="AD1297" t="n">
        <v>7.7</v>
      </c>
      <c r="AE1297" t="inlineStr">
        <is>
          <t>801+</t>
        </is>
      </c>
      <c r="AF1297" t="n">
        <v>1.5</v>
      </c>
      <c r="AG1297" t="inlineStr">
        <is>
          <t>801+</t>
        </is>
      </c>
      <c r="AH1297" t="n">
        <v>20.5</v>
      </c>
      <c r="AI1297" t="inlineStr">
        <is>
          <t>801+</t>
        </is>
      </c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</row>
    <row r="1298">
      <c r="A1298" t="inlineStr">
        <is>
          <t>Universidad Nacional del Centro de la Provincia de Buenos Aires (UNICEN)</t>
        </is>
      </c>
      <c r="B1298" t="inlineStr">
        <is>
          <t>Argentina</t>
        </is>
      </c>
      <c r="C1298" t="inlineStr">
        <is>
          <t>AR</t>
        </is>
      </c>
      <c r="D1298" t="inlineStr"/>
      <c r="E1298" t="inlineStr">
        <is>
          <t>L</t>
        </is>
      </c>
      <c r="F1298" t="inlineStr">
        <is>
          <t>FC</t>
        </is>
      </c>
      <c r="G1298" t="inlineStr">
        <is>
          <t>MD</t>
        </is>
      </c>
      <c r="H1298" t="inlineStr">
        <is>
          <t>3</t>
        </is>
      </c>
      <c r="I1298" t="inlineStr">
        <is>
          <t>A</t>
        </is>
      </c>
      <c r="J1298" t="inlineStr"/>
      <c r="K1298" t="inlineStr"/>
      <c r="L1298" t="inlineStr">
        <is>
          <t>1001-1200</t>
        </is>
      </c>
      <c r="M1298" t="inlineStr">
        <is>
          <t>651-700</t>
        </is>
      </c>
      <c r="N1298" t="inlineStr"/>
      <c r="O1298" t="inlineStr">
        <is>
          <t>-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>
        <is>
          <t>5.4</t>
        </is>
      </c>
      <c r="AK1298" t="inlineStr">
        <is>
          <t>601+</t>
        </is>
      </c>
      <c r="AL1298" t="inlineStr">
        <is>
          <t>2.7</t>
        </is>
      </c>
      <c r="AM1298" t="inlineStr">
        <is>
          <t>601+</t>
        </is>
      </c>
      <c r="AN1298" t="inlineStr">
        <is>
          <t>78.8</t>
        </is>
      </c>
      <c r="AO1298" t="inlineStr">
        <is>
          <t>142</t>
        </is>
      </c>
      <c r="AP1298" t="inlineStr">
        <is>
          <t>1.4</t>
        </is>
      </c>
      <c r="AQ1298" t="inlineStr">
        <is>
          <t>701+</t>
        </is>
      </c>
      <c r="AR1298" t="inlineStr"/>
      <c r="AS1298" t="inlineStr"/>
      <c r="AT1298" t="inlineStr"/>
      <c r="AU1298" t="inlineStr"/>
      <c r="AV1298" t="inlineStr">
        <is>
          <t>1.0</t>
        </is>
      </c>
      <c r="AW1298" t="inlineStr">
        <is>
          <t>701+</t>
        </is>
      </c>
      <c r="AX1298" t="inlineStr">
        <is>
          <t>5.1</t>
        </is>
      </c>
      <c r="AY1298" t="inlineStr">
        <is>
          <t>701+</t>
        </is>
      </c>
      <c r="AZ1298" t="inlineStr">
        <is>
          <t>1</t>
        </is>
      </c>
      <c r="BA1298" t="inlineStr">
        <is>
          <t>701+</t>
        </is>
      </c>
    </row>
    <row r="1299">
      <c r="A1299" t="inlineStr">
        <is>
          <t>Universidad Nacional del Comahue</t>
        </is>
      </c>
      <c r="B1299" t="inlineStr">
        <is>
          <t>Argentina</t>
        </is>
      </c>
      <c r="C1299" t="inlineStr">
        <is>
          <t>AR</t>
        </is>
      </c>
      <c r="D1299" t="inlineStr"/>
      <c r="E1299" t="inlineStr">
        <is>
          <t>XL</t>
        </is>
      </c>
      <c r="F1299" t="inlineStr">
        <is>
          <t>FC</t>
        </is>
      </c>
      <c r="G1299" t="inlineStr">
        <is>
          <t>MD</t>
        </is>
      </c>
      <c r="H1299" t="inlineStr">
        <is>
          <t>4</t>
        </is>
      </c>
      <c r="I1299" t="inlineStr">
        <is>
          <t>A</t>
        </is>
      </c>
      <c r="J1299" t="inlineStr"/>
      <c r="K1299" t="inlineStr"/>
      <c r="L1299" t="inlineStr">
        <is>
          <t>1201-1400</t>
        </is>
      </c>
      <c r="M1299" t="inlineStr">
        <is>
          <t>1201-1400</t>
        </is>
      </c>
      <c r="N1299" t="inlineStr"/>
      <c r="O1299" t="inlineStr">
        <is>
          <t>-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>
        <is>
          <t>4.3</t>
        </is>
      </c>
      <c r="AK1299" t="inlineStr">
        <is>
          <t>601+</t>
        </is>
      </c>
      <c r="AL1299" t="inlineStr">
        <is>
          <t>2.5</t>
        </is>
      </c>
      <c r="AM1299" t="inlineStr">
        <is>
          <t>601+</t>
        </is>
      </c>
      <c r="AN1299" t="inlineStr">
        <is>
          <t>21.5</t>
        </is>
      </c>
      <c r="AO1299" t="inlineStr">
        <is>
          <t>636</t>
        </is>
      </c>
      <c r="AP1299" t="inlineStr">
        <is>
          <t>1.4</t>
        </is>
      </c>
      <c r="AQ1299" t="inlineStr">
        <is>
          <t>701+</t>
        </is>
      </c>
      <c r="AR1299" t="inlineStr"/>
      <c r="AS1299" t="inlineStr"/>
      <c r="AT1299" t="inlineStr"/>
      <c r="AU1299" t="inlineStr"/>
      <c r="AV1299" t="inlineStr">
        <is>
          <t>1.1</t>
        </is>
      </c>
      <c r="AW1299" t="inlineStr">
        <is>
          <t>701+</t>
        </is>
      </c>
      <c r="AX1299" t="inlineStr">
        <is>
          <t>5.1</t>
        </is>
      </c>
      <c r="AY1299" t="inlineStr">
        <is>
          <t>701+</t>
        </is>
      </c>
      <c r="AZ1299" t="inlineStr">
        <is>
          <t>1.1</t>
        </is>
      </c>
      <c r="BA1299" t="inlineStr">
        <is>
          <t>701+</t>
        </is>
      </c>
    </row>
    <row r="1300">
      <c r="A1300" t="inlineStr">
        <is>
          <t>Universidad Nacional del Litoral</t>
        </is>
      </c>
      <c r="B1300" t="inlineStr">
        <is>
          <t>Argentina</t>
        </is>
      </c>
      <c r="C1300" t="inlineStr">
        <is>
          <t>AR</t>
        </is>
      </c>
      <c r="D1300" t="inlineStr">
        <is>
          <t>Americas</t>
        </is>
      </c>
      <c r="E1300" t="inlineStr">
        <is>
          <t>XL</t>
        </is>
      </c>
      <c r="F1300" t="inlineStr">
        <is>
          <t>CO</t>
        </is>
      </c>
      <c r="G1300" t="inlineStr">
        <is>
          <t>HI</t>
        </is>
      </c>
      <c r="H1300" t="inlineStr">
        <is>
          <t>5</t>
        </is>
      </c>
      <c r="I1300" t="inlineStr">
        <is>
          <t>Public</t>
        </is>
      </c>
      <c r="J1300" t="inlineStr">
        <is>
          <t>1201-1400</t>
        </is>
      </c>
      <c r="K1300" t="inlineStr">
        <is>
          <t>1201-1400</t>
        </is>
      </c>
      <c r="L1300" t="inlineStr">
        <is>
          <t>1201-1400</t>
        </is>
      </c>
      <c r="M1300" t="inlineStr">
        <is>
          <t>1201-1400</t>
        </is>
      </c>
      <c r="N1300" t="inlineStr">
        <is>
          <t>-</t>
        </is>
      </c>
      <c r="O1300" t="inlineStr">
        <is>
          <t>-</t>
        </is>
      </c>
      <c r="P1300" t="n">
        <v>18.1</v>
      </c>
      <c r="Q1300" t="inlineStr">
        <is>
          <t>674</t>
        </is>
      </c>
      <c r="R1300" t="n">
        <v>10.1</v>
      </c>
      <c r="S1300" t="inlineStr">
        <is>
          <t>701+</t>
        </is>
      </c>
      <c r="T1300" t="n">
        <v>3.1</v>
      </c>
      <c r="U1300" t="inlineStr">
        <is>
          <t>801+</t>
        </is>
      </c>
      <c r="V1300" t="n">
        <v>4.1</v>
      </c>
      <c r="W1300" t="inlineStr">
        <is>
          <t>801+</t>
        </is>
      </c>
      <c r="X1300" t="n">
        <v>6.6</v>
      </c>
      <c r="Y1300" t="inlineStr">
        <is>
          <t>801+</t>
        </is>
      </c>
      <c r="Z1300" t="n">
        <v>1.5</v>
      </c>
      <c r="AA1300" t="inlineStr">
        <is>
          <t>801+</t>
        </is>
      </c>
      <c r="AB1300" t="n">
        <v>1.4</v>
      </c>
      <c r="AC1300" t="inlineStr">
        <is>
          <t>801+</t>
        </is>
      </c>
      <c r="AD1300" t="n">
        <v>26.8</v>
      </c>
      <c r="AE1300" t="inlineStr">
        <is>
          <t>801+</t>
        </is>
      </c>
      <c r="AF1300" t="n">
        <v>7.1</v>
      </c>
      <c r="AG1300" t="inlineStr">
        <is>
          <t>801+</t>
        </is>
      </c>
      <c r="AH1300" t="n">
        <v>41</v>
      </c>
      <c r="AI1300" t="inlineStr">
        <is>
          <t>801+</t>
        </is>
      </c>
      <c r="AJ1300" t="inlineStr">
        <is>
          <t>11.7</t>
        </is>
      </c>
      <c r="AK1300" t="inlineStr">
        <is>
          <t>601+</t>
        </is>
      </c>
      <c r="AL1300" t="inlineStr">
        <is>
          <t>5.8</t>
        </is>
      </c>
      <c r="AM1300" t="inlineStr">
        <is>
          <t>601+</t>
        </is>
      </c>
      <c r="AN1300" t="inlineStr">
        <is>
          <t>2.2</t>
        </is>
      </c>
      <c r="AO1300" t="inlineStr">
        <is>
          <t>701+</t>
        </is>
      </c>
      <c r="AP1300" t="inlineStr">
        <is>
          <t>2.7</t>
        </is>
      </c>
      <c r="AQ1300" t="inlineStr">
        <is>
          <t>701+</t>
        </is>
      </c>
      <c r="AR1300" t="inlineStr">
        <is>
          <t>1.5</t>
        </is>
      </c>
      <c r="AS1300" t="inlineStr">
        <is>
          <t>701+</t>
        </is>
      </c>
      <c r="AT1300" t="inlineStr">
        <is>
          <t>1.1</t>
        </is>
      </c>
      <c r="AU1300" t="inlineStr">
        <is>
          <t>701+</t>
        </is>
      </c>
      <c r="AV1300" t="inlineStr">
        <is>
          <t>1.1</t>
        </is>
      </c>
      <c r="AW1300" t="inlineStr">
        <is>
          <t>701+</t>
        </is>
      </c>
      <c r="AX1300" t="inlineStr">
        <is>
          <t>2.7</t>
        </is>
      </c>
      <c r="AY1300" t="inlineStr">
        <is>
          <t>701+</t>
        </is>
      </c>
      <c r="AZ1300" t="inlineStr">
        <is>
          <t>3.2</t>
        </is>
      </c>
      <c r="BA1300" t="inlineStr">
        <is>
          <t>701+</t>
        </is>
      </c>
    </row>
    <row r="1301">
      <c r="A1301" t="inlineStr">
        <is>
          <t>Universidad Nacional del Sur</t>
        </is>
      </c>
      <c r="B1301" t="inlineStr">
        <is>
          <t>Argentina</t>
        </is>
      </c>
      <c r="C1301" t="inlineStr">
        <is>
          <t>AR</t>
        </is>
      </c>
      <c r="D1301" t="inlineStr">
        <is>
          <t>Americas</t>
        </is>
      </c>
      <c r="E1301" t="inlineStr">
        <is>
          <t>L</t>
        </is>
      </c>
      <c r="F1301" t="inlineStr">
        <is>
          <t>FC</t>
        </is>
      </c>
      <c r="G1301" t="inlineStr">
        <is>
          <t>HI</t>
        </is>
      </c>
      <c r="H1301" t="inlineStr">
        <is>
          <t>4</t>
        </is>
      </c>
      <c r="I1301" t="inlineStr">
        <is>
          <t>Public</t>
        </is>
      </c>
      <c r="J1301" t="inlineStr">
        <is>
          <t>1401+</t>
        </is>
      </c>
      <c r="K1301" t="inlineStr">
        <is>
          <t>1201-1400</t>
        </is>
      </c>
      <c r="L1301" t="inlineStr">
        <is>
          <t>1401+</t>
        </is>
      </c>
      <c r="M1301" t="inlineStr">
        <is>
          <t>1201-1400</t>
        </is>
      </c>
      <c r="N1301" t="inlineStr">
        <is>
          <t>-</t>
        </is>
      </c>
      <c r="O1301" t="inlineStr">
        <is>
          <t>-</t>
        </is>
      </c>
      <c r="P1301" t="n">
        <v>8.1</v>
      </c>
      <c r="Q1301" t="inlineStr">
        <is>
          <t>701+</t>
        </is>
      </c>
      <c r="R1301" t="n">
        <v>4.6</v>
      </c>
      <c r="S1301" t="inlineStr">
        <is>
          <t>701+</t>
        </is>
      </c>
      <c r="T1301" t="n">
        <v>23.1</v>
      </c>
      <c r="U1301" t="inlineStr">
        <is>
          <t>775</t>
        </is>
      </c>
      <c r="V1301" t="n">
        <v>2.4</v>
      </c>
      <c r="W1301" t="inlineStr">
        <is>
          <t>801+</t>
        </is>
      </c>
      <c r="X1301" t="inlineStr"/>
      <c r="Y1301" t="inlineStr"/>
      <c r="Z1301" t="inlineStr"/>
      <c r="AA1301" t="inlineStr"/>
      <c r="AB1301" t="inlineStr"/>
      <c r="AC1301" t="inlineStr"/>
      <c r="AD1301" t="n">
        <v>30</v>
      </c>
      <c r="AE1301" t="inlineStr">
        <is>
          <t>801+</t>
        </is>
      </c>
      <c r="AF1301" t="n">
        <v>4.7</v>
      </c>
      <c r="AG1301" t="inlineStr">
        <is>
          <t>801+</t>
        </is>
      </c>
      <c r="AH1301" t="n">
        <v>29</v>
      </c>
      <c r="AI1301" t="inlineStr">
        <is>
          <t>801+</t>
        </is>
      </c>
      <c r="AJ1301" t="inlineStr">
        <is>
          <t>5.9</t>
        </is>
      </c>
      <c r="AK1301" t="inlineStr">
        <is>
          <t>601+</t>
        </is>
      </c>
      <c r="AL1301" t="inlineStr">
        <is>
          <t>2.5</t>
        </is>
      </c>
      <c r="AM1301" t="inlineStr">
        <is>
          <t>601+</t>
        </is>
      </c>
      <c r="AN1301" t="inlineStr">
        <is>
          <t>14.1</t>
        </is>
      </c>
      <c r="AO1301" t="inlineStr">
        <is>
          <t>701+</t>
        </is>
      </c>
      <c r="AP1301" t="inlineStr">
        <is>
          <t>1.8</t>
        </is>
      </c>
      <c r="AQ1301" t="inlineStr">
        <is>
          <t>701+</t>
        </is>
      </c>
      <c r="AR1301" t="inlineStr"/>
      <c r="AS1301" t="inlineStr"/>
      <c r="AT1301" t="inlineStr"/>
      <c r="AU1301" t="inlineStr"/>
      <c r="AV1301" t="inlineStr">
        <is>
          <t>2.1</t>
        </is>
      </c>
      <c r="AW1301" t="inlineStr">
        <is>
          <t>701+</t>
        </is>
      </c>
      <c r="AX1301" t="inlineStr">
        <is>
          <t>5.1</t>
        </is>
      </c>
      <c r="AY1301" t="inlineStr">
        <is>
          <t>701+</t>
        </is>
      </c>
      <c r="AZ1301" t="inlineStr">
        <is>
          <t>1.1</t>
        </is>
      </c>
      <c r="BA1301" t="inlineStr">
        <is>
          <t>701+</t>
        </is>
      </c>
    </row>
    <row r="1302">
      <c r="A1302" t="inlineStr">
        <is>
          <t>Universidad Nacional Mayor de San Marcos</t>
        </is>
      </c>
      <c r="B1302" t="inlineStr">
        <is>
          <t>Peru</t>
        </is>
      </c>
      <c r="C1302" t="inlineStr">
        <is>
          <t>PE</t>
        </is>
      </c>
      <c r="D1302" t="inlineStr">
        <is>
          <t>Americas</t>
        </is>
      </c>
      <c r="E1302" t="inlineStr">
        <is>
          <t>XL</t>
        </is>
      </c>
      <c r="F1302" t="inlineStr">
        <is>
          <t>FC</t>
        </is>
      </c>
      <c r="G1302" t="inlineStr">
        <is>
          <t>HI</t>
        </is>
      </c>
      <c r="H1302" t="inlineStr">
        <is>
          <t>5</t>
        </is>
      </c>
      <c r="I1302" t="inlineStr">
        <is>
          <t>Public</t>
        </is>
      </c>
      <c r="J1302" t="inlineStr">
        <is>
          <t>951-1000</t>
        </is>
      </c>
      <c r="K1302" t="inlineStr">
        <is>
          <t>901-950</t>
        </is>
      </c>
      <c r="L1302" t="inlineStr">
        <is>
          <t>901-950</t>
        </is>
      </c>
      <c r="M1302" t="inlineStr">
        <is>
          <t>801-1000</t>
        </is>
      </c>
      <c r="N1302" t="inlineStr">
        <is>
          <t>-</t>
        </is>
      </c>
      <c r="O1302" t="inlineStr">
        <is>
          <t>-</t>
        </is>
      </c>
      <c r="P1302" t="n">
        <v>28.9</v>
      </c>
      <c r="Q1302" t="inlineStr">
        <is>
          <t>429</t>
        </is>
      </c>
      <c r="R1302" t="n">
        <v>28.4</v>
      </c>
      <c r="S1302" t="inlineStr">
        <is>
          <t>492</t>
        </is>
      </c>
      <c r="T1302" t="n">
        <v>11</v>
      </c>
      <c r="U1302" t="inlineStr">
        <is>
          <t>801+</t>
        </is>
      </c>
      <c r="V1302" t="n">
        <v>1.7</v>
      </c>
      <c r="W1302" t="inlineStr">
        <is>
          <t>801+</t>
        </is>
      </c>
      <c r="X1302" t="inlineStr"/>
      <c r="Y1302" t="inlineStr"/>
      <c r="Z1302" t="inlineStr"/>
      <c r="AA1302" t="inlineStr"/>
      <c r="AB1302" t="inlineStr"/>
      <c r="AC1302" t="inlineStr"/>
      <c r="AD1302" t="n">
        <v>32.9</v>
      </c>
      <c r="AE1302" t="inlineStr">
        <is>
          <t>801+</t>
        </is>
      </c>
      <c r="AF1302" t="n">
        <v>53</v>
      </c>
      <c r="AG1302" t="inlineStr">
        <is>
          <t>321</t>
        </is>
      </c>
      <c r="AH1302" t="n">
        <v>24.3</v>
      </c>
      <c r="AI1302" t="inlineStr">
        <is>
          <t>801+</t>
        </is>
      </c>
      <c r="AJ1302" t="inlineStr">
        <is>
          <t>21.1</t>
        </is>
      </c>
      <c r="AK1302" t="inlineStr">
        <is>
          <t>416</t>
        </is>
      </c>
      <c r="AL1302" t="inlineStr">
        <is>
          <t>27.8</t>
        </is>
      </c>
      <c r="AM1302" t="inlineStr">
        <is>
          <t>348</t>
        </is>
      </c>
      <c r="AN1302" t="inlineStr">
        <is>
          <t>7.0</t>
        </is>
      </c>
      <c r="AO1302" t="inlineStr">
        <is>
          <t>701+</t>
        </is>
      </c>
      <c r="AP1302" t="inlineStr">
        <is>
          <t>1.3</t>
        </is>
      </c>
      <c r="AQ1302" t="inlineStr">
        <is>
          <t>701+</t>
        </is>
      </c>
      <c r="AR1302" t="inlineStr"/>
      <c r="AS1302" t="inlineStr"/>
      <c r="AT1302" t="inlineStr"/>
      <c r="AU1302" t="inlineStr"/>
      <c r="AV1302" t="inlineStr">
        <is>
          <t>1.9</t>
        </is>
      </c>
      <c r="AW1302" t="inlineStr">
        <is>
          <t>701+</t>
        </is>
      </c>
      <c r="AX1302" t="inlineStr">
        <is>
          <t>4.7</t>
        </is>
      </c>
      <c r="AY1302" t="inlineStr">
        <is>
          <t>701+</t>
        </is>
      </c>
      <c r="AZ1302" t="inlineStr">
        <is>
          <t>1.2</t>
        </is>
      </c>
      <c r="BA1302" t="inlineStr">
        <is>
          <t>701+</t>
        </is>
      </c>
    </row>
    <row r="1303">
      <c r="A1303" t="inlineStr">
        <is>
          <t>Universidad ORT Uruguay</t>
        </is>
      </c>
      <c r="B1303" t="inlineStr">
        <is>
          <t>Uruguay</t>
        </is>
      </c>
      <c r="C1303" t="inlineStr">
        <is>
          <t>UY</t>
        </is>
      </c>
      <c r="D1303" t="inlineStr">
        <is>
          <t>Americas</t>
        </is>
      </c>
      <c r="E1303" t="inlineStr">
        <is>
          <t>M</t>
        </is>
      </c>
      <c r="F1303" t="inlineStr">
        <is>
          <t>FO</t>
        </is>
      </c>
      <c r="G1303" t="inlineStr">
        <is>
          <t>MD</t>
        </is>
      </c>
      <c r="H1303" t="inlineStr">
        <is>
          <t>4</t>
        </is>
      </c>
      <c r="I1303" t="inlineStr">
        <is>
          <t>Private not for Profit</t>
        </is>
      </c>
      <c r="J1303" t="inlineStr">
        <is>
          <t>1001-1200</t>
        </is>
      </c>
      <c r="K1303" t="inlineStr">
        <is>
          <t>851-900</t>
        </is>
      </c>
      <c r="L1303" t="inlineStr">
        <is>
          <t>771-780</t>
        </is>
      </c>
      <c r="M1303" t="inlineStr">
        <is>
          <t>494=</t>
        </is>
      </c>
      <c r="N1303" t="inlineStr">
        <is>
          <t>-</t>
        </is>
      </c>
      <c r="O1303" t="inlineStr">
        <is>
          <t>-</t>
        </is>
      </c>
      <c r="P1303" t="n">
        <v>13.2</v>
      </c>
      <c r="Q1303" t="inlineStr">
        <is>
          <t>701+</t>
        </is>
      </c>
      <c r="R1303" t="n">
        <v>22.2</v>
      </c>
      <c r="S1303" t="inlineStr">
        <is>
          <t>598</t>
        </is>
      </c>
      <c r="T1303" t="n">
        <v>84.2</v>
      </c>
      <c r="U1303" t="inlineStr">
        <is>
          <t>145</t>
        </is>
      </c>
      <c r="V1303" t="n">
        <v>1.4</v>
      </c>
      <c r="W1303" t="inlineStr">
        <is>
          <t>801+</t>
        </is>
      </c>
      <c r="X1303" t="n">
        <v>17.1</v>
      </c>
      <c r="Y1303" t="inlineStr">
        <is>
          <t>765</t>
        </is>
      </c>
      <c r="Z1303" t="n">
        <v>2.9</v>
      </c>
      <c r="AA1303" t="inlineStr">
        <is>
          <t>801+</t>
        </is>
      </c>
      <c r="AB1303" t="n">
        <v>2.4</v>
      </c>
      <c r="AC1303" t="inlineStr">
        <is>
          <t>801+</t>
        </is>
      </c>
      <c r="AD1303" t="n">
        <v>3.6</v>
      </c>
      <c r="AE1303" t="inlineStr">
        <is>
          <t>801+</t>
        </is>
      </c>
      <c r="AF1303" t="n">
        <v>7</v>
      </c>
      <c r="AG1303" t="inlineStr">
        <is>
          <t>801+</t>
        </is>
      </c>
      <c r="AH1303" t="n">
        <v>7.4</v>
      </c>
      <c r="AI1303" t="inlineStr">
        <is>
          <t>801+</t>
        </is>
      </c>
      <c r="AJ1303" t="inlineStr">
        <is>
          <t>11.8</t>
        </is>
      </c>
      <c r="AK1303" t="inlineStr">
        <is>
          <t>601+</t>
        </is>
      </c>
      <c r="AL1303" t="inlineStr">
        <is>
          <t>11.8</t>
        </is>
      </c>
      <c r="AM1303" t="inlineStr">
        <is>
          <t>601+</t>
        </is>
      </c>
      <c r="AN1303" t="inlineStr">
        <is>
          <t>82.6</t>
        </is>
      </c>
      <c r="AO1303" t="inlineStr">
        <is>
          <t>126</t>
        </is>
      </c>
      <c r="AP1303" t="inlineStr">
        <is>
          <t>1.2</t>
        </is>
      </c>
      <c r="AQ1303" t="inlineStr">
        <is>
          <t>701+</t>
        </is>
      </c>
      <c r="AR1303" t="inlineStr">
        <is>
          <t>17.9</t>
        </is>
      </c>
      <c r="AS1303" t="inlineStr">
        <is>
          <t>617</t>
        </is>
      </c>
      <c r="AT1303" t="inlineStr">
        <is>
          <t>1.9</t>
        </is>
      </c>
      <c r="AU1303" t="inlineStr">
        <is>
          <t>701+</t>
        </is>
      </c>
      <c r="AV1303" t="inlineStr">
        <is>
          <t>1.0</t>
        </is>
      </c>
      <c r="AW1303" t="inlineStr">
        <is>
          <t>701+</t>
        </is>
      </c>
      <c r="AX1303" t="inlineStr">
        <is>
          <t>13</t>
        </is>
      </c>
      <c r="AY1303" t="inlineStr">
        <is>
          <t>662</t>
        </is>
      </c>
      <c r="AZ1303" t="inlineStr">
        <is>
          <t>1</t>
        </is>
      </c>
      <c r="BA1303" t="inlineStr">
        <is>
          <t>701+</t>
        </is>
      </c>
    </row>
    <row r="1304">
      <c r="A1304" t="inlineStr">
        <is>
          <t>Universidad Panamericana (UP)</t>
        </is>
      </c>
      <c r="B1304" t="inlineStr">
        <is>
          <t>Mexico</t>
        </is>
      </c>
      <c r="C1304" t="inlineStr">
        <is>
          <t>MX</t>
        </is>
      </c>
      <c r="D1304" t="inlineStr">
        <is>
          <t>Americas</t>
        </is>
      </c>
      <c r="E1304" t="inlineStr">
        <is>
          <t>L</t>
        </is>
      </c>
      <c r="F1304" t="inlineStr">
        <is>
          <t>FO</t>
        </is>
      </c>
      <c r="G1304" t="inlineStr">
        <is>
          <t>HI</t>
        </is>
      </c>
      <c r="H1304" t="inlineStr">
        <is>
          <t>4</t>
        </is>
      </c>
      <c r="I1304" t="inlineStr">
        <is>
          <t>Private not for Profit</t>
        </is>
      </c>
      <c r="J1304" t="inlineStr">
        <is>
          <t>701-710</t>
        </is>
      </c>
      <c r="K1304" t="inlineStr">
        <is>
          <t>691-700</t>
        </is>
      </c>
      <c r="L1304" t="inlineStr">
        <is>
          <t>661-670</t>
        </is>
      </c>
      <c r="M1304" t="inlineStr">
        <is>
          <t>541-550</t>
        </is>
      </c>
      <c r="N1304" t="inlineStr">
        <is>
          <t>-</t>
        </is>
      </c>
      <c r="O1304" t="inlineStr">
        <is>
          <t>-</t>
        </is>
      </c>
      <c r="P1304" t="n">
        <v>15.9</v>
      </c>
      <c r="Q1304" t="inlineStr">
        <is>
          <t>701+</t>
        </is>
      </c>
      <c r="R1304" t="n">
        <v>34.4</v>
      </c>
      <c r="S1304" t="inlineStr">
        <is>
          <t>419</t>
        </is>
      </c>
      <c r="T1304" t="n">
        <v>81.2</v>
      </c>
      <c r="U1304" t="inlineStr">
        <is>
          <t>162</t>
        </is>
      </c>
      <c r="V1304" t="n">
        <v>1.7</v>
      </c>
      <c r="W1304" t="inlineStr">
        <is>
          <t>801+</t>
        </is>
      </c>
      <c r="X1304" t="n">
        <v>24.5</v>
      </c>
      <c r="Y1304" t="inlineStr">
        <is>
          <t>655</t>
        </is>
      </c>
      <c r="Z1304" t="n">
        <v>5</v>
      </c>
      <c r="AA1304" t="inlineStr">
        <is>
          <t>801+</t>
        </is>
      </c>
      <c r="AB1304" t="n">
        <v>4</v>
      </c>
      <c r="AC1304" t="inlineStr">
        <is>
          <t>801+</t>
        </is>
      </c>
      <c r="AD1304" t="n">
        <v>14.3</v>
      </c>
      <c r="AE1304" t="inlineStr">
        <is>
          <t>801+</t>
        </is>
      </c>
      <c r="AF1304" t="n">
        <v>73.5</v>
      </c>
      <c r="AG1304" t="inlineStr">
        <is>
          <t>191</t>
        </is>
      </c>
      <c r="AH1304" t="n">
        <v>36.2</v>
      </c>
      <c r="AI1304" t="inlineStr">
        <is>
          <t>801+</t>
        </is>
      </c>
      <c r="AJ1304" t="inlineStr">
        <is>
          <t>8.7</t>
        </is>
      </c>
      <c r="AK1304" t="inlineStr">
        <is>
          <t>601+</t>
        </is>
      </c>
      <c r="AL1304" t="inlineStr">
        <is>
          <t>22.0</t>
        </is>
      </c>
      <c r="AM1304" t="inlineStr">
        <is>
          <t>427</t>
        </is>
      </c>
      <c r="AN1304" t="inlineStr">
        <is>
          <t>81.5</t>
        </is>
      </c>
      <c r="AO1304" t="inlineStr">
        <is>
          <t>133</t>
        </is>
      </c>
      <c r="AP1304" t="inlineStr">
        <is>
          <t>1.2</t>
        </is>
      </c>
      <c r="AQ1304" t="inlineStr">
        <is>
          <t>701+</t>
        </is>
      </c>
      <c r="AR1304" t="inlineStr">
        <is>
          <t>10.5</t>
        </is>
      </c>
      <c r="AS1304" t="inlineStr">
        <is>
          <t>701+</t>
        </is>
      </c>
      <c r="AT1304" t="inlineStr">
        <is>
          <t>2.5</t>
        </is>
      </c>
      <c r="AU1304" t="inlineStr">
        <is>
          <t>701+</t>
        </is>
      </c>
      <c r="AV1304" t="inlineStr">
        <is>
          <t>1.2</t>
        </is>
      </c>
      <c r="AW1304" t="inlineStr">
        <is>
          <t>701+</t>
        </is>
      </c>
      <c r="AX1304" t="inlineStr">
        <is>
          <t>49.4</t>
        </is>
      </c>
      <c r="AY1304" t="inlineStr">
        <is>
          <t>137</t>
        </is>
      </c>
      <c r="AZ1304" t="inlineStr">
        <is>
          <t>1</t>
        </is>
      </c>
      <c r="BA1304" t="inlineStr">
        <is>
          <t>701+</t>
        </is>
      </c>
    </row>
    <row r="1305">
      <c r="A1305" t="inlineStr">
        <is>
          <t>Universidad Peruana Cayetano Heredia</t>
        </is>
      </c>
      <c r="B1305" t="inlineStr">
        <is>
          <t>Peru</t>
        </is>
      </c>
      <c r="C1305" t="inlineStr"/>
      <c r="D1305" t="inlineStr">
        <is>
          <t>Americas</t>
        </is>
      </c>
      <c r="E1305" t="inlineStr">
        <is>
          <t>M</t>
        </is>
      </c>
      <c r="F1305" t="inlineStr">
        <is>
          <t>FO</t>
        </is>
      </c>
      <c r="G1305" t="inlineStr">
        <is>
          <t>VH</t>
        </is>
      </c>
      <c r="H1305" t="inlineStr"/>
      <c r="I1305" t="inlineStr">
        <is>
          <t>Private not for Profit</t>
        </is>
      </c>
      <c r="J1305" t="inlineStr">
        <is>
          <t>1001-1200</t>
        </is>
      </c>
      <c r="K1305" t="inlineStr">
        <is>
          <t>1001-1200</t>
        </is>
      </c>
      <c r="L1305" t="inlineStr"/>
      <c r="M1305" t="inlineStr"/>
      <c r="N1305" t="inlineStr">
        <is>
          <t>-</t>
        </is>
      </c>
      <c r="O1305" t="inlineStr"/>
      <c r="P1305" t="n">
        <v>15.2</v>
      </c>
      <c r="Q1305" t="inlineStr">
        <is>
          <t>701+</t>
        </is>
      </c>
      <c r="R1305" t="n">
        <v>12.1</v>
      </c>
      <c r="S1305" t="inlineStr">
        <is>
          <t>701+</t>
        </is>
      </c>
      <c r="T1305" t="n">
        <v>59.1</v>
      </c>
      <c r="U1305" t="inlineStr">
        <is>
          <t>305</t>
        </is>
      </c>
      <c r="V1305" t="n">
        <v>3.6</v>
      </c>
      <c r="W1305" t="inlineStr">
        <is>
          <t>801+</t>
        </is>
      </c>
      <c r="X1305" t="n">
        <v>1.6</v>
      </c>
      <c r="Y1305" t="inlineStr">
        <is>
          <t>801+</t>
        </is>
      </c>
      <c r="Z1305" t="n">
        <v>1.8</v>
      </c>
      <c r="AA1305" t="inlineStr">
        <is>
          <t>801+</t>
        </is>
      </c>
      <c r="AB1305" t="n">
        <v>1.6</v>
      </c>
      <c r="AC1305" t="inlineStr">
        <is>
          <t>801+</t>
        </is>
      </c>
      <c r="AD1305" t="n">
        <v>23.9</v>
      </c>
      <c r="AE1305" t="inlineStr">
        <is>
          <t>801+</t>
        </is>
      </c>
      <c r="AF1305" t="n">
        <v>4.6</v>
      </c>
      <c r="AG1305" t="inlineStr">
        <is>
          <t>801+</t>
        </is>
      </c>
      <c r="AH1305" t="n">
        <v>53.2</v>
      </c>
      <c r="AI1305" t="inlineStr">
        <is>
          <t>641=</t>
        </is>
      </c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</row>
    <row r="1306">
      <c r="A1306" t="inlineStr">
        <is>
          <t>Universidad Peruana Cayetano Heredia (UPCH)</t>
        </is>
      </c>
      <c r="B1306" t="inlineStr">
        <is>
          <t>Peru</t>
        </is>
      </c>
      <c r="C1306" t="inlineStr">
        <is>
          <t>PE</t>
        </is>
      </c>
      <c r="D1306" t="inlineStr"/>
      <c r="E1306" t="inlineStr">
        <is>
          <t>M</t>
        </is>
      </c>
      <c r="F1306" t="inlineStr">
        <is>
          <t>FO</t>
        </is>
      </c>
      <c r="G1306" t="inlineStr">
        <is>
          <t>VH</t>
        </is>
      </c>
      <c r="H1306" t="inlineStr">
        <is>
          <t>4</t>
        </is>
      </c>
      <c r="I1306" t="inlineStr">
        <is>
          <t>B</t>
        </is>
      </c>
      <c r="J1306" t="inlineStr"/>
      <c r="K1306" t="inlineStr"/>
      <c r="L1306" t="inlineStr">
        <is>
          <t>951-1000</t>
        </is>
      </c>
      <c r="M1306" t="inlineStr">
        <is>
          <t>651-700</t>
        </is>
      </c>
      <c r="N1306" t="inlineStr"/>
      <c r="O1306" t="inlineStr">
        <is>
          <t>-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>
        <is>
          <t>9.7</t>
        </is>
      </c>
      <c r="AK1306" t="inlineStr">
        <is>
          <t>601+</t>
        </is>
      </c>
      <c r="AL1306" t="inlineStr">
        <is>
          <t>10.4</t>
        </is>
      </c>
      <c r="AM1306" t="inlineStr">
        <is>
          <t>601+</t>
        </is>
      </c>
      <c r="AN1306" t="inlineStr">
        <is>
          <t>54.9</t>
        </is>
      </c>
      <c r="AO1306" t="inlineStr">
        <is>
          <t>277</t>
        </is>
      </c>
      <c r="AP1306" t="inlineStr">
        <is>
          <t>2.3</t>
        </is>
      </c>
      <c r="AQ1306" t="inlineStr">
        <is>
          <t>701+</t>
        </is>
      </c>
      <c r="AR1306" t="inlineStr">
        <is>
          <t>1.2</t>
        </is>
      </c>
      <c r="AS1306" t="inlineStr">
        <is>
          <t>701+</t>
        </is>
      </c>
      <c r="AT1306" t="inlineStr">
        <is>
          <t>1.2</t>
        </is>
      </c>
      <c r="AU1306" t="inlineStr">
        <is>
          <t>701+</t>
        </is>
      </c>
      <c r="AV1306" t="inlineStr">
        <is>
          <t>2.3</t>
        </is>
      </c>
      <c r="AW1306" t="inlineStr">
        <is>
          <t>701+</t>
        </is>
      </c>
      <c r="AX1306" t="inlineStr">
        <is>
          <t>8.4</t>
        </is>
      </c>
      <c r="AY1306" t="inlineStr">
        <is>
          <t>701+</t>
        </is>
      </c>
      <c r="AZ1306" t="inlineStr">
        <is>
          <t>9.8</t>
        </is>
      </c>
      <c r="BA1306" t="inlineStr">
        <is>
          <t>669=</t>
        </is>
      </c>
    </row>
    <row r="1307">
      <c r="A1307" t="inlineStr">
        <is>
          <t>Universidad Peruana de Ciencias Aplicadas</t>
        </is>
      </c>
      <c r="B1307" t="inlineStr">
        <is>
          <t>Peru</t>
        </is>
      </c>
      <c r="C1307" t="inlineStr">
        <is>
          <t>PE</t>
        </is>
      </c>
      <c r="D1307" t="inlineStr"/>
      <c r="E1307" t="inlineStr">
        <is>
          <t>XL</t>
        </is>
      </c>
      <c r="F1307" t="inlineStr">
        <is>
          <t>FO</t>
        </is>
      </c>
      <c r="G1307" t="inlineStr">
        <is>
          <t>HI</t>
        </is>
      </c>
      <c r="H1307" t="inlineStr">
        <is>
          <t>3</t>
        </is>
      </c>
      <c r="I1307" t="inlineStr">
        <is>
          <t>B</t>
        </is>
      </c>
      <c r="J1307" t="inlineStr"/>
      <c r="K1307" t="inlineStr"/>
      <c r="L1307" t="inlineStr">
        <is>
          <t>1001-1200</t>
        </is>
      </c>
      <c r="M1307" t="inlineStr">
        <is>
          <t>1001-1200</t>
        </is>
      </c>
      <c r="N1307" t="inlineStr"/>
      <c r="O1307" t="inlineStr">
        <is>
          <t>-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>
        <is>
          <t>10.7</t>
        </is>
      </c>
      <c r="AK1307" t="inlineStr">
        <is>
          <t>601+</t>
        </is>
      </c>
      <c r="AL1307" t="inlineStr">
        <is>
          <t>25.8</t>
        </is>
      </c>
      <c r="AM1307" t="inlineStr">
        <is>
          <t>372</t>
        </is>
      </c>
      <c r="AN1307" t="inlineStr">
        <is>
          <t>3.3</t>
        </is>
      </c>
      <c r="AO1307" t="inlineStr">
        <is>
          <t>701+</t>
        </is>
      </c>
      <c r="AP1307" t="inlineStr">
        <is>
          <t>1.1</t>
        </is>
      </c>
      <c r="AQ1307" t="inlineStr">
        <is>
          <t>701+</t>
        </is>
      </c>
      <c r="AR1307" t="inlineStr">
        <is>
          <t>16.6</t>
        </is>
      </c>
      <c r="AS1307" t="inlineStr">
        <is>
          <t>641</t>
        </is>
      </c>
      <c r="AT1307" t="inlineStr">
        <is>
          <t>1.8</t>
        </is>
      </c>
      <c r="AU1307" t="inlineStr">
        <is>
          <t>701+</t>
        </is>
      </c>
      <c r="AV1307" t="inlineStr">
        <is>
          <t>1.0</t>
        </is>
      </c>
      <c r="AW1307" t="inlineStr">
        <is>
          <t>701+</t>
        </is>
      </c>
      <c r="AX1307" t="inlineStr">
        <is>
          <t>9.9</t>
        </is>
      </c>
      <c r="AY1307" t="inlineStr">
        <is>
          <t>701+</t>
        </is>
      </c>
      <c r="AZ1307" t="inlineStr">
        <is>
          <t>1.3</t>
        </is>
      </c>
      <c r="BA1307" t="inlineStr">
        <is>
          <t>701+</t>
        </is>
      </c>
    </row>
    <row r="1308">
      <c r="A1308" t="inlineStr">
        <is>
          <t>Universidad Peruana de Ciencias Aplicadas (UPC)</t>
        </is>
      </c>
      <c r="B1308" t="inlineStr">
        <is>
          <t>Peru</t>
        </is>
      </c>
      <c r="C1308" t="inlineStr"/>
      <c r="D1308" t="inlineStr">
        <is>
          <t>Americas</t>
        </is>
      </c>
      <c r="E1308" t="inlineStr">
        <is>
          <t>XL</t>
        </is>
      </c>
      <c r="F1308" t="inlineStr">
        <is>
          <t>FO</t>
        </is>
      </c>
      <c r="G1308" t="inlineStr">
        <is>
          <t>HI</t>
        </is>
      </c>
      <c r="H1308" t="inlineStr"/>
      <c r="I1308" t="inlineStr">
        <is>
          <t>Private not for Profit</t>
        </is>
      </c>
      <c r="J1308" t="inlineStr">
        <is>
          <t>1201-1400</t>
        </is>
      </c>
      <c r="K1308" t="inlineStr">
        <is>
          <t>1201-1400</t>
        </is>
      </c>
      <c r="L1308" t="inlineStr"/>
      <c r="M1308" t="inlineStr"/>
      <c r="N1308" t="inlineStr">
        <is>
          <t>-</t>
        </is>
      </c>
      <c r="O1308" t="inlineStr"/>
      <c r="P1308" t="n">
        <v>17.8</v>
      </c>
      <c r="Q1308" t="inlineStr">
        <is>
          <t>689</t>
        </is>
      </c>
      <c r="R1308" t="n">
        <v>26.8</v>
      </c>
      <c r="S1308" t="inlineStr">
        <is>
          <t>511</t>
        </is>
      </c>
      <c r="T1308" t="n">
        <v>4.7</v>
      </c>
      <c r="U1308" t="inlineStr">
        <is>
          <t>801+</t>
        </is>
      </c>
      <c r="V1308" t="n">
        <v>1.4</v>
      </c>
      <c r="W1308" t="inlineStr">
        <is>
          <t>801+</t>
        </is>
      </c>
      <c r="X1308" t="n">
        <v>17.1</v>
      </c>
      <c r="Y1308" t="inlineStr">
        <is>
          <t>766</t>
        </is>
      </c>
      <c r="Z1308" t="n">
        <v>2.1</v>
      </c>
      <c r="AA1308" t="inlineStr">
        <is>
          <t>801+</t>
        </is>
      </c>
      <c r="AB1308" t="n">
        <v>1.8</v>
      </c>
      <c r="AC1308" t="inlineStr">
        <is>
          <t>801+</t>
        </is>
      </c>
      <c r="AD1308" t="n">
        <v>10.1</v>
      </c>
      <c r="AE1308" t="inlineStr">
        <is>
          <t>801+</t>
        </is>
      </c>
      <c r="AF1308" t="n">
        <v>4.8</v>
      </c>
      <c r="AG1308" t="inlineStr">
        <is>
          <t>801+</t>
        </is>
      </c>
      <c r="AH1308" t="n">
        <v>32</v>
      </c>
      <c r="AI1308" t="inlineStr">
        <is>
          <t>801+</t>
        </is>
      </c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</row>
    <row r="1309">
      <c r="A1309" t="inlineStr">
        <is>
          <t>UNIVERSIDAD POLITECNICA SALESIANA</t>
        </is>
      </c>
      <c r="B1309" t="inlineStr">
        <is>
          <t>Ecuador</t>
        </is>
      </c>
      <c r="C1309" t="inlineStr">
        <is>
          <t>EC</t>
        </is>
      </c>
      <c r="D1309" t="inlineStr"/>
      <c r="E1309" t="inlineStr">
        <is>
          <t>L</t>
        </is>
      </c>
      <c r="F1309" t="inlineStr">
        <is>
          <t>CO</t>
        </is>
      </c>
      <c r="G1309" t="inlineStr">
        <is>
          <t>MD</t>
        </is>
      </c>
      <c r="H1309" t="inlineStr">
        <is>
          <t>3</t>
        </is>
      </c>
      <c r="I1309" t="inlineStr">
        <is>
          <t>B</t>
        </is>
      </c>
      <c r="J1309" t="inlineStr"/>
      <c r="K1309" t="inlineStr"/>
      <c r="L1309" t="inlineStr">
        <is>
          <t>1401+</t>
        </is>
      </c>
      <c r="M1309" t="inlineStr"/>
      <c r="N1309" t="inlineStr"/>
      <c r="O1309" t="inlineStr">
        <is>
          <t>-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>
        <is>
          <t>6.0</t>
        </is>
      </c>
      <c r="AK1309" t="inlineStr">
        <is>
          <t>601+</t>
        </is>
      </c>
      <c r="AL1309" t="inlineStr">
        <is>
          <t>3.0</t>
        </is>
      </c>
      <c r="AM1309" t="inlineStr">
        <is>
          <t>601+</t>
        </is>
      </c>
      <c r="AN1309" t="inlineStr">
        <is>
          <t>3.7</t>
        </is>
      </c>
      <c r="AO1309" t="inlineStr">
        <is>
          <t>701+</t>
        </is>
      </c>
      <c r="AP1309" t="inlineStr">
        <is>
          <t>1.5</t>
        </is>
      </c>
      <c r="AQ1309" t="inlineStr">
        <is>
          <t>701+</t>
        </is>
      </c>
      <c r="AR1309" t="inlineStr">
        <is>
          <t>7.0</t>
        </is>
      </c>
      <c r="AS1309" t="inlineStr">
        <is>
          <t>701+</t>
        </is>
      </c>
      <c r="AT1309" t="inlineStr">
        <is>
          <t>1.7</t>
        </is>
      </c>
      <c r="AU1309" t="inlineStr">
        <is>
          <t>701+</t>
        </is>
      </c>
      <c r="AV1309" t="inlineStr">
        <is>
          <t>1.0</t>
        </is>
      </c>
      <c r="AW1309" t="inlineStr">
        <is>
          <t>701+</t>
        </is>
      </c>
      <c r="AX1309" t="inlineStr">
        <is>
          <t>6.1</t>
        </is>
      </c>
      <c r="AY1309" t="inlineStr">
        <is>
          <t>701+</t>
        </is>
      </c>
      <c r="AZ1309" t="inlineStr">
        <is>
          <t>1</t>
        </is>
      </c>
      <c r="BA1309" t="inlineStr">
        <is>
          <t>701+</t>
        </is>
      </c>
    </row>
    <row r="1310">
      <c r="A1310" t="inlineStr">
        <is>
          <t>Universidad Politécnica de Madrid</t>
        </is>
      </c>
      <c r="B1310" t="inlineStr">
        <is>
          <t>Spain</t>
        </is>
      </c>
      <c r="C1310" t="inlineStr"/>
      <c r="D1310" t="inlineStr">
        <is>
          <t>Europe</t>
        </is>
      </c>
      <c r="E1310" t="inlineStr">
        <is>
          <t>XL</t>
        </is>
      </c>
      <c r="F1310" t="inlineStr">
        <is>
          <t>CO</t>
        </is>
      </c>
      <c r="G1310" t="inlineStr">
        <is>
          <t>VH</t>
        </is>
      </c>
      <c r="H1310" t="inlineStr"/>
      <c r="I1310" t="inlineStr">
        <is>
          <t>Public</t>
        </is>
      </c>
      <c r="J1310" t="inlineStr">
        <is>
          <t>334</t>
        </is>
      </c>
      <c r="K1310" t="inlineStr">
        <is>
          <t>321</t>
        </is>
      </c>
      <c r="L1310" t="inlineStr"/>
      <c r="M1310" t="inlineStr"/>
      <c r="N1310" t="inlineStr">
        <is>
          <t>42.3</t>
        </is>
      </c>
      <c r="O1310" t="inlineStr"/>
      <c r="P1310" t="n">
        <v>43</v>
      </c>
      <c r="Q1310" t="inlineStr">
        <is>
          <t>275</t>
        </is>
      </c>
      <c r="R1310" t="n">
        <v>67.8</v>
      </c>
      <c r="S1310" t="inlineStr">
        <is>
          <t>155</t>
        </is>
      </c>
      <c r="T1310" t="n">
        <v>24.8</v>
      </c>
      <c r="U1310" t="inlineStr">
        <is>
          <t>736</t>
        </is>
      </c>
      <c r="V1310" t="n">
        <v>19.6</v>
      </c>
      <c r="W1310" t="inlineStr">
        <is>
          <t>722</t>
        </is>
      </c>
      <c r="X1310" t="n">
        <v>4.3</v>
      </c>
      <c r="Y1310" t="inlineStr">
        <is>
          <t>801+</t>
        </is>
      </c>
      <c r="Z1310" t="n">
        <v>45.2</v>
      </c>
      <c r="AA1310" t="inlineStr">
        <is>
          <t>448</t>
        </is>
      </c>
      <c r="AB1310" t="n">
        <v>33.8</v>
      </c>
      <c r="AC1310" t="inlineStr">
        <is>
          <t>567</t>
        </is>
      </c>
      <c r="AD1310" t="n">
        <v>81.90000000000001</v>
      </c>
      <c r="AE1310" t="inlineStr">
        <is>
          <t>316</t>
        </is>
      </c>
      <c r="AF1310" t="n">
        <v>69.40000000000001</v>
      </c>
      <c r="AG1310" t="inlineStr">
        <is>
          <t>218</t>
        </is>
      </c>
      <c r="AH1310" t="n">
        <v>70.7</v>
      </c>
      <c r="AI1310" t="inlineStr">
        <is>
          <t>305=</t>
        </is>
      </c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</row>
    <row r="1311">
      <c r="A1311" t="inlineStr">
        <is>
          <t>Universidad Politécnica de Madrid (UPM)</t>
        </is>
      </c>
      <c r="B1311" t="inlineStr">
        <is>
          <t>Spain</t>
        </is>
      </c>
      <c r="C1311" t="inlineStr">
        <is>
          <t>ES</t>
        </is>
      </c>
      <c r="D1311" t="inlineStr"/>
      <c r="E1311" t="inlineStr">
        <is>
          <t>XL</t>
        </is>
      </c>
      <c r="F1311" t="inlineStr">
        <is>
          <t>SP</t>
        </is>
      </c>
      <c r="G1311" t="inlineStr"/>
      <c r="H1311" t="inlineStr">
        <is>
          <t>4</t>
        </is>
      </c>
      <c r="I1311" t="inlineStr">
        <is>
          <t>A</t>
        </is>
      </c>
      <c r="J1311" t="inlineStr"/>
      <c r="K1311" t="inlineStr"/>
      <c r="L1311">
        <f>349</f>
        <v/>
      </c>
      <c r="M1311" t="inlineStr">
        <is>
          <t>488=</t>
        </is>
      </c>
      <c r="N1311" t="inlineStr"/>
      <c r="O1311" t="inlineStr">
        <is>
          <t>31.3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>
        <is>
          <t>31.2</t>
        </is>
      </c>
      <c r="AK1311" t="inlineStr">
        <is>
          <t>280</t>
        </is>
      </c>
      <c r="AL1311" t="inlineStr">
        <is>
          <t>49.3</t>
        </is>
      </c>
      <c r="AM1311" t="inlineStr">
        <is>
          <t>176</t>
        </is>
      </c>
      <c r="AN1311" t="inlineStr">
        <is>
          <t>14.9</t>
        </is>
      </c>
      <c r="AO1311" t="inlineStr">
        <is>
          <t>701+</t>
        </is>
      </c>
      <c r="AP1311" t="inlineStr">
        <is>
          <t>11.4</t>
        </is>
      </c>
      <c r="AQ1311" t="inlineStr">
        <is>
          <t>701+</t>
        </is>
      </c>
      <c r="AR1311" t="inlineStr">
        <is>
          <t>3.2</t>
        </is>
      </c>
      <c r="AS1311" t="inlineStr">
        <is>
          <t>701+</t>
        </is>
      </c>
      <c r="AT1311" t="inlineStr">
        <is>
          <t>30.7</t>
        </is>
      </c>
      <c r="AU1311" t="inlineStr">
        <is>
          <t>416</t>
        </is>
      </c>
      <c r="AV1311" t="inlineStr">
        <is>
          <t>59.9</t>
        </is>
      </c>
      <c r="AW1311" t="inlineStr">
        <is>
          <t>243</t>
        </is>
      </c>
      <c r="AX1311" t="inlineStr">
        <is>
          <t>37.3</t>
        </is>
      </c>
      <c r="AY1311" t="inlineStr">
        <is>
          <t>196</t>
        </is>
      </c>
      <c r="AZ1311" t="inlineStr">
        <is>
          <t>83.5</t>
        </is>
      </c>
      <c r="BA1311" t="inlineStr">
        <is>
          <t>128=</t>
        </is>
      </c>
    </row>
    <row r="1312">
      <c r="A1312" t="inlineStr">
        <is>
          <t>Universidad Pontificia Bolivariana</t>
        </is>
      </c>
      <c r="B1312" t="inlineStr">
        <is>
          <t>Colombia</t>
        </is>
      </c>
      <c r="C1312" t="inlineStr">
        <is>
          <t>CO</t>
        </is>
      </c>
      <c r="D1312" t="inlineStr">
        <is>
          <t>Americas</t>
        </is>
      </c>
      <c r="E1312" t="inlineStr">
        <is>
          <t>M</t>
        </is>
      </c>
      <c r="F1312" t="inlineStr">
        <is>
          <t>FO</t>
        </is>
      </c>
      <c r="G1312" t="inlineStr">
        <is>
          <t>VH</t>
        </is>
      </c>
      <c r="H1312" t="inlineStr">
        <is>
          <t>4</t>
        </is>
      </c>
      <c r="I1312" t="inlineStr">
        <is>
          <t>Private not for Profit</t>
        </is>
      </c>
      <c r="J1312" t="inlineStr">
        <is>
          <t>1001-1200</t>
        </is>
      </c>
      <c r="K1312" t="inlineStr">
        <is>
          <t>901-950</t>
        </is>
      </c>
      <c r="L1312" t="inlineStr">
        <is>
          <t>801-850</t>
        </is>
      </c>
      <c r="M1312" t="inlineStr">
        <is>
          <t>601-650</t>
        </is>
      </c>
      <c r="N1312" t="inlineStr">
        <is>
          <t>-</t>
        </is>
      </c>
      <c r="O1312" t="inlineStr">
        <is>
          <t>-</t>
        </is>
      </c>
      <c r="P1312" t="n">
        <v>10.7</v>
      </c>
      <c r="Q1312" t="inlineStr">
        <is>
          <t>701+</t>
        </is>
      </c>
      <c r="R1312" t="n">
        <v>12.7</v>
      </c>
      <c r="S1312" t="inlineStr">
        <is>
          <t>701+</t>
        </is>
      </c>
      <c r="T1312" t="n">
        <v>83.90000000000001</v>
      </c>
      <c r="U1312" t="inlineStr">
        <is>
          <t>146</t>
        </is>
      </c>
      <c r="V1312" t="n">
        <v>2.8</v>
      </c>
      <c r="W1312" t="inlineStr">
        <is>
          <t>801+</t>
        </is>
      </c>
      <c r="X1312" t="n">
        <v>4.8</v>
      </c>
      <c r="Y1312" t="inlineStr">
        <is>
          <t>801+</t>
        </is>
      </c>
      <c r="Z1312" t="n">
        <v>4.5</v>
      </c>
      <c r="AA1312" t="inlineStr">
        <is>
          <t>801+</t>
        </is>
      </c>
      <c r="AB1312" t="n">
        <v>8.800000000000001</v>
      </c>
      <c r="AC1312" t="inlineStr">
        <is>
          <t>801+</t>
        </is>
      </c>
      <c r="AD1312" t="n">
        <v>17.7</v>
      </c>
      <c r="AE1312" t="inlineStr">
        <is>
          <t>801+</t>
        </is>
      </c>
      <c r="AF1312" t="n">
        <v>27.6</v>
      </c>
      <c r="AG1312" t="inlineStr">
        <is>
          <t>601</t>
        </is>
      </c>
      <c r="AH1312" t="n">
        <v>28.5</v>
      </c>
      <c r="AI1312" t="inlineStr">
        <is>
          <t>801+</t>
        </is>
      </c>
      <c r="AJ1312" t="inlineStr">
        <is>
          <t>9.3</t>
        </is>
      </c>
      <c r="AK1312" t="inlineStr">
        <is>
          <t>601+</t>
        </is>
      </c>
      <c r="AL1312" t="inlineStr">
        <is>
          <t>15.4</t>
        </is>
      </c>
      <c r="AM1312" t="inlineStr">
        <is>
          <t>537</t>
        </is>
      </c>
      <c r="AN1312" t="inlineStr">
        <is>
          <t>69.9</t>
        </is>
      </c>
      <c r="AO1312" t="inlineStr">
        <is>
          <t>185</t>
        </is>
      </c>
      <c r="AP1312" t="inlineStr">
        <is>
          <t>1.6</t>
        </is>
      </c>
      <c r="AQ1312" t="inlineStr">
        <is>
          <t>701+</t>
        </is>
      </c>
      <c r="AR1312" t="inlineStr">
        <is>
          <t>4.9</t>
        </is>
      </c>
      <c r="AS1312" t="inlineStr">
        <is>
          <t>701+</t>
        </is>
      </c>
      <c r="AT1312" t="inlineStr">
        <is>
          <t>2.1</t>
        </is>
      </c>
      <c r="AU1312" t="inlineStr">
        <is>
          <t>701+</t>
        </is>
      </c>
      <c r="AV1312" t="inlineStr">
        <is>
          <t>1.2</t>
        </is>
      </c>
      <c r="AW1312" t="inlineStr">
        <is>
          <t>701+</t>
        </is>
      </c>
      <c r="AX1312" t="inlineStr">
        <is>
          <t>18.2</t>
        </is>
      </c>
      <c r="AY1312" t="inlineStr">
        <is>
          <t>461</t>
        </is>
      </c>
      <c r="AZ1312" t="inlineStr">
        <is>
          <t>3.3</t>
        </is>
      </c>
      <c r="BA1312" t="inlineStr">
        <is>
          <t>701+</t>
        </is>
      </c>
    </row>
    <row r="1313">
      <c r="A1313" t="inlineStr">
        <is>
          <t>Universidad Pontificia Comillas</t>
        </is>
      </c>
      <c r="B1313" t="inlineStr">
        <is>
          <t>Spain</t>
        </is>
      </c>
      <c r="C1313" t="inlineStr">
        <is>
          <t>ES</t>
        </is>
      </c>
      <c r="D1313" t="inlineStr">
        <is>
          <t>Europe</t>
        </is>
      </c>
      <c r="E1313" t="inlineStr">
        <is>
          <t>M</t>
        </is>
      </c>
      <c r="F1313" t="inlineStr">
        <is>
          <t>FO</t>
        </is>
      </c>
      <c r="G1313" t="inlineStr">
        <is>
          <t>VH</t>
        </is>
      </c>
      <c r="H1313" t="inlineStr">
        <is>
          <t>3</t>
        </is>
      </c>
      <c r="I1313" t="inlineStr">
        <is>
          <t>Private not for Profit</t>
        </is>
      </c>
      <c r="J1313" t="inlineStr">
        <is>
          <t>581</t>
        </is>
      </c>
      <c r="K1313" t="inlineStr">
        <is>
          <t>544</t>
        </is>
      </c>
      <c r="L1313">
        <f>582</f>
        <v/>
      </c>
      <c r="M1313" t="inlineStr">
        <is>
          <t>601-650</t>
        </is>
      </c>
      <c r="N1313" t="inlineStr">
        <is>
          <t>28.9</t>
        </is>
      </c>
      <c r="O1313" t="inlineStr">
        <is>
          <t>20.3</t>
        </is>
      </c>
      <c r="P1313" t="n">
        <v>12.3</v>
      </c>
      <c r="Q1313" t="inlineStr">
        <is>
          <t>701+</t>
        </is>
      </c>
      <c r="R1313" t="n">
        <v>76.7</v>
      </c>
      <c r="S1313" t="inlineStr">
        <is>
          <t>117</t>
        </is>
      </c>
      <c r="T1313" t="n">
        <v>48.4</v>
      </c>
      <c r="U1313" t="inlineStr">
        <is>
          <t>400</t>
        </is>
      </c>
      <c r="V1313" t="n">
        <v>4.1</v>
      </c>
      <c r="W1313" t="inlineStr">
        <is>
          <t>801+</t>
        </is>
      </c>
      <c r="X1313" t="n">
        <v>25.4</v>
      </c>
      <c r="Y1313" t="inlineStr">
        <is>
          <t>644</t>
        </is>
      </c>
      <c r="Z1313" t="n">
        <v>11.2</v>
      </c>
      <c r="AA1313" t="inlineStr">
        <is>
          <t>801+</t>
        </is>
      </c>
      <c r="AB1313" t="n">
        <v>16.6</v>
      </c>
      <c r="AC1313" t="inlineStr">
        <is>
          <t>801+</t>
        </is>
      </c>
      <c r="AD1313" t="n">
        <v>10.4</v>
      </c>
      <c r="AE1313" t="inlineStr">
        <is>
          <t>801+</t>
        </is>
      </c>
      <c r="AF1313" t="n">
        <v>87.09999999999999</v>
      </c>
      <c r="AG1313" t="inlineStr">
        <is>
          <t>125</t>
        </is>
      </c>
      <c r="AH1313" t="n">
        <v>49.2</v>
      </c>
      <c r="AI1313" t="inlineStr">
        <is>
          <t>729=</t>
        </is>
      </c>
      <c r="AJ1313" t="inlineStr">
        <is>
          <t>8.1</t>
        </is>
      </c>
      <c r="AK1313" t="inlineStr">
        <is>
          <t>601+</t>
        </is>
      </c>
      <c r="AL1313" t="inlineStr">
        <is>
          <t>65.9</t>
        </is>
      </c>
      <c r="AM1313" t="inlineStr">
        <is>
          <t>121</t>
        </is>
      </c>
      <c r="AN1313" t="inlineStr">
        <is>
          <t>39.9</t>
        </is>
      </c>
      <c r="AO1313" t="inlineStr">
        <is>
          <t>395</t>
        </is>
      </c>
      <c r="AP1313" t="inlineStr">
        <is>
          <t>2.3</t>
        </is>
      </c>
      <c r="AQ1313" t="inlineStr">
        <is>
          <t>701+</t>
        </is>
      </c>
      <c r="AR1313" t="inlineStr">
        <is>
          <t>19.3</t>
        </is>
      </c>
      <c r="AS1313" t="inlineStr">
        <is>
          <t>597</t>
        </is>
      </c>
      <c r="AT1313" t="inlineStr">
        <is>
          <t>5.8</t>
        </is>
      </c>
      <c r="AU1313" t="inlineStr">
        <is>
          <t>701+</t>
        </is>
      </c>
      <c r="AV1313" t="inlineStr">
        <is>
          <t>1.0</t>
        </is>
      </c>
      <c r="AW1313" t="inlineStr">
        <is>
          <t>701+</t>
        </is>
      </c>
      <c r="AX1313" t="inlineStr">
        <is>
          <t>45.5</t>
        </is>
      </c>
      <c r="AY1313" t="inlineStr">
        <is>
          <t>154</t>
        </is>
      </c>
      <c r="AZ1313" t="inlineStr">
        <is>
          <t>2</t>
        </is>
      </c>
      <c r="BA1313" t="inlineStr">
        <is>
          <t>701+</t>
        </is>
      </c>
    </row>
    <row r="1314">
      <c r="A1314" t="inlineStr">
        <is>
          <t>Universidad Popular Autónoma del Estado de Puebla (UPAEP)</t>
        </is>
      </c>
      <c r="B1314" t="inlineStr">
        <is>
          <t>Mexico</t>
        </is>
      </c>
      <c r="C1314" t="inlineStr">
        <is>
          <t>MX</t>
        </is>
      </c>
      <c r="D1314" t="inlineStr"/>
      <c r="E1314" t="inlineStr">
        <is>
          <t>M</t>
        </is>
      </c>
      <c r="F1314" t="inlineStr">
        <is>
          <t>FO</t>
        </is>
      </c>
      <c r="G1314" t="inlineStr">
        <is>
          <t>HI</t>
        </is>
      </c>
      <c r="H1314" t="inlineStr">
        <is>
          <t>4</t>
        </is>
      </c>
      <c r="I1314" t="inlineStr">
        <is>
          <t>C</t>
        </is>
      </c>
      <c r="J1314" t="inlineStr"/>
      <c r="K1314" t="inlineStr"/>
      <c r="L1314" t="inlineStr">
        <is>
          <t>1201-1400</t>
        </is>
      </c>
      <c r="M1314" t="inlineStr">
        <is>
          <t>1201-1400</t>
        </is>
      </c>
      <c r="N1314" t="inlineStr"/>
      <c r="O1314" t="inlineStr">
        <is>
          <t>-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>
        <is>
          <t>5.0</t>
        </is>
      </c>
      <c r="AK1314" t="inlineStr">
        <is>
          <t>601+</t>
        </is>
      </c>
      <c r="AL1314" t="inlineStr">
        <is>
          <t>4.5</t>
        </is>
      </c>
      <c r="AM1314" t="inlineStr">
        <is>
          <t>601+</t>
        </is>
      </c>
      <c r="AN1314" t="inlineStr">
        <is>
          <t>16.1</t>
        </is>
      </c>
      <c r="AO1314" t="inlineStr">
        <is>
          <t>701+</t>
        </is>
      </c>
      <c r="AP1314" t="inlineStr">
        <is>
          <t>1.2</t>
        </is>
      </c>
      <c r="AQ1314" t="inlineStr">
        <is>
          <t>701+</t>
        </is>
      </c>
      <c r="AR1314" t="inlineStr">
        <is>
          <t>4.5</t>
        </is>
      </c>
      <c r="AS1314" t="inlineStr">
        <is>
          <t>701+</t>
        </is>
      </c>
      <c r="AT1314" t="inlineStr">
        <is>
          <t>3.1</t>
        </is>
      </c>
      <c r="AU1314" t="inlineStr">
        <is>
          <t>701+</t>
        </is>
      </c>
      <c r="AV1314" t="inlineStr">
        <is>
          <t>1.0</t>
        </is>
      </c>
      <c r="AW1314" t="inlineStr">
        <is>
          <t>701+</t>
        </is>
      </c>
      <c r="AX1314" t="inlineStr">
        <is>
          <t>8</t>
        </is>
      </c>
      <c r="AY1314" t="inlineStr">
        <is>
          <t>701+</t>
        </is>
      </c>
      <c r="AZ1314" t="inlineStr">
        <is>
          <t>1.4</t>
        </is>
      </c>
      <c r="BA1314" t="inlineStr">
        <is>
          <t>701+</t>
        </is>
      </c>
    </row>
    <row r="1315">
      <c r="A1315" t="inlineStr">
        <is>
          <t>Universidad Rey Juan Carlos</t>
        </is>
      </c>
      <c r="B1315" t="inlineStr">
        <is>
          <t>Spain</t>
        </is>
      </c>
      <c r="C1315" t="inlineStr">
        <is>
          <t>ES</t>
        </is>
      </c>
      <c r="D1315" t="inlineStr">
        <is>
          <t>Europe</t>
        </is>
      </c>
      <c r="E1315" t="inlineStr">
        <is>
          <t>XL</t>
        </is>
      </c>
      <c r="F1315" t="inlineStr">
        <is>
          <t>CO</t>
        </is>
      </c>
      <c r="G1315" t="inlineStr">
        <is>
          <t>VH</t>
        </is>
      </c>
      <c r="H1315" t="inlineStr">
        <is>
          <t>3</t>
        </is>
      </c>
      <c r="I1315" t="inlineStr">
        <is>
          <t>Public</t>
        </is>
      </c>
      <c r="J1315" t="inlineStr">
        <is>
          <t>1001-1200</t>
        </is>
      </c>
      <c r="K1315" t="inlineStr">
        <is>
          <t>1001-1200</t>
        </is>
      </c>
      <c r="L1315" t="inlineStr">
        <is>
          <t>951-1000</t>
        </is>
      </c>
      <c r="M1315" t="inlineStr">
        <is>
          <t>1001-1200</t>
        </is>
      </c>
      <c r="N1315" t="inlineStr">
        <is>
          <t>-</t>
        </is>
      </c>
      <c r="O1315" t="inlineStr">
        <is>
          <t>-</t>
        </is>
      </c>
      <c r="P1315" t="n">
        <v>12.5</v>
      </c>
      <c r="Q1315" t="inlineStr">
        <is>
          <t>701+</t>
        </is>
      </c>
      <c r="R1315" t="n">
        <v>16.9</v>
      </c>
      <c r="S1315" t="inlineStr">
        <is>
          <t>701+</t>
        </is>
      </c>
      <c r="T1315" t="n">
        <v>11.5</v>
      </c>
      <c r="U1315" t="inlineStr">
        <is>
          <t>801+</t>
        </is>
      </c>
      <c r="V1315" t="n">
        <v>9.4</v>
      </c>
      <c r="W1315" t="inlineStr">
        <is>
          <t>801+</t>
        </is>
      </c>
      <c r="X1315" t="n">
        <v>24.2</v>
      </c>
      <c r="Y1315" t="inlineStr">
        <is>
          <t>660</t>
        </is>
      </c>
      <c r="Z1315" t="n">
        <v>20.3</v>
      </c>
      <c r="AA1315" t="inlineStr">
        <is>
          <t>727</t>
        </is>
      </c>
      <c r="AB1315" t="n">
        <v>26.4</v>
      </c>
      <c r="AC1315" t="inlineStr">
        <is>
          <t>667</t>
        </is>
      </c>
      <c r="AD1315" t="n">
        <v>65.3</v>
      </c>
      <c r="AE1315" t="inlineStr">
        <is>
          <t>619</t>
        </is>
      </c>
      <c r="AF1315" t="n">
        <v>14.5</v>
      </c>
      <c r="AG1315" t="inlineStr">
        <is>
          <t>801+</t>
        </is>
      </c>
      <c r="AH1315" t="n">
        <v>64</v>
      </c>
      <c r="AI1315" t="inlineStr">
        <is>
          <t>422=</t>
        </is>
      </c>
      <c r="AJ1315" t="inlineStr">
        <is>
          <t>7.3</t>
        </is>
      </c>
      <c r="AK1315" t="inlineStr">
        <is>
          <t>601+</t>
        </is>
      </c>
      <c r="AL1315" t="inlineStr">
        <is>
          <t>9.4</t>
        </is>
      </c>
      <c r="AM1315" t="inlineStr">
        <is>
          <t>601+</t>
        </is>
      </c>
      <c r="AN1315" t="inlineStr">
        <is>
          <t>6.4</t>
        </is>
      </c>
      <c r="AO1315" t="inlineStr">
        <is>
          <t>701+</t>
        </is>
      </c>
      <c r="AP1315" t="inlineStr">
        <is>
          <t>4.1</t>
        </is>
      </c>
      <c r="AQ1315" t="inlineStr">
        <is>
          <t>701+</t>
        </is>
      </c>
      <c r="AR1315" t="inlineStr">
        <is>
          <t>15.3</t>
        </is>
      </c>
      <c r="AS1315" t="inlineStr">
        <is>
          <t>663</t>
        </is>
      </c>
      <c r="AT1315" t="inlineStr">
        <is>
          <t>14.8</t>
        </is>
      </c>
      <c r="AU1315" t="inlineStr">
        <is>
          <t>623</t>
        </is>
      </c>
      <c r="AV1315" t="inlineStr">
        <is>
          <t>13.7</t>
        </is>
      </c>
      <c r="AW1315" t="inlineStr">
        <is>
          <t>614</t>
        </is>
      </c>
      <c r="AX1315" t="inlineStr">
        <is>
          <t>9.3</t>
        </is>
      </c>
      <c r="AY1315" t="inlineStr">
        <is>
          <t>701+</t>
        </is>
      </c>
      <c r="AZ1315" t="inlineStr">
        <is>
          <t>60.4</t>
        </is>
      </c>
      <c r="BA1315" t="inlineStr">
        <is>
          <t>249=</t>
        </is>
      </c>
    </row>
    <row r="1316">
      <c r="A1316" t="inlineStr">
        <is>
          <t>Universidad San Francisco de Quito (USFQ)</t>
        </is>
      </c>
      <c r="B1316" t="inlineStr">
        <is>
          <t>Ecuador</t>
        </is>
      </c>
      <c r="C1316" t="inlineStr">
        <is>
          <t>EC</t>
        </is>
      </c>
      <c r="D1316" t="inlineStr"/>
      <c r="E1316" t="inlineStr">
        <is>
          <t>M</t>
        </is>
      </c>
      <c r="F1316" t="inlineStr">
        <is>
          <t>FC</t>
        </is>
      </c>
      <c r="G1316" t="inlineStr">
        <is>
          <t>HI</t>
        </is>
      </c>
      <c r="H1316" t="inlineStr">
        <is>
          <t>3</t>
        </is>
      </c>
      <c r="I1316" t="inlineStr">
        <is>
          <t>B</t>
        </is>
      </c>
      <c r="J1316" t="inlineStr"/>
      <c r="K1316" t="inlineStr"/>
      <c r="L1316" t="inlineStr">
        <is>
          <t>801-850</t>
        </is>
      </c>
      <c r="M1316" t="inlineStr">
        <is>
          <t>701-750</t>
        </is>
      </c>
      <c r="N1316" t="inlineStr"/>
      <c r="O1316" t="inlineStr">
        <is>
          <t>-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>
        <is>
          <t>14.4</t>
        </is>
      </c>
      <c r="AK1316" t="inlineStr">
        <is>
          <t>600</t>
        </is>
      </c>
      <c r="AL1316" t="inlineStr">
        <is>
          <t>10.7</t>
        </is>
      </c>
      <c r="AM1316" t="inlineStr">
        <is>
          <t>601+</t>
        </is>
      </c>
      <c r="AN1316" t="inlineStr">
        <is>
          <t>36.1</t>
        </is>
      </c>
      <c r="AO1316" t="inlineStr">
        <is>
          <t>439</t>
        </is>
      </c>
      <c r="AP1316" t="inlineStr">
        <is>
          <t>2.3</t>
        </is>
      </c>
      <c r="AQ1316" t="inlineStr">
        <is>
          <t>701+</t>
        </is>
      </c>
      <c r="AR1316" t="inlineStr">
        <is>
          <t>56.9</t>
        </is>
      </c>
      <c r="AS1316" t="inlineStr">
        <is>
          <t>324</t>
        </is>
      </c>
      <c r="AT1316" t="inlineStr">
        <is>
          <t>2.0</t>
        </is>
      </c>
      <c r="AU1316" t="inlineStr">
        <is>
          <t>701+</t>
        </is>
      </c>
      <c r="AV1316" t="inlineStr">
        <is>
          <t>1.5</t>
        </is>
      </c>
      <c r="AW1316" t="inlineStr">
        <is>
          <t>701+</t>
        </is>
      </c>
      <c r="AX1316" t="inlineStr">
        <is>
          <t>11</t>
        </is>
      </c>
      <c r="AY1316" t="inlineStr">
        <is>
          <t>701+</t>
        </is>
      </c>
      <c r="AZ1316" t="inlineStr">
        <is>
          <t>7.8</t>
        </is>
      </c>
      <c r="BA1316" t="inlineStr">
        <is>
          <t>701+</t>
        </is>
      </c>
    </row>
    <row r="1317">
      <c r="A1317" t="inlineStr">
        <is>
          <t>Universidad San Ignacio de Loyola</t>
        </is>
      </c>
      <c r="B1317" t="inlineStr">
        <is>
          <t>Peru</t>
        </is>
      </c>
      <c r="C1317" t="inlineStr">
        <is>
          <t>PE</t>
        </is>
      </c>
      <c r="D1317" t="inlineStr"/>
      <c r="E1317" t="inlineStr">
        <is>
          <t>L</t>
        </is>
      </c>
      <c r="F1317" t="inlineStr">
        <is>
          <t>FO</t>
        </is>
      </c>
      <c r="G1317" t="inlineStr">
        <is>
          <t>MD</t>
        </is>
      </c>
      <c r="H1317" t="inlineStr">
        <is>
          <t>3</t>
        </is>
      </c>
      <c r="I1317" t="inlineStr">
        <is>
          <t>B</t>
        </is>
      </c>
      <c r="J1317" t="inlineStr"/>
      <c r="K1317" t="inlineStr"/>
      <c r="L1317" t="inlineStr">
        <is>
          <t>1201-1400</t>
        </is>
      </c>
      <c r="M1317" t="inlineStr">
        <is>
          <t>1201-1400</t>
        </is>
      </c>
      <c r="N1317" t="inlineStr"/>
      <c r="O1317" t="inlineStr">
        <is>
          <t>-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>
        <is>
          <t>6.2</t>
        </is>
      </c>
      <c r="AK1317" t="inlineStr">
        <is>
          <t>601+</t>
        </is>
      </c>
      <c r="AL1317" t="inlineStr">
        <is>
          <t>9.2</t>
        </is>
      </c>
      <c r="AM1317" t="inlineStr">
        <is>
          <t>601+</t>
        </is>
      </c>
      <c r="AN1317" t="inlineStr">
        <is>
          <t>1.8</t>
        </is>
      </c>
      <c r="AO1317" t="inlineStr">
        <is>
          <t>701+</t>
        </is>
      </c>
      <c r="AP1317" t="inlineStr">
        <is>
          <t>1.3</t>
        </is>
      </c>
      <c r="AQ1317" t="inlineStr">
        <is>
          <t>701+</t>
        </is>
      </c>
      <c r="AR1317" t="inlineStr">
        <is>
          <t>3.9</t>
        </is>
      </c>
      <c r="AS1317" t="inlineStr">
        <is>
          <t>701+</t>
        </is>
      </c>
      <c r="AT1317" t="inlineStr">
        <is>
          <t>1.3</t>
        </is>
      </c>
      <c r="AU1317" t="inlineStr">
        <is>
          <t>701+</t>
        </is>
      </c>
      <c r="AV1317" t="inlineStr">
        <is>
          <t>1.0</t>
        </is>
      </c>
      <c r="AW1317" t="inlineStr">
        <is>
          <t>701+</t>
        </is>
      </c>
      <c r="AX1317" t="inlineStr">
        <is>
          <t>8.5</t>
        </is>
      </c>
      <c r="AY1317" t="inlineStr">
        <is>
          <t>701+</t>
        </is>
      </c>
      <c r="AZ1317" t="inlineStr">
        <is>
          <t>2</t>
        </is>
      </c>
      <c r="BA1317" t="inlineStr">
        <is>
          <t>701+</t>
        </is>
      </c>
    </row>
    <row r="1318">
      <c r="A1318" t="inlineStr">
        <is>
          <t>Universidad Simón Bolívar (USB)</t>
        </is>
      </c>
      <c r="B1318" t="inlineStr">
        <is>
          <t>Venezuela</t>
        </is>
      </c>
      <c r="C1318" t="inlineStr">
        <is>
          <t>VE</t>
        </is>
      </c>
      <c r="D1318" t="inlineStr"/>
      <c r="E1318" t="inlineStr">
        <is>
          <t>S</t>
        </is>
      </c>
      <c r="F1318" t="inlineStr">
        <is>
          <t>FO</t>
        </is>
      </c>
      <c r="G1318" t="inlineStr">
        <is>
          <t>VH</t>
        </is>
      </c>
      <c r="H1318" t="inlineStr">
        <is>
          <t>4</t>
        </is>
      </c>
      <c r="I1318" t="inlineStr">
        <is>
          <t>A</t>
        </is>
      </c>
      <c r="J1318" t="inlineStr"/>
      <c r="K1318" t="inlineStr"/>
      <c r="L1318" t="inlineStr">
        <is>
          <t>951-1000</t>
        </is>
      </c>
      <c r="M1318" t="inlineStr">
        <is>
          <t>801-1000</t>
        </is>
      </c>
      <c r="N1318" t="inlineStr"/>
      <c r="O1318" t="inlineStr">
        <is>
          <t>-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>
        <is>
          <t>17.2</t>
        </is>
      </c>
      <c r="AK1318" t="inlineStr">
        <is>
          <t>521</t>
        </is>
      </c>
      <c r="AL1318" t="inlineStr">
        <is>
          <t>21.2</t>
        </is>
      </c>
      <c r="AM1318" t="inlineStr">
        <is>
          <t>437</t>
        </is>
      </c>
      <c r="AN1318" t="inlineStr">
        <is>
          <t>11.6</t>
        </is>
      </c>
      <c r="AO1318" t="inlineStr">
        <is>
          <t>701+</t>
        </is>
      </c>
      <c r="AP1318" t="inlineStr">
        <is>
          <t>2.9</t>
        </is>
      </c>
      <c r="AQ1318" t="inlineStr">
        <is>
          <t>701+</t>
        </is>
      </c>
      <c r="AR1318" t="inlineStr">
        <is>
          <t>1.8</t>
        </is>
      </c>
      <c r="AS1318" t="inlineStr">
        <is>
          <t>701+</t>
        </is>
      </c>
      <c r="AT1318" t="inlineStr">
        <is>
          <t>1.0</t>
        </is>
      </c>
      <c r="AU1318" t="inlineStr">
        <is>
          <t>701+</t>
        </is>
      </c>
      <c r="AV1318" t="inlineStr">
        <is>
          <t>1.0</t>
        </is>
      </c>
      <c r="AW1318" t="inlineStr">
        <is>
          <t>701+</t>
        </is>
      </c>
      <c r="AX1318" t="inlineStr">
        <is>
          <t>11.6</t>
        </is>
      </c>
      <c r="AY1318" t="inlineStr">
        <is>
          <t>701+</t>
        </is>
      </c>
      <c r="AZ1318" t="inlineStr">
        <is>
          <t>1</t>
        </is>
      </c>
      <c r="BA1318" t="inlineStr">
        <is>
          <t>701+</t>
        </is>
      </c>
    </row>
    <row r="1319">
      <c r="A1319" t="inlineStr">
        <is>
          <t>Universidad Simón Bolívar Venezuela</t>
        </is>
      </c>
      <c r="B1319" t="inlineStr">
        <is>
          <t>Venezuela (Bolivarian Republic of)</t>
        </is>
      </c>
      <c r="C1319" t="inlineStr"/>
      <c r="D1319" t="inlineStr">
        <is>
          <t>Americas</t>
        </is>
      </c>
      <c r="E1319" t="inlineStr">
        <is>
          <t>S</t>
        </is>
      </c>
      <c r="F1319" t="inlineStr">
        <is>
          <t>FO</t>
        </is>
      </c>
      <c r="G1319" t="inlineStr">
        <is>
          <t>VH</t>
        </is>
      </c>
      <c r="H1319" t="inlineStr"/>
      <c r="I1319" t="inlineStr">
        <is>
          <t>Public</t>
        </is>
      </c>
      <c r="J1319" t="inlineStr">
        <is>
          <t>1001-1200</t>
        </is>
      </c>
      <c r="K1319" t="inlineStr">
        <is>
          <t>1001-1200</t>
        </is>
      </c>
      <c r="L1319" t="inlineStr"/>
      <c r="M1319" t="inlineStr"/>
      <c r="N1319" t="inlineStr">
        <is>
          <t>-</t>
        </is>
      </c>
      <c r="O1319" t="inlineStr"/>
      <c r="P1319" t="n">
        <v>19.5</v>
      </c>
      <c r="Q1319" t="inlineStr">
        <is>
          <t>632</t>
        </is>
      </c>
      <c r="R1319" t="n">
        <v>22.6</v>
      </c>
      <c r="S1319" t="inlineStr">
        <is>
          <t>584</t>
        </is>
      </c>
      <c r="T1319" t="n">
        <v>23.5</v>
      </c>
      <c r="U1319" t="inlineStr">
        <is>
          <t>762</t>
        </is>
      </c>
      <c r="V1319" t="n">
        <v>3.8</v>
      </c>
      <c r="W1319" t="inlineStr">
        <is>
          <t>801+</t>
        </is>
      </c>
      <c r="X1319" t="n">
        <v>2.1</v>
      </c>
      <c r="Y1319" t="inlineStr">
        <is>
          <t>801+</t>
        </is>
      </c>
      <c r="Z1319" t="n">
        <v>1.1</v>
      </c>
      <c r="AA1319" t="inlineStr">
        <is>
          <t>801+</t>
        </is>
      </c>
      <c r="AB1319" t="n">
        <v>1.1</v>
      </c>
      <c r="AC1319" t="inlineStr">
        <is>
          <t>801+</t>
        </is>
      </c>
      <c r="AD1319" t="n">
        <v>11.6</v>
      </c>
      <c r="AE1319" t="inlineStr">
        <is>
          <t>801+</t>
        </is>
      </c>
      <c r="AF1319" t="n">
        <v>42</v>
      </c>
      <c r="AG1319" t="inlineStr">
        <is>
          <t>418</t>
        </is>
      </c>
      <c r="AH1319" t="n">
        <v>11.6</v>
      </c>
      <c r="AI1319" t="inlineStr">
        <is>
          <t>801+</t>
        </is>
      </c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</row>
    <row r="1320">
      <c r="A1320" t="inlineStr">
        <is>
          <t>Universidad Tecnica Particular De Loja (UTPL)</t>
        </is>
      </c>
      <c r="B1320" t="inlineStr">
        <is>
          <t>Ecuador</t>
        </is>
      </c>
      <c r="C1320" t="inlineStr">
        <is>
          <t>EC</t>
        </is>
      </c>
      <c r="D1320" t="inlineStr"/>
      <c r="E1320" t="inlineStr">
        <is>
          <t>XL</t>
        </is>
      </c>
      <c r="F1320" t="inlineStr">
        <is>
          <t>FO</t>
        </is>
      </c>
      <c r="G1320" t="inlineStr">
        <is>
          <t>HI</t>
        </is>
      </c>
      <c r="H1320" t="inlineStr">
        <is>
          <t>4</t>
        </is>
      </c>
      <c r="I1320" t="inlineStr">
        <is>
          <t>B</t>
        </is>
      </c>
      <c r="J1320" t="inlineStr"/>
      <c r="K1320" t="inlineStr"/>
      <c r="L1320" t="inlineStr">
        <is>
          <t>1401+</t>
        </is>
      </c>
      <c r="M1320" t="inlineStr">
        <is>
          <t>1201-1400</t>
        </is>
      </c>
      <c r="N1320" t="inlineStr"/>
      <c r="O1320" t="inlineStr">
        <is>
          <t>-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>
        <is>
          <t>5.1</t>
        </is>
      </c>
      <c r="AK1320" t="inlineStr">
        <is>
          <t>601+</t>
        </is>
      </c>
      <c r="AL1320" t="inlineStr">
        <is>
          <t>2.8</t>
        </is>
      </c>
      <c r="AM1320" t="inlineStr">
        <is>
          <t>601+</t>
        </is>
      </c>
      <c r="AN1320" t="inlineStr">
        <is>
          <t>1.2</t>
        </is>
      </c>
      <c r="AO1320" t="inlineStr">
        <is>
          <t>701+</t>
        </is>
      </c>
      <c r="AP1320" t="inlineStr">
        <is>
          <t>1.6</t>
        </is>
      </c>
      <c r="AQ1320" t="inlineStr">
        <is>
          <t>701+</t>
        </is>
      </c>
      <c r="AR1320" t="inlineStr">
        <is>
          <t>9.3</t>
        </is>
      </c>
      <c r="AS1320" t="inlineStr">
        <is>
          <t>701+</t>
        </is>
      </c>
      <c r="AT1320" t="inlineStr">
        <is>
          <t>1.3</t>
        </is>
      </c>
      <c r="AU1320" t="inlineStr">
        <is>
          <t>701+</t>
        </is>
      </c>
      <c r="AV1320" t="inlineStr">
        <is>
          <t>1.0</t>
        </is>
      </c>
      <c r="AW1320" t="inlineStr">
        <is>
          <t>701+</t>
        </is>
      </c>
      <c r="AX1320" t="inlineStr">
        <is>
          <t>9.5</t>
        </is>
      </c>
      <c r="AY1320" t="inlineStr">
        <is>
          <t>701+</t>
        </is>
      </c>
      <c r="AZ1320" t="inlineStr">
        <is>
          <t>3.9</t>
        </is>
      </c>
      <c r="BA1320" t="inlineStr">
        <is>
          <t>701+</t>
        </is>
      </c>
    </row>
    <row r="1321">
      <c r="A1321" t="inlineStr">
        <is>
          <t>Universidad Tecnológica Centroamericana (UNITEC) - Honduras</t>
        </is>
      </c>
      <c r="B1321" t="inlineStr">
        <is>
          <t>Honduras</t>
        </is>
      </c>
      <c r="C1321" t="inlineStr"/>
      <c r="D1321" t="inlineStr">
        <is>
          <t>Americas</t>
        </is>
      </c>
      <c r="E1321" t="inlineStr">
        <is>
          <t>M</t>
        </is>
      </c>
      <c r="F1321" t="inlineStr">
        <is>
          <t>FO</t>
        </is>
      </c>
      <c r="G1321" t="inlineStr">
        <is>
          <t>HI</t>
        </is>
      </c>
      <c r="H1321" t="inlineStr"/>
      <c r="I1321" t="inlineStr">
        <is>
          <t>Private not for Profit</t>
        </is>
      </c>
      <c r="J1321" t="inlineStr">
        <is>
          <t>1401+</t>
        </is>
      </c>
      <c r="K1321" t="inlineStr"/>
      <c r="L1321" t="inlineStr"/>
      <c r="M1321" t="inlineStr"/>
      <c r="N1321" t="inlineStr">
        <is>
          <t>-</t>
        </is>
      </c>
      <c r="O1321" t="inlineStr"/>
      <c r="P1321" t="n">
        <v>7.9</v>
      </c>
      <c r="Q1321" t="inlineStr">
        <is>
          <t>701+</t>
        </is>
      </c>
      <c r="R1321" t="n">
        <v>7.7</v>
      </c>
      <c r="S1321" t="inlineStr">
        <is>
          <t>701+</t>
        </is>
      </c>
      <c r="T1321" t="n">
        <v>29.9</v>
      </c>
      <c r="U1321" t="inlineStr">
        <is>
          <t>633</t>
        </is>
      </c>
      <c r="V1321" t="n">
        <v>1.3</v>
      </c>
      <c r="W1321" t="inlineStr">
        <is>
          <t>801+</t>
        </is>
      </c>
      <c r="X1321" t="n">
        <v>6</v>
      </c>
      <c r="Y1321" t="inlineStr">
        <is>
          <t>801+</t>
        </is>
      </c>
      <c r="Z1321" t="n">
        <v>3.3</v>
      </c>
      <c r="AA1321" t="inlineStr">
        <is>
          <t>801+</t>
        </is>
      </c>
      <c r="AB1321" t="n">
        <v>7.4</v>
      </c>
      <c r="AC1321" t="inlineStr">
        <is>
          <t>801+</t>
        </is>
      </c>
      <c r="AD1321" t="n">
        <v>10.6</v>
      </c>
      <c r="AE1321" t="inlineStr">
        <is>
          <t>801+</t>
        </is>
      </c>
      <c r="AF1321" t="n">
        <v>24.4</v>
      </c>
      <c r="AG1321" t="inlineStr">
        <is>
          <t>652</t>
        </is>
      </c>
      <c r="AH1321" t="n">
        <v>24.7</v>
      </c>
      <c r="AI1321" t="inlineStr">
        <is>
          <t>801+</t>
        </is>
      </c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</row>
    <row r="1322">
      <c r="A1322" t="inlineStr">
        <is>
          <t>Universidad Tecnológica de Bolívar</t>
        </is>
      </c>
      <c r="B1322" t="inlineStr">
        <is>
          <t>Colombia</t>
        </is>
      </c>
      <c r="C1322" t="inlineStr">
        <is>
          <t>CO</t>
        </is>
      </c>
      <c r="D1322" t="inlineStr"/>
      <c r="E1322" t="inlineStr">
        <is>
          <t>M</t>
        </is>
      </c>
      <c r="F1322" t="inlineStr">
        <is>
          <t>FO</t>
        </is>
      </c>
      <c r="G1322" t="inlineStr">
        <is>
          <t>HI</t>
        </is>
      </c>
      <c r="H1322" t="inlineStr">
        <is>
          <t>4</t>
        </is>
      </c>
      <c r="I1322" t="inlineStr">
        <is>
          <t>B</t>
        </is>
      </c>
      <c r="J1322" t="inlineStr"/>
      <c r="K1322" t="inlineStr"/>
      <c r="L1322" t="inlineStr">
        <is>
          <t>1401+</t>
        </is>
      </c>
      <c r="M1322" t="inlineStr">
        <is>
          <t>1401+</t>
        </is>
      </c>
      <c r="N1322" t="inlineStr"/>
      <c r="O1322" t="inlineStr">
        <is>
          <t>-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>
        <is>
          <t>2.6</t>
        </is>
      </c>
      <c r="AK1322" t="inlineStr">
        <is>
          <t>601+</t>
        </is>
      </c>
      <c r="AL1322" t="inlineStr">
        <is>
          <t>5.4</t>
        </is>
      </c>
      <c r="AM1322" t="inlineStr">
        <is>
          <t>601+</t>
        </is>
      </c>
      <c r="AN1322" t="inlineStr">
        <is>
          <t>2.8</t>
        </is>
      </c>
      <c r="AO1322" t="inlineStr">
        <is>
          <t>701+</t>
        </is>
      </c>
      <c r="AP1322" t="inlineStr">
        <is>
          <t>2.5</t>
        </is>
      </c>
      <c r="AQ1322" t="inlineStr">
        <is>
          <t>701+</t>
        </is>
      </c>
      <c r="AR1322" t="inlineStr">
        <is>
          <t>8.3</t>
        </is>
      </c>
      <c r="AS1322" t="inlineStr">
        <is>
          <t>701+</t>
        </is>
      </c>
      <c r="AT1322" t="inlineStr">
        <is>
          <t>6.6</t>
        </is>
      </c>
      <c r="AU1322" t="inlineStr">
        <is>
          <t>701+</t>
        </is>
      </c>
      <c r="AV1322" t="inlineStr">
        <is>
          <t>1.0</t>
        </is>
      </c>
      <c r="AW1322" t="inlineStr">
        <is>
          <t>701+</t>
        </is>
      </c>
      <c r="AX1322" t="inlineStr">
        <is>
          <t>9</t>
        </is>
      </c>
      <c r="AY1322" t="inlineStr">
        <is>
          <t>701+</t>
        </is>
      </c>
      <c r="AZ1322" t="inlineStr">
        <is>
          <t>1</t>
        </is>
      </c>
      <c r="BA1322" t="inlineStr">
        <is>
          <t>701+</t>
        </is>
      </c>
    </row>
    <row r="1323">
      <c r="A1323" t="inlineStr">
        <is>
          <t>Universidad Tecnológica de la Habana José Antonio Echeverría, Cujae</t>
        </is>
      </c>
      <c r="B1323" t="inlineStr">
        <is>
          <t>Cuba</t>
        </is>
      </c>
      <c r="C1323" t="inlineStr">
        <is>
          <t>CU</t>
        </is>
      </c>
      <c r="D1323" t="inlineStr"/>
      <c r="E1323" t="inlineStr">
        <is>
          <t>M</t>
        </is>
      </c>
      <c r="F1323" t="inlineStr">
        <is>
          <t>SP</t>
        </is>
      </c>
      <c r="G1323" t="inlineStr"/>
      <c r="H1323" t="inlineStr">
        <is>
          <t>3</t>
        </is>
      </c>
      <c r="I1323" t="inlineStr">
        <is>
          <t>A</t>
        </is>
      </c>
      <c r="J1323" t="inlineStr"/>
      <c r="K1323" t="inlineStr"/>
      <c r="L1323" t="inlineStr">
        <is>
          <t>1201-1400</t>
        </is>
      </c>
      <c r="M1323" t="inlineStr">
        <is>
          <t>1201-1400</t>
        </is>
      </c>
      <c r="N1323" t="inlineStr"/>
      <c r="O1323" t="inlineStr">
        <is>
          <t>-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>
        <is>
          <t>6.2</t>
        </is>
      </c>
      <c r="AK1323" t="inlineStr">
        <is>
          <t>601+</t>
        </is>
      </c>
      <c r="AL1323" t="inlineStr">
        <is>
          <t>1.1</t>
        </is>
      </c>
      <c r="AM1323" t="inlineStr">
        <is>
          <t>601+</t>
        </is>
      </c>
      <c r="AN1323" t="inlineStr">
        <is>
          <t>20.1</t>
        </is>
      </c>
      <c r="AO1323" t="inlineStr">
        <is>
          <t>662</t>
        </is>
      </c>
      <c r="AP1323" t="inlineStr">
        <is>
          <t>1.1</t>
        </is>
      </c>
      <c r="AQ1323" t="inlineStr">
        <is>
          <t>701+</t>
        </is>
      </c>
      <c r="AR1323" t="inlineStr">
        <is>
          <t>3.3</t>
        </is>
      </c>
      <c r="AS1323" t="inlineStr">
        <is>
          <t>701+</t>
        </is>
      </c>
      <c r="AT1323" t="inlineStr">
        <is>
          <t>4.5</t>
        </is>
      </c>
      <c r="AU1323" t="inlineStr">
        <is>
          <t>701+</t>
        </is>
      </c>
      <c r="AV1323" t="inlineStr">
        <is>
          <t>1.0</t>
        </is>
      </c>
      <c r="AW1323" t="inlineStr">
        <is>
          <t>701+</t>
        </is>
      </c>
      <c r="AX1323" t="inlineStr">
        <is>
          <t>14.2</t>
        </is>
      </c>
      <c r="AY1323" t="inlineStr">
        <is>
          <t>595</t>
        </is>
      </c>
      <c r="AZ1323" t="inlineStr"/>
      <c r="BA1323" t="inlineStr"/>
    </row>
    <row r="1324">
      <c r="A1324" t="inlineStr">
        <is>
          <t>Universidad Tecnológica de Panamá (UTP)</t>
        </is>
      </c>
      <c r="B1324" t="inlineStr">
        <is>
          <t>Panama</t>
        </is>
      </c>
      <c r="C1324" t="inlineStr">
        <is>
          <t>PA</t>
        </is>
      </c>
      <c r="D1324" t="inlineStr">
        <is>
          <t>Americas</t>
        </is>
      </c>
      <c r="E1324" t="inlineStr">
        <is>
          <t>L</t>
        </is>
      </c>
      <c r="F1324" t="inlineStr">
        <is>
          <t>CO</t>
        </is>
      </c>
      <c r="G1324" t="inlineStr">
        <is>
          <t>MD</t>
        </is>
      </c>
      <c r="H1324" t="inlineStr">
        <is>
          <t>3</t>
        </is>
      </c>
      <c r="I1324" t="inlineStr">
        <is>
          <t>Public</t>
        </is>
      </c>
      <c r="J1324" t="inlineStr">
        <is>
          <t>1201-1400</t>
        </is>
      </c>
      <c r="K1324" t="inlineStr">
        <is>
          <t>1001-1200</t>
        </is>
      </c>
      <c r="L1324" t="inlineStr">
        <is>
          <t>951-1000</t>
        </is>
      </c>
      <c r="M1324" t="inlineStr">
        <is>
          <t>1001-1200</t>
        </is>
      </c>
      <c r="N1324" t="inlineStr">
        <is>
          <t>-</t>
        </is>
      </c>
      <c r="O1324" t="inlineStr">
        <is>
          <t>-</t>
        </is>
      </c>
      <c r="P1324" t="n">
        <v>9.5</v>
      </c>
      <c r="Q1324" t="inlineStr">
        <is>
          <t>701+</t>
        </is>
      </c>
      <c r="R1324" t="n">
        <v>19.9</v>
      </c>
      <c r="S1324" t="inlineStr">
        <is>
          <t>661</t>
        </is>
      </c>
      <c r="T1324" t="n">
        <v>38.2</v>
      </c>
      <c r="U1324" t="inlineStr">
        <is>
          <t>531</t>
        </is>
      </c>
      <c r="V1324" t="n">
        <v>1.2</v>
      </c>
      <c r="W1324" t="inlineStr">
        <is>
          <t>801+</t>
        </is>
      </c>
      <c r="X1324" t="n">
        <v>4.9</v>
      </c>
      <c r="Y1324" t="inlineStr">
        <is>
          <t>801+</t>
        </is>
      </c>
      <c r="Z1324" t="n">
        <v>8</v>
      </c>
      <c r="AA1324" t="inlineStr">
        <is>
          <t>801+</t>
        </is>
      </c>
      <c r="AB1324" t="n">
        <v>12</v>
      </c>
      <c r="AC1324" t="inlineStr">
        <is>
          <t>801+</t>
        </is>
      </c>
      <c r="AD1324" t="n">
        <v>5.2</v>
      </c>
      <c r="AE1324" t="inlineStr">
        <is>
          <t>801+</t>
        </is>
      </c>
      <c r="AF1324" t="n">
        <v>7.3</v>
      </c>
      <c r="AG1324" t="inlineStr">
        <is>
          <t>801+</t>
        </is>
      </c>
      <c r="AH1324" t="n">
        <v>24.5</v>
      </c>
      <c r="AI1324" t="inlineStr">
        <is>
          <t>801+</t>
        </is>
      </c>
      <c r="AJ1324" t="inlineStr">
        <is>
          <t>8.8</t>
        </is>
      </c>
      <c r="AK1324" t="inlineStr">
        <is>
          <t>601+</t>
        </is>
      </c>
      <c r="AL1324" t="inlineStr">
        <is>
          <t>30.7</t>
        </is>
      </c>
      <c r="AM1324" t="inlineStr">
        <is>
          <t>319</t>
        </is>
      </c>
      <c r="AN1324" t="inlineStr">
        <is>
          <t>23.8</t>
        </is>
      </c>
      <c r="AO1324" t="inlineStr">
        <is>
          <t>599</t>
        </is>
      </c>
      <c r="AP1324" t="inlineStr">
        <is>
          <t>1.1</t>
        </is>
      </c>
      <c r="AQ1324" t="inlineStr">
        <is>
          <t>701+</t>
        </is>
      </c>
      <c r="AR1324" t="inlineStr">
        <is>
          <t>2.7</t>
        </is>
      </c>
      <c r="AS1324" t="inlineStr">
        <is>
          <t>701+</t>
        </is>
      </c>
      <c r="AT1324" t="inlineStr">
        <is>
          <t>3.9</t>
        </is>
      </c>
      <c r="AU1324" t="inlineStr">
        <is>
          <t>701+</t>
        </is>
      </c>
      <c r="AV1324" t="inlineStr">
        <is>
          <t>1.0</t>
        </is>
      </c>
      <c r="AW1324" t="inlineStr">
        <is>
          <t>701+</t>
        </is>
      </c>
      <c r="AX1324" t="inlineStr">
        <is>
          <t>14.1</t>
        </is>
      </c>
      <c r="AY1324" t="inlineStr">
        <is>
          <t>604</t>
        </is>
      </c>
      <c r="AZ1324" t="inlineStr">
        <is>
          <t>1</t>
        </is>
      </c>
      <c r="BA1324" t="inlineStr">
        <is>
          <t>701+</t>
        </is>
      </c>
    </row>
    <row r="1325">
      <c r="A1325" t="inlineStr">
        <is>
          <t>Universidad Tecnológica de Pereira</t>
        </is>
      </c>
      <c r="B1325" t="inlineStr">
        <is>
          <t>Colombia</t>
        </is>
      </c>
      <c r="C1325" t="inlineStr">
        <is>
          <t>CO</t>
        </is>
      </c>
      <c r="D1325" t="inlineStr"/>
      <c r="E1325" t="inlineStr">
        <is>
          <t>L</t>
        </is>
      </c>
      <c r="F1325" t="inlineStr">
        <is>
          <t>CO</t>
        </is>
      </c>
      <c r="G1325" t="inlineStr">
        <is>
          <t>MD</t>
        </is>
      </c>
      <c r="H1325" t="inlineStr">
        <is>
          <t>4</t>
        </is>
      </c>
      <c r="I1325" t="inlineStr">
        <is>
          <t>A</t>
        </is>
      </c>
      <c r="J1325" t="inlineStr"/>
      <c r="K1325" t="inlineStr"/>
      <c r="L1325" t="inlineStr">
        <is>
          <t>1401+</t>
        </is>
      </c>
      <c r="M1325" t="inlineStr">
        <is>
          <t>1201-1400</t>
        </is>
      </c>
      <c r="N1325" t="inlineStr"/>
      <c r="O1325" t="inlineStr">
        <is>
          <t>-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>
        <is>
          <t>4.0</t>
        </is>
      </c>
      <c r="AK1325" t="inlineStr">
        <is>
          <t>601+</t>
        </is>
      </c>
      <c r="AL1325" t="inlineStr">
        <is>
          <t>7.1</t>
        </is>
      </c>
      <c r="AM1325" t="inlineStr">
        <is>
          <t>601+</t>
        </is>
      </c>
      <c r="AN1325" t="inlineStr">
        <is>
          <t>3.3</t>
        </is>
      </c>
      <c r="AO1325" t="inlineStr">
        <is>
          <t>701+</t>
        </is>
      </c>
      <c r="AP1325" t="inlineStr">
        <is>
          <t>1.9</t>
        </is>
      </c>
      <c r="AQ1325" t="inlineStr">
        <is>
          <t>701+</t>
        </is>
      </c>
      <c r="AR1325" t="inlineStr">
        <is>
          <t>1.4</t>
        </is>
      </c>
      <c r="AS1325" t="inlineStr">
        <is>
          <t>701+</t>
        </is>
      </c>
      <c r="AT1325" t="inlineStr">
        <is>
          <t>1.0</t>
        </is>
      </c>
      <c r="AU1325" t="inlineStr">
        <is>
          <t>701+</t>
        </is>
      </c>
      <c r="AV1325" t="inlineStr">
        <is>
          <t>1.0</t>
        </is>
      </c>
      <c r="AW1325" t="inlineStr">
        <is>
          <t>701+</t>
        </is>
      </c>
      <c r="AX1325" t="inlineStr">
        <is>
          <t>6.7</t>
        </is>
      </c>
      <c r="AY1325" t="inlineStr">
        <is>
          <t>701+</t>
        </is>
      </c>
      <c r="AZ1325" t="inlineStr">
        <is>
          <t>1</t>
        </is>
      </c>
      <c r="BA1325" t="inlineStr">
        <is>
          <t>701+</t>
        </is>
      </c>
    </row>
    <row r="1326">
      <c r="A1326" t="inlineStr">
        <is>
          <t>Universidad Tecnológica Nacional (UTN)</t>
        </is>
      </c>
      <c r="B1326" t="inlineStr">
        <is>
          <t>Argentina</t>
        </is>
      </c>
      <c r="C1326" t="inlineStr">
        <is>
          <t>AR</t>
        </is>
      </c>
      <c r="D1326" t="inlineStr">
        <is>
          <t>Americas</t>
        </is>
      </c>
      <c r="E1326" t="inlineStr">
        <is>
          <t>XL</t>
        </is>
      </c>
      <c r="F1326" t="inlineStr">
        <is>
          <t>SP</t>
        </is>
      </c>
      <c r="G1326" t="inlineStr">
        <is>
          <t>HI</t>
        </is>
      </c>
      <c r="H1326" t="inlineStr">
        <is>
          <t>4</t>
        </is>
      </c>
      <c r="I1326" t="inlineStr">
        <is>
          <t>Public</t>
        </is>
      </c>
      <c r="J1326" t="inlineStr">
        <is>
          <t>1201-1400</t>
        </is>
      </c>
      <c r="K1326" t="inlineStr">
        <is>
          <t>1001-1200</t>
        </is>
      </c>
      <c r="L1326" t="inlineStr">
        <is>
          <t>1001-1200</t>
        </is>
      </c>
      <c r="M1326" t="inlineStr">
        <is>
          <t>801-1000</t>
        </is>
      </c>
      <c r="N1326" t="inlineStr">
        <is>
          <t>-</t>
        </is>
      </c>
      <c r="O1326" t="inlineStr">
        <is>
          <t>-</t>
        </is>
      </c>
      <c r="P1326" t="n">
        <v>5.2</v>
      </c>
      <c r="Q1326" t="inlineStr">
        <is>
          <t>701+</t>
        </is>
      </c>
      <c r="R1326" t="n">
        <v>19.2</v>
      </c>
      <c r="S1326" t="inlineStr">
        <is>
          <t>678</t>
        </is>
      </c>
      <c r="T1326" t="n">
        <v>56.6</v>
      </c>
      <c r="U1326" t="inlineStr">
        <is>
          <t>327</t>
        </is>
      </c>
      <c r="V1326" t="n">
        <v>1.2</v>
      </c>
      <c r="W1326" t="inlineStr">
        <is>
          <t>801+</t>
        </is>
      </c>
      <c r="X1326" t="inlineStr"/>
      <c r="Y1326" t="inlineStr"/>
      <c r="Z1326" t="n">
        <v>3.8</v>
      </c>
      <c r="AA1326" t="inlineStr">
        <is>
          <t>801+</t>
        </is>
      </c>
      <c r="AB1326" t="n">
        <v>3.1</v>
      </c>
      <c r="AC1326" t="inlineStr">
        <is>
          <t>801+</t>
        </is>
      </c>
      <c r="AD1326" t="n">
        <v>10.9</v>
      </c>
      <c r="AE1326" t="inlineStr">
        <is>
          <t>801+</t>
        </is>
      </c>
      <c r="AF1326" t="n">
        <v>9.199999999999999</v>
      </c>
      <c r="AG1326" t="inlineStr">
        <is>
          <t>801+</t>
        </is>
      </c>
      <c r="AH1326" t="n">
        <v>19.1</v>
      </c>
      <c r="AI1326" t="inlineStr">
        <is>
          <t>801+</t>
        </is>
      </c>
      <c r="AJ1326" t="inlineStr">
        <is>
          <t>4.1</t>
        </is>
      </c>
      <c r="AK1326" t="inlineStr">
        <is>
          <t>601+</t>
        </is>
      </c>
      <c r="AL1326" t="inlineStr">
        <is>
          <t>24.1</t>
        </is>
      </c>
      <c r="AM1326" t="inlineStr">
        <is>
          <t>401</t>
        </is>
      </c>
      <c r="AN1326" t="inlineStr">
        <is>
          <t>49.1</t>
        </is>
      </c>
      <c r="AO1326" t="inlineStr">
        <is>
          <t>318</t>
        </is>
      </c>
      <c r="AP1326" t="inlineStr">
        <is>
          <t>1.1</t>
        </is>
      </c>
      <c r="AQ1326" t="inlineStr">
        <is>
          <t>701+</t>
        </is>
      </c>
      <c r="AR1326" t="inlineStr"/>
      <c r="AS1326" t="inlineStr"/>
      <c r="AT1326" t="inlineStr">
        <is>
          <t>1.5</t>
        </is>
      </c>
      <c r="AU1326" t="inlineStr">
        <is>
          <t>701+</t>
        </is>
      </c>
      <c r="AV1326" t="inlineStr">
        <is>
          <t>1.0</t>
        </is>
      </c>
      <c r="AW1326" t="inlineStr">
        <is>
          <t>701+</t>
        </is>
      </c>
      <c r="AX1326" t="inlineStr">
        <is>
          <t>5</t>
        </is>
      </c>
      <c r="AY1326" t="inlineStr">
        <is>
          <t>701+</t>
        </is>
      </c>
      <c r="AZ1326" t="inlineStr">
        <is>
          <t>1</t>
        </is>
      </c>
      <c r="BA1326" t="inlineStr">
        <is>
          <t>701+</t>
        </is>
      </c>
    </row>
    <row r="1327">
      <c r="A1327" t="inlineStr">
        <is>
          <t>Universidad Torcuato Di Tella</t>
        </is>
      </c>
      <c r="B1327" t="inlineStr">
        <is>
          <t>Argentina</t>
        </is>
      </c>
      <c r="C1327" t="inlineStr">
        <is>
          <t>AR</t>
        </is>
      </c>
      <c r="D1327" t="inlineStr">
        <is>
          <t>Americas</t>
        </is>
      </c>
      <c r="E1327" t="inlineStr">
        <is>
          <t>S</t>
        </is>
      </c>
      <c r="F1327" t="inlineStr">
        <is>
          <t>SP</t>
        </is>
      </c>
      <c r="G1327" t="inlineStr">
        <is>
          <t>HI</t>
        </is>
      </c>
      <c r="H1327" t="inlineStr">
        <is>
          <t>3</t>
        </is>
      </c>
      <c r="I1327" t="inlineStr">
        <is>
          <t>Private not for Profit</t>
        </is>
      </c>
      <c r="J1327" t="inlineStr">
        <is>
          <t>951-1000</t>
        </is>
      </c>
      <c r="K1327" t="inlineStr">
        <is>
          <t>951-1000</t>
        </is>
      </c>
      <c r="L1327" t="inlineStr">
        <is>
          <t>851-900</t>
        </is>
      </c>
      <c r="M1327" t="inlineStr">
        <is>
          <t>801-1000</t>
        </is>
      </c>
      <c r="N1327" t="inlineStr">
        <is>
          <t>-</t>
        </is>
      </c>
      <c r="O1327" t="inlineStr">
        <is>
          <t>-</t>
        </is>
      </c>
      <c r="P1327" t="n">
        <v>18.4</v>
      </c>
      <c r="Q1327" t="inlineStr">
        <is>
          <t>664</t>
        </is>
      </c>
      <c r="R1327" t="n">
        <v>35.9</v>
      </c>
      <c r="S1327" t="inlineStr">
        <is>
          <t>401</t>
        </is>
      </c>
      <c r="T1327" t="n">
        <v>18.5</v>
      </c>
      <c r="U1327" t="inlineStr">
        <is>
          <t>801+</t>
        </is>
      </c>
      <c r="V1327" t="n">
        <v>3.8</v>
      </c>
      <c r="W1327" t="inlineStr">
        <is>
          <t>801+</t>
        </is>
      </c>
      <c r="X1327" t="n">
        <v>41.2</v>
      </c>
      <c r="Y1327" t="inlineStr">
        <is>
          <t>488</t>
        </is>
      </c>
      <c r="Z1327" t="n">
        <v>13.6</v>
      </c>
      <c r="AA1327" t="inlineStr">
        <is>
          <t>801+</t>
        </is>
      </c>
      <c r="AB1327" t="n">
        <v>10.3</v>
      </c>
      <c r="AC1327" t="inlineStr">
        <is>
          <t>801+</t>
        </is>
      </c>
      <c r="AD1327" t="n">
        <v>5.3</v>
      </c>
      <c r="AE1327" t="inlineStr">
        <is>
          <t>801+</t>
        </is>
      </c>
      <c r="AF1327" t="n">
        <v>41.5</v>
      </c>
      <c r="AG1327" t="inlineStr">
        <is>
          <t>420</t>
        </is>
      </c>
      <c r="AH1327" t="n">
        <v>18.5</v>
      </c>
      <c r="AI1327" t="inlineStr">
        <is>
          <t>801+</t>
        </is>
      </c>
      <c r="AJ1327" t="inlineStr">
        <is>
          <t>11.9</t>
        </is>
      </c>
      <c r="AK1327" t="inlineStr">
        <is>
          <t>601+</t>
        </is>
      </c>
      <c r="AL1327" t="inlineStr">
        <is>
          <t>25.4</t>
        </is>
      </c>
      <c r="AM1327" t="inlineStr">
        <is>
          <t>376</t>
        </is>
      </c>
      <c r="AN1327" t="inlineStr">
        <is>
          <t>17.9</t>
        </is>
      </c>
      <c r="AO1327" t="inlineStr">
        <is>
          <t>701+</t>
        </is>
      </c>
      <c r="AP1327" t="inlineStr">
        <is>
          <t>3.2</t>
        </is>
      </c>
      <c r="AQ1327" t="inlineStr">
        <is>
          <t>701+</t>
        </is>
      </c>
      <c r="AR1327" t="inlineStr">
        <is>
          <t>34.5</t>
        </is>
      </c>
      <c r="AS1327" t="inlineStr">
        <is>
          <t>460</t>
        </is>
      </c>
      <c r="AT1327" t="inlineStr">
        <is>
          <t>8.2</t>
        </is>
      </c>
      <c r="AU1327" t="inlineStr">
        <is>
          <t>701+</t>
        </is>
      </c>
      <c r="AV1327" t="inlineStr">
        <is>
          <t>1.0</t>
        </is>
      </c>
      <c r="AW1327" t="inlineStr">
        <is>
          <t>701+</t>
        </is>
      </c>
      <c r="AX1327" t="inlineStr">
        <is>
          <t>17.1</t>
        </is>
      </c>
      <c r="AY1327" t="inlineStr">
        <is>
          <t>496</t>
        </is>
      </c>
      <c r="AZ1327" t="inlineStr">
        <is>
          <t>1</t>
        </is>
      </c>
      <c r="BA1327" t="inlineStr">
        <is>
          <t>701+</t>
        </is>
      </c>
    </row>
    <row r="1328">
      <c r="A1328" t="inlineStr">
        <is>
          <t>Universidad Técnica Federico Santa María</t>
        </is>
      </c>
      <c r="B1328" t="inlineStr">
        <is>
          <t>Chile</t>
        </is>
      </c>
      <c r="C1328" t="inlineStr"/>
      <c r="D1328" t="inlineStr">
        <is>
          <t>Americas</t>
        </is>
      </c>
      <c r="E1328" t="inlineStr">
        <is>
          <t>L</t>
        </is>
      </c>
      <c r="F1328" t="inlineStr">
        <is>
          <t>FO</t>
        </is>
      </c>
      <c r="G1328" t="inlineStr">
        <is>
          <t>VH</t>
        </is>
      </c>
      <c r="H1328" t="inlineStr"/>
      <c r="I1328" t="inlineStr">
        <is>
          <t>Private not for Profit</t>
        </is>
      </c>
      <c r="J1328" t="inlineStr">
        <is>
          <t>1001-1200</t>
        </is>
      </c>
      <c r="K1328" t="inlineStr">
        <is>
          <t>951-1000</t>
        </is>
      </c>
      <c r="L1328" t="inlineStr"/>
      <c r="M1328" t="inlineStr"/>
      <c r="N1328" t="inlineStr">
        <is>
          <t>-</t>
        </is>
      </c>
      <c r="O1328" t="inlineStr"/>
      <c r="P1328" t="n">
        <v>13.3</v>
      </c>
      <c r="Q1328" t="inlineStr">
        <is>
          <t>701+</t>
        </is>
      </c>
      <c r="R1328" t="n">
        <v>37.5</v>
      </c>
      <c r="S1328" t="inlineStr">
        <is>
          <t>374</t>
        </is>
      </c>
      <c r="T1328" t="n">
        <v>4.7</v>
      </c>
      <c r="U1328" t="inlineStr">
        <is>
          <t>801+</t>
        </is>
      </c>
      <c r="V1328" t="n">
        <v>8.300000000000001</v>
      </c>
      <c r="W1328" t="inlineStr">
        <is>
          <t>801+</t>
        </is>
      </c>
      <c r="X1328" t="n">
        <v>19</v>
      </c>
      <c r="Y1328" t="inlineStr">
        <is>
          <t>728</t>
        </is>
      </c>
      <c r="Z1328" t="n">
        <v>1.8</v>
      </c>
      <c r="AA1328" t="inlineStr">
        <is>
          <t>801+</t>
        </is>
      </c>
      <c r="AB1328" t="n">
        <v>1.6</v>
      </c>
      <c r="AC1328" t="inlineStr">
        <is>
          <t>801+</t>
        </is>
      </c>
      <c r="AD1328" t="n">
        <v>46.3</v>
      </c>
      <c r="AE1328" t="inlineStr">
        <is>
          <t>801+</t>
        </is>
      </c>
      <c r="AF1328" t="n">
        <v>17.7</v>
      </c>
      <c r="AG1328" t="inlineStr">
        <is>
          <t>767</t>
        </is>
      </c>
      <c r="AH1328" t="n">
        <v>42.7</v>
      </c>
      <c r="AI1328" t="inlineStr">
        <is>
          <t>801+</t>
        </is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</row>
    <row r="1329">
      <c r="A1329" t="inlineStr">
        <is>
          <t>Universidad Técnica Federico Santa María (USM)</t>
        </is>
      </c>
      <c r="B1329" t="inlineStr">
        <is>
          <t>Chile</t>
        </is>
      </c>
      <c r="C1329" t="inlineStr">
        <is>
          <t>CL</t>
        </is>
      </c>
      <c r="D1329" t="inlineStr"/>
      <c r="E1329" t="inlineStr">
        <is>
          <t>L</t>
        </is>
      </c>
      <c r="F1329" t="inlineStr">
        <is>
          <t>FO</t>
        </is>
      </c>
      <c r="G1329" t="inlineStr">
        <is>
          <t>VH</t>
        </is>
      </c>
      <c r="H1329" t="inlineStr">
        <is>
          <t>4</t>
        </is>
      </c>
      <c r="I1329" t="inlineStr">
        <is>
          <t>B</t>
        </is>
      </c>
      <c r="J1329" t="inlineStr"/>
      <c r="K1329" t="inlineStr"/>
      <c r="L1329" t="inlineStr">
        <is>
          <t>801-850</t>
        </is>
      </c>
      <c r="M1329" t="inlineStr">
        <is>
          <t>1001-1200</t>
        </is>
      </c>
      <c r="N1329" t="inlineStr"/>
      <c r="O1329" t="inlineStr">
        <is>
          <t>-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>
        <is>
          <t>10.0</t>
        </is>
      </c>
      <c r="AK1329" t="inlineStr">
        <is>
          <t>601+</t>
        </is>
      </c>
      <c r="AL1329" t="inlineStr">
        <is>
          <t>50.6</t>
        </is>
      </c>
      <c r="AM1329" t="inlineStr">
        <is>
          <t>166</t>
        </is>
      </c>
      <c r="AN1329" t="inlineStr">
        <is>
          <t>3.7</t>
        </is>
      </c>
      <c r="AO1329" t="inlineStr">
        <is>
          <t>701+</t>
        </is>
      </c>
      <c r="AP1329" t="inlineStr">
        <is>
          <t>5.9</t>
        </is>
      </c>
      <c r="AQ1329" t="inlineStr">
        <is>
          <t>701+</t>
        </is>
      </c>
      <c r="AR1329" t="inlineStr">
        <is>
          <t>15.8</t>
        </is>
      </c>
      <c r="AS1329" t="inlineStr">
        <is>
          <t>654</t>
        </is>
      </c>
      <c r="AT1329" t="inlineStr">
        <is>
          <t>1.9</t>
        </is>
      </c>
      <c r="AU1329" t="inlineStr">
        <is>
          <t>701+</t>
        </is>
      </c>
      <c r="AV1329" t="inlineStr">
        <is>
          <t>9.5</t>
        </is>
      </c>
      <c r="AW1329" t="inlineStr">
        <is>
          <t>680</t>
        </is>
      </c>
      <c r="AX1329" t="inlineStr">
        <is>
          <t>10.1</t>
        </is>
      </c>
      <c r="AY1329" t="inlineStr">
        <is>
          <t>701+</t>
        </is>
      </c>
      <c r="AZ1329" t="inlineStr">
        <is>
          <t>7.9</t>
        </is>
      </c>
      <c r="BA1329" t="inlineStr">
        <is>
          <t>701+</t>
        </is>
      </c>
    </row>
    <row r="1330">
      <c r="A1330" t="inlineStr">
        <is>
          <t>Universidad Veracruzana</t>
        </is>
      </c>
      <c r="B1330" t="inlineStr">
        <is>
          <t>Mexico</t>
        </is>
      </c>
      <c r="C1330" t="inlineStr">
        <is>
          <t>MX</t>
        </is>
      </c>
      <c r="D1330" t="inlineStr"/>
      <c r="E1330" t="inlineStr">
        <is>
          <t>XL</t>
        </is>
      </c>
      <c r="F1330" t="inlineStr">
        <is>
          <t>FO</t>
        </is>
      </c>
      <c r="G1330" t="inlineStr">
        <is>
          <t>HI</t>
        </is>
      </c>
      <c r="H1330" t="inlineStr">
        <is>
          <t>4</t>
        </is>
      </c>
      <c r="I1330" t="inlineStr">
        <is>
          <t>A</t>
        </is>
      </c>
      <c r="J1330" t="inlineStr"/>
      <c r="K1330" t="inlineStr"/>
      <c r="L1330" t="inlineStr">
        <is>
          <t>1201-1400</t>
        </is>
      </c>
      <c r="M1330" t="inlineStr">
        <is>
          <t>1201-1400</t>
        </is>
      </c>
      <c r="N1330" t="inlineStr"/>
      <c r="O1330" t="inlineStr">
        <is>
          <t>-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>
        <is>
          <t>8.7</t>
        </is>
      </c>
      <c r="AK1330" t="inlineStr">
        <is>
          <t>601+</t>
        </is>
      </c>
      <c r="AL1330" t="inlineStr">
        <is>
          <t>3.2</t>
        </is>
      </c>
      <c r="AM1330" t="inlineStr">
        <is>
          <t>601+</t>
        </is>
      </c>
      <c r="AN1330" t="inlineStr">
        <is>
          <t>7.8</t>
        </is>
      </c>
      <c r="AO1330" t="inlineStr">
        <is>
          <t>701+</t>
        </is>
      </c>
      <c r="AP1330" t="inlineStr">
        <is>
          <t>1.4</t>
        </is>
      </c>
      <c r="AQ1330" t="inlineStr">
        <is>
          <t>701+</t>
        </is>
      </c>
      <c r="AR1330" t="inlineStr"/>
      <c r="AS1330" t="inlineStr"/>
      <c r="AT1330" t="inlineStr"/>
      <c r="AU1330" t="inlineStr"/>
      <c r="AV1330" t="inlineStr">
        <is>
          <t>1.0</t>
        </is>
      </c>
      <c r="AW1330" t="inlineStr">
        <is>
          <t>701+</t>
        </is>
      </c>
      <c r="AX1330" t="inlineStr">
        <is>
          <t>3.9</t>
        </is>
      </c>
      <c r="AY1330" t="inlineStr">
        <is>
          <t>701+</t>
        </is>
      </c>
      <c r="AZ1330" t="inlineStr">
        <is>
          <t>1.1</t>
        </is>
      </c>
      <c r="BA1330" t="inlineStr">
        <is>
          <t>701+</t>
        </is>
      </c>
    </row>
    <row r="1331">
      <c r="A1331" t="inlineStr">
        <is>
          <t>Universidade Católica Portuguesa, UCP</t>
        </is>
      </c>
      <c r="B1331" t="inlineStr">
        <is>
          <t>Portugal</t>
        </is>
      </c>
      <c r="C1331" t="inlineStr">
        <is>
          <t>PT</t>
        </is>
      </c>
      <c r="D1331" t="inlineStr">
        <is>
          <t>Europe</t>
        </is>
      </c>
      <c r="E1331" t="inlineStr">
        <is>
          <t>M</t>
        </is>
      </c>
      <c r="F1331" t="inlineStr">
        <is>
          <t>FO</t>
        </is>
      </c>
      <c r="G1331" t="inlineStr">
        <is>
          <t>VH</t>
        </is>
      </c>
      <c r="H1331" t="inlineStr">
        <is>
          <t>3</t>
        </is>
      </c>
      <c r="I1331" t="inlineStr">
        <is>
          <t>Private not for Profit</t>
        </is>
      </c>
      <c r="J1331" t="inlineStr">
        <is>
          <t>781-790</t>
        </is>
      </c>
      <c r="K1331" t="inlineStr">
        <is>
          <t>901-950</t>
        </is>
      </c>
      <c r="L1331" t="inlineStr">
        <is>
          <t>901-950</t>
        </is>
      </c>
      <c r="M1331" t="inlineStr">
        <is>
          <t>801-1000</t>
        </is>
      </c>
      <c r="N1331" t="inlineStr">
        <is>
          <t>-</t>
        </is>
      </c>
      <c r="O1331" t="inlineStr">
        <is>
          <t>-</t>
        </is>
      </c>
      <c r="P1331" t="n">
        <v>16.5</v>
      </c>
      <c r="Q1331" t="inlineStr">
        <is>
          <t>701+</t>
        </is>
      </c>
      <c r="R1331" t="n">
        <v>31.2</v>
      </c>
      <c r="S1331" t="inlineStr">
        <is>
          <t>459</t>
        </is>
      </c>
      <c r="T1331" t="n">
        <v>14.1</v>
      </c>
      <c r="U1331" t="inlineStr">
        <is>
          <t>801+</t>
        </is>
      </c>
      <c r="V1331" t="n">
        <v>12.9</v>
      </c>
      <c r="W1331" t="inlineStr">
        <is>
          <t>801+</t>
        </is>
      </c>
      <c r="X1331" t="n">
        <v>17.1</v>
      </c>
      <c r="Y1331" t="inlineStr">
        <is>
          <t>767</t>
        </is>
      </c>
      <c r="Z1331" t="n">
        <v>58.3</v>
      </c>
      <c r="AA1331" t="inlineStr">
        <is>
          <t>353</t>
        </is>
      </c>
      <c r="AB1331" t="n">
        <v>62.3</v>
      </c>
      <c r="AC1331" t="inlineStr">
        <is>
          <t>320</t>
        </is>
      </c>
      <c r="AD1331" t="n">
        <v>33.8</v>
      </c>
      <c r="AE1331" t="inlineStr">
        <is>
          <t>801+</t>
        </is>
      </c>
      <c r="AF1331" t="n">
        <v>57.7</v>
      </c>
      <c r="AG1331" t="inlineStr">
        <is>
          <t>286</t>
        </is>
      </c>
      <c r="AH1331" t="n">
        <v>47.9</v>
      </c>
      <c r="AI1331" t="inlineStr">
        <is>
          <t>763=</t>
        </is>
      </c>
      <c r="AJ1331" t="inlineStr">
        <is>
          <t>13.3</t>
        </is>
      </c>
      <c r="AK1331" t="inlineStr">
        <is>
          <t>601+</t>
        </is>
      </c>
      <c r="AL1331" t="inlineStr">
        <is>
          <t>11.1</t>
        </is>
      </c>
      <c r="AM1331" t="inlineStr">
        <is>
          <t>601+</t>
        </is>
      </c>
      <c r="AN1331" t="inlineStr">
        <is>
          <t>13.9</t>
        </is>
      </c>
      <c r="AO1331" t="inlineStr">
        <is>
          <t>701+</t>
        </is>
      </c>
      <c r="AP1331" t="inlineStr">
        <is>
          <t>6.5</t>
        </is>
      </c>
      <c r="AQ1331" t="inlineStr">
        <is>
          <t>701+</t>
        </is>
      </c>
      <c r="AR1331" t="inlineStr">
        <is>
          <t>9.1</t>
        </is>
      </c>
      <c r="AS1331" t="inlineStr">
        <is>
          <t>701+</t>
        </is>
      </c>
      <c r="AT1331" t="inlineStr">
        <is>
          <t>26.3</t>
        </is>
      </c>
      <c r="AU1331" t="inlineStr">
        <is>
          <t>461</t>
        </is>
      </c>
      <c r="AV1331" t="inlineStr">
        <is>
          <t>1.6</t>
        </is>
      </c>
      <c r="AW1331" t="inlineStr">
        <is>
          <t>701+</t>
        </is>
      </c>
      <c r="AX1331" t="inlineStr">
        <is>
          <t>29.3</t>
        </is>
      </c>
      <c r="AY1331" t="inlineStr">
        <is>
          <t>272</t>
        </is>
      </c>
      <c r="AZ1331" t="inlineStr">
        <is>
          <t>9.7</t>
        </is>
      </c>
      <c r="BA1331" t="inlineStr">
        <is>
          <t>673=</t>
        </is>
      </c>
    </row>
    <row r="1332">
      <c r="A1332" t="inlineStr">
        <is>
          <t>Universidade da Coruña</t>
        </is>
      </c>
      <c r="B1332" t="inlineStr">
        <is>
          <t>Spain</t>
        </is>
      </c>
      <c r="C1332" t="inlineStr">
        <is>
          <t>ES</t>
        </is>
      </c>
      <c r="D1332" t="inlineStr">
        <is>
          <t>Europe</t>
        </is>
      </c>
      <c r="E1332" t="inlineStr">
        <is>
          <t>L</t>
        </is>
      </c>
      <c r="F1332" t="inlineStr">
        <is>
          <t>CO</t>
        </is>
      </c>
      <c r="G1332" t="inlineStr">
        <is>
          <t>VH</t>
        </is>
      </c>
      <c r="H1332" t="inlineStr">
        <is>
          <t>3</t>
        </is>
      </c>
      <c r="I1332" t="inlineStr">
        <is>
          <t>Public</t>
        </is>
      </c>
      <c r="J1332" t="inlineStr">
        <is>
          <t>1001-1200</t>
        </is>
      </c>
      <c r="K1332" t="inlineStr">
        <is>
          <t>1001-1200</t>
        </is>
      </c>
      <c r="L1332" t="inlineStr">
        <is>
          <t>1001-1200</t>
        </is>
      </c>
      <c r="M1332" t="inlineStr">
        <is>
          <t>1001-1200</t>
        </is>
      </c>
      <c r="N1332" t="inlineStr">
        <is>
          <t>-</t>
        </is>
      </c>
      <c r="O1332" t="inlineStr">
        <is>
          <t>-</t>
        </is>
      </c>
      <c r="P1332" t="n">
        <v>8.5</v>
      </c>
      <c r="Q1332" t="inlineStr">
        <is>
          <t>701+</t>
        </is>
      </c>
      <c r="R1332" t="n">
        <v>7.1</v>
      </c>
      <c r="S1332" t="inlineStr">
        <is>
          <t>701+</t>
        </is>
      </c>
      <c r="T1332" t="n">
        <v>29.3</v>
      </c>
      <c r="U1332" t="inlineStr">
        <is>
          <t>645</t>
        </is>
      </c>
      <c r="V1332" t="n">
        <v>13.8</v>
      </c>
      <c r="W1332" t="inlineStr">
        <is>
          <t>801+</t>
        </is>
      </c>
      <c r="X1332" t="n">
        <v>3.5</v>
      </c>
      <c r="Y1332" t="inlineStr">
        <is>
          <t>801+</t>
        </is>
      </c>
      <c r="Z1332" t="n">
        <v>9.4</v>
      </c>
      <c r="AA1332" t="inlineStr">
        <is>
          <t>801+</t>
        </is>
      </c>
      <c r="AB1332" t="n">
        <v>15.2</v>
      </c>
      <c r="AC1332" t="inlineStr">
        <is>
          <t>801+</t>
        </is>
      </c>
      <c r="AD1332" t="n">
        <v>61.7</v>
      </c>
      <c r="AE1332" t="inlineStr">
        <is>
          <t>667</t>
        </is>
      </c>
      <c r="AF1332" t="n">
        <v>3.6</v>
      </c>
      <c r="AG1332" t="inlineStr">
        <is>
          <t>801+</t>
        </is>
      </c>
      <c r="AH1332" t="n">
        <v>61.1</v>
      </c>
      <c r="AI1332" t="inlineStr">
        <is>
          <t>477=</t>
        </is>
      </c>
      <c r="AJ1332" t="inlineStr">
        <is>
          <t>5.8</t>
        </is>
      </c>
      <c r="AK1332" t="inlineStr">
        <is>
          <t>601+</t>
        </is>
      </c>
      <c r="AL1332" t="inlineStr">
        <is>
          <t>5.6</t>
        </is>
      </c>
      <c r="AM1332" t="inlineStr">
        <is>
          <t>601+</t>
        </is>
      </c>
      <c r="AN1332" t="inlineStr">
        <is>
          <t>25.1</t>
        </is>
      </c>
      <c r="AO1332" t="inlineStr">
        <is>
          <t>582</t>
        </is>
      </c>
      <c r="AP1332" t="inlineStr">
        <is>
          <t>7.1</t>
        </is>
      </c>
      <c r="AQ1332" t="inlineStr">
        <is>
          <t>701+</t>
        </is>
      </c>
      <c r="AR1332" t="inlineStr">
        <is>
          <t>2.8</t>
        </is>
      </c>
      <c r="AS1332" t="inlineStr">
        <is>
          <t>701+</t>
        </is>
      </c>
      <c r="AT1332" t="inlineStr">
        <is>
          <t>4.6</t>
        </is>
      </c>
      <c r="AU1332" t="inlineStr">
        <is>
          <t>701+</t>
        </is>
      </c>
      <c r="AV1332" t="inlineStr">
        <is>
          <t>12.0</t>
        </is>
      </c>
      <c r="AW1332" t="inlineStr">
        <is>
          <t>636</t>
        </is>
      </c>
      <c r="AX1332" t="inlineStr">
        <is>
          <t>7.6</t>
        </is>
      </c>
      <c r="AY1332" t="inlineStr">
        <is>
          <t>701+</t>
        </is>
      </c>
      <c r="AZ1332" t="inlineStr">
        <is>
          <t>42.6</t>
        </is>
      </c>
      <c r="BA1332" t="inlineStr">
        <is>
          <t>345=</t>
        </is>
      </c>
    </row>
    <row r="1333">
      <c r="A1333" t="inlineStr">
        <is>
          <t>Universidade de Brasilia (UnB)</t>
        </is>
      </c>
      <c r="B1333" t="inlineStr">
        <is>
          <t>Brazil</t>
        </is>
      </c>
      <c r="C1333" t="inlineStr"/>
      <c r="D1333" t="inlineStr">
        <is>
          <t>Americas</t>
        </is>
      </c>
      <c r="E1333" t="inlineStr">
        <is>
          <t>XL</t>
        </is>
      </c>
      <c r="F1333" t="inlineStr">
        <is>
          <t>FC</t>
        </is>
      </c>
      <c r="G1333" t="inlineStr">
        <is>
          <t>VH</t>
        </is>
      </c>
      <c r="H1333" t="inlineStr"/>
      <c r="I1333" t="inlineStr">
        <is>
          <t>Public</t>
        </is>
      </c>
      <c r="J1333" t="inlineStr">
        <is>
          <t>801-850</t>
        </is>
      </c>
      <c r="K1333" t="inlineStr">
        <is>
          <t>751-760</t>
        </is>
      </c>
      <c r="L1333" t="inlineStr"/>
      <c r="M1333" t="inlineStr"/>
      <c r="N1333" t="inlineStr">
        <is>
          <t>-</t>
        </is>
      </c>
      <c r="O1333" t="inlineStr"/>
      <c r="P1333" t="n">
        <v>34.8</v>
      </c>
      <c r="Q1333" t="inlineStr">
        <is>
          <t>347</t>
        </is>
      </c>
      <c r="R1333" t="n">
        <v>10.8</v>
      </c>
      <c r="S1333" t="inlineStr">
        <is>
          <t>701+</t>
        </is>
      </c>
      <c r="T1333" t="n">
        <v>9</v>
      </c>
      <c r="U1333" t="inlineStr">
        <is>
          <t>801+</t>
        </is>
      </c>
      <c r="V1333" t="n">
        <v>8.300000000000001</v>
      </c>
      <c r="W1333" t="inlineStr">
        <is>
          <t>801+</t>
        </is>
      </c>
      <c r="X1333" t="n">
        <v>12.8</v>
      </c>
      <c r="Y1333" t="inlineStr">
        <is>
          <t>801+</t>
        </is>
      </c>
      <c r="Z1333" t="n">
        <v>2.1</v>
      </c>
      <c r="AA1333" t="inlineStr">
        <is>
          <t>801+</t>
        </is>
      </c>
      <c r="AB1333" t="n">
        <v>6.7</v>
      </c>
      <c r="AC1333" t="inlineStr">
        <is>
          <t>801+</t>
        </is>
      </c>
      <c r="AD1333" t="n">
        <v>63.7</v>
      </c>
      <c r="AE1333" t="inlineStr">
        <is>
          <t>639</t>
        </is>
      </c>
      <c r="AF1333" t="n">
        <v>36.3</v>
      </c>
      <c r="AG1333" t="inlineStr">
        <is>
          <t>476</t>
        </is>
      </c>
      <c r="AH1333" t="n">
        <v>66.59999999999999</v>
      </c>
      <c r="AI1333" t="inlineStr">
        <is>
          <t>368=</t>
        </is>
      </c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</row>
    <row r="1334">
      <c r="A1334" t="inlineStr">
        <is>
          <t>Universidade de Brasília</t>
        </is>
      </c>
      <c r="B1334" t="inlineStr">
        <is>
          <t>Brazil</t>
        </is>
      </c>
      <c r="C1334" t="inlineStr">
        <is>
          <t>BR</t>
        </is>
      </c>
      <c r="D1334" t="inlineStr"/>
      <c r="E1334" t="inlineStr">
        <is>
          <t>XL</t>
        </is>
      </c>
      <c r="F1334" t="inlineStr">
        <is>
          <t>FC</t>
        </is>
      </c>
      <c r="G1334" t="inlineStr">
        <is>
          <t>HI</t>
        </is>
      </c>
      <c r="H1334" t="inlineStr">
        <is>
          <t>4</t>
        </is>
      </c>
      <c r="I1334" t="inlineStr">
        <is>
          <t>A</t>
        </is>
      </c>
      <c r="J1334" t="inlineStr"/>
      <c r="K1334" t="inlineStr"/>
      <c r="L1334" t="inlineStr">
        <is>
          <t>801-850</t>
        </is>
      </c>
      <c r="M1334" t="inlineStr">
        <is>
          <t>801-1000</t>
        </is>
      </c>
      <c r="N1334" t="inlineStr"/>
      <c r="O1334" t="inlineStr">
        <is>
          <t>-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>
        <is>
          <t>26.1</t>
        </is>
      </c>
      <c r="AK1334" t="inlineStr">
        <is>
          <t>339</t>
        </is>
      </c>
      <c r="AL1334" t="inlineStr">
        <is>
          <t>14.5</t>
        </is>
      </c>
      <c r="AM1334" t="inlineStr">
        <is>
          <t>562</t>
        </is>
      </c>
      <c r="AN1334" t="inlineStr">
        <is>
          <t>8.4</t>
        </is>
      </c>
      <c r="AO1334" t="inlineStr">
        <is>
          <t>701+</t>
        </is>
      </c>
      <c r="AP1334" t="inlineStr">
        <is>
          <t>4.2</t>
        </is>
      </c>
      <c r="AQ1334" t="inlineStr">
        <is>
          <t>701+</t>
        </is>
      </c>
      <c r="AR1334" t="inlineStr">
        <is>
          <t>11.9</t>
        </is>
      </c>
      <c r="AS1334" t="inlineStr">
        <is>
          <t>701+</t>
        </is>
      </c>
      <c r="AT1334" t="inlineStr">
        <is>
          <t>1.6</t>
        </is>
      </c>
      <c r="AU1334" t="inlineStr">
        <is>
          <t>701+</t>
        </is>
      </c>
      <c r="AV1334" t="inlineStr">
        <is>
          <t>15.3</t>
        </is>
      </c>
      <c r="AW1334" t="inlineStr">
        <is>
          <t>595</t>
        </is>
      </c>
      <c r="AX1334" t="inlineStr">
        <is>
          <t>11.5</t>
        </is>
      </c>
      <c r="AY1334" t="inlineStr">
        <is>
          <t>701+</t>
        </is>
      </c>
      <c r="AZ1334" t="inlineStr">
        <is>
          <t>9.4</t>
        </is>
      </c>
      <c r="BA1334" t="inlineStr">
        <is>
          <t>683=</t>
        </is>
      </c>
    </row>
    <row r="1335">
      <c r="A1335" t="inlineStr">
        <is>
          <t>Universidade de Santiago de Compostela</t>
        </is>
      </c>
      <c r="B1335" t="inlineStr">
        <is>
          <t>Spain</t>
        </is>
      </c>
      <c r="C1335" t="inlineStr">
        <is>
          <t>ES</t>
        </is>
      </c>
      <c r="D1335" t="inlineStr">
        <is>
          <t>Europe</t>
        </is>
      </c>
      <c r="E1335" t="inlineStr">
        <is>
          <t>L</t>
        </is>
      </c>
      <c r="F1335" t="inlineStr">
        <is>
          <t>CO</t>
        </is>
      </c>
      <c r="G1335" t="inlineStr">
        <is>
          <t>VH</t>
        </is>
      </c>
      <c r="H1335" t="inlineStr">
        <is>
          <t>5</t>
        </is>
      </c>
      <c r="I1335" t="inlineStr">
        <is>
          <t>Public</t>
        </is>
      </c>
      <c r="J1335" t="inlineStr">
        <is>
          <t>628</t>
        </is>
      </c>
      <c r="K1335" t="inlineStr">
        <is>
          <t>651-660</t>
        </is>
      </c>
      <c r="L1335" t="inlineStr">
        <is>
          <t>701-710</t>
        </is>
      </c>
      <c r="M1335" t="inlineStr">
        <is>
          <t>751-800</t>
        </is>
      </c>
      <c r="N1335" t="inlineStr">
        <is>
          <t>27.4</t>
        </is>
      </c>
      <c r="O1335" t="inlineStr">
        <is>
          <t>-</t>
        </is>
      </c>
      <c r="P1335" t="n">
        <v>33.9</v>
      </c>
      <c r="Q1335" t="inlineStr">
        <is>
          <t>359</t>
        </is>
      </c>
      <c r="R1335" t="n">
        <v>16</v>
      </c>
      <c r="S1335" t="inlineStr">
        <is>
          <t>701+</t>
        </is>
      </c>
      <c r="T1335" t="n">
        <v>17.5</v>
      </c>
      <c r="U1335" t="inlineStr">
        <is>
          <t>801+</t>
        </is>
      </c>
      <c r="V1335" t="n">
        <v>27.6</v>
      </c>
      <c r="W1335" t="inlineStr">
        <is>
          <t>612</t>
        </is>
      </c>
      <c r="X1335" t="n">
        <v>3</v>
      </c>
      <c r="Y1335" t="inlineStr">
        <is>
          <t>801+</t>
        </is>
      </c>
      <c r="Z1335" t="n">
        <v>11.8</v>
      </c>
      <c r="AA1335" t="inlineStr">
        <is>
          <t>801+</t>
        </is>
      </c>
      <c r="AB1335" t="n">
        <v>17.7</v>
      </c>
      <c r="AC1335" t="inlineStr">
        <is>
          <t>801+</t>
        </is>
      </c>
      <c r="AD1335" t="n">
        <v>77.3</v>
      </c>
      <c r="AE1335" t="inlineStr">
        <is>
          <t>399</t>
        </is>
      </c>
      <c r="AF1335" t="n">
        <v>20</v>
      </c>
      <c r="AG1335" t="inlineStr">
        <is>
          <t>728</t>
        </is>
      </c>
      <c r="AH1335" t="n">
        <v>62.4</v>
      </c>
      <c r="AI1335" t="inlineStr">
        <is>
          <t>450=</t>
        </is>
      </c>
      <c r="AJ1335" t="inlineStr">
        <is>
          <t>23.5</t>
        </is>
      </c>
      <c r="AK1335" t="inlineStr">
        <is>
          <t>368</t>
        </is>
      </c>
      <c r="AL1335" t="inlineStr">
        <is>
          <t>10.3</t>
        </is>
      </c>
      <c r="AM1335" t="inlineStr">
        <is>
          <t>601+</t>
        </is>
      </c>
      <c r="AN1335" t="inlineStr">
        <is>
          <t>13.0</t>
        </is>
      </c>
      <c r="AO1335" t="inlineStr">
        <is>
          <t>701+</t>
        </is>
      </c>
      <c r="AP1335" t="inlineStr">
        <is>
          <t>16.1</t>
        </is>
      </c>
      <c r="AQ1335" t="inlineStr">
        <is>
          <t>618</t>
        </is>
      </c>
      <c r="AR1335" t="inlineStr">
        <is>
          <t>2.8</t>
        </is>
      </c>
      <c r="AS1335" t="inlineStr">
        <is>
          <t>701+</t>
        </is>
      </c>
      <c r="AT1335" t="inlineStr">
        <is>
          <t>6.0</t>
        </is>
      </c>
      <c r="AU1335" t="inlineStr">
        <is>
          <t>701+</t>
        </is>
      </c>
      <c r="AV1335" t="inlineStr">
        <is>
          <t>38.0</t>
        </is>
      </c>
      <c r="AW1335" t="inlineStr">
        <is>
          <t>394</t>
        </is>
      </c>
      <c r="AX1335" t="inlineStr">
        <is>
          <t>8.1</t>
        </is>
      </c>
      <c r="AY1335" t="inlineStr">
        <is>
          <t>701+</t>
        </is>
      </c>
      <c r="AZ1335" t="inlineStr">
        <is>
          <t>23.2</t>
        </is>
      </c>
      <c r="BA1335" t="inlineStr">
        <is>
          <t>511=</t>
        </is>
      </c>
    </row>
    <row r="1336">
      <c r="A1336" t="inlineStr">
        <is>
          <t>Universidade de São Paulo</t>
        </is>
      </c>
      <c r="B1336" t="inlineStr">
        <is>
          <t>Brazil</t>
        </is>
      </c>
      <c r="C1336" t="inlineStr">
        <is>
          <t>BR</t>
        </is>
      </c>
      <c r="D1336" t="inlineStr"/>
      <c r="E1336" t="inlineStr">
        <is>
          <t>XL</t>
        </is>
      </c>
      <c r="F1336" t="inlineStr">
        <is>
          <t>FC</t>
        </is>
      </c>
      <c r="G1336" t="inlineStr">
        <is>
          <t>VH</t>
        </is>
      </c>
      <c r="H1336" t="inlineStr">
        <is>
          <t>4</t>
        </is>
      </c>
      <c r="I1336" t="inlineStr">
        <is>
          <t>A</t>
        </is>
      </c>
      <c r="J1336" t="inlineStr"/>
      <c r="K1336" t="inlineStr"/>
      <c r="L1336">
        <f>85</f>
        <v/>
      </c>
      <c r="M1336" t="inlineStr">
        <is>
          <t>115</t>
        </is>
      </c>
      <c r="N1336" t="inlineStr"/>
      <c r="O1336" t="inlineStr">
        <is>
          <t>62.8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>
        <is>
          <t>92.4</t>
        </is>
      </c>
      <c r="AK1336" t="inlineStr">
        <is>
          <t>41</t>
        </is>
      </c>
      <c r="AL1336" t="inlineStr">
        <is>
          <t>82.9</t>
        </is>
      </c>
      <c r="AM1336" t="inlineStr">
        <is>
          <t>66</t>
        </is>
      </c>
      <c r="AN1336" t="inlineStr">
        <is>
          <t>19.2</t>
        </is>
      </c>
      <c r="AO1336" t="inlineStr">
        <is>
          <t>688</t>
        </is>
      </c>
      <c r="AP1336" t="inlineStr">
        <is>
          <t>29.9</t>
        </is>
      </c>
      <c r="AQ1336" t="inlineStr">
        <is>
          <t>434</t>
        </is>
      </c>
      <c r="AR1336" t="inlineStr">
        <is>
          <t>6.0</t>
        </is>
      </c>
      <c r="AS1336" t="inlineStr">
        <is>
          <t>701+</t>
        </is>
      </c>
      <c r="AT1336" t="inlineStr">
        <is>
          <t>2.3</t>
        </is>
      </c>
      <c r="AU1336" t="inlineStr">
        <is>
          <t>701+</t>
        </is>
      </c>
      <c r="AV1336" t="inlineStr">
        <is>
          <t>90.9</t>
        </is>
      </c>
      <c r="AW1336" t="inlineStr">
        <is>
          <t>76</t>
        </is>
      </c>
      <c r="AX1336" t="inlineStr">
        <is>
          <t>89.7</t>
        </is>
      </c>
      <c r="AY1336" t="inlineStr">
        <is>
          <t>36</t>
        </is>
      </c>
      <c r="AZ1336" t="inlineStr">
        <is>
          <t>96.1</t>
        </is>
      </c>
      <c r="BA1336" t="inlineStr">
        <is>
          <t>44=</t>
        </is>
      </c>
    </row>
    <row r="1337">
      <c r="A1337" t="inlineStr">
        <is>
          <t>Universidade de São Paulo (USP)</t>
        </is>
      </c>
      <c r="B1337" t="inlineStr">
        <is>
          <t>Brazil</t>
        </is>
      </c>
      <c r="C1337" t="inlineStr"/>
      <c r="D1337" t="inlineStr">
        <is>
          <t>Americas</t>
        </is>
      </c>
      <c r="E1337" t="inlineStr">
        <is>
          <t>XL</t>
        </is>
      </c>
      <c r="F1337" t="inlineStr">
        <is>
          <t>FC</t>
        </is>
      </c>
      <c r="G1337" t="inlineStr">
        <is>
          <t>VH</t>
        </is>
      </c>
      <c r="H1337" t="inlineStr"/>
      <c r="I1337" t="inlineStr">
        <is>
          <t>Public</t>
        </is>
      </c>
      <c r="J1337" t="inlineStr">
        <is>
          <t>108</t>
        </is>
      </c>
      <c r="K1337" t="inlineStr">
        <is>
          <t>92</t>
        </is>
      </c>
      <c r="L1337" t="inlineStr"/>
      <c r="M1337" t="inlineStr"/>
      <c r="N1337" t="inlineStr">
        <is>
          <t>67.3</t>
        </is>
      </c>
      <c r="O1337" t="inlineStr"/>
      <c r="P1337" t="n">
        <v>97.3</v>
      </c>
      <c r="Q1337" t="inlineStr">
        <is>
          <t>40</t>
        </is>
      </c>
      <c r="R1337" t="n">
        <v>81</v>
      </c>
      <c r="S1337" t="inlineStr">
        <is>
          <t>102</t>
        </is>
      </c>
      <c r="T1337" t="n">
        <v>30.5</v>
      </c>
      <c r="U1337" t="inlineStr">
        <is>
          <t>623</t>
        </is>
      </c>
      <c r="V1337" t="n">
        <v>40.3</v>
      </c>
      <c r="W1337" t="inlineStr">
        <is>
          <t>467</t>
        </is>
      </c>
      <c r="X1337" t="n">
        <v>9.199999999999999</v>
      </c>
      <c r="Y1337" t="inlineStr">
        <is>
          <t>801+</t>
        </is>
      </c>
      <c r="Z1337" t="n">
        <v>3.5</v>
      </c>
      <c r="AA1337" t="inlineStr">
        <is>
          <t>801+</t>
        </is>
      </c>
      <c r="AB1337" t="n">
        <v>8.5</v>
      </c>
      <c r="AC1337" t="inlineStr">
        <is>
          <t>801+</t>
        </is>
      </c>
      <c r="AD1337" t="n">
        <v>95.3</v>
      </c>
      <c r="AE1337" t="inlineStr">
        <is>
          <t>76</t>
        </is>
      </c>
      <c r="AF1337" t="n">
        <v>98.8</v>
      </c>
      <c r="AG1337" t="inlineStr">
        <is>
          <t>31</t>
        </is>
      </c>
      <c r="AH1337" t="n">
        <v>89</v>
      </c>
      <c r="AI1337" t="inlineStr">
        <is>
          <t>70</t>
        </is>
      </c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</row>
    <row r="1338">
      <c r="A1338" t="inlineStr">
        <is>
          <t>Universidade de Vigo</t>
        </is>
      </c>
      <c r="B1338" t="inlineStr">
        <is>
          <t>Spain</t>
        </is>
      </c>
      <c r="C1338" t="inlineStr">
        <is>
          <t>ES</t>
        </is>
      </c>
      <c r="D1338" t="inlineStr">
        <is>
          <t>Europe</t>
        </is>
      </c>
      <c r="E1338" t="inlineStr">
        <is>
          <t>L</t>
        </is>
      </c>
      <c r="F1338" t="inlineStr">
        <is>
          <t>CO</t>
        </is>
      </c>
      <c r="G1338" t="inlineStr">
        <is>
          <t>VH</t>
        </is>
      </c>
      <c r="H1338" t="inlineStr">
        <is>
          <t>3</t>
        </is>
      </c>
      <c r="I1338" t="inlineStr">
        <is>
          <t>Public</t>
        </is>
      </c>
      <c r="J1338" t="inlineStr">
        <is>
          <t>851-900</t>
        </is>
      </c>
      <c r="K1338" t="inlineStr">
        <is>
          <t>901-950</t>
        </is>
      </c>
      <c r="L1338" t="inlineStr">
        <is>
          <t>901-950</t>
        </is>
      </c>
      <c r="M1338" t="inlineStr">
        <is>
          <t>1001-1200</t>
        </is>
      </c>
      <c r="N1338" t="inlineStr">
        <is>
          <t>-</t>
        </is>
      </c>
      <c r="O1338" t="inlineStr">
        <is>
          <t>-</t>
        </is>
      </c>
      <c r="P1338" t="n">
        <v>14</v>
      </c>
      <c r="Q1338" t="inlineStr">
        <is>
          <t>701+</t>
        </is>
      </c>
      <c r="R1338" t="n">
        <v>9.1</v>
      </c>
      <c r="S1338" t="inlineStr">
        <is>
          <t>701+</t>
        </is>
      </c>
      <c r="T1338" t="n">
        <v>15.4</v>
      </c>
      <c r="U1338" t="inlineStr">
        <is>
          <t>801+</t>
        </is>
      </c>
      <c r="V1338" t="n">
        <v>32.5</v>
      </c>
      <c r="W1338" t="inlineStr">
        <is>
          <t>555</t>
        </is>
      </c>
      <c r="X1338" t="n">
        <v>4.5</v>
      </c>
      <c r="Y1338" t="inlineStr">
        <is>
          <t>801+</t>
        </is>
      </c>
      <c r="Z1338" t="n">
        <v>11.4</v>
      </c>
      <c r="AA1338" t="inlineStr">
        <is>
          <t>801+</t>
        </is>
      </c>
      <c r="AB1338" t="n">
        <v>8.699999999999999</v>
      </c>
      <c r="AC1338" t="inlineStr">
        <is>
          <t>801+</t>
        </is>
      </c>
      <c r="AD1338" t="n">
        <v>81.5</v>
      </c>
      <c r="AE1338" t="inlineStr">
        <is>
          <t>323</t>
        </is>
      </c>
      <c r="AF1338" t="n">
        <v>5.1</v>
      </c>
      <c r="AG1338" t="inlineStr">
        <is>
          <t>801+</t>
        </is>
      </c>
      <c r="AH1338" t="n">
        <v>72.7</v>
      </c>
      <c r="AI1338" t="inlineStr">
        <is>
          <t>279</t>
        </is>
      </c>
      <c r="AJ1338" t="inlineStr">
        <is>
          <t>8.3</t>
        </is>
      </c>
      <c r="AK1338" t="inlineStr">
        <is>
          <t>601+</t>
        </is>
      </c>
      <c r="AL1338" t="inlineStr">
        <is>
          <t>5.4</t>
        </is>
      </c>
      <c r="AM1338" t="inlineStr">
        <is>
          <t>601+</t>
        </is>
      </c>
      <c r="AN1338" t="inlineStr">
        <is>
          <t>8.6</t>
        </is>
      </c>
      <c r="AO1338" t="inlineStr">
        <is>
          <t>701+</t>
        </is>
      </c>
      <c r="AP1338" t="inlineStr">
        <is>
          <t>17.0</t>
        </is>
      </c>
      <c r="AQ1338" t="inlineStr">
        <is>
          <t>603</t>
        </is>
      </c>
      <c r="AR1338" t="inlineStr">
        <is>
          <t>2.3</t>
        </is>
      </c>
      <c r="AS1338" t="inlineStr">
        <is>
          <t>701+</t>
        </is>
      </c>
      <c r="AT1338" t="inlineStr">
        <is>
          <t>4.1</t>
        </is>
      </c>
      <c r="AU1338" t="inlineStr">
        <is>
          <t>701+</t>
        </is>
      </c>
      <c r="AV1338" t="inlineStr">
        <is>
          <t>35.3</t>
        </is>
      </c>
      <c r="AW1338" t="inlineStr">
        <is>
          <t>417</t>
        </is>
      </c>
      <c r="AX1338" t="inlineStr">
        <is>
          <t>7</t>
        </is>
      </c>
      <c r="AY1338" t="inlineStr">
        <is>
          <t>701+</t>
        </is>
      </c>
      <c r="AZ1338" t="inlineStr">
        <is>
          <t>42.6</t>
        </is>
      </c>
      <c r="BA1338" t="inlineStr">
        <is>
          <t>345=</t>
        </is>
      </c>
    </row>
    <row r="1339">
      <c r="A1339" t="inlineStr">
        <is>
          <t>Universidade do Estado de Santa Catarina</t>
        </is>
      </c>
      <c r="B1339" t="inlineStr">
        <is>
          <t>Brazil</t>
        </is>
      </c>
      <c r="C1339" t="inlineStr">
        <is>
          <t>BR</t>
        </is>
      </c>
      <c r="D1339" t="inlineStr"/>
      <c r="E1339" t="inlineStr">
        <is>
          <t>XL</t>
        </is>
      </c>
      <c r="F1339" t="inlineStr">
        <is>
          <t>CO</t>
        </is>
      </c>
      <c r="G1339" t="inlineStr">
        <is>
          <t>HI</t>
        </is>
      </c>
      <c r="H1339" t="inlineStr">
        <is>
          <t>4</t>
        </is>
      </c>
      <c r="I1339" t="inlineStr">
        <is>
          <t>A</t>
        </is>
      </c>
      <c r="J1339" t="inlineStr"/>
      <c r="K1339" t="inlineStr"/>
      <c r="L1339" t="inlineStr">
        <is>
          <t>1401+</t>
        </is>
      </c>
      <c r="M1339" t="inlineStr">
        <is>
          <t>1201-1400</t>
        </is>
      </c>
      <c r="N1339" t="inlineStr"/>
      <c r="O1339" t="inlineStr">
        <is>
          <t>-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>
        <is>
          <t>3.9</t>
        </is>
      </c>
      <c r="AK1339" t="inlineStr">
        <is>
          <t>601+</t>
        </is>
      </c>
      <c r="AL1339" t="inlineStr">
        <is>
          <t>1.3</t>
        </is>
      </c>
      <c r="AM1339" t="inlineStr">
        <is>
          <t>601+</t>
        </is>
      </c>
      <c r="AN1339" t="inlineStr">
        <is>
          <t>20.2</t>
        </is>
      </c>
      <c r="AO1339" t="inlineStr">
        <is>
          <t>660</t>
        </is>
      </c>
      <c r="AP1339" t="inlineStr">
        <is>
          <t>1.6</t>
        </is>
      </c>
      <c r="AQ1339" t="inlineStr">
        <is>
          <t>701+</t>
        </is>
      </c>
      <c r="AR1339" t="inlineStr"/>
      <c r="AS1339" t="inlineStr"/>
      <c r="AT1339" t="inlineStr"/>
      <c r="AU1339" t="inlineStr"/>
      <c r="AV1339" t="inlineStr">
        <is>
          <t>1.0</t>
        </is>
      </c>
      <c r="AW1339" t="inlineStr">
        <is>
          <t>701+</t>
        </is>
      </c>
      <c r="AX1339" t="inlineStr">
        <is>
          <t>5.1</t>
        </is>
      </c>
      <c r="AY1339" t="inlineStr">
        <is>
          <t>701+</t>
        </is>
      </c>
      <c r="AZ1339" t="inlineStr">
        <is>
          <t>1</t>
        </is>
      </c>
      <c r="BA1339" t="inlineStr">
        <is>
          <t>701+</t>
        </is>
      </c>
    </row>
    <row r="1340">
      <c r="A1340" t="inlineStr">
        <is>
          <t>Universidade do Estado do Rio de Janeiro (UERJ)</t>
        </is>
      </c>
      <c r="B1340" t="inlineStr">
        <is>
          <t>Brazil</t>
        </is>
      </c>
      <c r="C1340" t="inlineStr">
        <is>
          <t>BR</t>
        </is>
      </c>
      <c r="D1340" t="inlineStr">
        <is>
          <t>Americas</t>
        </is>
      </c>
      <c r="E1340" t="inlineStr">
        <is>
          <t>XL</t>
        </is>
      </c>
      <c r="F1340" t="inlineStr">
        <is>
          <t>FC</t>
        </is>
      </c>
      <c r="G1340" t="inlineStr">
        <is>
          <t>HI</t>
        </is>
      </c>
      <c r="H1340" t="inlineStr">
        <is>
          <t>4</t>
        </is>
      </c>
      <c r="I1340" t="inlineStr">
        <is>
          <t>Public</t>
        </is>
      </c>
      <c r="J1340" t="inlineStr">
        <is>
          <t>1201-1400</t>
        </is>
      </c>
      <c r="K1340" t="inlineStr">
        <is>
          <t>1201-1400</t>
        </is>
      </c>
      <c r="L1340" t="inlineStr">
        <is>
          <t>1201-1400</t>
        </is>
      </c>
      <c r="M1340" t="inlineStr">
        <is>
          <t>1001-1200</t>
        </is>
      </c>
      <c r="N1340" t="inlineStr">
        <is>
          <t>-</t>
        </is>
      </c>
      <c r="O1340" t="inlineStr">
        <is>
          <t>-</t>
        </is>
      </c>
      <c r="P1340" t="n">
        <v>13.2</v>
      </c>
      <c r="Q1340" t="inlineStr">
        <is>
          <t>701+</t>
        </is>
      </c>
      <c r="R1340" t="n">
        <v>6.5</v>
      </c>
      <c r="S1340" t="inlineStr">
        <is>
          <t>701+</t>
        </is>
      </c>
      <c r="T1340" t="n">
        <v>22.6</v>
      </c>
      <c r="U1340" t="inlineStr">
        <is>
          <t>780</t>
        </is>
      </c>
      <c r="V1340" t="n">
        <v>4</v>
      </c>
      <c r="W1340" t="inlineStr">
        <is>
          <t>801+</t>
        </is>
      </c>
      <c r="X1340" t="n">
        <v>4.8</v>
      </c>
      <c r="Y1340" t="inlineStr">
        <is>
          <t>801+</t>
        </is>
      </c>
      <c r="Z1340" t="n">
        <v>1.4</v>
      </c>
      <c r="AA1340" t="inlineStr">
        <is>
          <t>801+</t>
        </is>
      </c>
      <c r="AB1340" t="n">
        <v>1.3</v>
      </c>
      <c r="AC1340" t="inlineStr">
        <is>
          <t>801+</t>
        </is>
      </c>
      <c r="AD1340" t="n">
        <v>48</v>
      </c>
      <c r="AE1340" t="inlineStr">
        <is>
          <t>801+</t>
        </is>
      </c>
      <c r="AF1340" t="n">
        <v>22.6</v>
      </c>
      <c r="AG1340" t="inlineStr">
        <is>
          <t>680</t>
        </is>
      </c>
      <c r="AH1340" t="n">
        <v>31.8</v>
      </c>
      <c r="AI1340" t="inlineStr">
        <is>
          <t>801+</t>
        </is>
      </c>
      <c r="AJ1340" t="inlineStr">
        <is>
          <t>9.4</t>
        </is>
      </c>
      <c r="AK1340" t="inlineStr">
        <is>
          <t>601+</t>
        </is>
      </c>
      <c r="AL1340" t="inlineStr">
        <is>
          <t>4.0</t>
        </is>
      </c>
      <c r="AM1340" t="inlineStr">
        <is>
          <t>601+</t>
        </is>
      </c>
      <c r="AN1340" t="inlineStr">
        <is>
          <t>17.6</t>
        </is>
      </c>
      <c r="AO1340" t="inlineStr">
        <is>
          <t>701+</t>
        </is>
      </c>
      <c r="AP1340" t="inlineStr">
        <is>
          <t>2.6</t>
        </is>
      </c>
      <c r="AQ1340" t="inlineStr">
        <is>
          <t>701+</t>
        </is>
      </c>
      <c r="AR1340" t="inlineStr">
        <is>
          <t>3.8</t>
        </is>
      </c>
      <c r="AS1340" t="inlineStr">
        <is>
          <t>701+</t>
        </is>
      </c>
      <c r="AT1340" t="inlineStr">
        <is>
          <t>1.2</t>
        </is>
      </c>
      <c r="AU1340" t="inlineStr">
        <is>
          <t>701+</t>
        </is>
      </c>
      <c r="AV1340" t="inlineStr">
        <is>
          <t>5.7</t>
        </is>
      </c>
      <c r="AW1340" t="inlineStr">
        <is>
          <t>701+</t>
        </is>
      </c>
      <c r="AX1340" t="inlineStr">
        <is>
          <t>7.6</t>
        </is>
      </c>
      <c r="AY1340" t="inlineStr">
        <is>
          <t>701+</t>
        </is>
      </c>
      <c r="AZ1340" t="inlineStr">
        <is>
          <t>2.4</t>
        </is>
      </c>
      <c r="BA1340" t="inlineStr">
        <is>
          <t>701+</t>
        </is>
      </c>
    </row>
    <row r="1341">
      <c r="A1341" t="inlineStr">
        <is>
          <t>Universidade Estadual de Campinas (Unicamp)</t>
        </is>
      </c>
      <c r="B1341" t="inlineStr">
        <is>
          <t>Brazil</t>
        </is>
      </c>
      <c r="C1341" t="inlineStr">
        <is>
          <t>BR</t>
        </is>
      </c>
      <c r="D1341" t="inlineStr">
        <is>
          <t>Americas</t>
        </is>
      </c>
      <c r="E1341" t="inlineStr">
        <is>
          <t>XL</t>
        </is>
      </c>
      <c r="F1341" t="inlineStr">
        <is>
          <t>FC</t>
        </is>
      </c>
      <c r="G1341" t="inlineStr">
        <is>
          <t>VH</t>
        </is>
      </c>
      <c r="H1341" t="inlineStr">
        <is>
          <t>4</t>
        </is>
      </c>
      <c r="I1341" t="inlineStr">
        <is>
          <t>Public</t>
        </is>
      </c>
      <c r="J1341" t="inlineStr">
        <is>
          <t>233</t>
        </is>
      </c>
      <c r="K1341" t="inlineStr">
        <is>
          <t>232</t>
        </is>
      </c>
      <c r="L1341">
        <f>220</f>
        <v/>
      </c>
      <c r="M1341" t="inlineStr">
        <is>
          <t>210=</t>
        </is>
      </c>
      <c r="N1341" t="inlineStr">
        <is>
          <t>52.1</t>
        </is>
      </c>
      <c r="O1341" t="inlineStr">
        <is>
          <t>42.7</t>
        </is>
      </c>
      <c r="P1341" t="n">
        <v>81.7</v>
      </c>
      <c r="Q1341" t="inlineStr">
        <is>
          <t>91</t>
        </is>
      </c>
      <c r="R1341" t="n">
        <v>50.9</v>
      </c>
      <c r="S1341" t="inlineStr">
        <is>
          <t>247</t>
        </is>
      </c>
      <c r="T1341" t="n">
        <v>22.1</v>
      </c>
      <c r="U1341" t="inlineStr">
        <is>
          <t>788</t>
        </is>
      </c>
      <c r="V1341" t="n">
        <v>37.2</v>
      </c>
      <c r="W1341" t="inlineStr">
        <is>
          <t>500</t>
        </is>
      </c>
      <c r="X1341" t="n">
        <v>15.1</v>
      </c>
      <c r="Y1341" t="inlineStr">
        <is>
          <t>801+</t>
        </is>
      </c>
      <c r="Z1341" t="n">
        <v>4</v>
      </c>
      <c r="AA1341" t="inlineStr">
        <is>
          <t>801+</t>
        </is>
      </c>
      <c r="AB1341" t="n">
        <v>8.699999999999999</v>
      </c>
      <c r="AC1341" t="inlineStr">
        <is>
          <t>801+</t>
        </is>
      </c>
      <c r="AD1341" t="n">
        <v>84.5</v>
      </c>
      <c r="AE1341" t="inlineStr">
        <is>
          <t>265</t>
        </is>
      </c>
      <c r="AF1341" t="n">
        <v>32.5</v>
      </c>
      <c r="AG1341" t="inlineStr">
        <is>
          <t>521</t>
        </is>
      </c>
      <c r="AH1341" t="n">
        <v>79.5</v>
      </c>
      <c r="AI1341" t="inlineStr">
        <is>
          <t>180=</t>
        </is>
      </c>
      <c r="AJ1341" t="inlineStr">
        <is>
          <t>70.3</t>
        </is>
      </c>
      <c r="AK1341" t="inlineStr">
        <is>
          <t>90</t>
        </is>
      </c>
      <c r="AL1341" t="inlineStr">
        <is>
          <t>50.1</t>
        </is>
      </c>
      <c r="AM1341" t="inlineStr">
        <is>
          <t>169</t>
        </is>
      </c>
      <c r="AN1341" t="inlineStr">
        <is>
          <t>13.0</t>
        </is>
      </c>
      <c r="AO1341" t="inlineStr">
        <is>
          <t>701+</t>
        </is>
      </c>
      <c r="AP1341" t="inlineStr">
        <is>
          <t>24.9</t>
        </is>
      </c>
      <c r="AQ1341" t="inlineStr">
        <is>
          <t>489</t>
        </is>
      </c>
      <c r="AR1341" t="inlineStr">
        <is>
          <t>11.7</t>
        </is>
      </c>
      <c r="AS1341" t="inlineStr">
        <is>
          <t>701+</t>
        </is>
      </c>
      <c r="AT1341" t="inlineStr">
        <is>
          <t>2.9</t>
        </is>
      </c>
      <c r="AU1341" t="inlineStr">
        <is>
          <t>701+</t>
        </is>
      </c>
      <c r="AV1341" t="inlineStr">
        <is>
          <t>53.7</t>
        </is>
      </c>
      <c r="AW1341" t="inlineStr">
        <is>
          <t>294</t>
        </is>
      </c>
      <c r="AX1341" t="inlineStr">
        <is>
          <t>9.6</t>
        </is>
      </c>
      <c r="AY1341" t="inlineStr">
        <is>
          <t>701+</t>
        </is>
      </c>
      <c r="AZ1341" t="inlineStr">
        <is>
          <t>74.8</t>
        </is>
      </c>
      <c r="BA1341" t="inlineStr">
        <is>
          <t>177=</t>
        </is>
      </c>
    </row>
    <row r="1342">
      <c r="A1342" t="inlineStr">
        <is>
          <t>Universidade Estadual de Londrina</t>
        </is>
      </c>
      <c r="B1342" t="inlineStr">
        <is>
          <t>Brazil</t>
        </is>
      </c>
      <c r="C1342" t="inlineStr">
        <is>
          <t>BR</t>
        </is>
      </c>
      <c r="D1342" t="inlineStr"/>
      <c r="E1342" t="inlineStr">
        <is>
          <t>L</t>
        </is>
      </c>
      <c r="F1342" t="inlineStr">
        <is>
          <t>FC</t>
        </is>
      </c>
      <c r="G1342" t="inlineStr">
        <is>
          <t>HI</t>
        </is>
      </c>
      <c r="H1342" t="inlineStr">
        <is>
          <t>4</t>
        </is>
      </c>
      <c r="I1342" t="inlineStr">
        <is>
          <t>A</t>
        </is>
      </c>
      <c r="J1342" t="inlineStr"/>
      <c r="K1342" t="inlineStr"/>
      <c r="L1342" t="inlineStr">
        <is>
          <t>1401+</t>
        </is>
      </c>
      <c r="M1342" t="inlineStr">
        <is>
          <t>1201-1400</t>
        </is>
      </c>
      <c r="N1342" t="inlineStr"/>
      <c r="O1342" t="inlineStr">
        <is>
          <t>-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>
        <is>
          <t>3.5</t>
        </is>
      </c>
      <c r="AK1342" t="inlineStr">
        <is>
          <t>601+</t>
        </is>
      </c>
      <c r="AL1342" t="inlineStr">
        <is>
          <t>2.5</t>
        </is>
      </c>
      <c r="AM1342" t="inlineStr">
        <is>
          <t>601+</t>
        </is>
      </c>
      <c r="AN1342" t="inlineStr">
        <is>
          <t>13.4</t>
        </is>
      </c>
      <c r="AO1342" t="inlineStr">
        <is>
          <t>701+</t>
        </is>
      </c>
      <c r="AP1342" t="inlineStr">
        <is>
          <t>3.5</t>
        </is>
      </c>
      <c r="AQ1342" t="inlineStr">
        <is>
          <t>701+</t>
        </is>
      </c>
      <c r="AR1342" t="inlineStr">
        <is>
          <t>2.2</t>
        </is>
      </c>
      <c r="AS1342" t="inlineStr">
        <is>
          <t>701+</t>
        </is>
      </c>
      <c r="AT1342" t="inlineStr">
        <is>
          <t>1.3</t>
        </is>
      </c>
      <c r="AU1342" t="inlineStr">
        <is>
          <t>701+</t>
        </is>
      </c>
      <c r="AV1342" t="inlineStr">
        <is>
          <t>1.1</t>
        </is>
      </c>
      <c r="AW1342" t="inlineStr">
        <is>
          <t>701+</t>
        </is>
      </c>
      <c r="AX1342" t="inlineStr">
        <is>
          <t>3.8</t>
        </is>
      </c>
      <c r="AY1342" t="inlineStr">
        <is>
          <t>701+</t>
        </is>
      </c>
      <c r="AZ1342" t="inlineStr">
        <is>
          <t>3.4</t>
        </is>
      </c>
      <c r="BA1342" t="inlineStr">
        <is>
          <t>701+</t>
        </is>
      </c>
    </row>
    <row r="1343">
      <c r="A1343" t="inlineStr">
        <is>
          <t>Universidade Estadual Paulista "Júlio de Mesquita Filho" (UNESP)</t>
        </is>
      </c>
      <c r="B1343" t="inlineStr">
        <is>
          <t>Brazil</t>
        </is>
      </c>
      <c r="C1343" t="inlineStr"/>
      <c r="D1343" t="inlineStr">
        <is>
          <t>Americas</t>
        </is>
      </c>
      <c r="E1343" t="inlineStr">
        <is>
          <t>XL</t>
        </is>
      </c>
      <c r="F1343" t="inlineStr">
        <is>
          <t>FC</t>
        </is>
      </c>
      <c r="G1343" t="inlineStr">
        <is>
          <t>VH</t>
        </is>
      </c>
      <c r="H1343" t="inlineStr"/>
      <c r="I1343" t="inlineStr">
        <is>
          <t>Public</t>
        </is>
      </c>
      <c r="J1343" t="inlineStr">
        <is>
          <t>450</t>
        </is>
      </c>
      <c r="K1343" t="inlineStr">
        <is>
          <t>489</t>
        </is>
      </c>
      <c r="L1343" t="inlineStr"/>
      <c r="M1343" t="inlineStr"/>
      <c r="N1343" t="inlineStr">
        <is>
          <t>34.3</t>
        </is>
      </c>
      <c r="O1343" t="inlineStr"/>
      <c r="P1343" t="n">
        <v>53.3</v>
      </c>
      <c r="Q1343" t="inlineStr">
        <is>
          <t>207</t>
        </is>
      </c>
      <c r="R1343" t="n">
        <v>36.8</v>
      </c>
      <c r="S1343" t="inlineStr">
        <is>
          <t>387</t>
        </is>
      </c>
      <c r="T1343" t="n">
        <v>20.1</v>
      </c>
      <c r="U1343" t="inlineStr">
        <is>
          <t>801+</t>
        </is>
      </c>
      <c r="V1343" t="n">
        <v>22.2</v>
      </c>
      <c r="W1343" t="inlineStr">
        <is>
          <t>683</t>
        </is>
      </c>
      <c r="X1343" t="n">
        <v>7.4</v>
      </c>
      <c r="Y1343" t="inlineStr">
        <is>
          <t>801+</t>
        </is>
      </c>
      <c r="Z1343" t="n">
        <v>5.3</v>
      </c>
      <c r="AA1343" t="inlineStr">
        <is>
          <t>801+</t>
        </is>
      </c>
      <c r="AB1343" t="n">
        <v>10.1</v>
      </c>
      <c r="AC1343" t="inlineStr">
        <is>
          <t>801+</t>
        </is>
      </c>
      <c r="AD1343" t="n">
        <v>73.59999999999999</v>
      </c>
      <c r="AE1343" t="inlineStr">
        <is>
          <t>480</t>
        </is>
      </c>
      <c r="AF1343" t="n">
        <v>1.6</v>
      </c>
      <c r="AG1343" t="inlineStr">
        <is>
          <t>801+</t>
        </is>
      </c>
      <c r="AH1343" t="n">
        <v>58.5</v>
      </c>
      <c r="AI1343" t="inlineStr">
        <is>
          <t>534=</t>
        </is>
      </c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</row>
    <row r="1344">
      <c r="A1344" t="inlineStr">
        <is>
          <t>Universidade Federal da Bahia</t>
        </is>
      </c>
      <c r="B1344" t="inlineStr">
        <is>
          <t>Brazil</t>
        </is>
      </c>
      <c r="C1344" t="inlineStr">
        <is>
          <t>BR</t>
        </is>
      </c>
      <c r="D1344" t="inlineStr">
        <is>
          <t>Americas</t>
        </is>
      </c>
      <c r="E1344" t="inlineStr">
        <is>
          <t>XL</t>
        </is>
      </c>
      <c r="F1344" t="inlineStr">
        <is>
          <t>FC</t>
        </is>
      </c>
      <c r="G1344" t="inlineStr">
        <is>
          <t>HI</t>
        </is>
      </c>
      <c r="H1344" t="inlineStr">
        <is>
          <t>4</t>
        </is>
      </c>
      <c r="I1344" t="inlineStr">
        <is>
          <t>Public</t>
        </is>
      </c>
      <c r="J1344" t="inlineStr">
        <is>
          <t>1201-1400</t>
        </is>
      </c>
      <c r="K1344" t="inlineStr">
        <is>
          <t>1201-1400</t>
        </is>
      </c>
      <c r="L1344" t="inlineStr">
        <is>
          <t>1201-1400</t>
        </is>
      </c>
      <c r="M1344" t="inlineStr">
        <is>
          <t>1201-1400</t>
        </is>
      </c>
      <c r="N1344" t="inlineStr">
        <is>
          <t>-</t>
        </is>
      </c>
      <c r="O1344" t="inlineStr">
        <is>
          <t>-</t>
        </is>
      </c>
      <c r="P1344" t="n">
        <v>13.5</v>
      </c>
      <c r="Q1344" t="inlineStr">
        <is>
          <t>701+</t>
        </is>
      </c>
      <c r="R1344" t="n">
        <v>5</v>
      </c>
      <c r="S1344" t="inlineStr">
        <is>
          <t>701+</t>
        </is>
      </c>
      <c r="T1344" t="n">
        <v>11.8</v>
      </c>
      <c r="U1344" t="inlineStr">
        <is>
          <t>801+</t>
        </is>
      </c>
      <c r="V1344" t="n">
        <v>5.7</v>
      </c>
      <c r="W1344" t="inlineStr">
        <is>
          <t>801+</t>
        </is>
      </c>
      <c r="X1344" t="n">
        <v>6.9</v>
      </c>
      <c r="Y1344" t="inlineStr">
        <is>
          <t>801+</t>
        </is>
      </c>
      <c r="Z1344" t="n">
        <v>2</v>
      </c>
      <c r="AA1344" t="inlineStr">
        <is>
          <t>801+</t>
        </is>
      </c>
      <c r="AB1344" t="n">
        <v>1.8</v>
      </c>
      <c r="AC1344" t="inlineStr">
        <is>
          <t>801+</t>
        </is>
      </c>
      <c r="AD1344" t="n">
        <v>48.7</v>
      </c>
      <c r="AE1344" t="inlineStr">
        <is>
          <t>801+</t>
        </is>
      </c>
      <c r="AF1344" t="n">
        <v>20.6</v>
      </c>
      <c r="AG1344" t="inlineStr">
        <is>
          <t>715</t>
        </is>
      </c>
      <c r="AH1344" t="n">
        <v>41.4</v>
      </c>
      <c r="AI1344" t="inlineStr">
        <is>
          <t>801+</t>
        </is>
      </c>
      <c r="AJ1344" t="inlineStr">
        <is>
          <t>9.1</t>
        </is>
      </c>
      <c r="AK1344" t="inlineStr">
        <is>
          <t>601+</t>
        </is>
      </c>
      <c r="AL1344" t="inlineStr">
        <is>
          <t>2.4</t>
        </is>
      </c>
      <c r="AM1344" t="inlineStr">
        <is>
          <t>601+</t>
        </is>
      </c>
      <c r="AN1344" t="inlineStr">
        <is>
          <t>8.9</t>
        </is>
      </c>
      <c r="AO1344" t="inlineStr">
        <is>
          <t>701+</t>
        </is>
      </c>
      <c r="AP1344" t="inlineStr">
        <is>
          <t>3.1</t>
        </is>
      </c>
      <c r="AQ1344" t="inlineStr">
        <is>
          <t>701+</t>
        </is>
      </c>
      <c r="AR1344" t="inlineStr">
        <is>
          <t>5.4</t>
        </is>
      </c>
      <c r="AS1344" t="inlineStr">
        <is>
          <t>701+</t>
        </is>
      </c>
      <c r="AT1344" t="inlineStr">
        <is>
          <t>1.5</t>
        </is>
      </c>
      <c r="AU1344" t="inlineStr">
        <is>
          <t>701+</t>
        </is>
      </c>
      <c r="AV1344" t="inlineStr">
        <is>
          <t>4.3</t>
        </is>
      </c>
      <c r="AW1344" t="inlineStr">
        <is>
          <t>701+</t>
        </is>
      </c>
      <c r="AX1344" t="inlineStr">
        <is>
          <t>8.1</t>
        </is>
      </c>
      <c r="AY1344" t="inlineStr">
        <is>
          <t>701+</t>
        </is>
      </c>
      <c r="AZ1344" t="inlineStr">
        <is>
          <t>4.4</t>
        </is>
      </c>
      <c r="BA1344" t="inlineStr">
        <is>
          <t>701+</t>
        </is>
      </c>
    </row>
    <row r="1345">
      <c r="A1345" t="inlineStr">
        <is>
          <t>Universidade Federal da Paraíba</t>
        </is>
      </c>
      <c r="B1345" t="inlineStr">
        <is>
          <t>Brazil</t>
        </is>
      </c>
      <c r="C1345" t="inlineStr">
        <is>
          <t>BR</t>
        </is>
      </c>
      <c r="D1345" t="inlineStr"/>
      <c r="E1345" t="inlineStr">
        <is>
          <t>XL</t>
        </is>
      </c>
      <c r="F1345" t="inlineStr">
        <is>
          <t>CO</t>
        </is>
      </c>
      <c r="G1345" t="inlineStr">
        <is>
          <t>VH</t>
        </is>
      </c>
      <c r="H1345" t="inlineStr">
        <is>
          <t>4</t>
        </is>
      </c>
      <c r="I1345" t="inlineStr">
        <is>
          <t>A</t>
        </is>
      </c>
      <c r="J1345" t="inlineStr"/>
      <c r="K1345" t="inlineStr"/>
      <c r="L1345" t="inlineStr">
        <is>
          <t>1401+</t>
        </is>
      </c>
      <c r="M1345" t="inlineStr">
        <is>
          <t>1201-1400</t>
        </is>
      </c>
      <c r="N1345" t="inlineStr"/>
      <c r="O1345" t="inlineStr">
        <is>
          <t>-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>
        <is>
          <t>4.1</t>
        </is>
      </c>
      <c r="AK1345" t="inlineStr">
        <is>
          <t>601+</t>
        </is>
      </c>
      <c r="AL1345" t="inlineStr">
        <is>
          <t>2.7</t>
        </is>
      </c>
      <c r="AM1345" t="inlineStr">
        <is>
          <t>601+</t>
        </is>
      </c>
      <c r="AN1345" t="inlineStr">
        <is>
          <t>8.7</t>
        </is>
      </c>
      <c r="AO1345" t="inlineStr">
        <is>
          <t>701+</t>
        </is>
      </c>
      <c r="AP1345" t="inlineStr">
        <is>
          <t>3.1</t>
        </is>
      </c>
      <c r="AQ1345" t="inlineStr">
        <is>
          <t>701+</t>
        </is>
      </c>
      <c r="AR1345" t="inlineStr">
        <is>
          <t>2.7</t>
        </is>
      </c>
      <c r="AS1345" t="inlineStr">
        <is>
          <t>701+</t>
        </is>
      </c>
      <c r="AT1345" t="inlineStr">
        <is>
          <t>1.1</t>
        </is>
      </c>
      <c r="AU1345" t="inlineStr">
        <is>
          <t>701+</t>
        </is>
      </c>
      <c r="AV1345" t="inlineStr">
        <is>
          <t>3.3</t>
        </is>
      </c>
      <c r="AW1345" t="inlineStr">
        <is>
          <t>701+</t>
        </is>
      </c>
      <c r="AX1345" t="inlineStr">
        <is>
          <t>3.8</t>
        </is>
      </c>
      <c r="AY1345" t="inlineStr">
        <is>
          <t>701+</t>
        </is>
      </c>
      <c r="AZ1345" t="inlineStr">
        <is>
          <t>1.4</t>
        </is>
      </c>
      <c r="BA1345" t="inlineStr">
        <is>
          <t>701+</t>
        </is>
      </c>
    </row>
    <row r="1346">
      <c r="A1346" t="inlineStr">
        <is>
          <t>Universidade Federal de Goiás</t>
        </is>
      </c>
      <c r="B1346" t="inlineStr">
        <is>
          <t>Brazil</t>
        </is>
      </c>
      <c r="C1346" t="inlineStr">
        <is>
          <t>BR</t>
        </is>
      </c>
      <c r="D1346" t="inlineStr"/>
      <c r="E1346" t="inlineStr">
        <is>
          <t>XL</t>
        </is>
      </c>
      <c r="F1346" t="inlineStr">
        <is>
          <t>CO</t>
        </is>
      </c>
      <c r="G1346" t="inlineStr">
        <is>
          <t>VH</t>
        </is>
      </c>
      <c r="H1346" t="inlineStr">
        <is>
          <t>4</t>
        </is>
      </c>
      <c r="I1346" t="inlineStr">
        <is>
          <t>A</t>
        </is>
      </c>
      <c r="J1346" t="inlineStr"/>
      <c r="K1346" t="inlineStr"/>
      <c r="L1346" t="inlineStr">
        <is>
          <t>1401+</t>
        </is>
      </c>
      <c r="M1346" t="inlineStr">
        <is>
          <t>1201-1400</t>
        </is>
      </c>
      <c r="N1346" t="inlineStr"/>
      <c r="O1346" t="inlineStr">
        <is>
          <t>-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>
        <is>
          <t>3.6</t>
        </is>
      </c>
      <c r="AK1346" t="inlineStr">
        <is>
          <t>601+</t>
        </is>
      </c>
      <c r="AL1346" t="inlineStr">
        <is>
          <t>1.6</t>
        </is>
      </c>
      <c r="AM1346" t="inlineStr">
        <is>
          <t>601+</t>
        </is>
      </c>
      <c r="AN1346" t="inlineStr">
        <is>
          <t>7.1</t>
        </is>
      </c>
      <c r="AO1346" t="inlineStr">
        <is>
          <t>701+</t>
        </is>
      </c>
      <c r="AP1346" t="inlineStr">
        <is>
          <t>4.2</t>
        </is>
      </c>
      <c r="AQ1346" t="inlineStr">
        <is>
          <t>701+</t>
        </is>
      </c>
      <c r="AR1346" t="inlineStr">
        <is>
          <t>3.7</t>
        </is>
      </c>
      <c r="AS1346" t="inlineStr">
        <is>
          <t>701+</t>
        </is>
      </c>
      <c r="AT1346" t="inlineStr">
        <is>
          <t>1.3</t>
        </is>
      </c>
      <c r="AU1346" t="inlineStr">
        <is>
          <t>701+</t>
        </is>
      </c>
      <c r="AV1346" t="inlineStr">
        <is>
          <t>1.5</t>
        </is>
      </c>
      <c r="AW1346" t="inlineStr">
        <is>
          <t>701+</t>
        </is>
      </c>
      <c r="AX1346" t="inlineStr">
        <is>
          <t>3.8</t>
        </is>
      </c>
      <c r="AY1346" t="inlineStr">
        <is>
          <t>701+</t>
        </is>
      </c>
      <c r="AZ1346" t="inlineStr">
        <is>
          <t>1.4</t>
        </is>
      </c>
      <c r="BA1346" t="inlineStr">
        <is>
          <t>701+</t>
        </is>
      </c>
    </row>
    <row r="1347">
      <c r="A1347" t="inlineStr">
        <is>
          <t>Universidade Federal de Juiz de Fora- (UFJF)</t>
        </is>
      </c>
      <c r="B1347" t="inlineStr">
        <is>
          <t>Brazil</t>
        </is>
      </c>
      <c r="C1347" t="inlineStr">
        <is>
          <t>BR</t>
        </is>
      </c>
      <c r="D1347" t="inlineStr"/>
      <c r="E1347" t="inlineStr">
        <is>
          <t>L</t>
        </is>
      </c>
      <c r="F1347" t="inlineStr">
        <is>
          <t>CO</t>
        </is>
      </c>
      <c r="G1347" t="inlineStr">
        <is>
          <t>HI</t>
        </is>
      </c>
      <c r="H1347" t="inlineStr">
        <is>
          <t>4</t>
        </is>
      </c>
      <c r="I1347" t="inlineStr">
        <is>
          <t>A</t>
        </is>
      </c>
      <c r="J1347" t="inlineStr"/>
      <c r="K1347" t="inlineStr"/>
      <c r="L1347" t="inlineStr">
        <is>
          <t>1201-1400</t>
        </is>
      </c>
      <c r="M1347" t="inlineStr">
        <is>
          <t>1001-1200</t>
        </is>
      </c>
      <c r="N1347" t="inlineStr"/>
      <c r="O1347" t="inlineStr">
        <is>
          <t>-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>
        <is>
          <t>3.6</t>
        </is>
      </c>
      <c r="AK1347" t="inlineStr">
        <is>
          <t>601+</t>
        </is>
      </c>
      <c r="AL1347" t="inlineStr">
        <is>
          <t>2.3</t>
        </is>
      </c>
      <c r="AM1347" t="inlineStr">
        <is>
          <t>601+</t>
        </is>
      </c>
      <c r="AN1347" t="inlineStr">
        <is>
          <t>31.4</t>
        </is>
      </c>
      <c r="AO1347" t="inlineStr">
        <is>
          <t>501</t>
        </is>
      </c>
      <c r="AP1347" t="inlineStr">
        <is>
          <t>3.0</t>
        </is>
      </c>
      <c r="AQ1347" t="inlineStr">
        <is>
          <t>701+</t>
        </is>
      </c>
      <c r="AR1347" t="inlineStr"/>
      <c r="AS1347" t="inlineStr"/>
      <c r="AT1347" t="inlineStr"/>
      <c r="AU1347" t="inlineStr"/>
      <c r="AV1347" t="inlineStr">
        <is>
          <t>1.4</t>
        </is>
      </c>
      <c r="AW1347" t="inlineStr">
        <is>
          <t>701+</t>
        </is>
      </c>
      <c r="AX1347" t="inlineStr">
        <is>
          <t>3.8</t>
        </is>
      </c>
      <c r="AY1347" t="inlineStr">
        <is>
          <t>701+</t>
        </is>
      </c>
      <c r="AZ1347" t="inlineStr">
        <is>
          <t>1</t>
        </is>
      </c>
      <c r="BA1347" t="inlineStr">
        <is>
          <t>701+</t>
        </is>
      </c>
    </row>
    <row r="1348">
      <c r="A1348" t="inlineStr">
        <is>
          <t>Universidade Federal de Minas Gerais</t>
        </is>
      </c>
      <c r="B1348" t="inlineStr">
        <is>
          <t>Brazil</t>
        </is>
      </c>
      <c r="C1348" t="inlineStr">
        <is>
          <t>BR</t>
        </is>
      </c>
      <c r="D1348" t="inlineStr">
        <is>
          <t>Americas</t>
        </is>
      </c>
      <c r="E1348" t="inlineStr">
        <is>
          <t>XL</t>
        </is>
      </c>
      <c r="F1348" t="inlineStr">
        <is>
          <t>FC</t>
        </is>
      </c>
      <c r="G1348" t="inlineStr">
        <is>
          <t>VH</t>
        </is>
      </c>
      <c r="H1348" t="inlineStr">
        <is>
          <t>5</t>
        </is>
      </c>
      <c r="I1348" t="inlineStr">
        <is>
          <t>Public</t>
        </is>
      </c>
      <c r="J1348" t="inlineStr">
        <is>
          <t>595</t>
        </is>
      </c>
      <c r="K1348" t="inlineStr">
        <is>
          <t>671-680</t>
        </is>
      </c>
      <c r="L1348" t="inlineStr">
        <is>
          <t>691-700</t>
        </is>
      </c>
      <c r="M1348" t="inlineStr">
        <is>
          <t>701-750</t>
        </is>
      </c>
      <c r="N1348" t="inlineStr">
        <is>
          <t>28.4</t>
        </is>
      </c>
      <c r="O1348" t="inlineStr">
        <is>
          <t>-</t>
        </is>
      </c>
      <c r="P1348" t="n">
        <v>45.4</v>
      </c>
      <c r="Q1348" t="inlineStr">
        <is>
          <t>257</t>
        </is>
      </c>
      <c r="R1348" t="n">
        <v>16.9</v>
      </c>
      <c r="S1348" t="inlineStr">
        <is>
          <t>701+</t>
        </is>
      </c>
      <c r="T1348" t="n">
        <v>21.1</v>
      </c>
      <c r="U1348" t="inlineStr">
        <is>
          <t>801+</t>
        </is>
      </c>
      <c r="V1348" t="n">
        <v>11.8</v>
      </c>
      <c r="W1348" t="inlineStr">
        <is>
          <t>801+</t>
        </is>
      </c>
      <c r="X1348" t="n">
        <v>9</v>
      </c>
      <c r="Y1348" t="inlineStr">
        <is>
          <t>801+</t>
        </is>
      </c>
      <c r="Z1348" t="n">
        <v>2.5</v>
      </c>
      <c r="AA1348" t="inlineStr">
        <is>
          <t>801+</t>
        </is>
      </c>
      <c r="AB1348" t="n">
        <v>7</v>
      </c>
      <c r="AC1348" t="inlineStr">
        <is>
          <t>801+</t>
        </is>
      </c>
      <c r="AD1348" t="n">
        <v>67.59999999999999</v>
      </c>
      <c r="AE1348" t="inlineStr">
        <is>
          <t>574</t>
        </is>
      </c>
      <c r="AF1348" t="n">
        <v>50.9</v>
      </c>
      <c r="AG1348" t="inlineStr">
        <is>
          <t>335</t>
        </is>
      </c>
      <c r="AH1348" t="n">
        <v>48.2</v>
      </c>
      <c r="AI1348" t="inlineStr">
        <is>
          <t>751=</t>
        </is>
      </c>
      <c r="AJ1348" t="inlineStr">
        <is>
          <t>32.7</t>
        </is>
      </c>
      <c r="AK1348" t="inlineStr">
        <is>
          <t>268</t>
        </is>
      </c>
      <c r="AL1348" t="inlineStr">
        <is>
          <t>5.7</t>
        </is>
      </c>
      <c r="AM1348" t="inlineStr">
        <is>
          <t>601+</t>
        </is>
      </c>
      <c r="AN1348" t="inlineStr">
        <is>
          <t>12.4</t>
        </is>
      </c>
      <c r="AO1348" t="inlineStr">
        <is>
          <t>701+</t>
        </is>
      </c>
      <c r="AP1348" t="inlineStr">
        <is>
          <t>7.6</t>
        </is>
      </c>
      <c r="AQ1348" t="inlineStr">
        <is>
          <t>701+</t>
        </is>
      </c>
      <c r="AR1348" t="inlineStr">
        <is>
          <t>7.1</t>
        </is>
      </c>
      <c r="AS1348" t="inlineStr">
        <is>
          <t>701+</t>
        </is>
      </c>
      <c r="AT1348" t="inlineStr">
        <is>
          <t>1.8</t>
        </is>
      </c>
      <c r="AU1348" t="inlineStr">
        <is>
          <t>701+</t>
        </is>
      </c>
      <c r="AV1348" t="inlineStr">
        <is>
          <t>24.7</t>
        </is>
      </c>
      <c r="AW1348" t="inlineStr">
        <is>
          <t>501</t>
        </is>
      </c>
      <c r="AX1348" t="inlineStr">
        <is>
          <t>25.6</t>
        </is>
      </c>
      <c r="AY1348" t="inlineStr">
        <is>
          <t>322</t>
        </is>
      </c>
      <c r="AZ1348" t="inlineStr">
        <is>
          <t>13.7</t>
        </is>
      </c>
      <c r="BA1348" t="inlineStr">
        <is>
          <t>627=</t>
        </is>
      </c>
    </row>
    <row r="1349">
      <c r="A1349" t="inlineStr">
        <is>
          <t xml:space="preserve">Universidade Federal de Pelotas </t>
        </is>
      </c>
      <c r="B1349" t="inlineStr">
        <is>
          <t>Brazil</t>
        </is>
      </c>
      <c r="C1349" t="inlineStr">
        <is>
          <t>BR</t>
        </is>
      </c>
      <c r="D1349" t="inlineStr"/>
      <c r="E1349" t="inlineStr">
        <is>
          <t>L</t>
        </is>
      </c>
      <c r="F1349" t="inlineStr">
        <is>
          <t>CO</t>
        </is>
      </c>
      <c r="G1349" t="inlineStr">
        <is>
          <t>VH</t>
        </is>
      </c>
      <c r="H1349" t="inlineStr">
        <is>
          <t>4</t>
        </is>
      </c>
      <c r="I1349" t="inlineStr">
        <is>
          <t>A</t>
        </is>
      </c>
      <c r="J1349" t="inlineStr"/>
      <c r="K1349" t="inlineStr"/>
      <c r="L1349" t="inlineStr">
        <is>
          <t>1201-1400</t>
        </is>
      </c>
      <c r="M1349" t="inlineStr">
        <is>
          <t>1001-1200</t>
        </is>
      </c>
      <c r="N1349" t="inlineStr"/>
      <c r="O1349" t="inlineStr">
        <is>
          <t>-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>
        <is>
          <t>5.1</t>
        </is>
      </c>
      <c r="AK1349" t="inlineStr">
        <is>
          <t>601+</t>
        </is>
      </c>
      <c r="AL1349" t="inlineStr">
        <is>
          <t>1.4</t>
        </is>
      </c>
      <c r="AM1349" t="inlineStr">
        <is>
          <t>601+</t>
        </is>
      </c>
      <c r="AN1349" t="inlineStr">
        <is>
          <t>27.0</t>
        </is>
      </c>
      <c r="AO1349" t="inlineStr">
        <is>
          <t>559</t>
        </is>
      </c>
      <c r="AP1349" t="inlineStr">
        <is>
          <t>5.0</t>
        </is>
      </c>
      <c r="AQ1349" t="inlineStr">
        <is>
          <t>701+</t>
        </is>
      </c>
      <c r="AR1349" t="inlineStr"/>
      <c r="AS1349" t="inlineStr"/>
      <c r="AT1349" t="inlineStr">
        <is>
          <t>1.4</t>
        </is>
      </c>
      <c r="AU1349" t="inlineStr">
        <is>
          <t>701+</t>
        </is>
      </c>
      <c r="AV1349" t="inlineStr">
        <is>
          <t>1.2</t>
        </is>
      </c>
      <c r="AW1349" t="inlineStr">
        <is>
          <t>701+</t>
        </is>
      </c>
      <c r="AX1349" t="inlineStr">
        <is>
          <t>3.8</t>
        </is>
      </c>
      <c r="AY1349" t="inlineStr">
        <is>
          <t>701+</t>
        </is>
      </c>
      <c r="AZ1349" t="inlineStr">
        <is>
          <t>1.1</t>
        </is>
      </c>
      <c r="BA1349" t="inlineStr">
        <is>
          <t>701+</t>
        </is>
      </c>
    </row>
    <row r="1350">
      <c r="A1350" t="inlineStr">
        <is>
          <t>Universidade Federal de Pernambuco (UFPE)</t>
        </is>
      </c>
      <c r="B1350" t="inlineStr">
        <is>
          <t>Brazil</t>
        </is>
      </c>
      <c r="C1350" t="inlineStr">
        <is>
          <t>BR</t>
        </is>
      </c>
      <c r="D1350" t="inlineStr">
        <is>
          <t>Americas</t>
        </is>
      </c>
      <c r="E1350" t="inlineStr">
        <is>
          <t>XL</t>
        </is>
      </c>
      <c r="F1350" t="inlineStr">
        <is>
          <t>FC</t>
        </is>
      </c>
      <c r="G1350" t="inlineStr">
        <is>
          <t>HI</t>
        </is>
      </c>
      <c r="H1350" t="inlineStr">
        <is>
          <t>4</t>
        </is>
      </c>
      <c r="I1350" t="inlineStr">
        <is>
          <t>Public</t>
        </is>
      </c>
      <c r="J1350" t="inlineStr">
        <is>
          <t>1201-1400</t>
        </is>
      </c>
      <c r="K1350" t="inlineStr">
        <is>
          <t>1001-1200</t>
        </is>
      </c>
      <c r="L1350" t="inlineStr">
        <is>
          <t>1001-1200</t>
        </is>
      </c>
      <c r="M1350" t="inlineStr">
        <is>
          <t>1001-1200</t>
        </is>
      </c>
      <c r="N1350" t="inlineStr">
        <is>
          <t>-</t>
        </is>
      </c>
      <c r="O1350" t="inlineStr">
        <is>
          <t>-</t>
        </is>
      </c>
      <c r="P1350" t="n">
        <v>16</v>
      </c>
      <c r="Q1350" t="inlineStr">
        <is>
          <t>701+</t>
        </is>
      </c>
      <c r="R1350" t="n">
        <v>4.4</v>
      </c>
      <c r="S1350" t="inlineStr">
        <is>
          <t>701+</t>
        </is>
      </c>
      <c r="T1350" t="n">
        <v>20.3</v>
      </c>
      <c r="U1350" t="inlineStr">
        <is>
          <t>801+</t>
        </is>
      </c>
      <c r="V1350" t="n">
        <v>7.6</v>
      </c>
      <c r="W1350" t="inlineStr">
        <is>
          <t>801+</t>
        </is>
      </c>
      <c r="X1350" t="n">
        <v>4.8</v>
      </c>
      <c r="Y1350" t="inlineStr">
        <is>
          <t>801+</t>
        </is>
      </c>
      <c r="Z1350" t="n">
        <v>1.4</v>
      </c>
      <c r="AA1350" t="inlineStr">
        <is>
          <t>801+</t>
        </is>
      </c>
      <c r="AB1350" t="n">
        <v>5.9</v>
      </c>
      <c r="AC1350" t="inlineStr">
        <is>
          <t>801+</t>
        </is>
      </c>
      <c r="AD1350" t="n">
        <v>58.3</v>
      </c>
      <c r="AE1350" t="inlineStr">
        <is>
          <t>713</t>
        </is>
      </c>
      <c r="AF1350" t="n">
        <v>6.8</v>
      </c>
      <c r="AG1350" t="inlineStr">
        <is>
          <t>801+</t>
        </is>
      </c>
      <c r="AH1350" t="n">
        <v>36.1</v>
      </c>
      <c r="AI1350" t="inlineStr">
        <is>
          <t>801+</t>
        </is>
      </c>
      <c r="AJ1350" t="inlineStr">
        <is>
          <t>12.4</t>
        </is>
      </c>
      <c r="AK1350" t="inlineStr">
        <is>
          <t>601+</t>
        </is>
      </c>
      <c r="AL1350" t="inlineStr">
        <is>
          <t>2.6</t>
        </is>
      </c>
      <c r="AM1350" t="inlineStr">
        <is>
          <t>601+</t>
        </is>
      </c>
      <c r="AN1350" t="inlineStr">
        <is>
          <t>17.6</t>
        </is>
      </c>
      <c r="AO1350" t="inlineStr">
        <is>
          <t>701+</t>
        </is>
      </c>
      <c r="AP1350" t="inlineStr">
        <is>
          <t>4.2</t>
        </is>
      </c>
      <c r="AQ1350" t="inlineStr">
        <is>
          <t>701+</t>
        </is>
      </c>
      <c r="AR1350" t="inlineStr">
        <is>
          <t>1.7</t>
        </is>
      </c>
      <c r="AS1350" t="inlineStr">
        <is>
          <t>701+</t>
        </is>
      </c>
      <c r="AT1350" t="inlineStr">
        <is>
          <t>1.3</t>
        </is>
      </c>
      <c r="AU1350" t="inlineStr">
        <is>
          <t>701+</t>
        </is>
      </c>
      <c r="AV1350" t="inlineStr">
        <is>
          <t>10.0</t>
        </is>
      </c>
      <c r="AW1350" t="inlineStr">
        <is>
          <t>669</t>
        </is>
      </c>
      <c r="AX1350" t="inlineStr">
        <is>
          <t>4.6</t>
        </is>
      </c>
      <c r="AY1350" t="inlineStr">
        <is>
          <t>701+</t>
        </is>
      </c>
      <c r="AZ1350" t="inlineStr">
        <is>
          <t>1.6</t>
        </is>
      </c>
      <c r="BA1350" t="inlineStr">
        <is>
          <t>701+</t>
        </is>
      </c>
    </row>
    <row r="1351">
      <c r="A1351" t="inlineStr">
        <is>
          <t>Universidade Federal de Santa Catarina</t>
        </is>
      </c>
      <c r="B1351" t="inlineStr">
        <is>
          <t>Brazil</t>
        </is>
      </c>
      <c r="C1351" t="inlineStr">
        <is>
          <t>BR</t>
        </is>
      </c>
      <c r="D1351" t="inlineStr">
        <is>
          <t>Americas</t>
        </is>
      </c>
      <c r="E1351" t="inlineStr">
        <is>
          <t>L</t>
        </is>
      </c>
      <c r="F1351" t="inlineStr">
        <is>
          <t>FC</t>
        </is>
      </c>
      <c r="G1351" t="inlineStr">
        <is>
          <t>VH</t>
        </is>
      </c>
      <c r="H1351" t="inlineStr">
        <is>
          <t>4</t>
        </is>
      </c>
      <c r="I1351" t="inlineStr">
        <is>
          <t>Public</t>
        </is>
      </c>
      <c r="J1351" t="inlineStr">
        <is>
          <t>801-850</t>
        </is>
      </c>
      <c r="K1351" t="inlineStr">
        <is>
          <t>781-790</t>
        </is>
      </c>
      <c r="L1351" t="inlineStr">
        <is>
          <t>801-850</t>
        </is>
      </c>
      <c r="M1351" t="inlineStr">
        <is>
          <t>801-1000</t>
        </is>
      </c>
      <c r="N1351" t="inlineStr">
        <is>
          <t>-</t>
        </is>
      </c>
      <c r="O1351" t="inlineStr">
        <is>
          <t>-</t>
        </is>
      </c>
      <c r="P1351" t="n">
        <v>26.1</v>
      </c>
      <c r="Q1351" t="inlineStr">
        <is>
          <t>485</t>
        </is>
      </c>
      <c r="R1351" t="n">
        <v>8.300000000000001</v>
      </c>
      <c r="S1351" t="inlineStr">
        <is>
          <t>701+</t>
        </is>
      </c>
      <c r="T1351" t="n">
        <v>25.2</v>
      </c>
      <c r="U1351" t="inlineStr">
        <is>
          <t>731</t>
        </is>
      </c>
      <c r="V1351" t="n">
        <v>15.8</v>
      </c>
      <c r="W1351" t="inlineStr">
        <is>
          <t>786</t>
        </is>
      </c>
      <c r="X1351" t="n">
        <v>5.9</v>
      </c>
      <c r="Y1351" t="inlineStr">
        <is>
          <t>801+</t>
        </is>
      </c>
      <c r="Z1351" t="n">
        <v>4</v>
      </c>
      <c r="AA1351" t="inlineStr">
        <is>
          <t>801+</t>
        </is>
      </c>
      <c r="AB1351" t="n">
        <v>8.699999999999999</v>
      </c>
      <c r="AC1351" t="inlineStr">
        <is>
          <t>801+</t>
        </is>
      </c>
      <c r="AD1351" t="n">
        <v>64.40000000000001</v>
      </c>
      <c r="AE1351" t="inlineStr">
        <is>
          <t>631</t>
        </is>
      </c>
      <c r="AF1351" t="n">
        <v>23.7</v>
      </c>
      <c r="AG1351" t="inlineStr">
        <is>
          <t>659</t>
        </is>
      </c>
      <c r="AH1351" t="n">
        <v>65.2</v>
      </c>
      <c r="AI1351" t="inlineStr">
        <is>
          <t>393=</t>
        </is>
      </c>
      <c r="AJ1351" t="inlineStr">
        <is>
          <t>19.6</t>
        </is>
      </c>
      <c r="AK1351" t="inlineStr">
        <is>
          <t>453</t>
        </is>
      </c>
      <c r="AL1351" t="inlineStr">
        <is>
          <t>4.4</t>
        </is>
      </c>
      <c r="AM1351" t="inlineStr">
        <is>
          <t>601+</t>
        </is>
      </c>
      <c r="AN1351" t="inlineStr">
        <is>
          <t>19.0</t>
        </is>
      </c>
      <c r="AO1351" t="inlineStr">
        <is>
          <t>695</t>
        </is>
      </c>
      <c r="AP1351" t="inlineStr">
        <is>
          <t>8.0</t>
        </is>
      </c>
      <c r="AQ1351" t="inlineStr">
        <is>
          <t>701+</t>
        </is>
      </c>
      <c r="AR1351" t="inlineStr">
        <is>
          <t>4.4</t>
        </is>
      </c>
      <c r="AS1351" t="inlineStr">
        <is>
          <t>701+</t>
        </is>
      </c>
      <c r="AT1351" t="inlineStr">
        <is>
          <t>2.0</t>
        </is>
      </c>
      <c r="AU1351" t="inlineStr">
        <is>
          <t>701+</t>
        </is>
      </c>
      <c r="AV1351" t="inlineStr">
        <is>
          <t>18.0</t>
        </is>
      </c>
      <c r="AW1351" t="inlineStr">
        <is>
          <t>560</t>
        </is>
      </c>
      <c r="AX1351" t="inlineStr">
        <is>
          <t>8.2</t>
        </is>
      </c>
      <c r="AY1351" t="inlineStr">
        <is>
          <t>701+</t>
        </is>
      </c>
      <c r="AZ1351" t="inlineStr">
        <is>
          <t>57.4</t>
        </is>
      </c>
      <c r="BA1351" t="inlineStr">
        <is>
          <t>263=</t>
        </is>
      </c>
    </row>
    <row r="1352">
      <c r="A1352" t="inlineStr">
        <is>
          <t>Universidade Federal de Santa Maria</t>
        </is>
      </c>
      <c r="B1352" t="inlineStr">
        <is>
          <t>Brazil</t>
        </is>
      </c>
      <c r="C1352" t="inlineStr">
        <is>
          <t>BR</t>
        </is>
      </c>
      <c r="D1352" t="inlineStr">
        <is>
          <t>Americas</t>
        </is>
      </c>
      <c r="E1352" t="inlineStr">
        <is>
          <t>L</t>
        </is>
      </c>
      <c r="F1352" t="inlineStr">
        <is>
          <t>FC</t>
        </is>
      </c>
      <c r="G1352" t="inlineStr">
        <is>
          <t>HI</t>
        </is>
      </c>
      <c r="H1352" t="inlineStr">
        <is>
          <t>4</t>
        </is>
      </c>
      <c r="I1352" t="inlineStr">
        <is>
          <t>Public</t>
        </is>
      </c>
      <c r="J1352" t="inlineStr">
        <is>
          <t>1201-1400</t>
        </is>
      </c>
      <c r="K1352" t="inlineStr">
        <is>
          <t>1201-1400</t>
        </is>
      </c>
      <c r="L1352" t="inlineStr">
        <is>
          <t>1201-1400</t>
        </is>
      </c>
      <c r="M1352" t="inlineStr">
        <is>
          <t>1201-1400</t>
        </is>
      </c>
      <c r="N1352" t="inlineStr">
        <is>
          <t>-</t>
        </is>
      </c>
      <c r="O1352" t="inlineStr">
        <is>
          <t>-</t>
        </is>
      </c>
      <c r="P1352" t="n">
        <v>7</v>
      </c>
      <c r="Q1352" t="inlineStr">
        <is>
          <t>701+</t>
        </is>
      </c>
      <c r="R1352" t="n">
        <v>2.2</v>
      </c>
      <c r="S1352" t="inlineStr">
        <is>
          <t>701+</t>
        </is>
      </c>
      <c r="T1352" t="n">
        <v>25</v>
      </c>
      <c r="U1352" t="inlineStr">
        <is>
          <t>734</t>
        </is>
      </c>
      <c r="V1352" t="n">
        <v>9.9</v>
      </c>
      <c r="W1352" t="inlineStr">
        <is>
          <t>801+</t>
        </is>
      </c>
      <c r="X1352" t="n">
        <v>2.9</v>
      </c>
      <c r="Y1352" t="inlineStr">
        <is>
          <t>801+</t>
        </is>
      </c>
      <c r="Z1352" t="n">
        <v>2.1</v>
      </c>
      <c r="AA1352" t="inlineStr">
        <is>
          <t>801+</t>
        </is>
      </c>
      <c r="AB1352" t="n">
        <v>6.5</v>
      </c>
      <c r="AC1352" t="inlineStr">
        <is>
          <t>801+</t>
        </is>
      </c>
      <c r="AD1352" t="n">
        <v>52.5</v>
      </c>
      <c r="AE1352" t="inlineStr">
        <is>
          <t>800</t>
        </is>
      </c>
      <c r="AF1352" t="n">
        <v>8.4</v>
      </c>
      <c r="AG1352" t="inlineStr">
        <is>
          <t>801+</t>
        </is>
      </c>
      <c r="AH1352" t="n">
        <v>55.7</v>
      </c>
      <c r="AI1352" t="inlineStr">
        <is>
          <t>582=</t>
        </is>
      </c>
      <c r="AJ1352" t="inlineStr">
        <is>
          <t>6.5</t>
        </is>
      </c>
      <c r="AK1352" t="inlineStr">
        <is>
          <t>601+</t>
        </is>
      </c>
      <c r="AL1352" t="inlineStr">
        <is>
          <t>1.6</t>
        </is>
      </c>
      <c r="AM1352" t="inlineStr">
        <is>
          <t>601+</t>
        </is>
      </c>
      <c r="AN1352" t="inlineStr">
        <is>
          <t>15.8</t>
        </is>
      </c>
      <c r="AO1352" t="inlineStr">
        <is>
          <t>701+</t>
        </is>
      </c>
      <c r="AP1352" t="inlineStr">
        <is>
          <t>5.2</t>
        </is>
      </c>
      <c r="AQ1352" t="inlineStr">
        <is>
          <t>701+</t>
        </is>
      </c>
      <c r="AR1352" t="inlineStr">
        <is>
          <t>2.6</t>
        </is>
      </c>
      <c r="AS1352" t="inlineStr">
        <is>
          <t>701+</t>
        </is>
      </c>
      <c r="AT1352" t="inlineStr">
        <is>
          <t>1.2</t>
        </is>
      </c>
      <c r="AU1352" t="inlineStr">
        <is>
          <t>701+</t>
        </is>
      </c>
      <c r="AV1352" t="inlineStr">
        <is>
          <t>3.4</t>
        </is>
      </c>
      <c r="AW1352" t="inlineStr">
        <is>
          <t>701+</t>
        </is>
      </c>
      <c r="AX1352" t="inlineStr">
        <is>
          <t>9.6</t>
        </is>
      </c>
      <c r="AY1352" t="inlineStr">
        <is>
          <t>701+</t>
        </is>
      </c>
      <c r="AZ1352" t="inlineStr">
        <is>
          <t>17.8</t>
        </is>
      </c>
      <c r="BA1352" t="inlineStr">
        <is>
          <t>571=</t>
        </is>
      </c>
    </row>
    <row r="1353">
      <c r="A1353" t="inlineStr">
        <is>
          <t>Universidade Federal de São Carlos (UFSCar)</t>
        </is>
      </c>
      <c r="B1353" t="inlineStr">
        <is>
          <t>Brazil</t>
        </is>
      </c>
      <c r="C1353" t="inlineStr">
        <is>
          <t>BR</t>
        </is>
      </c>
      <c r="D1353" t="inlineStr"/>
      <c r="E1353" t="inlineStr">
        <is>
          <t>L</t>
        </is>
      </c>
      <c r="F1353" t="inlineStr">
        <is>
          <t>FC</t>
        </is>
      </c>
      <c r="G1353" t="inlineStr">
        <is>
          <t>VH</t>
        </is>
      </c>
      <c r="H1353" t="inlineStr">
        <is>
          <t>4</t>
        </is>
      </c>
      <c r="I1353" t="inlineStr">
        <is>
          <t>A</t>
        </is>
      </c>
      <c r="J1353" t="inlineStr"/>
      <c r="K1353" t="inlineStr"/>
      <c r="L1353" t="inlineStr">
        <is>
          <t>1001-1200</t>
        </is>
      </c>
      <c r="M1353" t="inlineStr">
        <is>
          <t>801-1000</t>
        </is>
      </c>
      <c r="N1353" t="inlineStr"/>
      <c r="O1353" t="inlineStr">
        <is>
          <t>-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>
        <is>
          <t>12.4</t>
        </is>
      </c>
      <c r="AK1353" t="inlineStr">
        <is>
          <t>601+</t>
        </is>
      </c>
      <c r="AL1353" t="inlineStr">
        <is>
          <t>5.1</t>
        </is>
      </c>
      <c r="AM1353" t="inlineStr">
        <is>
          <t>601+</t>
        </is>
      </c>
      <c r="AN1353" t="inlineStr">
        <is>
          <t>16.3</t>
        </is>
      </c>
      <c r="AO1353" t="inlineStr">
        <is>
          <t>701+</t>
        </is>
      </c>
      <c r="AP1353" t="inlineStr">
        <is>
          <t>16.1</t>
        </is>
      </c>
      <c r="AQ1353" t="inlineStr">
        <is>
          <t>615</t>
        </is>
      </c>
      <c r="AR1353" t="inlineStr">
        <is>
          <t>2.8</t>
        </is>
      </c>
      <c r="AS1353" t="inlineStr">
        <is>
          <t>701+</t>
        </is>
      </c>
      <c r="AT1353" t="inlineStr">
        <is>
          <t>1.7</t>
        </is>
      </c>
      <c r="AU1353" t="inlineStr">
        <is>
          <t>701+</t>
        </is>
      </c>
      <c r="AV1353" t="inlineStr">
        <is>
          <t>6.5</t>
        </is>
      </c>
      <c r="AW1353" t="inlineStr">
        <is>
          <t>701+</t>
        </is>
      </c>
      <c r="AX1353" t="inlineStr">
        <is>
          <t>3.8</t>
        </is>
      </c>
      <c r="AY1353" t="inlineStr">
        <is>
          <t>701+</t>
        </is>
      </c>
      <c r="AZ1353" t="inlineStr">
        <is>
          <t>4</t>
        </is>
      </c>
      <c r="BA1353" t="inlineStr">
        <is>
          <t>701+</t>
        </is>
      </c>
    </row>
    <row r="1354">
      <c r="A1354" t="inlineStr">
        <is>
          <t>Universidade Federal de São Paulo</t>
        </is>
      </c>
      <c r="B1354" t="inlineStr">
        <is>
          <t>Brazil</t>
        </is>
      </c>
      <c r="C1354" t="inlineStr">
        <is>
          <t>BR</t>
        </is>
      </c>
      <c r="D1354" t="inlineStr"/>
      <c r="E1354" t="inlineStr">
        <is>
          <t>L</t>
        </is>
      </c>
      <c r="F1354" t="inlineStr">
        <is>
          <t>FC</t>
        </is>
      </c>
      <c r="G1354" t="inlineStr">
        <is>
          <t>VH</t>
        </is>
      </c>
      <c r="H1354" t="inlineStr">
        <is>
          <t>4</t>
        </is>
      </c>
      <c r="I1354" t="inlineStr">
        <is>
          <t>A</t>
        </is>
      </c>
      <c r="J1354" t="inlineStr"/>
      <c r="K1354" t="inlineStr"/>
      <c r="L1354" t="inlineStr">
        <is>
          <t>731-740</t>
        </is>
      </c>
      <c r="M1354" t="inlineStr">
        <is>
          <t>441=</t>
        </is>
      </c>
      <c r="N1354" t="inlineStr"/>
      <c r="O1354" t="inlineStr">
        <is>
          <t>-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>
        <is>
          <t>11.4</t>
        </is>
      </c>
      <c r="AK1354" t="inlineStr">
        <is>
          <t>601+</t>
        </is>
      </c>
      <c r="AL1354" t="inlineStr">
        <is>
          <t>4.3</t>
        </is>
      </c>
      <c r="AM1354" t="inlineStr">
        <is>
          <t>601+</t>
        </is>
      </c>
      <c r="AN1354" t="inlineStr">
        <is>
          <t>97.0</t>
        </is>
      </c>
      <c r="AO1354" t="inlineStr">
        <is>
          <t>52</t>
        </is>
      </c>
      <c r="AP1354" t="inlineStr">
        <is>
          <t>6.3</t>
        </is>
      </c>
      <c r="AQ1354" t="inlineStr">
        <is>
          <t>701+</t>
        </is>
      </c>
      <c r="AR1354" t="inlineStr">
        <is>
          <t>5.0</t>
        </is>
      </c>
      <c r="AS1354" t="inlineStr">
        <is>
          <t>701+</t>
        </is>
      </c>
      <c r="AT1354" t="inlineStr">
        <is>
          <t>1.5</t>
        </is>
      </c>
      <c r="AU1354" t="inlineStr">
        <is>
          <t>701+</t>
        </is>
      </c>
      <c r="AV1354" t="inlineStr">
        <is>
          <t>7.2</t>
        </is>
      </c>
      <c r="AW1354" t="inlineStr">
        <is>
          <t>701+</t>
        </is>
      </c>
      <c r="AX1354" t="inlineStr">
        <is>
          <t>4.7</t>
        </is>
      </c>
      <c r="AY1354" t="inlineStr">
        <is>
          <t>701+</t>
        </is>
      </c>
      <c r="AZ1354" t="inlineStr">
        <is>
          <t>4.5</t>
        </is>
      </c>
      <c r="BA1354" t="inlineStr">
        <is>
          <t>701+</t>
        </is>
      </c>
    </row>
    <row r="1355">
      <c r="A1355" t="inlineStr">
        <is>
          <t>Universidade Federal de São Paulo (UNIFESP)</t>
        </is>
      </c>
      <c r="B1355" t="inlineStr">
        <is>
          <t>Brazil</t>
        </is>
      </c>
      <c r="C1355" t="inlineStr"/>
      <c r="D1355" t="inlineStr">
        <is>
          <t>Americas</t>
        </is>
      </c>
      <c r="E1355" t="inlineStr">
        <is>
          <t>L</t>
        </is>
      </c>
      <c r="F1355" t="inlineStr">
        <is>
          <t>FC</t>
        </is>
      </c>
      <c r="G1355" t="inlineStr">
        <is>
          <t>VH</t>
        </is>
      </c>
      <c r="H1355" t="inlineStr"/>
      <c r="I1355" t="inlineStr">
        <is>
          <t>Public</t>
        </is>
      </c>
      <c r="J1355" t="inlineStr">
        <is>
          <t>801-850</t>
        </is>
      </c>
      <c r="K1355" t="inlineStr">
        <is>
          <t>691-700</t>
        </is>
      </c>
      <c r="L1355" t="inlineStr"/>
      <c r="M1355" t="inlineStr"/>
      <c r="N1355" t="inlineStr">
        <is>
          <t>-</t>
        </is>
      </c>
      <c r="O1355" t="inlineStr"/>
      <c r="P1355" t="n">
        <v>14.1</v>
      </c>
      <c r="Q1355" t="inlineStr">
        <is>
          <t>701+</t>
        </is>
      </c>
      <c r="R1355" t="n">
        <v>8.800000000000001</v>
      </c>
      <c r="S1355" t="inlineStr">
        <is>
          <t>701+</t>
        </is>
      </c>
      <c r="T1355" t="n">
        <v>97.90000000000001</v>
      </c>
      <c r="U1355" t="inlineStr">
        <is>
          <t>59</t>
        </is>
      </c>
      <c r="V1355" t="n">
        <v>10.4</v>
      </c>
      <c r="W1355" t="inlineStr">
        <is>
          <t>801+</t>
        </is>
      </c>
      <c r="X1355" t="n">
        <v>6.1</v>
      </c>
      <c r="Y1355" t="inlineStr">
        <is>
          <t>801+</t>
        </is>
      </c>
      <c r="Z1355" t="n">
        <v>2.2</v>
      </c>
      <c r="AA1355" t="inlineStr">
        <is>
          <t>801+</t>
        </is>
      </c>
      <c r="AB1355" t="n">
        <v>6.7</v>
      </c>
      <c r="AC1355" t="inlineStr">
        <is>
          <t>801+</t>
        </is>
      </c>
      <c r="AD1355" t="n">
        <v>49.5</v>
      </c>
      <c r="AE1355" t="inlineStr">
        <is>
          <t>801+</t>
        </is>
      </c>
      <c r="AF1355" t="n">
        <v>3.6</v>
      </c>
      <c r="AG1355" t="inlineStr">
        <is>
          <t>801+</t>
        </is>
      </c>
      <c r="AH1355" t="n">
        <v>61.8</v>
      </c>
      <c r="AI1355" t="inlineStr">
        <is>
          <t>460=</t>
        </is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</row>
    <row r="1356">
      <c r="A1356" t="inlineStr">
        <is>
          <t>Universidade Federal de Uberlândia</t>
        </is>
      </c>
      <c r="B1356" t="inlineStr">
        <is>
          <t>Brazil</t>
        </is>
      </c>
      <c r="C1356" t="inlineStr">
        <is>
          <t>BR</t>
        </is>
      </c>
      <c r="D1356" t="inlineStr">
        <is>
          <t>Americas</t>
        </is>
      </c>
      <c r="E1356" t="inlineStr">
        <is>
          <t>L</t>
        </is>
      </c>
      <c r="F1356" t="inlineStr">
        <is>
          <t>FC</t>
        </is>
      </c>
      <c r="G1356" t="inlineStr">
        <is>
          <t>HI</t>
        </is>
      </c>
      <c r="H1356" t="inlineStr">
        <is>
          <t>3</t>
        </is>
      </c>
      <c r="I1356" t="inlineStr">
        <is>
          <t>Public</t>
        </is>
      </c>
      <c r="J1356" t="inlineStr">
        <is>
          <t>1401+</t>
        </is>
      </c>
      <c r="K1356" t="inlineStr">
        <is>
          <t>1401+</t>
        </is>
      </c>
      <c r="L1356" t="inlineStr">
        <is>
          <t>1401+</t>
        </is>
      </c>
      <c r="M1356" t="inlineStr">
        <is>
          <t>1201-1400</t>
        </is>
      </c>
      <c r="N1356" t="inlineStr">
        <is>
          <t>-</t>
        </is>
      </c>
      <c r="O1356" t="inlineStr">
        <is>
          <t>-</t>
        </is>
      </c>
      <c r="P1356" t="n">
        <v>5.4</v>
      </c>
      <c r="Q1356" t="inlineStr">
        <is>
          <t>701+</t>
        </is>
      </c>
      <c r="R1356" t="n">
        <v>2.6</v>
      </c>
      <c r="S1356" t="inlineStr">
        <is>
          <t>701+</t>
        </is>
      </c>
      <c r="T1356" t="n">
        <v>21</v>
      </c>
      <c r="U1356" t="inlineStr">
        <is>
          <t>801+</t>
        </is>
      </c>
      <c r="V1356" t="n">
        <v>6</v>
      </c>
      <c r="W1356" t="inlineStr">
        <is>
          <t>801+</t>
        </is>
      </c>
      <c r="X1356" t="n">
        <v>2.4</v>
      </c>
      <c r="Y1356" t="inlineStr">
        <is>
          <t>801+</t>
        </is>
      </c>
      <c r="Z1356" t="n">
        <v>1.8</v>
      </c>
      <c r="AA1356" t="inlineStr">
        <is>
          <t>801+</t>
        </is>
      </c>
      <c r="AB1356" t="n">
        <v>6.2</v>
      </c>
      <c r="AC1356" t="inlineStr">
        <is>
          <t>801+</t>
        </is>
      </c>
      <c r="AD1356" t="n">
        <v>32.8</v>
      </c>
      <c r="AE1356" t="inlineStr">
        <is>
          <t>801+</t>
        </is>
      </c>
      <c r="AF1356" t="n">
        <v>3</v>
      </c>
      <c r="AG1356" t="inlineStr">
        <is>
          <t>801+</t>
        </is>
      </c>
      <c r="AH1356" t="n">
        <v>42.5</v>
      </c>
      <c r="AI1356" t="inlineStr">
        <is>
          <t>801+</t>
        </is>
      </c>
      <c r="AJ1356" t="inlineStr">
        <is>
          <t>3.6</t>
        </is>
      </c>
      <c r="AK1356" t="inlineStr">
        <is>
          <t>601+</t>
        </is>
      </c>
      <c r="AL1356" t="inlineStr">
        <is>
          <t>1.9</t>
        </is>
      </c>
      <c r="AM1356" t="inlineStr">
        <is>
          <t>601+</t>
        </is>
      </c>
      <c r="AN1356" t="inlineStr">
        <is>
          <t>12.6</t>
        </is>
      </c>
      <c r="AO1356" t="inlineStr">
        <is>
          <t>701+</t>
        </is>
      </c>
      <c r="AP1356" t="inlineStr">
        <is>
          <t>3.5</t>
        </is>
      </c>
      <c r="AQ1356" t="inlineStr">
        <is>
          <t>701+</t>
        </is>
      </c>
      <c r="AR1356" t="inlineStr">
        <is>
          <t>2.2</t>
        </is>
      </c>
      <c r="AS1356" t="inlineStr">
        <is>
          <t>701+</t>
        </is>
      </c>
      <c r="AT1356" t="inlineStr">
        <is>
          <t>1.3</t>
        </is>
      </c>
      <c r="AU1356" t="inlineStr">
        <is>
          <t>701+</t>
        </is>
      </c>
      <c r="AV1356" t="inlineStr">
        <is>
          <t>1.8</t>
        </is>
      </c>
      <c r="AW1356" t="inlineStr">
        <is>
          <t>701+</t>
        </is>
      </c>
      <c r="AX1356" t="inlineStr">
        <is>
          <t>3.8</t>
        </is>
      </c>
      <c r="AY1356" t="inlineStr">
        <is>
          <t>701+</t>
        </is>
      </c>
      <c r="AZ1356" t="inlineStr">
        <is>
          <t>10.9</t>
        </is>
      </c>
      <c r="BA1356" t="inlineStr">
        <is>
          <t>658=</t>
        </is>
      </c>
    </row>
    <row r="1357">
      <c r="A1357" t="inlineStr">
        <is>
          <t>Universidade Federal de Viçosa</t>
        </is>
      </c>
      <c r="B1357" t="inlineStr">
        <is>
          <t>Brazil</t>
        </is>
      </c>
      <c r="C1357" t="inlineStr"/>
      <c r="D1357" t="inlineStr">
        <is>
          <t>Americas</t>
        </is>
      </c>
      <c r="E1357" t="inlineStr">
        <is>
          <t>L</t>
        </is>
      </c>
      <c r="F1357" t="inlineStr">
        <is>
          <t>FC</t>
        </is>
      </c>
      <c r="G1357" t="inlineStr">
        <is>
          <t>HI</t>
        </is>
      </c>
      <c r="H1357" t="inlineStr"/>
      <c r="I1357" t="inlineStr">
        <is>
          <t>Public</t>
        </is>
      </c>
      <c r="J1357" t="inlineStr">
        <is>
          <t>1201-1400</t>
        </is>
      </c>
      <c r="K1357" t="inlineStr">
        <is>
          <t>1201-1400</t>
        </is>
      </c>
      <c r="L1357" t="inlineStr"/>
      <c r="M1357" t="inlineStr"/>
      <c r="N1357" t="inlineStr">
        <is>
          <t>-</t>
        </is>
      </c>
      <c r="O1357" t="inlineStr"/>
      <c r="P1357" t="n">
        <v>6.8</v>
      </c>
      <c r="Q1357" t="inlineStr">
        <is>
          <t>701+</t>
        </is>
      </c>
      <c r="R1357" t="n">
        <v>4.3</v>
      </c>
      <c r="S1357" t="inlineStr">
        <is>
          <t>701+</t>
        </is>
      </c>
      <c r="T1357" t="n">
        <v>17.4</v>
      </c>
      <c r="U1357" t="inlineStr">
        <is>
          <t>801+</t>
        </is>
      </c>
      <c r="V1357" t="n">
        <v>16.2</v>
      </c>
      <c r="W1357" t="inlineStr">
        <is>
          <t>780</t>
        </is>
      </c>
      <c r="X1357" t="n">
        <v>3.4</v>
      </c>
      <c r="Y1357" t="inlineStr">
        <is>
          <t>801+</t>
        </is>
      </c>
      <c r="Z1357" t="n">
        <v>3.7</v>
      </c>
      <c r="AA1357" t="inlineStr">
        <is>
          <t>801+</t>
        </is>
      </c>
      <c r="AB1357" t="n">
        <v>8.1</v>
      </c>
      <c r="AC1357" t="inlineStr">
        <is>
          <t>801+</t>
        </is>
      </c>
      <c r="AD1357" t="n">
        <v>26.5</v>
      </c>
      <c r="AE1357" t="inlineStr">
        <is>
          <t>801+</t>
        </is>
      </c>
      <c r="AF1357" t="n">
        <v>5.7</v>
      </c>
      <c r="AG1357" t="inlineStr">
        <is>
          <t>801+</t>
        </is>
      </c>
      <c r="AH1357" t="n">
        <v>49.6</v>
      </c>
      <c r="AI1357" t="inlineStr">
        <is>
          <t>711=</t>
        </is>
      </c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</row>
    <row r="1358">
      <c r="A1358" t="inlineStr">
        <is>
          <t>Universidade Federal de Viçosa (UFV)</t>
        </is>
      </c>
      <c r="B1358" t="inlineStr">
        <is>
          <t>Brazil</t>
        </is>
      </c>
      <c r="C1358" t="inlineStr">
        <is>
          <t>BR</t>
        </is>
      </c>
      <c r="D1358" t="inlineStr"/>
      <c r="E1358" t="inlineStr">
        <is>
          <t>L</t>
        </is>
      </c>
      <c r="F1358" t="inlineStr">
        <is>
          <t>FC</t>
        </is>
      </c>
      <c r="G1358" t="inlineStr">
        <is>
          <t>HI</t>
        </is>
      </c>
      <c r="H1358" t="inlineStr">
        <is>
          <t>5</t>
        </is>
      </c>
      <c r="I1358" t="inlineStr">
        <is>
          <t>A</t>
        </is>
      </c>
      <c r="J1358" t="inlineStr"/>
      <c r="K1358" t="inlineStr"/>
      <c r="L1358" t="inlineStr">
        <is>
          <t>1201-1400</t>
        </is>
      </c>
      <c r="M1358" t="inlineStr">
        <is>
          <t>1201-1400</t>
        </is>
      </c>
      <c r="N1358" t="inlineStr"/>
      <c r="O1358" t="inlineStr">
        <is>
          <t>-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>
        <is>
          <t>5.0</t>
        </is>
      </c>
      <c r="AK1358" t="inlineStr">
        <is>
          <t>601+</t>
        </is>
      </c>
      <c r="AL1358" t="inlineStr">
        <is>
          <t>2.3</t>
        </is>
      </c>
      <c r="AM1358" t="inlineStr">
        <is>
          <t>601+</t>
        </is>
      </c>
      <c r="AN1358" t="inlineStr">
        <is>
          <t>13.3</t>
        </is>
      </c>
      <c r="AO1358" t="inlineStr">
        <is>
          <t>701+</t>
        </is>
      </c>
      <c r="AP1358" t="inlineStr">
        <is>
          <t>8.7</t>
        </is>
      </c>
      <c r="AQ1358" t="inlineStr">
        <is>
          <t>701+</t>
        </is>
      </c>
      <c r="AR1358" t="inlineStr">
        <is>
          <t>2.9</t>
        </is>
      </c>
      <c r="AS1358" t="inlineStr">
        <is>
          <t>701+</t>
        </is>
      </c>
      <c r="AT1358" t="inlineStr">
        <is>
          <t>1.8</t>
        </is>
      </c>
      <c r="AU1358" t="inlineStr">
        <is>
          <t>701+</t>
        </is>
      </c>
      <c r="AV1358" t="inlineStr">
        <is>
          <t>1.1</t>
        </is>
      </c>
      <c r="AW1358" t="inlineStr">
        <is>
          <t>701+</t>
        </is>
      </c>
      <c r="AX1358" t="inlineStr">
        <is>
          <t>4.4</t>
        </is>
      </c>
      <c r="AY1358" t="inlineStr">
        <is>
          <t>701+</t>
        </is>
      </c>
      <c r="AZ1358" t="inlineStr">
        <is>
          <t>1.8</t>
        </is>
      </c>
      <c r="BA1358" t="inlineStr">
        <is>
          <t>701+</t>
        </is>
      </c>
    </row>
    <row r="1359">
      <c r="A1359" t="inlineStr">
        <is>
          <t>Universidade Federal do Ceará (UFC)</t>
        </is>
      </c>
      <c r="B1359" t="inlineStr">
        <is>
          <t>Brazil</t>
        </is>
      </c>
      <c r="C1359" t="inlineStr">
        <is>
          <t>BR</t>
        </is>
      </c>
      <c r="D1359" t="inlineStr">
        <is>
          <t>Americas</t>
        </is>
      </c>
      <c r="E1359" t="inlineStr">
        <is>
          <t>XL</t>
        </is>
      </c>
      <c r="F1359" t="inlineStr">
        <is>
          <t>FC</t>
        </is>
      </c>
      <c r="G1359" t="inlineStr">
        <is>
          <t>HI</t>
        </is>
      </c>
      <c r="H1359" t="inlineStr">
        <is>
          <t>4</t>
        </is>
      </c>
      <c r="I1359" t="inlineStr">
        <is>
          <t>Public</t>
        </is>
      </c>
      <c r="J1359" t="inlineStr">
        <is>
          <t>1201-1400</t>
        </is>
      </c>
      <c r="K1359" t="inlineStr">
        <is>
          <t>1201-1400</t>
        </is>
      </c>
      <c r="L1359" t="inlineStr">
        <is>
          <t>1201-1400</t>
        </is>
      </c>
      <c r="M1359" t="inlineStr">
        <is>
          <t>1201-1400</t>
        </is>
      </c>
      <c r="N1359" t="inlineStr">
        <is>
          <t>-</t>
        </is>
      </c>
      <c r="O1359" t="inlineStr">
        <is>
          <t>-</t>
        </is>
      </c>
      <c r="P1359" t="n">
        <v>11.3</v>
      </c>
      <c r="Q1359" t="inlineStr">
        <is>
          <t>701+</t>
        </is>
      </c>
      <c r="R1359" t="n">
        <v>4.8</v>
      </c>
      <c r="S1359" t="inlineStr">
        <is>
          <t>701+</t>
        </is>
      </c>
      <c r="T1359" t="n">
        <v>7.9</v>
      </c>
      <c r="U1359" t="inlineStr">
        <is>
          <t>801+</t>
        </is>
      </c>
      <c r="V1359" t="n">
        <v>10.1</v>
      </c>
      <c r="W1359" t="inlineStr">
        <is>
          <t>801+</t>
        </is>
      </c>
      <c r="X1359" t="n">
        <v>1.5</v>
      </c>
      <c r="Y1359" t="inlineStr">
        <is>
          <t>801+</t>
        </is>
      </c>
      <c r="Z1359" t="n">
        <v>1.7</v>
      </c>
      <c r="AA1359" t="inlineStr">
        <is>
          <t>801+</t>
        </is>
      </c>
      <c r="AB1359" t="n">
        <v>6.1</v>
      </c>
      <c r="AC1359" t="inlineStr">
        <is>
          <t>801+</t>
        </is>
      </c>
      <c r="AD1359" t="n">
        <v>41.7</v>
      </c>
      <c r="AE1359" t="inlineStr">
        <is>
          <t>801+</t>
        </is>
      </c>
      <c r="AF1359" t="n">
        <v>8</v>
      </c>
      <c r="AG1359" t="inlineStr">
        <is>
          <t>801+</t>
        </is>
      </c>
      <c r="AH1359" t="n">
        <v>36.2</v>
      </c>
      <c r="AI1359" t="inlineStr">
        <is>
          <t>801+</t>
        </is>
      </c>
      <c r="AJ1359" t="inlineStr">
        <is>
          <t>7.3</t>
        </is>
      </c>
      <c r="AK1359" t="inlineStr">
        <is>
          <t>601+</t>
        </is>
      </c>
      <c r="AL1359" t="inlineStr">
        <is>
          <t>3.1</t>
        </is>
      </c>
      <c r="AM1359" t="inlineStr">
        <is>
          <t>601+</t>
        </is>
      </c>
      <c r="AN1359" t="inlineStr">
        <is>
          <t>7.7</t>
        </is>
      </c>
      <c r="AO1359" t="inlineStr">
        <is>
          <t>701+</t>
        </is>
      </c>
      <c r="AP1359" t="inlineStr">
        <is>
          <t>5.8</t>
        </is>
      </c>
      <c r="AQ1359" t="inlineStr">
        <is>
          <t>701+</t>
        </is>
      </c>
      <c r="AR1359" t="inlineStr">
        <is>
          <t>1.4</t>
        </is>
      </c>
      <c r="AS1359" t="inlineStr">
        <is>
          <t>701+</t>
        </is>
      </c>
      <c r="AT1359" t="inlineStr">
        <is>
          <t>1.3</t>
        </is>
      </c>
      <c r="AU1359" t="inlineStr">
        <is>
          <t>701+</t>
        </is>
      </c>
      <c r="AV1359" t="inlineStr">
        <is>
          <t>3.2</t>
        </is>
      </c>
      <c r="AW1359" t="inlineStr">
        <is>
          <t>701+</t>
        </is>
      </c>
      <c r="AX1359" t="inlineStr">
        <is>
          <t>4.3</t>
        </is>
      </c>
      <c r="AY1359" t="inlineStr">
        <is>
          <t>701+</t>
        </is>
      </c>
      <c r="AZ1359" t="inlineStr">
        <is>
          <t>24.8</t>
        </is>
      </c>
      <c r="BA1359" t="inlineStr">
        <is>
          <t>490=</t>
        </is>
      </c>
    </row>
    <row r="1360">
      <c r="A1360" t="inlineStr">
        <is>
          <t>Universidade Federal do Estado do Rio de Janeiro - UNIRIO</t>
        </is>
      </c>
      <c r="B1360" t="inlineStr">
        <is>
          <t>Brazil</t>
        </is>
      </c>
      <c r="C1360" t="inlineStr">
        <is>
          <t>BR</t>
        </is>
      </c>
      <c r="D1360" t="inlineStr"/>
      <c r="E1360" t="inlineStr">
        <is>
          <t>L</t>
        </is>
      </c>
      <c r="F1360" t="inlineStr">
        <is>
          <t>FC</t>
        </is>
      </c>
      <c r="G1360" t="inlineStr">
        <is>
          <t>MD</t>
        </is>
      </c>
      <c r="H1360" t="inlineStr">
        <is>
          <t>4</t>
        </is>
      </c>
      <c r="I1360" t="inlineStr">
        <is>
          <t>A</t>
        </is>
      </c>
      <c r="J1360" t="inlineStr"/>
      <c r="K1360" t="inlineStr"/>
      <c r="L1360" t="inlineStr">
        <is>
          <t>1401+</t>
        </is>
      </c>
      <c r="M1360" t="inlineStr">
        <is>
          <t>1201-1400</t>
        </is>
      </c>
      <c r="N1360" t="inlineStr"/>
      <c r="O1360" t="inlineStr">
        <is>
          <t>-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>
        <is>
          <t>3.2</t>
        </is>
      </c>
      <c r="AK1360" t="inlineStr">
        <is>
          <t>601+</t>
        </is>
      </c>
      <c r="AL1360" t="inlineStr">
        <is>
          <t>1.9</t>
        </is>
      </c>
      <c r="AM1360" t="inlineStr">
        <is>
          <t>601+</t>
        </is>
      </c>
      <c r="AN1360" t="inlineStr">
        <is>
          <t>10.0</t>
        </is>
      </c>
      <c r="AO1360" t="inlineStr">
        <is>
          <t>701+</t>
        </is>
      </c>
      <c r="AP1360" t="inlineStr">
        <is>
          <t>2.1</t>
        </is>
      </c>
      <c r="AQ1360" t="inlineStr">
        <is>
          <t>701+</t>
        </is>
      </c>
      <c r="AR1360" t="inlineStr"/>
      <c r="AS1360" t="inlineStr"/>
      <c r="AT1360" t="inlineStr"/>
      <c r="AU1360" t="inlineStr"/>
      <c r="AV1360" t="inlineStr">
        <is>
          <t>1.0</t>
        </is>
      </c>
      <c r="AW1360" t="inlineStr">
        <is>
          <t>701+</t>
        </is>
      </c>
      <c r="AX1360" t="inlineStr">
        <is>
          <t>3.8</t>
        </is>
      </c>
      <c r="AY1360" t="inlineStr">
        <is>
          <t>701+</t>
        </is>
      </c>
      <c r="AZ1360" t="inlineStr">
        <is>
          <t>1</t>
        </is>
      </c>
      <c r="BA1360" t="inlineStr">
        <is>
          <t>701+</t>
        </is>
      </c>
    </row>
    <row r="1361">
      <c r="A1361" t="inlineStr">
        <is>
          <t>Universidade Federal do Paraná (UFPR)</t>
        </is>
      </c>
      <c r="B1361" t="inlineStr">
        <is>
          <t>Brazil</t>
        </is>
      </c>
      <c r="C1361" t="inlineStr">
        <is>
          <t>BR</t>
        </is>
      </c>
      <c r="D1361" t="inlineStr">
        <is>
          <t>Americas</t>
        </is>
      </c>
      <c r="E1361" t="inlineStr">
        <is>
          <t>XL</t>
        </is>
      </c>
      <c r="F1361" t="inlineStr">
        <is>
          <t>FC</t>
        </is>
      </c>
      <c r="G1361" t="inlineStr">
        <is>
          <t>VH</t>
        </is>
      </c>
      <c r="H1361" t="inlineStr">
        <is>
          <t>5</t>
        </is>
      </c>
      <c r="I1361" t="inlineStr">
        <is>
          <t>Public</t>
        </is>
      </c>
      <c r="J1361" t="inlineStr">
        <is>
          <t>1001-1200</t>
        </is>
      </c>
      <c r="K1361" t="inlineStr">
        <is>
          <t>1001-1200</t>
        </is>
      </c>
      <c r="L1361" t="inlineStr">
        <is>
          <t>1001-1200</t>
        </is>
      </c>
      <c r="M1361" t="inlineStr">
        <is>
          <t>801-1000</t>
        </is>
      </c>
      <c r="N1361" t="inlineStr">
        <is>
          <t>-</t>
        </is>
      </c>
      <c r="O1361" t="inlineStr">
        <is>
          <t>-</t>
        </is>
      </c>
      <c r="P1361" t="n">
        <v>19.4</v>
      </c>
      <c r="Q1361" t="inlineStr">
        <is>
          <t>637</t>
        </is>
      </c>
      <c r="R1361" t="n">
        <v>8.699999999999999</v>
      </c>
      <c r="S1361" t="inlineStr">
        <is>
          <t>701+</t>
        </is>
      </c>
      <c r="T1361" t="n">
        <v>25.7</v>
      </c>
      <c r="U1361" t="inlineStr">
        <is>
          <t>722</t>
        </is>
      </c>
      <c r="V1361" t="n">
        <v>9.800000000000001</v>
      </c>
      <c r="W1361" t="inlineStr">
        <is>
          <t>801+</t>
        </is>
      </c>
      <c r="X1361" t="n">
        <v>3.9</v>
      </c>
      <c r="Y1361" t="inlineStr">
        <is>
          <t>801+</t>
        </is>
      </c>
      <c r="Z1361" t="n">
        <v>11.2</v>
      </c>
      <c r="AA1361" t="inlineStr">
        <is>
          <t>801+</t>
        </is>
      </c>
      <c r="AB1361" t="n">
        <v>8.5</v>
      </c>
      <c r="AC1361" t="inlineStr">
        <is>
          <t>801+</t>
        </is>
      </c>
      <c r="AD1361" t="n">
        <v>55.4</v>
      </c>
      <c r="AE1361" t="inlineStr">
        <is>
          <t>762</t>
        </is>
      </c>
      <c r="AF1361" t="n">
        <v>18</v>
      </c>
      <c r="AG1361" t="inlineStr">
        <is>
          <t>759</t>
        </is>
      </c>
      <c r="AH1361" t="n">
        <v>40</v>
      </c>
      <c r="AI1361" t="inlineStr">
        <is>
          <t>801+</t>
        </is>
      </c>
      <c r="AJ1361" t="inlineStr">
        <is>
          <t>13.0</t>
        </is>
      </c>
      <c r="AK1361" t="inlineStr">
        <is>
          <t>601+</t>
        </is>
      </c>
      <c r="AL1361" t="inlineStr">
        <is>
          <t>5.8</t>
        </is>
      </c>
      <c r="AM1361" t="inlineStr">
        <is>
          <t>601+</t>
        </is>
      </c>
      <c r="AN1361" t="inlineStr">
        <is>
          <t>18.8</t>
        </is>
      </c>
      <c r="AO1361" t="inlineStr">
        <is>
          <t>699</t>
        </is>
      </c>
      <c r="AP1361" t="inlineStr">
        <is>
          <t>5.5</t>
        </is>
      </c>
      <c r="AQ1361" t="inlineStr">
        <is>
          <t>701+</t>
        </is>
      </c>
      <c r="AR1361" t="inlineStr">
        <is>
          <t>3.1</t>
        </is>
      </c>
      <c r="AS1361" t="inlineStr">
        <is>
          <t>701+</t>
        </is>
      </c>
      <c r="AT1361" t="inlineStr">
        <is>
          <t>4.0</t>
        </is>
      </c>
      <c r="AU1361" t="inlineStr">
        <is>
          <t>701+</t>
        </is>
      </c>
      <c r="AV1361" t="inlineStr">
        <is>
          <t>3.0</t>
        </is>
      </c>
      <c r="AW1361" t="inlineStr">
        <is>
          <t>701+</t>
        </is>
      </c>
      <c r="AX1361" t="inlineStr">
        <is>
          <t>5.9</t>
        </is>
      </c>
      <c r="AY1361" t="inlineStr">
        <is>
          <t>701+</t>
        </is>
      </c>
      <c r="AZ1361" t="inlineStr">
        <is>
          <t>3.8</t>
        </is>
      </c>
      <c r="BA1361" t="inlineStr">
        <is>
          <t>701+</t>
        </is>
      </c>
    </row>
    <row r="1362">
      <c r="A1362" t="inlineStr">
        <is>
          <t>Universidade Federal do Parà - UFPA</t>
        </is>
      </c>
      <c r="B1362" t="inlineStr">
        <is>
          <t>Brazil</t>
        </is>
      </c>
      <c r="C1362" t="inlineStr">
        <is>
          <t>BR</t>
        </is>
      </c>
      <c r="D1362" t="inlineStr"/>
      <c r="E1362" t="inlineStr">
        <is>
          <t>XL</t>
        </is>
      </c>
      <c r="F1362" t="inlineStr">
        <is>
          <t>FC</t>
        </is>
      </c>
      <c r="G1362" t="inlineStr">
        <is>
          <t>HI</t>
        </is>
      </c>
      <c r="H1362" t="inlineStr">
        <is>
          <t>4</t>
        </is>
      </c>
      <c r="I1362" t="inlineStr">
        <is>
          <t>A</t>
        </is>
      </c>
      <c r="J1362" t="inlineStr"/>
      <c r="K1362" t="inlineStr"/>
      <c r="L1362" t="inlineStr">
        <is>
          <t>1401+</t>
        </is>
      </c>
      <c r="M1362" t="inlineStr">
        <is>
          <t>1201-1400</t>
        </is>
      </c>
      <c r="N1362" t="inlineStr"/>
      <c r="O1362" t="inlineStr">
        <is>
          <t>-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>
        <is>
          <t>3.4</t>
        </is>
      </c>
      <c r="AK1362" t="inlineStr">
        <is>
          <t>601+</t>
        </is>
      </c>
      <c r="AL1362" t="inlineStr">
        <is>
          <t>1.8</t>
        </is>
      </c>
      <c r="AM1362" t="inlineStr">
        <is>
          <t>601+</t>
        </is>
      </c>
      <c r="AN1362" t="inlineStr">
        <is>
          <t>6.7</t>
        </is>
      </c>
      <c r="AO1362" t="inlineStr">
        <is>
          <t>701+</t>
        </is>
      </c>
      <c r="AP1362" t="inlineStr">
        <is>
          <t>2.5</t>
        </is>
      </c>
      <c r="AQ1362" t="inlineStr">
        <is>
          <t>701+</t>
        </is>
      </c>
      <c r="AR1362" t="inlineStr">
        <is>
          <t>2.8</t>
        </is>
      </c>
      <c r="AS1362" t="inlineStr">
        <is>
          <t>701+</t>
        </is>
      </c>
      <c r="AT1362" t="inlineStr">
        <is>
          <t>1.1</t>
        </is>
      </c>
      <c r="AU1362" t="inlineStr">
        <is>
          <t>701+</t>
        </is>
      </c>
      <c r="AV1362" t="inlineStr">
        <is>
          <t>1.9</t>
        </is>
      </c>
      <c r="AW1362" t="inlineStr">
        <is>
          <t>701+</t>
        </is>
      </c>
      <c r="AX1362" t="inlineStr">
        <is>
          <t>3.8</t>
        </is>
      </c>
      <c r="AY1362" t="inlineStr">
        <is>
          <t>701+</t>
        </is>
      </c>
      <c r="AZ1362" t="inlineStr">
        <is>
          <t>6.4</t>
        </is>
      </c>
      <c r="BA1362" t="inlineStr">
        <is>
          <t>701+</t>
        </is>
      </c>
    </row>
    <row r="1363">
      <c r="A1363" t="inlineStr">
        <is>
          <t>Universidade Federal do Rio de Janeiro</t>
        </is>
      </c>
      <c r="B1363" t="inlineStr">
        <is>
          <t>Brazil</t>
        </is>
      </c>
      <c r="C1363" t="inlineStr">
        <is>
          <t>BR</t>
        </is>
      </c>
      <c r="D1363" t="inlineStr">
        <is>
          <t>Americas</t>
        </is>
      </c>
      <c r="E1363" t="inlineStr">
        <is>
          <t>XL</t>
        </is>
      </c>
      <c r="F1363" t="inlineStr">
        <is>
          <t>FC</t>
        </is>
      </c>
      <c r="G1363" t="inlineStr">
        <is>
          <t>VH</t>
        </is>
      </c>
      <c r="H1363" t="inlineStr">
        <is>
          <t>5</t>
        </is>
      </c>
      <c r="I1363" t="inlineStr">
        <is>
          <t>Public</t>
        </is>
      </c>
      <c r="J1363" t="inlineStr">
        <is>
          <t>317</t>
        </is>
      </c>
      <c r="K1363" t="inlineStr">
        <is>
          <t>304</t>
        </is>
      </c>
      <c r="L1363">
        <f>371</f>
        <v/>
      </c>
      <c r="M1363" t="inlineStr">
        <is>
          <t>333</t>
        </is>
      </c>
      <c r="N1363" t="inlineStr">
        <is>
          <t>43.9</t>
        </is>
      </c>
      <c r="O1363" t="inlineStr">
        <is>
          <t>29.9</t>
        </is>
      </c>
      <c r="P1363" t="n">
        <v>73</v>
      </c>
      <c r="Q1363" t="inlineStr">
        <is>
          <t>123</t>
        </is>
      </c>
      <c r="R1363" t="n">
        <v>36.2</v>
      </c>
      <c r="S1363" t="inlineStr">
        <is>
          <t>395</t>
        </is>
      </c>
      <c r="T1363" t="n">
        <v>18.2</v>
      </c>
      <c r="U1363" t="inlineStr">
        <is>
          <t>801+</t>
        </is>
      </c>
      <c r="V1363" t="n">
        <v>13.8</v>
      </c>
      <c r="W1363" t="inlineStr">
        <is>
          <t>801+</t>
        </is>
      </c>
      <c r="X1363" t="n">
        <v>10.3</v>
      </c>
      <c r="Y1363" t="inlineStr">
        <is>
          <t>801+</t>
        </is>
      </c>
      <c r="Z1363" t="n">
        <v>2.3</v>
      </c>
      <c r="AA1363" t="inlineStr">
        <is>
          <t>801+</t>
        </is>
      </c>
      <c r="AB1363" t="n">
        <v>6.5</v>
      </c>
      <c r="AC1363" t="inlineStr">
        <is>
          <t>801+</t>
        </is>
      </c>
      <c r="AD1363" t="n">
        <v>81</v>
      </c>
      <c r="AE1363" t="inlineStr">
        <is>
          <t>331</t>
        </is>
      </c>
      <c r="AF1363" t="n">
        <v>89.90000000000001</v>
      </c>
      <c r="AG1363" t="inlineStr">
        <is>
          <t>107</t>
        </is>
      </c>
      <c r="AH1363" t="n">
        <v>70.90000000000001</v>
      </c>
      <c r="AI1363" t="inlineStr">
        <is>
          <t>301=</t>
        </is>
      </c>
      <c r="AJ1363" t="inlineStr">
        <is>
          <t>60.1</t>
        </is>
      </c>
      <c r="AK1363" t="inlineStr">
        <is>
          <t>119</t>
        </is>
      </c>
      <c r="AL1363" t="inlineStr">
        <is>
          <t>17.0</t>
        </is>
      </c>
      <c r="AM1363" t="inlineStr">
        <is>
          <t>509</t>
        </is>
      </c>
      <c r="AN1363" t="inlineStr">
        <is>
          <t>15.4</t>
        </is>
      </c>
      <c r="AO1363" t="inlineStr">
        <is>
          <t>701+</t>
        </is>
      </c>
      <c r="AP1363" t="inlineStr">
        <is>
          <t>8.3</t>
        </is>
      </c>
      <c r="AQ1363" t="inlineStr">
        <is>
          <t>701+</t>
        </is>
      </c>
      <c r="AR1363" t="inlineStr">
        <is>
          <t>7.9</t>
        </is>
      </c>
      <c r="AS1363" t="inlineStr">
        <is>
          <t>701+</t>
        </is>
      </c>
      <c r="AT1363" t="inlineStr">
        <is>
          <t>1.6</t>
        </is>
      </c>
      <c r="AU1363" t="inlineStr">
        <is>
          <t>701+</t>
        </is>
      </c>
      <c r="AV1363" t="inlineStr">
        <is>
          <t>51.7</t>
        </is>
      </c>
      <c r="AW1363" t="inlineStr">
        <is>
          <t>302</t>
        </is>
      </c>
      <c r="AX1363" t="inlineStr">
        <is>
          <t>36.8</t>
        </is>
      </c>
      <c r="AY1363" t="inlineStr">
        <is>
          <t>203</t>
        </is>
      </c>
      <c r="AZ1363" t="inlineStr">
        <is>
          <t>23</t>
        </is>
      </c>
      <c r="BA1363" t="inlineStr">
        <is>
          <t>514=</t>
        </is>
      </c>
    </row>
    <row r="1364">
      <c r="A1364" t="inlineStr">
        <is>
          <t>Universidade Federal do Rio Grande Do Norte</t>
        </is>
      </c>
      <c r="B1364" t="inlineStr">
        <is>
          <t>Brazil</t>
        </is>
      </c>
      <c r="C1364" t="inlineStr">
        <is>
          <t>BR</t>
        </is>
      </c>
      <c r="D1364" t="inlineStr">
        <is>
          <t>Americas</t>
        </is>
      </c>
      <c r="E1364" t="inlineStr">
        <is>
          <t>XL</t>
        </is>
      </c>
      <c r="F1364" t="inlineStr">
        <is>
          <t>FC</t>
        </is>
      </c>
      <c r="G1364" t="inlineStr">
        <is>
          <t>HI</t>
        </is>
      </c>
      <c r="H1364" t="inlineStr">
        <is>
          <t>4</t>
        </is>
      </c>
      <c r="I1364" t="inlineStr">
        <is>
          <t>Public</t>
        </is>
      </c>
      <c r="J1364" t="inlineStr">
        <is>
          <t>1401+</t>
        </is>
      </c>
      <c r="K1364" t="inlineStr">
        <is>
          <t>1201-1400</t>
        </is>
      </c>
      <c r="L1364" t="inlineStr">
        <is>
          <t>1401+</t>
        </is>
      </c>
      <c r="M1364" t="inlineStr">
        <is>
          <t>1201-1400</t>
        </is>
      </c>
      <c r="N1364" t="inlineStr">
        <is>
          <t>-</t>
        </is>
      </c>
      <c r="O1364" t="inlineStr">
        <is>
          <t>-</t>
        </is>
      </c>
      <c r="P1364" t="n">
        <v>6.7</v>
      </c>
      <c r="Q1364" t="inlineStr">
        <is>
          <t>701+</t>
        </is>
      </c>
      <c r="R1364" t="n">
        <v>1.6</v>
      </c>
      <c r="S1364" t="inlineStr">
        <is>
          <t>701+</t>
        </is>
      </c>
      <c r="T1364" t="n">
        <v>10.8</v>
      </c>
      <c r="U1364" t="inlineStr">
        <is>
          <t>801+</t>
        </is>
      </c>
      <c r="V1364" t="n">
        <v>7</v>
      </c>
      <c r="W1364" t="inlineStr">
        <is>
          <t>801+</t>
        </is>
      </c>
      <c r="X1364" t="inlineStr"/>
      <c r="Y1364" t="inlineStr"/>
      <c r="Z1364" t="n">
        <v>1.3</v>
      </c>
      <c r="AA1364" t="inlineStr">
        <is>
          <t>801+</t>
        </is>
      </c>
      <c r="AB1364" t="n">
        <v>5.8</v>
      </c>
      <c r="AC1364" t="inlineStr">
        <is>
          <t>801+</t>
        </is>
      </c>
      <c r="AD1364" t="n">
        <v>50.1</v>
      </c>
      <c r="AE1364" t="inlineStr">
        <is>
          <t>801+</t>
        </is>
      </c>
      <c r="AF1364" t="n">
        <v>1.4</v>
      </c>
      <c r="AG1364" t="inlineStr">
        <is>
          <t>801+</t>
        </is>
      </c>
      <c r="AH1364" t="n">
        <v>31.3</v>
      </c>
      <c r="AI1364" t="inlineStr">
        <is>
          <t>801+</t>
        </is>
      </c>
      <c r="AJ1364" t="inlineStr">
        <is>
          <t>4.6</t>
        </is>
      </c>
      <c r="AK1364" t="inlineStr">
        <is>
          <t>601+</t>
        </is>
      </c>
      <c r="AL1364" t="inlineStr">
        <is>
          <t>1.5</t>
        </is>
      </c>
      <c r="AM1364" t="inlineStr">
        <is>
          <t>601+</t>
        </is>
      </c>
      <c r="AN1364" t="inlineStr">
        <is>
          <t>8.6</t>
        </is>
      </c>
      <c r="AO1364" t="inlineStr">
        <is>
          <t>701+</t>
        </is>
      </c>
      <c r="AP1364" t="inlineStr">
        <is>
          <t>3.2</t>
        </is>
      </c>
      <c r="AQ1364" t="inlineStr">
        <is>
          <t>701+</t>
        </is>
      </c>
      <c r="AR1364" t="inlineStr"/>
      <c r="AS1364" t="inlineStr"/>
      <c r="AT1364" t="inlineStr"/>
      <c r="AU1364" t="inlineStr"/>
      <c r="AV1364" t="inlineStr">
        <is>
          <t>5.6</t>
        </is>
      </c>
      <c r="AW1364" t="inlineStr">
        <is>
          <t>701+</t>
        </is>
      </c>
      <c r="AX1364" t="inlineStr">
        <is>
          <t>3.8</t>
        </is>
      </c>
      <c r="AY1364" t="inlineStr">
        <is>
          <t>701+</t>
        </is>
      </c>
      <c r="AZ1364" t="inlineStr">
        <is>
          <t>1.4</t>
        </is>
      </c>
      <c r="BA1364" t="inlineStr">
        <is>
          <t>701+</t>
        </is>
      </c>
    </row>
    <row r="1365">
      <c r="A1365" t="inlineStr">
        <is>
          <t>Universidade Federal do Rio Grande Do Sul</t>
        </is>
      </c>
      <c r="B1365" t="inlineStr">
        <is>
          <t>Brazil</t>
        </is>
      </c>
      <c r="C1365" t="inlineStr">
        <is>
          <t>BR</t>
        </is>
      </c>
      <c r="D1365" t="inlineStr">
        <is>
          <t>Americas</t>
        </is>
      </c>
      <c r="E1365" t="inlineStr">
        <is>
          <t>XL</t>
        </is>
      </c>
      <c r="F1365" t="inlineStr">
        <is>
          <t>FC</t>
        </is>
      </c>
      <c r="G1365" t="inlineStr">
        <is>
          <t>VH</t>
        </is>
      </c>
      <c r="H1365" t="inlineStr">
        <is>
          <t>5</t>
        </is>
      </c>
      <c r="I1365" t="inlineStr">
        <is>
          <t>Public</t>
        </is>
      </c>
      <c r="J1365" t="inlineStr">
        <is>
          <t>691</t>
        </is>
      </c>
      <c r="K1365" t="inlineStr">
        <is>
          <t>691-700</t>
        </is>
      </c>
      <c r="L1365" t="inlineStr">
        <is>
          <t>691-700</t>
        </is>
      </c>
      <c r="M1365" t="inlineStr">
        <is>
          <t>751-800</t>
        </is>
      </c>
      <c r="N1365" t="inlineStr">
        <is>
          <t>25.4</t>
        </is>
      </c>
      <c r="O1365" t="inlineStr">
        <is>
          <t>-</t>
        </is>
      </c>
      <c r="P1365" t="n">
        <v>36.8</v>
      </c>
      <c r="Q1365" t="inlineStr">
        <is>
          <t>327</t>
        </is>
      </c>
      <c r="R1365" t="n">
        <v>9.199999999999999</v>
      </c>
      <c r="S1365" t="inlineStr">
        <is>
          <t>701+</t>
        </is>
      </c>
      <c r="T1365" t="n">
        <v>20</v>
      </c>
      <c r="U1365" t="inlineStr">
        <is>
          <t>801+</t>
        </is>
      </c>
      <c r="V1365" t="n">
        <v>15.7</v>
      </c>
      <c r="W1365" t="inlineStr">
        <is>
          <t>788</t>
        </is>
      </c>
      <c r="X1365" t="n">
        <v>3.8</v>
      </c>
      <c r="Y1365" t="inlineStr">
        <is>
          <t>801+</t>
        </is>
      </c>
      <c r="Z1365" t="n">
        <v>2.4</v>
      </c>
      <c r="AA1365" t="inlineStr">
        <is>
          <t>801+</t>
        </is>
      </c>
      <c r="AB1365" t="n">
        <v>7</v>
      </c>
      <c r="AC1365" t="inlineStr">
        <is>
          <t>801+</t>
        </is>
      </c>
      <c r="AD1365" t="n">
        <v>80.5</v>
      </c>
      <c r="AE1365" t="inlineStr">
        <is>
          <t>344</t>
        </is>
      </c>
      <c r="AF1365" t="n">
        <v>32.3</v>
      </c>
      <c r="AG1365" t="inlineStr">
        <is>
          <t>525</t>
        </is>
      </c>
      <c r="AH1365" t="n">
        <v>63.9</v>
      </c>
      <c r="AI1365" t="inlineStr">
        <is>
          <t>425=</t>
        </is>
      </c>
      <c r="AJ1365" t="inlineStr">
        <is>
          <t>28.6</t>
        </is>
      </c>
      <c r="AK1365" t="inlineStr">
        <is>
          <t>307</t>
        </is>
      </c>
      <c r="AL1365" t="inlineStr">
        <is>
          <t>3.8</t>
        </is>
      </c>
      <c r="AM1365" t="inlineStr">
        <is>
          <t>601+</t>
        </is>
      </c>
      <c r="AN1365" t="inlineStr">
        <is>
          <t>10.9</t>
        </is>
      </c>
      <c r="AO1365" t="inlineStr">
        <is>
          <t>701+</t>
        </is>
      </c>
      <c r="AP1365" t="inlineStr">
        <is>
          <t>10.1</t>
        </is>
      </c>
      <c r="AQ1365" t="inlineStr">
        <is>
          <t>701+</t>
        </is>
      </c>
      <c r="AR1365" t="inlineStr">
        <is>
          <t>2.2</t>
        </is>
      </c>
      <c r="AS1365" t="inlineStr">
        <is>
          <t>701+</t>
        </is>
      </c>
      <c r="AT1365" t="inlineStr">
        <is>
          <t>1.6</t>
        </is>
      </c>
      <c r="AU1365" t="inlineStr">
        <is>
          <t>701+</t>
        </is>
      </c>
      <c r="AV1365" t="inlineStr">
        <is>
          <t>36.0</t>
        </is>
      </c>
      <c r="AW1365" t="inlineStr">
        <is>
          <t>412</t>
        </is>
      </c>
      <c r="AX1365" t="inlineStr">
        <is>
          <t>9.5</t>
        </is>
      </c>
      <c r="AY1365" t="inlineStr">
        <is>
          <t>701+</t>
        </is>
      </c>
      <c r="AZ1365" t="inlineStr">
        <is>
          <t>46.3</t>
        </is>
      </c>
      <c r="BA1365" t="inlineStr">
        <is>
          <t>330</t>
        </is>
      </c>
    </row>
    <row r="1366">
      <c r="A1366" t="inlineStr">
        <is>
          <t>Universidade Federal Fluminense</t>
        </is>
      </c>
      <c r="B1366" t="inlineStr">
        <is>
          <t>Brazil</t>
        </is>
      </c>
      <c r="C1366" t="inlineStr">
        <is>
          <t>BR</t>
        </is>
      </c>
      <c r="D1366" t="inlineStr">
        <is>
          <t>Americas</t>
        </is>
      </c>
      <c r="E1366" t="inlineStr">
        <is>
          <t>XL</t>
        </is>
      </c>
      <c r="F1366" t="inlineStr">
        <is>
          <t>FC</t>
        </is>
      </c>
      <c r="G1366" t="inlineStr">
        <is>
          <t>HI</t>
        </is>
      </c>
      <c r="H1366" t="inlineStr">
        <is>
          <t>4</t>
        </is>
      </c>
      <c r="I1366" t="inlineStr">
        <is>
          <t>Public</t>
        </is>
      </c>
      <c r="J1366" t="inlineStr">
        <is>
          <t>1201-1400</t>
        </is>
      </c>
      <c r="K1366" t="inlineStr">
        <is>
          <t>1001-1200</t>
        </is>
      </c>
      <c r="L1366" t="inlineStr">
        <is>
          <t>1201-1400</t>
        </is>
      </c>
      <c r="M1366" t="inlineStr">
        <is>
          <t>1201-1400</t>
        </is>
      </c>
      <c r="N1366" t="inlineStr">
        <is>
          <t>-</t>
        </is>
      </c>
      <c r="O1366" t="inlineStr">
        <is>
          <t>-</t>
        </is>
      </c>
      <c r="P1366" t="n">
        <v>12.5</v>
      </c>
      <c r="Q1366" t="inlineStr">
        <is>
          <t>701+</t>
        </is>
      </c>
      <c r="R1366" t="n">
        <v>3.1</v>
      </c>
      <c r="S1366" t="inlineStr">
        <is>
          <t>701+</t>
        </is>
      </c>
      <c r="T1366" t="n">
        <v>17.4</v>
      </c>
      <c r="U1366" t="inlineStr">
        <is>
          <t>801+</t>
        </is>
      </c>
      <c r="V1366" t="n">
        <v>6.4</v>
      </c>
      <c r="W1366" t="inlineStr">
        <is>
          <t>801+</t>
        </is>
      </c>
      <c r="X1366" t="n">
        <v>8.800000000000001</v>
      </c>
      <c r="Y1366" t="inlineStr">
        <is>
          <t>801+</t>
        </is>
      </c>
      <c r="Z1366" t="n">
        <v>1.3</v>
      </c>
      <c r="AA1366" t="inlineStr">
        <is>
          <t>801+</t>
        </is>
      </c>
      <c r="AB1366" t="n">
        <v>5.8</v>
      </c>
      <c r="AC1366" t="inlineStr">
        <is>
          <t>801+</t>
        </is>
      </c>
      <c r="AD1366" t="n">
        <v>57</v>
      </c>
      <c r="AE1366" t="inlineStr">
        <is>
          <t>736</t>
        </is>
      </c>
      <c r="AF1366" t="n">
        <v>17.6</v>
      </c>
      <c r="AG1366" t="inlineStr">
        <is>
          <t>770</t>
        </is>
      </c>
      <c r="AH1366" t="n">
        <v>55.7</v>
      </c>
      <c r="AI1366" t="inlineStr">
        <is>
          <t>582=</t>
        </is>
      </c>
      <c r="AJ1366" t="inlineStr">
        <is>
          <t>10.0</t>
        </is>
      </c>
      <c r="AK1366" t="inlineStr">
        <is>
          <t>601+</t>
        </is>
      </c>
      <c r="AL1366" t="inlineStr">
        <is>
          <t>2.3</t>
        </is>
      </c>
      <c r="AM1366" t="inlineStr">
        <is>
          <t>601+</t>
        </is>
      </c>
      <c r="AN1366" t="inlineStr">
        <is>
          <t>11.7</t>
        </is>
      </c>
      <c r="AO1366" t="inlineStr">
        <is>
          <t>701+</t>
        </is>
      </c>
      <c r="AP1366" t="inlineStr">
        <is>
          <t>3.7</t>
        </is>
      </c>
      <c r="AQ1366" t="inlineStr">
        <is>
          <t>701+</t>
        </is>
      </c>
      <c r="AR1366" t="inlineStr">
        <is>
          <t>5.3</t>
        </is>
      </c>
      <c r="AS1366" t="inlineStr">
        <is>
          <t>701+</t>
        </is>
      </c>
      <c r="AT1366" t="inlineStr">
        <is>
          <t>1.1</t>
        </is>
      </c>
      <c r="AU1366" t="inlineStr">
        <is>
          <t>701+</t>
        </is>
      </c>
      <c r="AV1366" t="inlineStr">
        <is>
          <t>10.1</t>
        </is>
      </c>
      <c r="AW1366" t="inlineStr">
        <is>
          <t>668</t>
        </is>
      </c>
      <c r="AX1366" t="inlineStr">
        <is>
          <t>7.6</t>
        </is>
      </c>
      <c r="AY1366" t="inlineStr">
        <is>
          <t>701+</t>
        </is>
      </c>
      <c r="AZ1366" t="inlineStr">
        <is>
          <t>4.1</t>
        </is>
      </c>
      <c r="BA1366" t="inlineStr">
        <is>
          <t>701+</t>
        </is>
      </c>
    </row>
    <row r="1367">
      <c r="A1367" t="inlineStr">
        <is>
          <t>Universidade Nova de Lisboa</t>
        </is>
      </c>
      <c r="B1367" t="inlineStr">
        <is>
          <t>Portugal</t>
        </is>
      </c>
      <c r="C1367" t="inlineStr">
        <is>
          <t>PT</t>
        </is>
      </c>
      <c r="D1367" t="inlineStr">
        <is>
          <t>Europe</t>
        </is>
      </c>
      <c r="E1367" t="inlineStr">
        <is>
          <t>L</t>
        </is>
      </c>
      <c r="F1367" t="inlineStr">
        <is>
          <t>FC</t>
        </is>
      </c>
      <c r="G1367" t="inlineStr">
        <is>
          <t>VH</t>
        </is>
      </c>
      <c r="H1367" t="inlineStr">
        <is>
          <t>4</t>
        </is>
      </c>
      <c r="I1367" t="inlineStr">
        <is>
          <t>Public</t>
        </is>
      </c>
      <c r="J1367" t="inlineStr">
        <is>
          <t>327</t>
        </is>
      </c>
      <c r="K1367" t="inlineStr">
        <is>
          <t>388</t>
        </is>
      </c>
      <c r="L1367">
        <f>400</f>
        <v/>
      </c>
      <c r="M1367" t="inlineStr">
        <is>
          <t>369=</t>
        </is>
      </c>
      <c r="N1367" t="inlineStr">
        <is>
          <t>42.8</t>
        </is>
      </c>
      <c r="O1367" t="inlineStr">
        <is>
          <t>27.9</t>
        </is>
      </c>
      <c r="P1367" t="n">
        <v>40.1</v>
      </c>
      <c r="Q1367" t="inlineStr">
        <is>
          <t>301</t>
        </is>
      </c>
      <c r="R1367" t="n">
        <v>42.6</v>
      </c>
      <c r="S1367" t="inlineStr">
        <is>
          <t>315</t>
        </is>
      </c>
      <c r="T1367" t="n">
        <v>18.1</v>
      </c>
      <c r="U1367" t="inlineStr">
        <is>
          <t>801+</t>
        </is>
      </c>
      <c r="V1367" t="n">
        <v>37.6</v>
      </c>
      <c r="W1367" t="inlineStr">
        <is>
          <t>498</t>
        </is>
      </c>
      <c r="X1367" t="n">
        <v>27.2</v>
      </c>
      <c r="Y1367" t="inlineStr">
        <is>
          <t>620</t>
        </is>
      </c>
      <c r="Z1367" t="n">
        <v>77.7</v>
      </c>
      <c r="AA1367" t="inlineStr">
        <is>
          <t>236</t>
        </is>
      </c>
      <c r="AB1367" t="n">
        <v>79.8</v>
      </c>
      <c r="AC1367" t="inlineStr">
        <is>
          <t>207</t>
        </is>
      </c>
      <c r="AD1367" t="n">
        <v>84.09999999999999</v>
      </c>
      <c r="AE1367" t="inlineStr">
        <is>
          <t>273</t>
        </is>
      </c>
      <c r="AF1367" t="n">
        <v>59.4</v>
      </c>
      <c r="AG1367" t="inlineStr">
        <is>
          <t>275</t>
        </is>
      </c>
      <c r="AH1367" t="n">
        <v>66.90000000000001</v>
      </c>
      <c r="AI1367" t="inlineStr">
        <is>
          <t>363=</t>
        </is>
      </c>
      <c r="AJ1367" t="inlineStr">
        <is>
          <t>28.0</t>
        </is>
      </c>
      <c r="AK1367" t="inlineStr">
        <is>
          <t>313</t>
        </is>
      </c>
      <c r="AL1367" t="inlineStr">
        <is>
          <t>20.2</t>
        </is>
      </c>
      <c r="AM1367" t="inlineStr">
        <is>
          <t>452</t>
        </is>
      </c>
      <c r="AN1367" t="inlineStr">
        <is>
          <t>19.6</t>
        </is>
      </c>
      <c r="AO1367" t="inlineStr">
        <is>
          <t>679</t>
        </is>
      </c>
      <c r="AP1367" t="inlineStr">
        <is>
          <t>24.2</t>
        </is>
      </c>
      <c r="AQ1367" t="inlineStr">
        <is>
          <t>498</t>
        </is>
      </c>
      <c r="AR1367" t="inlineStr">
        <is>
          <t>24.0</t>
        </is>
      </c>
      <c r="AS1367" t="inlineStr">
        <is>
          <t>548</t>
        </is>
      </c>
      <c r="AT1367" t="inlineStr">
        <is>
          <t>47.0</t>
        </is>
      </c>
      <c r="AU1367" t="inlineStr">
        <is>
          <t>309</t>
        </is>
      </c>
      <c r="AV1367" t="inlineStr">
        <is>
          <t>63.5</t>
        </is>
      </c>
      <c r="AW1367" t="inlineStr">
        <is>
          <t>224</t>
        </is>
      </c>
      <c r="AX1367" t="inlineStr">
        <is>
          <t>18.8</t>
        </is>
      </c>
      <c r="AY1367" t="inlineStr">
        <is>
          <t>444</t>
        </is>
      </c>
      <c r="AZ1367" t="inlineStr">
        <is>
          <t>40.2</t>
        </is>
      </c>
      <c r="BA1367" t="inlineStr">
        <is>
          <t>362=</t>
        </is>
      </c>
    </row>
    <row r="1368">
      <c r="A1368" t="inlineStr">
        <is>
          <t>Universidade Presbiteriana Mackenzie</t>
        </is>
      </c>
      <c r="B1368" t="inlineStr">
        <is>
          <t>Brazil</t>
        </is>
      </c>
      <c r="C1368" t="inlineStr">
        <is>
          <t>BR</t>
        </is>
      </c>
      <c r="D1368" t="inlineStr">
        <is>
          <t>Americas</t>
        </is>
      </c>
      <c r="E1368" t="inlineStr">
        <is>
          <t>M</t>
        </is>
      </c>
      <c r="F1368" t="inlineStr">
        <is>
          <t>CO</t>
        </is>
      </c>
      <c r="G1368" t="inlineStr">
        <is>
          <t>HI</t>
        </is>
      </c>
      <c r="H1368" t="inlineStr">
        <is>
          <t>4</t>
        </is>
      </c>
      <c r="I1368" t="inlineStr">
        <is>
          <t>Private not for Profit</t>
        </is>
      </c>
      <c r="J1368" t="inlineStr">
        <is>
          <t>1201-1400</t>
        </is>
      </c>
      <c r="K1368" t="inlineStr">
        <is>
          <t>1201-1400</t>
        </is>
      </c>
      <c r="L1368" t="inlineStr">
        <is>
          <t>1201-1400</t>
        </is>
      </c>
      <c r="M1368" t="inlineStr">
        <is>
          <t>1201-1400</t>
        </is>
      </c>
      <c r="N1368" t="inlineStr">
        <is>
          <t>-</t>
        </is>
      </c>
      <c r="O1368" t="inlineStr">
        <is>
          <t>-</t>
        </is>
      </c>
      <c r="P1368" t="n">
        <v>5.8</v>
      </c>
      <c r="Q1368" t="inlineStr">
        <is>
          <t>701+</t>
        </is>
      </c>
      <c r="R1368" t="n">
        <v>12.6</v>
      </c>
      <c r="S1368" t="inlineStr">
        <is>
          <t>701+</t>
        </is>
      </c>
      <c r="T1368" t="n">
        <v>19.5</v>
      </c>
      <c r="U1368" t="inlineStr">
        <is>
          <t>801+</t>
        </is>
      </c>
      <c r="V1368" t="n">
        <v>3.8</v>
      </c>
      <c r="W1368" t="inlineStr">
        <is>
          <t>801+</t>
        </is>
      </c>
      <c r="X1368" t="n">
        <v>2.3</v>
      </c>
      <c r="Y1368" t="inlineStr">
        <is>
          <t>801+</t>
        </is>
      </c>
      <c r="Z1368" t="n">
        <v>1.1</v>
      </c>
      <c r="AA1368" t="inlineStr">
        <is>
          <t>801+</t>
        </is>
      </c>
      <c r="AB1368" t="n">
        <v>5.6</v>
      </c>
      <c r="AC1368" t="inlineStr">
        <is>
          <t>801+</t>
        </is>
      </c>
      <c r="AD1368" t="n">
        <v>13.8</v>
      </c>
      <c r="AE1368" t="inlineStr">
        <is>
          <t>801+</t>
        </is>
      </c>
      <c r="AF1368" t="n">
        <v>56.4</v>
      </c>
      <c r="AG1368" t="inlineStr">
        <is>
          <t>295</t>
        </is>
      </c>
      <c r="AH1368" t="n">
        <v>18.1</v>
      </c>
      <c r="AI1368" t="inlineStr">
        <is>
          <t>801+</t>
        </is>
      </c>
      <c r="AJ1368" t="inlineStr">
        <is>
          <t>3.5</t>
        </is>
      </c>
      <c r="AK1368" t="inlineStr">
        <is>
          <t>601+</t>
        </is>
      </c>
      <c r="AL1368" t="inlineStr">
        <is>
          <t>7.6</t>
        </is>
      </c>
      <c r="AM1368" t="inlineStr">
        <is>
          <t>601+</t>
        </is>
      </c>
      <c r="AN1368" t="inlineStr">
        <is>
          <t>10.6</t>
        </is>
      </c>
      <c r="AO1368" t="inlineStr">
        <is>
          <t>701+</t>
        </is>
      </c>
      <c r="AP1368" t="inlineStr">
        <is>
          <t>1.9</t>
        </is>
      </c>
      <c r="AQ1368" t="inlineStr">
        <is>
          <t>701+</t>
        </is>
      </c>
      <c r="AR1368" t="inlineStr">
        <is>
          <t>5.1</t>
        </is>
      </c>
      <c r="AS1368" t="inlineStr">
        <is>
          <t>701+</t>
        </is>
      </c>
      <c r="AT1368" t="inlineStr">
        <is>
          <t>1.0</t>
        </is>
      </c>
      <c r="AU1368" t="inlineStr">
        <is>
          <t>701+</t>
        </is>
      </c>
      <c r="AV1368" t="inlineStr">
        <is>
          <t>1.0</t>
        </is>
      </c>
      <c r="AW1368" t="inlineStr">
        <is>
          <t>701+</t>
        </is>
      </c>
      <c r="AX1368" t="inlineStr">
        <is>
          <t>37</t>
        </is>
      </c>
      <c r="AY1368" t="inlineStr">
        <is>
          <t>200</t>
        </is>
      </c>
      <c r="AZ1368" t="inlineStr">
        <is>
          <t>1</t>
        </is>
      </c>
      <c r="BA1368" t="inlineStr">
        <is>
          <t>701+</t>
        </is>
      </c>
    </row>
    <row r="1369">
      <c r="A1369" t="inlineStr">
        <is>
          <t>Universita' degli Studi della Tuscia</t>
        </is>
      </c>
      <c r="B1369" t="inlineStr">
        <is>
          <t>Italy</t>
        </is>
      </c>
      <c r="C1369" t="inlineStr"/>
      <c r="D1369" t="inlineStr">
        <is>
          <t>Europe</t>
        </is>
      </c>
      <c r="E1369" t="inlineStr">
        <is>
          <t>M</t>
        </is>
      </c>
      <c r="F1369" t="inlineStr">
        <is>
          <t>FO</t>
        </is>
      </c>
      <c r="G1369" t="inlineStr">
        <is>
          <t>VH</t>
        </is>
      </c>
      <c r="H1369" t="inlineStr"/>
      <c r="I1369" t="inlineStr">
        <is>
          <t>Public</t>
        </is>
      </c>
      <c r="J1369" t="inlineStr">
        <is>
          <t>851-900</t>
        </is>
      </c>
      <c r="K1369" t="inlineStr">
        <is>
          <t>901-950</t>
        </is>
      </c>
      <c r="L1369" t="inlineStr"/>
      <c r="M1369" t="inlineStr"/>
      <c r="N1369" t="inlineStr">
        <is>
          <t>-</t>
        </is>
      </c>
      <c r="O1369" t="inlineStr"/>
      <c r="P1369" t="n">
        <v>4</v>
      </c>
      <c r="Q1369" t="inlineStr">
        <is>
          <t>701+</t>
        </is>
      </c>
      <c r="R1369" t="n">
        <v>1.8</v>
      </c>
      <c r="S1369" t="inlineStr">
        <is>
          <t>701+</t>
        </is>
      </c>
      <c r="T1369" t="n">
        <v>8.4</v>
      </c>
      <c r="U1369" t="inlineStr">
        <is>
          <t>801+</t>
        </is>
      </c>
      <c r="V1369" t="n">
        <v>67.2</v>
      </c>
      <c r="W1369" t="inlineStr">
        <is>
          <t>234</t>
        </is>
      </c>
      <c r="X1369" t="n">
        <v>19.3</v>
      </c>
      <c r="Y1369" t="inlineStr">
        <is>
          <t>722</t>
        </is>
      </c>
      <c r="Z1369" t="n">
        <v>28.5</v>
      </c>
      <c r="AA1369" t="inlineStr">
        <is>
          <t>607</t>
        </is>
      </c>
      <c r="AB1369" t="n">
        <v>32.8</v>
      </c>
      <c r="AC1369" t="inlineStr">
        <is>
          <t>580</t>
        </is>
      </c>
      <c r="AD1369" t="n">
        <v>40.5</v>
      </c>
      <c r="AE1369" t="inlineStr">
        <is>
          <t>801+</t>
        </is>
      </c>
      <c r="AF1369" t="n">
        <v>2</v>
      </c>
      <c r="AG1369" t="inlineStr">
        <is>
          <t>801+</t>
        </is>
      </c>
      <c r="AH1369" t="n">
        <v>36.7</v>
      </c>
      <c r="AI1369" t="inlineStr">
        <is>
          <t>801+</t>
        </is>
      </c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</row>
    <row r="1370">
      <c r="A1370" t="inlineStr">
        <is>
          <t>Universita' degli Studi di Ferrara</t>
        </is>
      </c>
      <c r="B1370" t="inlineStr">
        <is>
          <t>Italy</t>
        </is>
      </c>
      <c r="C1370" t="inlineStr">
        <is>
          <t>IT</t>
        </is>
      </c>
      <c r="D1370" t="inlineStr">
        <is>
          <t>Europe</t>
        </is>
      </c>
      <c r="E1370" t="inlineStr">
        <is>
          <t>L</t>
        </is>
      </c>
      <c r="F1370" t="inlineStr">
        <is>
          <t>FC</t>
        </is>
      </c>
      <c r="G1370" t="inlineStr">
        <is>
          <t>HI</t>
        </is>
      </c>
      <c r="H1370" t="inlineStr">
        <is>
          <t>5</t>
        </is>
      </c>
      <c r="I1370" t="inlineStr">
        <is>
          <t>Public</t>
        </is>
      </c>
      <c r="J1370" t="inlineStr">
        <is>
          <t>951-1000</t>
        </is>
      </c>
      <c r="K1370" t="inlineStr">
        <is>
          <t>851-900</t>
        </is>
      </c>
      <c r="L1370" t="inlineStr">
        <is>
          <t>851-900</t>
        </is>
      </c>
      <c r="M1370" t="inlineStr">
        <is>
          <t>801-1000</t>
        </is>
      </c>
      <c r="N1370" t="inlineStr">
        <is>
          <t>-</t>
        </is>
      </c>
      <c r="O1370" t="inlineStr">
        <is>
          <t>-</t>
        </is>
      </c>
      <c r="P1370" t="n">
        <v>9.300000000000001</v>
      </c>
      <c r="Q1370" t="inlineStr">
        <is>
          <t>701+</t>
        </is>
      </c>
      <c r="R1370" t="n">
        <v>4.7</v>
      </c>
      <c r="S1370" t="inlineStr">
        <is>
          <t>701+</t>
        </is>
      </c>
      <c r="T1370" t="n">
        <v>3.6</v>
      </c>
      <c r="U1370" t="inlineStr">
        <is>
          <t>801+</t>
        </is>
      </c>
      <c r="V1370" t="n">
        <v>47.3</v>
      </c>
      <c r="W1370" t="inlineStr">
        <is>
          <t>399</t>
        </is>
      </c>
      <c r="X1370" t="n">
        <v>3.8</v>
      </c>
      <c r="Y1370" t="inlineStr">
        <is>
          <t>801+</t>
        </is>
      </c>
      <c r="Z1370" t="n">
        <v>6.8</v>
      </c>
      <c r="AA1370" t="inlineStr">
        <is>
          <t>801+</t>
        </is>
      </c>
      <c r="AB1370" t="n">
        <v>12.3</v>
      </c>
      <c r="AC1370" t="inlineStr">
        <is>
          <t>801+</t>
        </is>
      </c>
      <c r="AD1370" t="n">
        <v>65.5</v>
      </c>
      <c r="AE1370" t="inlineStr">
        <is>
          <t>614</t>
        </is>
      </c>
      <c r="AF1370" t="n">
        <v>7</v>
      </c>
      <c r="AG1370" t="inlineStr">
        <is>
          <t>801+</t>
        </is>
      </c>
      <c r="AH1370" t="n">
        <v>54.2</v>
      </c>
      <c r="AI1370" t="inlineStr">
        <is>
          <t>619=</t>
        </is>
      </c>
      <c r="AJ1370" t="inlineStr">
        <is>
          <t>6.5</t>
        </is>
      </c>
      <c r="AK1370" t="inlineStr">
        <is>
          <t>601+</t>
        </is>
      </c>
      <c r="AL1370" t="inlineStr">
        <is>
          <t>2.4</t>
        </is>
      </c>
      <c r="AM1370" t="inlineStr">
        <is>
          <t>601+</t>
        </is>
      </c>
      <c r="AN1370" t="inlineStr">
        <is>
          <t>2.4</t>
        </is>
      </c>
      <c r="AO1370" t="inlineStr">
        <is>
          <t>701+</t>
        </is>
      </c>
      <c r="AP1370" t="inlineStr">
        <is>
          <t>38.6</t>
        </is>
      </c>
      <c r="AQ1370" t="inlineStr">
        <is>
          <t>360</t>
        </is>
      </c>
      <c r="AR1370" t="inlineStr">
        <is>
          <t>2.5</t>
        </is>
      </c>
      <c r="AS1370" t="inlineStr">
        <is>
          <t>701+</t>
        </is>
      </c>
      <c r="AT1370" t="inlineStr">
        <is>
          <t>3.5</t>
        </is>
      </c>
      <c r="AU1370" t="inlineStr">
        <is>
          <t>701+</t>
        </is>
      </c>
      <c r="AV1370" t="inlineStr">
        <is>
          <t>26.8</t>
        </is>
      </c>
      <c r="AW1370" t="inlineStr">
        <is>
          <t>484</t>
        </is>
      </c>
      <c r="AX1370" t="inlineStr">
        <is>
          <t>8.4</t>
        </is>
      </c>
      <c r="AY1370" t="inlineStr">
        <is>
          <t>701+</t>
        </is>
      </c>
      <c r="AZ1370" t="inlineStr">
        <is>
          <t>17.8</t>
        </is>
      </c>
      <c r="BA1370" t="inlineStr">
        <is>
          <t>571=</t>
        </is>
      </c>
    </row>
    <row r="1371">
      <c r="A1371" t="inlineStr">
        <is>
          <t>Universita' degli Studi di Napoli "Parthenope"</t>
        </is>
      </c>
      <c r="B1371" t="inlineStr">
        <is>
          <t>Italy</t>
        </is>
      </c>
      <c r="C1371" t="inlineStr"/>
      <c r="D1371" t="inlineStr">
        <is>
          <t>Europe</t>
        </is>
      </c>
      <c r="E1371" t="inlineStr">
        <is>
          <t>M</t>
        </is>
      </c>
      <c r="F1371" t="inlineStr">
        <is>
          <t>FO</t>
        </is>
      </c>
      <c r="G1371" t="inlineStr">
        <is>
          <t>VH</t>
        </is>
      </c>
      <c r="H1371" t="inlineStr"/>
      <c r="I1371" t="inlineStr">
        <is>
          <t>Public</t>
        </is>
      </c>
      <c r="J1371" t="inlineStr">
        <is>
          <t>1001-1200</t>
        </is>
      </c>
      <c r="K1371" t="inlineStr">
        <is>
          <t>1001-1200</t>
        </is>
      </c>
      <c r="L1371" t="inlineStr"/>
      <c r="M1371" t="inlineStr"/>
      <c r="N1371" t="inlineStr">
        <is>
          <t>-</t>
        </is>
      </c>
      <c r="O1371" t="inlineStr"/>
      <c r="P1371" t="n">
        <v>5.6</v>
      </c>
      <c r="Q1371" t="inlineStr">
        <is>
          <t>701+</t>
        </is>
      </c>
      <c r="R1371" t="n">
        <v>3.4</v>
      </c>
      <c r="S1371" t="inlineStr">
        <is>
          <t>701+</t>
        </is>
      </c>
      <c r="T1371" t="n">
        <v>4.2</v>
      </c>
      <c r="U1371" t="inlineStr">
        <is>
          <t>801+</t>
        </is>
      </c>
      <c r="V1371" t="n">
        <v>47.2</v>
      </c>
      <c r="W1371" t="inlineStr">
        <is>
          <t>401</t>
        </is>
      </c>
      <c r="X1371" t="n">
        <v>2</v>
      </c>
      <c r="Y1371" t="inlineStr">
        <is>
          <t>801+</t>
        </is>
      </c>
      <c r="Z1371" t="n">
        <v>4.2</v>
      </c>
      <c r="AA1371" t="inlineStr">
        <is>
          <t>801+</t>
        </is>
      </c>
      <c r="AB1371" t="n">
        <v>8.699999999999999</v>
      </c>
      <c r="AC1371" t="inlineStr">
        <is>
          <t>801+</t>
        </is>
      </c>
      <c r="AD1371" t="n">
        <v>33.3</v>
      </c>
      <c r="AE1371" t="inlineStr">
        <is>
          <t>801+</t>
        </is>
      </c>
      <c r="AF1371" t="n">
        <v>1.8</v>
      </c>
      <c r="AG1371" t="inlineStr">
        <is>
          <t>801+</t>
        </is>
      </c>
      <c r="AH1371" t="n">
        <v>41.2</v>
      </c>
      <c r="AI1371" t="inlineStr">
        <is>
          <t>801+</t>
        </is>
      </c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</row>
    <row r="1372">
      <c r="A1372" t="inlineStr">
        <is>
          <t>Universita' degli studi di Salerno</t>
        </is>
      </c>
      <c r="B1372" t="inlineStr">
        <is>
          <t>Italy</t>
        </is>
      </c>
      <c r="C1372" t="inlineStr"/>
      <c r="D1372" t="inlineStr">
        <is>
          <t>Europe</t>
        </is>
      </c>
      <c r="E1372" t="inlineStr">
        <is>
          <t>L</t>
        </is>
      </c>
      <c r="F1372" t="inlineStr">
        <is>
          <t>FC</t>
        </is>
      </c>
      <c r="G1372" t="inlineStr">
        <is>
          <t>VH</t>
        </is>
      </c>
      <c r="H1372" t="inlineStr"/>
      <c r="I1372" t="inlineStr">
        <is>
          <t>Public</t>
        </is>
      </c>
      <c r="J1372" t="inlineStr">
        <is>
          <t>801-850</t>
        </is>
      </c>
      <c r="K1372" t="inlineStr">
        <is>
          <t>801-850</t>
        </is>
      </c>
      <c r="L1372" t="inlineStr"/>
      <c r="M1372" t="inlineStr"/>
      <c r="N1372" t="inlineStr">
        <is>
          <t>-</t>
        </is>
      </c>
      <c r="O1372" t="inlineStr"/>
      <c r="P1372" t="n">
        <v>12.3</v>
      </c>
      <c r="Q1372" t="inlineStr">
        <is>
          <t>701+</t>
        </is>
      </c>
      <c r="R1372" t="n">
        <v>6.1</v>
      </c>
      <c r="S1372" t="inlineStr">
        <is>
          <t>701+</t>
        </is>
      </c>
      <c r="T1372" t="n">
        <v>9.6</v>
      </c>
      <c r="U1372" t="inlineStr">
        <is>
          <t>801+</t>
        </is>
      </c>
      <c r="V1372" t="n">
        <v>46.9</v>
      </c>
      <c r="W1372" t="inlineStr">
        <is>
          <t>404</t>
        </is>
      </c>
      <c r="X1372" t="n">
        <v>4.4</v>
      </c>
      <c r="Y1372" t="inlineStr">
        <is>
          <t>801+</t>
        </is>
      </c>
      <c r="Z1372" t="n">
        <v>2.6</v>
      </c>
      <c r="AA1372" t="inlineStr">
        <is>
          <t>801+</t>
        </is>
      </c>
      <c r="AB1372" t="n">
        <v>7.4</v>
      </c>
      <c r="AC1372" t="inlineStr">
        <is>
          <t>801+</t>
        </is>
      </c>
      <c r="AD1372" t="n">
        <v>85.5</v>
      </c>
      <c r="AE1372" t="inlineStr">
        <is>
          <t>246</t>
        </is>
      </c>
      <c r="AF1372" t="n">
        <v>5.4</v>
      </c>
      <c r="AG1372" t="inlineStr">
        <is>
          <t>801+</t>
        </is>
      </c>
      <c r="AH1372" t="n">
        <v>58.4</v>
      </c>
      <c r="AI1372" t="inlineStr">
        <is>
          <t>536=</t>
        </is>
      </c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</row>
    <row r="1373">
      <c r="A1373" t="inlineStr">
        <is>
          <t>Universita' degli Studi di Urbino Carlo Bo</t>
        </is>
      </c>
      <c r="B1373" t="inlineStr">
        <is>
          <t>Italy</t>
        </is>
      </c>
      <c r="C1373" t="inlineStr"/>
      <c r="D1373" t="inlineStr">
        <is>
          <t>Europe</t>
        </is>
      </c>
      <c r="E1373" t="inlineStr">
        <is>
          <t>L</t>
        </is>
      </c>
      <c r="F1373" t="inlineStr">
        <is>
          <t>FO</t>
        </is>
      </c>
      <c r="G1373" t="inlineStr">
        <is>
          <t>VH</t>
        </is>
      </c>
      <c r="H1373" t="inlineStr"/>
      <c r="I1373" t="inlineStr">
        <is>
          <t>Public</t>
        </is>
      </c>
      <c r="J1373" t="inlineStr">
        <is>
          <t>1201-1400</t>
        </is>
      </c>
      <c r="K1373" t="inlineStr"/>
      <c r="L1373" t="inlineStr"/>
      <c r="M1373" t="inlineStr"/>
      <c r="N1373" t="inlineStr">
        <is>
          <t>-</t>
        </is>
      </c>
      <c r="O1373" t="inlineStr"/>
      <c r="P1373" t="n">
        <v>6.8</v>
      </c>
      <c r="Q1373" t="inlineStr">
        <is>
          <t>701+</t>
        </is>
      </c>
      <c r="R1373" t="n">
        <v>2.8</v>
      </c>
      <c r="S1373" t="inlineStr">
        <is>
          <t>701+</t>
        </is>
      </c>
      <c r="T1373" t="n">
        <v>3</v>
      </c>
      <c r="U1373" t="inlineStr">
        <is>
          <t>801+</t>
        </is>
      </c>
      <c r="V1373" t="n">
        <v>14.5</v>
      </c>
      <c r="W1373" t="inlineStr">
        <is>
          <t>801+</t>
        </is>
      </c>
      <c r="X1373" t="n">
        <v>22.6</v>
      </c>
      <c r="Y1373" t="inlineStr">
        <is>
          <t>680</t>
        </is>
      </c>
      <c r="Z1373" t="n">
        <v>9.1</v>
      </c>
      <c r="AA1373" t="inlineStr">
        <is>
          <t>801+</t>
        </is>
      </c>
      <c r="AB1373" t="n">
        <v>14.2</v>
      </c>
      <c r="AC1373" t="inlineStr">
        <is>
          <t>801+</t>
        </is>
      </c>
      <c r="AD1373" t="n">
        <v>28.5</v>
      </c>
      <c r="AE1373" t="inlineStr">
        <is>
          <t>801+</t>
        </is>
      </c>
      <c r="AF1373" t="n">
        <v>13.8</v>
      </c>
      <c r="AG1373" t="inlineStr">
        <is>
          <t>801+</t>
        </is>
      </c>
      <c r="AH1373" t="n">
        <v>27.3</v>
      </c>
      <c r="AI1373" t="inlineStr">
        <is>
          <t>801+</t>
        </is>
      </c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</row>
    <row r="1374">
      <c r="A1374" t="inlineStr">
        <is>
          <t>Universita degli Studi "G. D'Annunzio" Chieti-Pescara</t>
        </is>
      </c>
      <c r="B1374" t="inlineStr">
        <is>
          <t>Italy</t>
        </is>
      </c>
      <c r="C1374" t="inlineStr">
        <is>
          <t>IT</t>
        </is>
      </c>
      <c r="D1374" t="inlineStr">
        <is>
          <t>Europe</t>
        </is>
      </c>
      <c r="E1374" t="inlineStr">
        <is>
          <t>L</t>
        </is>
      </c>
      <c r="F1374" t="inlineStr">
        <is>
          <t>FO</t>
        </is>
      </c>
      <c r="G1374" t="inlineStr">
        <is>
          <t>VH</t>
        </is>
      </c>
      <c r="H1374" t="inlineStr">
        <is>
          <t>4</t>
        </is>
      </c>
      <c r="I1374" t="inlineStr">
        <is>
          <t>Public</t>
        </is>
      </c>
      <c r="J1374" t="inlineStr">
        <is>
          <t>1001-1200</t>
        </is>
      </c>
      <c r="K1374" t="inlineStr">
        <is>
          <t>1001-1200</t>
        </is>
      </c>
      <c r="L1374" t="inlineStr">
        <is>
          <t>1001-1200</t>
        </is>
      </c>
      <c r="M1374" t="inlineStr">
        <is>
          <t>1201-1400</t>
        </is>
      </c>
      <c r="N1374" t="inlineStr">
        <is>
          <t>-</t>
        </is>
      </c>
      <c r="O1374" t="inlineStr">
        <is>
          <t>-</t>
        </is>
      </c>
      <c r="P1374" t="n">
        <v>4.9</v>
      </c>
      <c r="Q1374" t="inlineStr">
        <is>
          <t>701+</t>
        </is>
      </c>
      <c r="R1374" t="n">
        <v>3</v>
      </c>
      <c r="S1374" t="inlineStr">
        <is>
          <t>701+</t>
        </is>
      </c>
      <c r="T1374" t="n">
        <v>4.6</v>
      </c>
      <c r="U1374" t="inlineStr">
        <is>
          <t>801+</t>
        </is>
      </c>
      <c r="V1374" t="n">
        <v>45.9</v>
      </c>
      <c r="W1374" t="inlineStr">
        <is>
          <t>407</t>
        </is>
      </c>
      <c r="X1374" t="n">
        <v>5.1</v>
      </c>
      <c r="Y1374" t="inlineStr">
        <is>
          <t>801+</t>
        </is>
      </c>
      <c r="Z1374" t="n">
        <v>5.1</v>
      </c>
      <c r="AA1374" t="inlineStr">
        <is>
          <t>801+</t>
        </is>
      </c>
      <c r="AB1374" t="n">
        <v>4</v>
      </c>
      <c r="AC1374" t="inlineStr">
        <is>
          <t>801+</t>
        </is>
      </c>
      <c r="AD1374" t="n">
        <v>60.3</v>
      </c>
      <c r="AE1374" t="inlineStr">
        <is>
          <t>688</t>
        </is>
      </c>
      <c r="AF1374" t="n">
        <v>3.2</v>
      </c>
      <c r="AG1374" t="inlineStr">
        <is>
          <t>801+</t>
        </is>
      </c>
      <c r="AH1374" t="n">
        <v>29.6</v>
      </c>
      <c r="AI1374" t="inlineStr">
        <is>
          <t>801+</t>
        </is>
      </c>
      <c r="AJ1374" t="inlineStr">
        <is>
          <t>3.6</t>
        </is>
      </c>
      <c r="AK1374" t="inlineStr">
        <is>
          <t>601+</t>
        </is>
      </c>
      <c r="AL1374" t="inlineStr">
        <is>
          <t>1.5</t>
        </is>
      </c>
      <c r="AM1374" t="inlineStr">
        <is>
          <t>601+</t>
        </is>
      </c>
      <c r="AN1374" t="inlineStr">
        <is>
          <t>3.3</t>
        </is>
      </c>
      <c r="AO1374" t="inlineStr">
        <is>
          <t>701+</t>
        </is>
      </c>
      <c r="AP1374" t="inlineStr">
        <is>
          <t>25.3</t>
        </is>
      </c>
      <c r="AQ1374" t="inlineStr">
        <is>
          <t>481</t>
        </is>
      </c>
      <c r="AR1374" t="inlineStr">
        <is>
          <t>4.1</t>
        </is>
      </c>
      <c r="AS1374" t="inlineStr">
        <is>
          <t>701+</t>
        </is>
      </c>
      <c r="AT1374" t="inlineStr">
        <is>
          <t>3.0</t>
        </is>
      </c>
      <c r="AU1374" t="inlineStr">
        <is>
          <t>701+</t>
        </is>
      </c>
      <c r="AV1374" t="inlineStr">
        <is>
          <t>5.5</t>
        </is>
      </c>
      <c r="AW1374" t="inlineStr">
        <is>
          <t>701+</t>
        </is>
      </c>
      <c r="AX1374" t="inlineStr">
        <is>
          <t>4.7</t>
        </is>
      </c>
      <c r="AY1374" t="inlineStr">
        <is>
          <t>701+</t>
        </is>
      </c>
      <c r="AZ1374" t="inlineStr">
        <is>
          <t>1</t>
        </is>
      </c>
      <c r="BA1374" t="inlineStr">
        <is>
          <t>701+</t>
        </is>
      </c>
    </row>
    <row r="1375">
      <c r="A1375" t="inlineStr">
        <is>
          <t>Universita' Politecnica delle Marche</t>
        </is>
      </c>
      <c r="B1375" t="inlineStr">
        <is>
          <t>Italy</t>
        </is>
      </c>
      <c r="C1375" t="inlineStr">
        <is>
          <t>IT</t>
        </is>
      </c>
      <c r="D1375" t="inlineStr"/>
      <c r="E1375" t="inlineStr">
        <is>
          <t>M</t>
        </is>
      </c>
      <c r="F1375" t="inlineStr">
        <is>
          <t>FO</t>
        </is>
      </c>
      <c r="G1375" t="inlineStr">
        <is>
          <t>VH</t>
        </is>
      </c>
      <c r="H1375" t="inlineStr">
        <is>
          <t>4</t>
        </is>
      </c>
      <c r="I1375" t="inlineStr">
        <is>
          <t>A</t>
        </is>
      </c>
      <c r="J1375" t="inlineStr"/>
      <c r="K1375" t="inlineStr"/>
      <c r="L1375" t="inlineStr">
        <is>
          <t>721-730</t>
        </is>
      </c>
      <c r="M1375" t="inlineStr">
        <is>
          <t>801-1000</t>
        </is>
      </c>
      <c r="N1375" t="inlineStr"/>
      <c r="O1375" t="inlineStr">
        <is>
          <t>-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>
        <is>
          <t>6.0</t>
        </is>
      </c>
      <c r="AK1375" t="inlineStr">
        <is>
          <t>601+</t>
        </is>
      </c>
      <c r="AL1375" t="inlineStr">
        <is>
          <t>2.8</t>
        </is>
      </c>
      <c r="AM1375" t="inlineStr">
        <is>
          <t>601+</t>
        </is>
      </c>
      <c r="AN1375" t="inlineStr">
        <is>
          <t>11.0</t>
        </is>
      </c>
      <c r="AO1375" t="inlineStr">
        <is>
          <t>701+</t>
        </is>
      </c>
      <c r="AP1375" t="inlineStr">
        <is>
          <t>49.1</t>
        </is>
      </c>
      <c r="AQ1375" t="inlineStr">
        <is>
          <t>273</t>
        </is>
      </c>
      <c r="AR1375" t="inlineStr">
        <is>
          <t>3.9</t>
        </is>
      </c>
      <c r="AS1375" t="inlineStr">
        <is>
          <t>701+</t>
        </is>
      </c>
      <c r="AT1375" t="inlineStr">
        <is>
          <t>4.8</t>
        </is>
      </c>
      <c r="AU1375" t="inlineStr">
        <is>
          <t>701+</t>
        </is>
      </c>
      <c r="AV1375" t="inlineStr">
        <is>
          <t>40.9</t>
        </is>
      </c>
      <c r="AW1375" t="inlineStr">
        <is>
          <t>369</t>
        </is>
      </c>
      <c r="AX1375" t="inlineStr">
        <is>
          <t>6.9</t>
        </is>
      </c>
      <c r="AY1375" t="inlineStr">
        <is>
          <t>701+</t>
        </is>
      </c>
      <c r="AZ1375" t="inlineStr">
        <is>
          <t>6.5</t>
        </is>
      </c>
      <c r="BA1375" t="inlineStr">
        <is>
          <t>701+</t>
        </is>
      </c>
    </row>
    <row r="1376">
      <c r="A1376" t="inlineStr">
        <is>
          <t>Universita' Politecnica delle Marche - UNIVPM</t>
        </is>
      </c>
      <c r="B1376" t="inlineStr">
        <is>
          <t>Italy</t>
        </is>
      </c>
      <c r="C1376" t="inlineStr"/>
      <c r="D1376" t="inlineStr">
        <is>
          <t>Europe</t>
        </is>
      </c>
      <c r="E1376" t="inlineStr">
        <is>
          <t>M</t>
        </is>
      </c>
      <c r="F1376" t="inlineStr">
        <is>
          <t>FO</t>
        </is>
      </c>
      <c r="G1376" t="inlineStr">
        <is>
          <t>VH</t>
        </is>
      </c>
      <c r="H1376" t="inlineStr"/>
      <c r="I1376" t="inlineStr">
        <is>
          <t>Public</t>
        </is>
      </c>
      <c r="J1376" t="inlineStr">
        <is>
          <t>801-850</t>
        </is>
      </c>
      <c r="K1376" t="inlineStr">
        <is>
          <t>751-760</t>
        </is>
      </c>
      <c r="L1376" t="inlineStr"/>
      <c r="M1376" t="inlineStr"/>
      <c r="N1376" t="inlineStr">
        <is>
          <t>-</t>
        </is>
      </c>
      <c r="O1376" t="inlineStr"/>
      <c r="P1376" t="n">
        <v>8</v>
      </c>
      <c r="Q1376" t="inlineStr">
        <is>
          <t>701+</t>
        </is>
      </c>
      <c r="R1376" t="n">
        <v>5.2</v>
      </c>
      <c r="S1376" t="inlineStr">
        <is>
          <t>701+</t>
        </is>
      </c>
      <c r="T1376" t="n">
        <v>17.1</v>
      </c>
      <c r="U1376" t="inlineStr">
        <is>
          <t>801+</t>
        </is>
      </c>
      <c r="V1376" t="n">
        <v>55.3</v>
      </c>
      <c r="W1376" t="inlineStr">
        <is>
          <t>326</t>
        </is>
      </c>
      <c r="X1376" t="n">
        <v>8.6</v>
      </c>
      <c r="Y1376" t="inlineStr">
        <is>
          <t>801+</t>
        </is>
      </c>
      <c r="Z1376" t="n">
        <v>11.6</v>
      </c>
      <c r="AA1376" t="inlineStr">
        <is>
          <t>801+</t>
        </is>
      </c>
      <c r="AB1376" t="n">
        <v>17.5</v>
      </c>
      <c r="AC1376" t="inlineStr">
        <is>
          <t>801+</t>
        </is>
      </c>
      <c r="AD1376" t="n">
        <v>77.40000000000001</v>
      </c>
      <c r="AE1376" t="inlineStr">
        <is>
          <t>396</t>
        </is>
      </c>
      <c r="AF1376" t="n">
        <v>3.9</v>
      </c>
      <c r="AG1376" t="inlineStr">
        <is>
          <t>801+</t>
        </is>
      </c>
      <c r="AH1376" t="n">
        <v>57.3</v>
      </c>
      <c r="AI1376" t="inlineStr">
        <is>
          <t>555=</t>
        </is>
      </c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</row>
    <row r="1377">
      <c r="A1377" t="inlineStr">
        <is>
          <t>Universitas Airlangga</t>
        </is>
      </c>
      <c r="B1377" t="inlineStr">
        <is>
          <t>Indonesia</t>
        </is>
      </c>
      <c r="C1377" t="inlineStr"/>
      <c r="D1377" t="inlineStr">
        <is>
          <t>Asia</t>
        </is>
      </c>
      <c r="E1377" t="inlineStr">
        <is>
          <t>XL</t>
        </is>
      </c>
      <c r="F1377" t="inlineStr">
        <is>
          <t>FC</t>
        </is>
      </c>
      <c r="G1377" t="inlineStr">
        <is>
          <t>VH</t>
        </is>
      </c>
      <c r="H1377" t="inlineStr"/>
      <c r="I1377" t="inlineStr">
        <is>
          <t>Public</t>
        </is>
      </c>
      <c r="J1377" t="inlineStr">
        <is>
          <t>287</t>
        </is>
      </c>
      <c r="K1377" t="inlineStr">
        <is>
          <t>308</t>
        </is>
      </c>
      <c r="L1377" t="inlineStr"/>
      <c r="M1377" t="inlineStr"/>
      <c r="N1377" t="inlineStr">
        <is>
          <t>46.8</t>
        </is>
      </c>
      <c r="O1377" t="inlineStr"/>
      <c r="P1377" t="n">
        <v>52.2</v>
      </c>
      <c r="Q1377" t="inlineStr">
        <is>
          <t>213</t>
        </is>
      </c>
      <c r="R1377" t="n">
        <v>88.3</v>
      </c>
      <c r="S1377" t="inlineStr">
        <is>
          <t>78</t>
        </is>
      </c>
      <c r="T1377" t="n">
        <v>69.59999999999999</v>
      </c>
      <c r="U1377" t="inlineStr">
        <is>
          <t>235</t>
        </is>
      </c>
      <c r="V1377" t="n">
        <v>2.5</v>
      </c>
      <c r="W1377" t="inlineStr">
        <is>
          <t>801+</t>
        </is>
      </c>
      <c r="X1377" t="n">
        <v>77.3</v>
      </c>
      <c r="Y1377" t="inlineStr">
        <is>
          <t>308</t>
        </is>
      </c>
      <c r="Z1377" t="n">
        <v>10.8</v>
      </c>
      <c r="AA1377" t="inlineStr">
        <is>
          <t>801+</t>
        </is>
      </c>
      <c r="AB1377" t="n">
        <v>16.7</v>
      </c>
      <c r="AC1377" t="inlineStr">
        <is>
          <t>801+</t>
        </is>
      </c>
      <c r="AD1377" t="n">
        <v>52.9</v>
      </c>
      <c r="AE1377" t="inlineStr">
        <is>
          <t>797</t>
        </is>
      </c>
      <c r="AF1377" t="n">
        <v>24</v>
      </c>
      <c r="AG1377" t="inlineStr">
        <is>
          <t>658</t>
        </is>
      </c>
      <c r="AH1377" t="n">
        <v>56.6</v>
      </c>
      <c r="AI1377" t="inlineStr">
        <is>
          <t>568=</t>
        </is>
      </c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</row>
    <row r="1378">
      <c r="A1378" t="inlineStr">
        <is>
          <t>Universitas Andalas</t>
        </is>
      </c>
      <c r="B1378" t="inlineStr">
        <is>
          <t>Indonesia</t>
        </is>
      </c>
      <c r="C1378" t="inlineStr">
        <is>
          <t>ID</t>
        </is>
      </c>
      <c r="D1378" t="inlineStr">
        <is>
          <t>Asia</t>
        </is>
      </c>
      <c r="E1378" t="inlineStr">
        <is>
          <t>XL</t>
        </is>
      </c>
      <c r="F1378" t="inlineStr">
        <is>
          <t>CO</t>
        </is>
      </c>
      <c r="G1378" t="inlineStr">
        <is>
          <t>HI</t>
        </is>
      </c>
      <c r="H1378" t="inlineStr">
        <is>
          <t>4</t>
        </is>
      </c>
      <c r="I1378" t="inlineStr">
        <is>
          <t>Public</t>
        </is>
      </c>
      <c r="J1378" t="inlineStr">
        <is>
          <t>1401+</t>
        </is>
      </c>
      <c r="K1378" t="inlineStr">
        <is>
          <t>1401+</t>
        </is>
      </c>
      <c r="L1378" t="inlineStr">
        <is>
          <t>1401+</t>
        </is>
      </c>
      <c r="M1378" t="inlineStr">
        <is>
          <t>1201-1400</t>
        </is>
      </c>
      <c r="N1378" t="inlineStr">
        <is>
          <t>-</t>
        </is>
      </c>
      <c r="O1378" t="inlineStr">
        <is>
          <t>-</t>
        </is>
      </c>
      <c r="P1378" t="n">
        <v>13.4</v>
      </c>
      <c r="Q1378" t="inlineStr">
        <is>
          <t>701+</t>
        </is>
      </c>
      <c r="R1378" t="n">
        <v>8.1</v>
      </c>
      <c r="S1378" t="inlineStr">
        <is>
          <t>701+</t>
        </is>
      </c>
      <c r="T1378" t="n">
        <v>13.9</v>
      </c>
      <c r="U1378" t="inlineStr">
        <is>
          <t>801+</t>
        </is>
      </c>
      <c r="V1378" t="n">
        <v>1.5</v>
      </c>
      <c r="W1378" t="inlineStr">
        <is>
          <t>801+</t>
        </is>
      </c>
      <c r="X1378" t="n">
        <v>14.4</v>
      </c>
      <c r="Y1378" t="inlineStr">
        <is>
          <t>801+</t>
        </is>
      </c>
      <c r="Z1378" t="n">
        <v>3.6</v>
      </c>
      <c r="AA1378" t="inlineStr">
        <is>
          <t>801+</t>
        </is>
      </c>
      <c r="AB1378" t="n">
        <v>7.8</v>
      </c>
      <c r="AC1378" t="inlineStr">
        <is>
          <t>801+</t>
        </is>
      </c>
      <c r="AD1378" t="n">
        <v>6</v>
      </c>
      <c r="AE1378" t="inlineStr">
        <is>
          <t>801+</t>
        </is>
      </c>
      <c r="AF1378" t="n">
        <v>5.1</v>
      </c>
      <c r="AG1378" t="inlineStr">
        <is>
          <t>801+</t>
        </is>
      </c>
      <c r="AH1378" t="n">
        <v>39.1</v>
      </c>
      <c r="AI1378" t="inlineStr">
        <is>
          <t>801+</t>
        </is>
      </c>
      <c r="AJ1378" t="inlineStr">
        <is>
          <t>6.9</t>
        </is>
      </c>
      <c r="AK1378" t="inlineStr">
        <is>
          <t>601+</t>
        </is>
      </c>
      <c r="AL1378" t="inlineStr">
        <is>
          <t>3.9</t>
        </is>
      </c>
      <c r="AM1378" t="inlineStr">
        <is>
          <t>601+</t>
        </is>
      </c>
      <c r="AN1378" t="inlineStr">
        <is>
          <t>4.9</t>
        </is>
      </c>
      <c r="AO1378" t="inlineStr">
        <is>
          <t>701+</t>
        </is>
      </c>
      <c r="AP1378" t="inlineStr">
        <is>
          <t>1.4</t>
        </is>
      </c>
      <c r="AQ1378" t="inlineStr">
        <is>
          <t>701+</t>
        </is>
      </c>
      <c r="AR1378" t="inlineStr">
        <is>
          <t>2.1</t>
        </is>
      </c>
      <c r="AS1378" t="inlineStr">
        <is>
          <t>701+</t>
        </is>
      </c>
      <c r="AT1378" t="inlineStr">
        <is>
          <t>1.1</t>
        </is>
      </c>
      <c r="AU1378" t="inlineStr">
        <is>
          <t>701+</t>
        </is>
      </c>
      <c r="AV1378" t="inlineStr">
        <is>
          <t>1.0</t>
        </is>
      </c>
      <c r="AW1378" t="inlineStr">
        <is>
          <t>701+</t>
        </is>
      </c>
      <c r="AX1378" t="inlineStr">
        <is>
          <t>6.1</t>
        </is>
      </c>
      <c r="AY1378" t="inlineStr">
        <is>
          <t>701+</t>
        </is>
      </c>
      <c r="AZ1378" t="inlineStr">
        <is>
          <t>1.1</t>
        </is>
      </c>
      <c r="BA1378" t="inlineStr">
        <is>
          <t>701+</t>
        </is>
      </c>
    </row>
    <row r="1379">
      <c r="A1379" t="inlineStr">
        <is>
          <t xml:space="preserve">Universitas Brawijaya </t>
        </is>
      </c>
      <c r="B1379" t="inlineStr">
        <is>
          <t>Indonesia</t>
        </is>
      </c>
      <c r="C1379" t="inlineStr">
        <is>
          <t>ID</t>
        </is>
      </c>
      <c r="D1379" t="inlineStr"/>
      <c r="E1379" t="inlineStr">
        <is>
          <t>XL</t>
        </is>
      </c>
      <c r="F1379" t="inlineStr">
        <is>
          <t>FC</t>
        </is>
      </c>
      <c r="G1379" t="inlineStr">
        <is>
          <t>HI</t>
        </is>
      </c>
      <c r="H1379" t="inlineStr">
        <is>
          <t>4</t>
        </is>
      </c>
      <c r="I1379" t="inlineStr">
        <is>
          <t>A</t>
        </is>
      </c>
      <c r="J1379" t="inlineStr"/>
      <c r="K1379" t="inlineStr"/>
      <c r="L1379" t="inlineStr">
        <is>
          <t>801-850</t>
        </is>
      </c>
      <c r="M1379" t="inlineStr">
        <is>
          <t>801-1000</t>
        </is>
      </c>
      <c r="N1379" t="inlineStr"/>
      <c r="O1379" t="inlineStr">
        <is>
          <t>-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>
        <is>
          <t>17.2</t>
        </is>
      </c>
      <c r="AK1379" t="inlineStr">
        <is>
          <t>519</t>
        </is>
      </c>
      <c r="AL1379" t="inlineStr">
        <is>
          <t>34.5</t>
        </is>
      </c>
      <c r="AM1379" t="inlineStr">
        <is>
          <t>284</t>
        </is>
      </c>
      <c r="AN1379" t="inlineStr">
        <is>
          <t>10.5</t>
        </is>
      </c>
      <c r="AO1379" t="inlineStr">
        <is>
          <t>701+</t>
        </is>
      </c>
      <c r="AP1379" t="inlineStr">
        <is>
          <t>1.4</t>
        </is>
      </c>
      <c r="AQ1379" t="inlineStr">
        <is>
          <t>701+</t>
        </is>
      </c>
      <c r="AR1379" t="inlineStr">
        <is>
          <t>6.2</t>
        </is>
      </c>
      <c r="AS1379" t="inlineStr">
        <is>
          <t>701+</t>
        </is>
      </c>
      <c r="AT1379" t="inlineStr">
        <is>
          <t>1.5</t>
        </is>
      </c>
      <c r="AU1379" t="inlineStr">
        <is>
          <t>701+</t>
        </is>
      </c>
      <c r="AV1379" t="inlineStr">
        <is>
          <t>1.1</t>
        </is>
      </c>
      <c r="AW1379" t="inlineStr">
        <is>
          <t>701+</t>
        </is>
      </c>
      <c r="AX1379" t="inlineStr">
        <is>
          <t>14</t>
        </is>
      </c>
      <c r="AY1379" t="inlineStr">
        <is>
          <t>611</t>
        </is>
      </c>
      <c r="AZ1379" t="inlineStr">
        <is>
          <t>14.5</t>
        </is>
      </c>
      <c r="BA1379" t="inlineStr">
        <is>
          <t>617=</t>
        </is>
      </c>
    </row>
    <row r="1380">
      <c r="A1380" t="inlineStr">
        <is>
          <t>Universitas Gadjah Mada</t>
        </is>
      </c>
      <c r="B1380" t="inlineStr">
        <is>
          <t>Indonesia</t>
        </is>
      </c>
      <c r="C1380" t="inlineStr"/>
      <c r="D1380" t="inlineStr">
        <is>
          <t>Asia</t>
        </is>
      </c>
      <c r="E1380" t="inlineStr">
        <is>
          <t>XL</t>
        </is>
      </c>
      <c r="F1380" t="inlineStr">
        <is>
          <t>FC</t>
        </is>
      </c>
      <c r="G1380" t="inlineStr">
        <is>
          <t>VH</t>
        </is>
      </c>
      <c r="H1380" t="inlineStr"/>
      <c r="I1380" t="inlineStr">
        <is>
          <t>Public</t>
        </is>
      </c>
      <c r="J1380" t="inlineStr">
        <is>
          <t>224</t>
        </is>
      </c>
      <c r="K1380" t="inlineStr">
        <is>
          <t>239</t>
        </is>
      </c>
      <c r="L1380" t="inlineStr"/>
      <c r="M1380" t="inlineStr"/>
      <c r="N1380" t="inlineStr">
        <is>
          <t>53.5</t>
        </is>
      </c>
      <c r="O1380" t="inlineStr"/>
      <c r="P1380" t="n">
        <v>70.2</v>
      </c>
      <c r="Q1380" t="inlineStr">
        <is>
          <t>134</t>
        </is>
      </c>
      <c r="R1380" t="n">
        <v>84.7</v>
      </c>
      <c r="S1380" t="inlineStr">
        <is>
          <t>93</t>
        </is>
      </c>
      <c r="T1380" t="n">
        <v>65.40000000000001</v>
      </c>
      <c r="U1380" t="inlineStr">
        <is>
          <t>265</t>
        </is>
      </c>
      <c r="V1380" t="n">
        <v>3</v>
      </c>
      <c r="W1380" t="inlineStr">
        <is>
          <t>801+</t>
        </is>
      </c>
      <c r="X1380" t="n">
        <v>63</v>
      </c>
      <c r="Y1380" t="inlineStr">
        <is>
          <t>370</t>
        </is>
      </c>
      <c r="Z1380" t="n">
        <v>8.9</v>
      </c>
      <c r="AA1380" t="inlineStr">
        <is>
          <t>801+</t>
        </is>
      </c>
      <c r="AB1380" t="n">
        <v>14.6</v>
      </c>
      <c r="AC1380" t="inlineStr">
        <is>
          <t>801+</t>
        </is>
      </c>
      <c r="AD1380" t="n">
        <v>46.3</v>
      </c>
      <c r="AE1380" t="inlineStr">
        <is>
          <t>801+</t>
        </is>
      </c>
      <c r="AF1380" t="n">
        <v>75.90000000000001</v>
      </c>
      <c r="AG1380" t="inlineStr">
        <is>
          <t>177</t>
        </is>
      </c>
      <c r="AH1380" t="n">
        <v>66</v>
      </c>
      <c r="AI1380" t="inlineStr">
        <is>
          <t>381=</t>
        </is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</row>
    <row r="1381">
      <c r="A1381" t="inlineStr">
        <is>
          <t>Universitas Hasanuddin</t>
        </is>
      </c>
      <c r="B1381" t="inlineStr">
        <is>
          <t>Indonesia</t>
        </is>
      </c>
      <c r="C1381" t="inlineStr">
        <is>
          <t>ID</t>
        </is>
      </c>
      <c r="D1381" t="inlineStr"/>
      <c r="E1381" t="inlineStr">
        <is>
          <t>XL</t>
        </is>
      </c>
      <c r="F1381" t="inlineStr">
        <is>
          <t>FC</t>
        </is>
      </c>
      <c r="G1381" t="inlineStr">
        <is>
          <t>HI</t>
        </is>
      </c>
      <c r="H1381" t="inlineStr">
        <is>
          <t>4</t>
        </is>
      </c>
      <c r="I1381" t="inlineStr">
        <is>
          <t>A</t>
        </is>
      </c>
      <c r="J1381" t="inlineStr"/>
      <c r="K1381" t="inlineStr"/>
      <c r="L1381" t="inlineStr">
        <is>
          <t>1001-1200</t>
        </is>
      </c>
      <c r="M1381" t="inlineStr">
        <is>
          <t>1001-1200</t>
        </is>
      </c>
      <c r="N1381" t="inlineStr"/>
      <c r="O1381" t="inlineStr">
        <is>
          <t>-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>
        <is>
          <t>12.5</t>
        </is>
      </c>
      <c r="AK1381" t="inlineStr">
        <is>
          <t>601+</t>
        </is>
      </c>
      <c r="AL1381" t="inlineStr">
        <is>
          <t>9.5</t>
        </is>
      </c>
      <c r="AM1381" t="inlineStr">
        <is>
          <t>601+</t>
        </is>
      </c>
      <c r="AN1381" t="inlineStr">
        <is>
          <t>14.5</t>
        </is>
      </c>
      <c r="AO1381" t="inlineStr">
        <is>
          <t>701+</t>
        </is>
      </c>
      <c r="AP1381" t="inlineStr">
        <is>
          <t>1.3</t>
        </is>
      </c>
      <c r="AQ1381" t="inlineStr">
        <is>
          <t>701+</t>
        </is>
      </c>
      <c r="AR1381" t="inlineStr">
        <is>
          <t>4.6</t>
        </is>
      </c>
      <c r="AS1381" t="inlineStr">
        <is>
          <t>701+</t>
        </is>
      </c>
      <c r="AT1381" t="inlineStr">
        <is>
          <t>1.2</t>
        </is>
      </c>
      <c r="AU1381" t="inlineStr">
        <is>
          <t>701+</t>
        </is>
      </c>
      <c r="AV1381" t="inlineStr">
        <is>
          <t>1.1</t>
        </is>
      </c>
      <c r="AW1381" t="inlineStr">
        <is>
          <t>701+</t>
        </is>
      </c>
      <c r="AX1381" t="inlineStr">
        <is>
          <t>10.2</t>
        </is>
      </c>
      <c r="AY1381" t="inlineStr">
        <is>
          <t>701+</t>
        </is>
      </c>
      <c r="AZ1381" t="inlineStr">
        <is>
          <t>1.8</t>
        </is>
      </c>
      <c r="BA1381" t="inlineStr">
        <is>
          <t>701+</t>
        </is>
      </c>
    </row>
    <row r="1382">
      <c r="A1382" t="inlineStr">
        <is>
          <t>UNIVERSITAS INDONESIA</t>
        </is>
      </c>
      <c r="B1382" t="inlineStr">
        <is>
          <t>Indonesia</t>
        </is>
      </c>
      <c r="C1382" t="inlineStr">
        <is>
          <t>ID</t>
        </is>
      </c>
      <c r="D1382" t="inlineStr">
        <is>
          <t>Asia</t>
        </is>
      </c>
      <c r="E1382" t="inlineStr">
        <is>
          <t>XL</t>
        </is>
      </c>
      <c r="F1382" t="inlineStr">
        <is>
          <t>FC</t>
        </is>
      </c>
      <c r="G1382" t="inlineStr">
        <is>
          <t>VH</t>
        </is>
      </c>
      <c r="H1382" t="inlineStr">
        <is>
          <t>4</t>
        </is>
      </c>
      <c r="I1382" t="inlineStr">
        <is>
          <t>Public</t>
        </is>
      </c>
      <c r="J1382" t="inlineStr">
        <is>
          <t>189</t>
        </is>
      </c>
      <c r="K1382" t="inlineStr">
        <is>
          <t>206</t>
        </is>
      </c>
      <c r="L1382">
        <f>237</f>
        <v/>
      </c>
      <c r="M1382" t="inlineStr">
        <is>
          <t>248=</t>
        </is>
      </c>
      <c r="N1382" t="inlineStr">
        <is>
          <t>57</t>
        </is>
      </c>
      <c r="O1382" t="inlineStr">
        <is>
          <t>40.9</t>
        </is>
      </c>
      <c r="P1382" t="n">
        <v>69.90000000000001</v>
      </c>
      <c r="Q1382" t="inlineStr">
        <is>
          <t>135</t>
        </is>
      </c>
      <c r="R1382" t="n">
        <v>89.3</v>
      </c>
      <c r="S1382" t="inlineStr">
        <is>
          <t>76</t>
        </is>
      </c>
      <c r="T1382" t="n">
        <v>68.8</v>
      </c>
      <c r="U1382" t="inlineStr">
        <is>
          <t>240</t>
        </is>
      </c>
      <c r="V1382" t="n">
        <v>3.9</v>
      </c>
      <c r="W1382" t="inlineStr">
        <is>
          <t>801+</t>
        </is>
      </c>
      <c r="X1382" t="n">
        <v>86.59999999999999</v>
      </c>
      <c r="Y1382" t="inlineStr">
        <is>
          <t>249</t>
        </is>
      </c>
      <c r="Z1382" t="n">
        <v>10.9</v>
      </c>
      <c r="AA1382" t="inlineStr">
        <is>
          <t>801+</t>
        </is>
      </c>
      <c r="AB1382" t="n">
        <v>16.3</v>
      </c>
      <c r="AC1382" t="inlineStr">
        <is>
          <t>801+</t>
        </is>
      </c>
      <c r="AD1382" t="n">
        <v>59.6</v>
      </c>
      <c r="AE1382" t="inlineStr">
        <is>
          <t>701</t>
        </is>
      </c>
      <c r="AF1382" t="n">
        <v>87.2</v>
      </c>
      <c r="AG1382" t="inlineStr">
        <is>
          <t>124</t>
        </is>
      </c>
      <c r="AH1382" t="n">
        <v>60.9</v>
      </c>
      <c r="AI1382" t="inlineStr">
        <is>
          <t>486=</t>
        </is>
      </c>
      <c r="AJ1382" t="inlineStr">
        <is>
          <t>50.5</t>
        </is>
      </c>
      <c r="AK1382" t="inlineStr">
        <is>
          <t>161</t>
        </is>
      </c>
      <c r="AL1382" t="inlineStr">
        <is>
          <t>73.0</t>
        </is>
      </c>
      <c r="AM1382" t="inlineStr">
        <is>
          <t>91</t>
        </is>
      </c>
      <c r="AN1382" t="inlineStr">
        <is>
          <t>50.4</t>
        </is>
      </c>
      <c r="AO1382" t="inlineStr">
        <is>
          <t>309</t>
        </is>
      </c>
      <c r="AP1382" t="inlineStr">
        <is>
          <t>2.0</t>
        </is>
      </c>
      <c r="AQ1382" t="inlineStr">
        <is>
          <t>701+</t>
        </is>
      </c>
      <c r="AR1382" t="inlineStr">
        <is>
          <t>75.8</t>
        </is>
      </c>
      <c r="AS1382" t="inlineStr">
        <is>
          <t>249</t>
        </is>
      </c>
      <c r="AT1382" t="inlineStr">
        <is>
          <t>4.8</t>
        </is>
      </c>
      <c r="AU1382" t="inlineStr">
        <is>
          <t>701+</t>
        </is>
      </c>
      <c r="AV1382" t="inlineStr">
        <is>
          <t>2.0</t>
        </is>
      </c>
      <c r="AW1382" t="inlineStr">
        <is>
          <t>701+</t>
        </is>
      </c>
      <c r="AX1382" t="inlineStr">
        <is>
          <t>58.7</t>
        </is>
      </c>
      <c r="AY1382" t="inlineStr">
        <is>
          <t>103</t>
        </is>
      </c>
      <c r="AZ1382" t="inlineStr">
        <is>
          <t>42.3</t>
        </is>
      </c>
      <c r="BA1382" t="inlineStr">
        <is>
          <t>351=</t>
        </is>
      </c>
    </row>
    <row r="1383">
      <c r="A1383" t="inlineStr">
        <is>
          <t>Universitas Islam Indonesia</t>
        </is>
      </c>
      <c r="B1383" t="inlineStr">
        <is>
          <t>Indonesia</t>
        </is>
      </c>
      <c r="C1383" t="inlineStr">
        <is>
          <t>ID</t>
        </is>
      </c>
      <c r="D1383" t="inlineStr"/>
      <c r="E1383" t="inlineStr">
        <is>
          <t>L</t>
        </is>
      </c>
      <c r="F1383" t="inlineStr">
        <is>
          <t>CO</t>
        </is>
      </c>
      <c r="G1383" t="inlineStr">
        <is>
          <t>HI</t>
        </is>
      </c>
      <c r="H1383" t="inlineStr">
        <is>
          <t>4</t>
        </is>
      </c>
      <c r="I1383" t="inlineStr">
        <is>
          <t>B</t>
        </is>
      </c>
      <c r="J1383" t="inlineStr"/>
      <c r="K1383" t="inlineStr"/>
      <c r="L1383" t="inlineStr">
        <is>
          <t>1201-1400</t>
        </is>
      </c>
      <c r="M1383" t="inlineStr"/>
      <c r="N1383" t="inlineStr"/>
      <c r="O1383" t="inlineStr">
        <is>
          <t>-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>
        <is>
          <t>10.4</t>
        </is>
      </c>
      <c r="AK1383" t="inlineStr">
        <is>
          <t>601+</t>
        </is>
      </c>
      <c r="AL1383" t="inlineStr">
        <is>
          <t>3.8</t>
        </is>
      </c>
      <c r="AM1383" t="inlineStr">
        <is>
          <t>601+</t>
        </is>
      </c>
      <c r="AN1383" t="inlineStr">
        <is>
          <t>2.0</t>
        </is>
      </c>
      <c r="AO1383" t="inlineStr">
        <is>
          <t>701+</t>
        </is>
      </c>
      <c r="AP1383" t="inlineStr">
        <is>
          <t>1.7</t>
        </is>
      </c>
      <c r="AQ1383" t="inlineStr">
        <is>
          <t>701+</t>
        </is>
      </c>
      <c r="AR1383" t="inlineStr">
        <is>
          <t>2.3</t>
        </is>
      </c>
      <c r="AS1383" t="inlineStr">
        <is>
          <t>701+</t>
        </is>
      </c>
      <c r="AT1383" t="inlineStr">
        <is>
          <t>1.2</t>
        </is>
      </c>
      <c r="AU1383" t="inlineStr">
        <is>
          <t>701+</t>
        </is>
      </c>
      <c r="AV1383" t="inlineStr">
        <is>
          <t>1.0</t>
        </is>
      </c>
      <c r="AW1383" t="inlineStr">
        <is>
          <t>701+</t>
        </is>
      </c>
      <c r="AX1383" t="inlineStr">
        <is>
          <t>7.6</t>
        </is>
      </c>
      <c r="AY1383" t="inlineStr">
        <is>
          <t>701+</t>
        </is>
      </c>
      <c r="AZ1383" t="inlineStr">
        <is>
          <t>1.8</t>
        </is>
      </c>
      <c r="BA1383" t="inlineStr">
        <is>
          <t>701+</t>
        </is>
      </c>
    </row>
    <row r="1384">
      <c r="A1384" t="inlineStr">
        <is>
          <t>Universitas Kristen Petra</t>
        </is>
      </c>
      <c r="B1384" t="inlineStr">
        <is>
          <t>Indonesia</t>
        </is>
      </c>
      <c r="C1384" t="inlineStr">
        <is>
          <t>ID</t>
        </is>
      </c>
      <c r="D1384" t="inlineStr"/>
      <c r="E1384" t="inlineStr">
        <is>
          <t>M</t>
        </is>
      </c>
      <c r="F1384" t="inlineStr">
        <is>
          <t>FO</t>
        </is>
      </c>
      <c r="G1384" t="inlineStr">
        <is>
          <t>HI</t>
        </is>
      </c>
      <c r="H1384" t="inlineStr">
        <is>
          <t>4</t>
        </is>
      </c>
      <c r="I1384" t="inlineStr">
        <is>
          <t>C</t>
        </is>
      </c>
      <c r="J1384" t="inlineStr"/>
      <c r="K1384" t="inlineStr"/>
      <c r="L1384" t="inlineStr">
        <is>
          <t>1401+</t>
        </is>
      </c>
      <c r="M1384" t="inlineStr"/>
      <c r="N1384" t="inlineStr"/>
      <c r="O1384" t="inlineStr">
        <is>
          <t>-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>
        <is>
          <t>6.1</t>
        </is>
      </c>
      <c r="AK1384" t="inlineStr">
        <is>
          <t>601+</t>
        </is>
      </c>
      <c r="AL1384" t="inlineStr">
        <is>
          <t>4.2</t>
        </is>
      </c>
      <c r="AM1384" t="inlineStr">
        <is>
          <t>601+</t>
        </is>
      </c>
      <c r="AN1384" t="inlineStr">
        <is>
          <t>7.3</t>
        </is>
      </c>
      <c r="AO1384" t="inlineStr">
        <is>
          <t>701+</t>
        </is>
      </c>
      <c r="AP1384" t="inlineStr">
        <is>
          <t>1.6</t>
        </is>
      </c>
      <c r="AQ1384" t="inlineStr">
        <is>
          <t>701+</t>
        </is>
      </c>
      <c r="AR1384" t="inlineStr">
        <is>
          <t>2.7</t>
        </is>
      </c>
      <c r="AS1384" t="inlineStr">
        <is>
          <t>701+</t>
        </is>
      </c>
      <c r="AT1384" t="inlineStr">
        <is>
          <t>1.4</t>
        </is>
      </c>
      <c r="AU1384" t="inlineStr">
        <is>
          <t>701+</t>
        </is>
      </c>
      <c r="AV1384" t="inlineStr">
        <is>
          <t>1.0</t>
        </is>
      </c>
      <c r="AW1384" t="inlineStr">
        <is>
          <t>701+</t>
        </is>
      </c>
      <c r="AX1384" t="inlineStr">
        <is>
          <t>8.1</t>
        </is>
      </c>
      <c r="AY1384" t="inlineStr">
        <is>
          <t>701+</t>
        </is>
      </c>
      <c r="AZ1384" t="inlineStr"/>
      <c r="BA1384" t="inlineStr"/>
    </row>
    <row r="1385">
      <c r="A1385" t="inlineStr">
        <is>
          <t>Universitas Muhammadiyah Surakarta</t>
        </is>
      </c>
      <c r="B1385" t="inlineStr">
        <is>
          <t>Indonesia</t>
        </is>
      </c>
      <c r="C1385" t="inlineStr">
        <is>
          <t>ID</t>
        </is>
      </c>
      <c r="D1385" t="inlineStr"/>
      <c r="E1385" t="inlineStr">
        <is>
          <t>L</t>
        </is>
      </c>
      <c r="F1385" t="inlineStr">
        <is>
          <t>FO</t>
        </is>
      </c>
      <c r="G1385" t="inlineStr">
        <is>
          <t>HI</t>
        </is>
      </c>
      <c r="H1385" t="inlineStr">
        <is>
          <t>3</t>
        </is>
      </c>
      <c r="I1385" t="inlineStr">
        <is>
          <t>B</t>
        </is>
      </c>
      <c r="J1385" t="inlineStr"/>
      <c r="K1385" t="inlineStr"/>
      <c r="L1385" t="inlineStr">
        <is>
          <t>1401+</t>
        </is>
      </c>
      <c r="M1385" t="inlineStr">
        <is>
          <t>1201-1400</t>
        </is>
      </c>
      <c r="N1385" t="inlineStr"/>
      <c r="O1385" t="inlineStr">
        <is>
          <t>-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>
        <is>
          <t>5.3</t>
        </is>
      </c>
      <c r="AK1385" t="inlineStr">
        <is>
          <t>601+</t>
        </is>
      </c>
      <c r="AL1385" t="inlineStr">
        <is>
          <t>2.4</t>
        </is>
      </c>
      <c r="AM1385" t="inlineStr">
        <is>
          <t>601+</t>
        </is>
      </c>
      <c r="AN1385" t="inlineStr">
        <is>
          <t>7.8</t>
        </is>
      </c>
      <c r="AO1385" t="inlineStr">
        <is>
          <t>701+</t>
        </is>
      </c>
      <c r="AP1385" t="inlineStr">
        <is>
          <t>1.1</t>
        </is>
      </c>
      <c r="AQ1385" t="inlineStr">
        <is>
          <t>701+</t>
        </is>
      </c>
      <c r="AR1385" t="inlineStr">
        <is>
          <t>6.5</t>
        </is>
      </c>
      <c r="AS1385" t="inlineStr">
        <is>
          <t>701+</t>
        </is>
      </c>
      <c r="AT1385" t="inlineStr">
        <is>
          <t>1.1</t>
        </is>
      </c>
      <c r="AU1385" t="inlineStr">
        <is>
          <t>701+</t>
        </is>
      </c>
      <c r="AV1385" t="inlineStr">
        <is>
          <t>1.0</t>
        </is>
      </c>
      <c r="AW1385" t="inlineStr">
        <is>
          <t>701+</t>
        </is>
      </c>
      <c r="AX1385" t="inlineStr">
        <is>
          <t>7.1</t>
        </is>
      </c>
      <c r="AY1385" t="inlineStr">
        <is>
          <t>701+</t>
        </is>
      </c>
      <c r="AZ1385" t="inlineStr">
        <is>
          <t>1.4</t>
        </is>
      </c>
      <c r="BA1385" t="inlineStr">
        <is>
          <t>701+</t>
        </is>
      </c>
    </row>
    <row r="1386">
      <c r="A1386" t="inlineStr">
        <is>
          <t>Universitas Muhammadiyah Yogyakarta</t>
        </is>
      </c>
      <c r="B1386" t="inlineStr">
        <is>
          <t>Indonesia</t>
        </is>
      </c>
      <c r="C1386" t="inlineStr">
        <is>
          <t>ID</t>
        </is>
      </c>
      <c r="D1386" t="inlineStr"/>
      <c r="E1386" t="inlineStr">
        <is>
          <t>L</t>
        </is>
      </c>
      <c r="F1386" t="inlineStr">
        <is>
          <t>FO</t>
        </is>
      </c>
      <c r="G1386" t="inlineStr">
        <is>
          <t>HI</t>
        </is>
      </c>
      <c r="H1386" t="inlineStr">
        <is>
          <t>3</t>
        </is>
      </c>
      <c r="I1386" t="inlineStr">
        <is>
          <t>B</t>
        </is>
      </c>
      <c r="J1386" t="inlineStr"/>
      <c r="K1386" t="inlineStr"/>
      <c r="L1386" t="inlineStr">
        <is>
          <t>1201-1400</t>
        </is>
      </c>
      <c r="M1386" t="inlineStr"/>
      <c r="N1386" t="inlineStr"/>
      <c r="O1386" t="inlineStr">
        <is>
          <t>-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>
        <is>
          <t>6.3</t>
        </is>
      </c>
      <c r="AK1386" t="inlineStr">
        <is>
          <t>601+</t>
        </is>
      </c>
      <c r="AL1386" t="inlineStr">
        <is>
          <t>2.5</t>
        </is>
      </c>
      <c r="AM1386" t="inlineStr">
        <is>
          <t>601+</t>
        </is>
      </c>
      <c r="AN1386" t="inlineStr">
        <is>
          <t>2.8</t>
        </is>
      </c>
      <c r="AO1386" t="inlineStr">
        <is>
          <t>701+</t>
        </is>
      </c>
      <c r="AP1386" t="inlineStr">
        <is>
          <t>1.4</t>
        </is>
      </c>
      <c r="AQ1386" t="inlineStr">
        <is>
          <t>701+</t>
        </is>
      </c>
      <c r="AR1386" t="inlineStr">
        <is>
          <t>36.6</t>
        </is>
      </c>
      <c r="AS1386" t="inlineStr">
        <is>
          <t>441</t>
        </is>
      </c>
      <c r="AT1386" t="inlineStr">
        <is>
          <t>2.0</t>
        </is>
      </c>
      <c r="AU1386" t="inlineStr">
        <is>
          <t>701+</t>
        </is>
      </c>
      <c r="AV1386" t="inlineStr">
        <is>
          <t>1.0</t>
        </is>
      </c>
      <c r="AW1386" t="inlineStr">
        <is>
          <t>701+</t>
        </is>
      </c>
      <c r="AX1386" t="inlineStr">
        <is>
          <t>7.4</t>
        </is>
      </c>
      <c r="AY1386" t="inlineStr">
        <is>
          <t>701+</t>
        </is>
      </c>
      <c r="AZ1386" t="inlineStr">
        <is>
          <t>1</t>
        </is>
      </c>
      <c r="BA1386" t="inlineStr">
        <is>
          <t>701+</t>
        </is>
      </c>
    </row>
    <row r="1387">
      <c r="A1387" t="inlineStr">
        <is>
          <t>Universitas Muhammadiyah Yogyakarta (UMY)</t>
        </is>
      </c>
      <c r="B1387" t="inlineStr">
        <is>
          <t>Indonesia</t>
        </is>
      </c>
      <c r="C1387" t="inlineStr"/>
      <c r="D1387" t="inlineStr">
        <is>
          <t>Asia</t>
        </is>
      </c>
      <c r="E1387" t="inlineStr">
        <is>
          <t>L</t>
        </is>
      </c>
      <c r="F1387" t="inlineStr">
        <is>
          <t>FO</t>
        </is>
      </c>
      <c r="G1387" t="inlineStr">
        <is>
          <t>HI</t>
        </is>
      </c>
      <c r="H1387" t="inlineStr"/>
      <c r="I1387" t="inlineStr">
        <is>
          <t>Private not for Profit</t>
        </is>
      </c>
      <c r="J1387" t="inlineStr">
        <is>
          <t>1201-1400</t>
        </is>
      </c>
      <c r="K1387" t="inlineStr">
        <is>
          <t>1201-1400</t>
        </is>
      </c>
      <c r="L1387" t="inlineStr"/>
      <c r="M1387" t="inlineStr"/>
      <c r="N1387" t="inlineStr">
        <is>
          <t>-</t>
        </is>
      </c>
      <c r="O1387" t="inlineStr"/>
      <c r="P1387" t="n">
        <v>10.9</v>
      </c>
      <c r="Q1387" t="inlineStr">
        <is>
          <t>701+</t>
        </is>
      </c>
      <c r="R1387" t="n">
        <v>4.2</v>
      </c>
      <c r="S1387" t="inlineStr">
        <is>
          <t>701+</t>
        </is>
      </c>
      <c r="T1387" t="n">
        <v>4.8</v>
      </c>
      <c r="U1387" t="inlineStr">
        <is>
          <t>801+</t>
        </is>
      </c>
      <c r="V1387" t="n">
        <v>2.2</v>
      </c>
      <c r="W1387" t="inlineStr">
        <is>
          <t>801+</t>
        </is>
      </c>
      <c r="X1387" t="n">
        <v>82.5</v>
      </c>
      <c r="Y1387" t="inlineStr">
        <is>
          <t>275</t>
        </is>
      </c>
      <c r="Z1387" t="n">
        <v>3.9</v>
      </c>
      <c r="AA1387" t="inlineStr">
        <is>
          <t>801+</t>
        </is>
      </c>
      <c r="AB1387" t="n">
        <v>8.300000000000001</v>
      </c>
      <c r="AC1387" t="inlineStr">
        <is>
          <t>801+</t>
        </is>
      </c>
      <c r="AD1387" t="n">
        <v>8.300000000000001</v>
      </c>
      <c r="AE1387" t="inlineStr">
        <is>
          <t>801+</t>
        </is>
      </c>
      <c r="AF1387" t="n">
        <v>2.7</v>
      </c>
      <c r="AG1387" t="inlineStr">
        <is>
          <t>801+</t>
        </is>
      </c>
      <c r="AH1387" t="n">
        <v>37.9</v>
      </c>
      <c r="AI1387" t="inlineStr">
        <is>
          <t>801+</t>
        </is>
      </c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</row>
    <row r="1388">
      <c r="A1388" t="inlineStr">
        <is>
          <t>Universitas Negeri Padang</t>
        </is>
      </c>
      <c r="B1388" t="inlineStr">
        <is>
          <t>Indonesia</t>
        </is>
      </c>
      <c r="C1388" t="inlineStr"/>
      <c r="D1388" t="inlineStr">
        <is>
          <t>Asia</t>
        </is>
      </c>
      <c r="E1388" t="inlineStr">
        <is>
          <t>XL</t>
        </is>
      </c>
      <c r="F1388" t="inlineStr">
        <is>
          <t>FO</t>
        </is>
      </c>
      <c r="G1388" t="inlineStr">
        <is>
          <t>HI</t>
        </is>
      </c>
      <c r="H1388" t="inlineStr"/>
      <c r="I1388" t="inlineStr">
        <is>
          <t>Public</t>
        </is>
      </c>
      <c r="J1388" t="inlineStr">
        <is>
          <t>1401+</t>
        </is>
      </c>
      <c r="K1388" t="inlineStr"/>
      <c r="L1388" t="inlineStr"/>
      <c r="M1388" t="inlineStr"/>
      <c r="N1388" t="inlineStr">
        <is>
          <t>-</t>
        </is>
      </c>
      <c r="O1388" t="inlineStr"/>
      <c r="P1388" t="n">
        <v>10.5</v>
      </c>
      <c r="Q1388" t="inlineStr">
        <is>
          <t>701+</t>
        </is>
      </c>
      <c r="R1388" t="n">
        <v>2.5</v>
      </c>
      <c r="S1388" t="inlineStr">
        <is>
          <t>701+</t>
        </is>
      </c>
      <c r="T1388" t="n">
        <v>31.5</v>
      </c>
      <c r="U1388" t="inlineStr">
        <is>
          <t>608</t>
        </is>
      </c>
      <c r="V1388" t="n">
        <v>1.3</v>
      </c>
      <c r="W1388" t="inlineStr">
        <is>
          <t>801+</t>
        </is>
      </c>
      <c r="X1388" t="n">
        <v>17.7</v>
      </c>
      <c r="Y1388" t="inlineStr">
        <is>
          <t>753</t>
        </is>
      </c>
      <c r="Z1388" t="n">
        <v>2.1</v>
      </c>
      <c r="AA1388" t="inlineStr">
        <is>
          <t>801+</t>
        </is>
      </c>
      <c r="AB1388" t="n">
        <v>6.4</v>
      </c>
      <c r="AC1388" t="inlineStr">
        <is>
          <t>801+</t>
        </is>
      </c>
      <c r="AD1388" t="n">
        <v>6.4</v>
      </c>
      <c r="AE1388" t="inlineStr">
        <is>
          <t>801+</t>
        </is>
      </c>
      <c r="AF1388" t="n">
        <v>2.6</v>
      </c>
      <c r="AG1388" t="inlineStr">
        <is>
          <t>801+</t>
        </is>
      </c>
      <c r="AH1388" t="n">
        <v>39.2</v>
      </c>
      <c r="AI1388" t="inlineStr">
        <is>
          <t>801+</t>
        </is>
      </c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</row>
    <row r="1389">
      <c r="A1389" t="inlineStr">
        <is>
          <t>Universitas Negeri Yogyakarta</t>
        </is>
      </c>
      <c r="B1389" t="inlineStr">
        <is>
          <t>Indonesia</t>
        </is>
      </c>
      <c r="C1389" t="inlineStr"/>
      <c r="D1389" t="inlineStr">
        <is>
          <t>Asia</t>
        </is>
      </c>
      <c r="E1389" t="inlineStr">
        <is>
          <t>L</t>
        </is>
      </c>
      <c r="F1389" t="inlineStr">
        <is>
          <t>CO</t>
        </is>
      </c>
      <c r="G1389" t="inlineStr">
        <is>
          <t>HI</t>
        </is>
      </c>
      <c r="H1389" t="inlineStr"/>
      <c r="I1389" t="inlineStr">
        <is>
          <t>Public</t>
        </is>
      </c>
      <c r="J1389" t="inlineStr">
        <is>
          <t>1201-1400</t>
        </is>
      </c>
      <c r="K1389" t="inlineStr">
        <is>
          <t>1201-1400</t>
        </is>
      </c>
      <c r="L1389" t="inlineStr"/>
      <c r="M1389" t="inlineStr"/>
      <c r="N1389" t="inlineStr">
        <is>
          <t>-</t>
        </is>
      </c>
      <c r="O1389" t="inlineStr"/>
      <c r="P1389" t="n">
        <v>17.4</v>
      </c>
      <c r="Q1389" t="inlineStr">
        <is>
          <t>701+</t>
        </is>
      </c>
      <c r="R1389" t="n">
        <v>6.7</v>
      </c>
      <c r="S1389" t="inlineStr">
        <is>
          <t>701+</t>
        </is>
      </c>
      <c r="T1389" t="n">
        <v>12.2</v>
      </c>
      <c r="U1389" t="inlineStr">
        <is>
          <t>801+</t>
        </is>
      </c>
      <c r="V1389" t="n">
        <v>2</v>
      </c>
      <c r="W1389" t="inlineStr">
        <is>
          <t>801+</t>
        </is>
      </c>
      <c r="X1389" t="n">
        <v>18.8</v>
      </c>
      <c r="Y1389" t="inlineStr">
        <is>
          <t>732</t>
        </is>
      </c>
      <c r="Z1389" t="n">
        <v>2.8</v>
      </c>
      <c r="AA1389" t="inlineStr">
        <is>
          <t>801+</t>
        </is>
      </c>
      <c r="AB1389" t="n">
        <v>7.2</v>
      </c>
      <c r="AC1389" t="inlineStr">
        <is>
          <t>801+</t>
        </is>
      </c>
      <c r="AD1389" t="n">
        <v>10.8</v>
      </c>
      <c r="AE1389" t="inlineStr">
        <is>
          <t>801+</t>
        </is>
      </c>
      <c r="AF1389" t="n">
        <v>2.8</v>
      </c>
      <c r="AG1389" t="inlineStr">
        <is>
          <t>801+</t>
        </is>
      </c>
      <c r="AH1389" t="n">
        <v>32.5</v>
      </c>
      <c r="AI1389" t="inlineStr">
        <is>
          <t>801+</t>
        </is>
      </c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</row>
    <row r="1390">
      <c r="A1390" t="inlineStr">
        <is>
          <t>Universitas Padjadjaran</t>
        </is>
      </c>
      <c r="B1390" t="inlineStr">
        <is>
          <t>Indonesia</t>
        </is>
      </c>
      <c r="C1390" t="inlineStr">
        <is>
          <t>ID</t>
        </is>
      </c>
      <c r="D1390" t="inlineStr"/>
      <c r="E1390" t="inlineStr">
        <is>
          <t>XL</t>
        </is>
      </c>
      <c r="F1390" t="inlineStr">
        <is>
          <t>FO</t>
        </is>
      </c>
      <c r="G1390" t="inlineStr">
        <is>
          <t>VH</t>
        </is>
      </c>
      <c r="H1390" t="inlineStr">
        <is>
          <t>4</t>
        </is>
      </c>
      <c r="I1390" t="inlineStr">
        <is>
          <t>A</t>
        </is>
      </c>
      <c r="J1390" t="inlineStr"/>
      <c r="K1390" t="inlineStr"/>
      <c r="L1390" t="inlineStr">
        <is>
          <t>661-670</t>
        </is>
      </c>
      <c r="M1390" t="inlineStr">
        <is>
          <t>751-800</t>
        </is>
      </c>
      <c r="N1390" t="inlineStr"/>
      <c r="O1390" t="inlineStr">
        <is>
          <t>-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>
        <is>
          <t>16.8</t>
        </is>
      </c>
      <c r="AK1390" t="inlineStr">
        <is>
          <t>525</t>
        </is>
      </c>
      <c r="AL1390" t="inlineStr">
        <is>
          <t>34.0</t>
        </is>
      </c>
      <c r="AM1390" t="inlineStr">
        <is>
          <t>287</t>
        </is>
      </c>
      <c r="AN1390" t="inlineStr">
        <is>
          <t>36.6</t>
        </is>
      </c>
      <c r="AO1390" t="inlineStr">
        <is>
          <t>433</t>
        </is>
      </c>
      <c r="AP1390" t="inlineStr">
        <is>
          <t>1.4</t>
        </is>
      </c>
      <c r="AQ1390" t="inlineStr">
        <is>
          <t>701+</t>
        </is>
      </c>
      <c r="AR1390" t="inlineStr">
        <is>
          <t>24.0</t>
        </is>
      </c>
      <c r="AS1390" t="inlineStr">
        <is>
          <t>549</t>
        </is>
      </c>
      <c r="AT1390" t="inlineStr">
        <is>
          <t>1.7</t>
        </is>
      </c>
      <c r="AU1390" t="inlineStr">
        <is>
          <t>701+</t>
        </is>
      </c>
      <c r="AV1390" t="inlineStr">
        <is>
          <t>1.2</t>
        </is>
      </c>
      <c r="AW1390" t="inlineStr">
        <is>
          <t>701+</t>
        </is>
      </c>
      <c r="AX1390" t="inlineStr">
        <is>
          <t>22</t>
        </is>
      </c>
      <c r="AY1390" t="inlineStr">
        <is>
          <t>375</t>
        </is>
      </c>
      <c r="AZ1390" t="inlineStr">
        <is>
          <t>24.8</t>
        </is>
      </c>
      <c r="BA1390" t="inlineStr">
        <is>
          <t>490=</t>
        </is>
      </c>
    </row>
    <row r="1391">
      <c r="A1391" t="inlineStr">
        <is>
          <t>Universitas Padjadjaran (UNPAD)</t>
        </is>
      </c>
      <c r="B1391" t="inlineStr">
        <is>
          <t>Indonesia</t>
        </is>
      </c>
      <c r="C1391" t="inlineStr"/>
      <c r="D1391" t="inlineStr">
        <is>
          <t>Asia</t>
        </is>
      </c>
      <c r="E1391" t="inlineStr">
        <is>
          <t>XL</t>
        </is>
      </c>
      <c r="F1391" t="inlineStr">
        <is>
          <t>FO</t>
        </is>
      </c>
      <c r="G1391" t="inlineStr">
        <is>
          <t>VH</t>
        </is>
      </c>
      <c r="H1391" t="inlineStr"/>
      <c r="I1391" t="inlineStr">
        <is>
          <t>Public</t>
        </is>
      </c>
      <c r="J1391" t="inlineStr">
        <is>
          <t>515</t>
        </is>
      </c>
      <c r="K1391" t="inlineStr">
        <is>
          <t>596</t>
        </is>
      </c>
      <c r="L1391" t="inlineStr"/>
      <c r="M1391" t="inlineStr"/>
      <c r="N1391" t="inlineStr">
        <is>
          <t>31.5</t>
        </is>
      </c>
      <c r="O1391" t="inlineStr"/>
      <c r="P1391" t="n">
        <v>29.9</v>
      </c>
      <c r="Q1391" t="inlineStr">
        <is>
          <t>408</t>
        </is>
      </c>
      <c r="R1391" t="n">
        <v>51.7</v>
      </c>
      <c r="S1391" t="inlineStr">
        <is>
          <t>237</t>
        </is>
      </c>
      <c r="T1391" t="n">
        <v>55.9</v>
      </c>
      <c r="U1391" t="inlineStr">
        <is>
          <t>334</t>
        </is>
      </c>
      <c r="V1391" t="n">
        <v>2.2</v>
      </c>
      <c r="W1391" t="inlineStr">
        <is>
          <t>801+</t>
        </is>
      </c>
      <c r="X1391" t="n">
        <v>54.3</v>
      </c>
      <c r="Y1391" t="inlineStr">
        <is>
          <t>417</t>
        </is>
      </c>
      <c r="Z1391" t="n">
        <v>4.4</v>
      </c>
      <c r="AA1391" t="inlineStr">
        <is>
          <t>801+</t>
        </is>
      </c>
      <c r="AB1391" t="n">
        <v>9.4</v>
      </c>
      <c r="AC1391" t="inlineStr">
        <is>
          <t>801+</t>
        </is>
      </c>
      <c r="AD1391" t="n">
        <v>31.8</v>
      </c>
      <c r="AE1391" t="inlineStr">
        <is>
          <t>801+</t>
        </is>
      </c>
      <c r="AF1391" t="n">
        <v>45.4</v>
      </c>
      <c r="AG1391" t="inlineStr">
        <is>
          <t>384</t>
        </is>
      </c>
      <c r="AH1391" t="n">
        <v>59.7</v>
      </c>
      <c r="AI1391" t="inlineStr">
        <is>
          <t>507=</t>
        </is>
      </c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</row>
    <row r="1392">
      <c r="A1392" t="inlineStr">
        <is>
          <t>Universitas Pendidikan Indonesia</t>
        </is>
      </c>
      <c r="B1392" t="inlineStr">
        <is>
          <t>Indonesia</t>
        </is>
      </c>
      <c r="C1392" t="inlineStr">
        <is>
          <t>ID</t>
        </is>
      </c>
      <c r="D1392" t="inlineStr">
        <is>
          <t>Asia</t>
        </is>
      </c>
      <c r="E1392" t="inlineStr">
        <is>
          <t>XL</t>
        </is>
      </c>
      <c r="F1392" t="inlineStr">
        <is>
          <t>CO</t>
        </is>
      </c>
      <c r="G1392" t="inlineStr">
        <is>
          <t>HI</t>
        </is>
      </c>
      <c r="H1392" t="inlineStr">
        <is>
          <t>4</t>
        </is>
      </c>
      <c r="I1392" t="inlineStr">
        <is>
          <t>Public</t>
        </is>
      </c>
      <c r="J1392" t="inlineStr">
        <is>
          <t>1201-1400</t>
        </is>
      </c>
      <c r="K1392" t="inlineStr">
        <is>
          <t>1201-1400</t>
        </is>
      </c>
      <c r="L1392" t="inlineStr">
        <is>
          <t>1201-1400</t>
        </is>
      </c>
      <c r="M1392" t="inlineStr"/>
      <c r="N1392" t="inlineStr">
        <is>
          <t>-</t>
        </is>
      </c>
      <c r="O1392" t="inlineStr">
        <is>
          <t>-</t>
        </is>
      </c>
      <c r="P1392" t="n">
        <v>17.4</v>
      </c>
      <c r="Q1392" t="inlineStr">
        <is>
          <t>701+</t>
        </is>
      </c>
      <c r="R1392" t="n">
        <v>5.7</v>
      </c>
      <c r="S1392" t="inlineStr">
        <is>
          <t>701+</t>
        </is>
      </c>
      <c r="T1392" t="n">
        <v>16.2</v>
      </c>
      <c r="U1392" t="inlineStr">
        <is>
          <t>801+</t>
        </is>
      </c>
      <c r="V1392" t="n">
        <v>2.2</v>
      </c>
      <c r="W1392" t="inlineStr">
        <is>
          <t>801+</t>
        </is>
      </c>
      <c r="X1392" t="n">
        <v>17.6</v>
      </c>
      <c r="Y1392" t="inlineStr">
        <is>
          <t>757</t>
        </is>
      </c>
      <c r="Z1392" t="n">
        <v>2.5</v>
      </c>
      <c r="AA1392" t="inlineStr">
        <is>
          <t>801+</t>
        </is>
      </c>
      <c r="AB1392" t="n">
        <v>7.1</v>
      </c>
      <c r="AC1392" t="inlineStr">
        <is>
          <t>801+</t>
        </is>
      </c>
      <c r="AD1392" t="n">
        <v>20</v>
      </c>
      <c r="AE1392" t="inlineStr">
        <is>
          <t>801+</t>
        </is>
      </c>
      <c r="AF1392" t="n">
        <v>2.7</v>
      </c>
      <c r="AG1392" t="inlineStr">
        <is>
          <t>801+</t>
        </is>
      </c>
      <c r="AH1392" t="n">
        <v>43.1</v>
      </c>
      <c r="AI1392" t="inlineStr">
        <is>
          <t>801+</t>
        </is>
      </c>
      <c r="AJ1392" t="inlineStr">
        <is>
          <t>9.6</t>
        </is>
      </c>
      <c r="AK1392" t="inlineStr">
        <is>
          <t>601+</t>
        </is>
      </c>
      <c r="AL1392" t="inlineStr">
        <is>
          <t>3.1</t>
        </is>
      </c>
      <c r="AM1392" t="inlineStr">
        <is>
          <t>601+</t>
        </is>
      </c>
      <c r="AN1392" t="inlineStr">
        <is>
          <t>11.0</t>
        </is>
      </c>
      <c r="AO1392" t="inlineStr">
        <is>
          <t>701+</t>
        </is>
      </c>
      <c r="AP1392" t="inlineStr">
        <is>
          <t>1.4</t>
        </is>
      </c>
      <c r="AQ1392" t="inlineStr">
        <is>
          <t>701+</t>
        </is>
      </c>
      <c r="AR1392" t="inlineStr">
        <is>
          <t>14.6</t>
        </is>
      </c>
      <c r="AS1392" t="inlineStr">
        <is>
          <t>673</t>
        </is>
      </c>
      <c r="AT1392" t="inlineStr">
        <is>
          <t>1.7</t>
        </is>
      </c>
      <c r="AU1392" t="inlineStr">
        <is>
          <t>701+</t>
        </is>
      </c>
      <c r="AV1392" t="inlineStr">
        <is>
          <t>1.0</t>
        </is>
      </c>
      <c r="AW1392" t="inlineStr">
        <is>
          <t>701+</t>
        </is>
      </c>
      <c r="AX1392" t="inlineStr">
        <is>
          <t>7.9</t>
        </is>
      </c>
      <c r="AY1392" t="inlineStr">
        <is>
          <t>701+</t>
        </is>
      </c>
      <c r="AZ1392" t="inlineStr">
        <is>
          <t>3.4</t>
        </is>
      </c>
      <c r="BA1392" t="inlineStr">
        <is>
          <t>701+</t>
        </is>
      </c>
    </row>
    <row r="1393">
      <c r="A1393" t="inlineStr">
        <is>
          <t>Universitas Sebelas Maret</t>
        </is>
      </c>
      <c r="B1393" t="inlineStr">
        <is>
          <t>Indonesia</t>
        </is>
      </c>
      <c r="C1393" t="inlineStr">
        <is>
          <t>ID</t>
        </is>
      </c>
      <c r="D1393" t="inlineStr"/>
      <c r="E1393" t="inlineStr">
        <is>
          <t>XL</t>
        </is>
      </c>
      <c r="F1393" t="inlineStr">
        <is>
          <t>FC</t>
        </is>
      </c>
      <c r="G1393" t="inlineStr">
        <is>
          <t>HI</t>
        </is>
      </c>
      <c r="H1393" t="inlineStr">
        <is>
          <t>3</t>
        </is>
      </c>
      <c r="I1393" t="inlineStr">
        <is>
          <t>A</t>
        </is>
      </c>
      <c r="J1393" t="inlineStr"/>
      <c r="K1393" t="inlineStr"/>
      <c r="L1393" t="inlineStr">
        <is>
          <t>1001-1200</t>
        </is>
      </c>
      <c r="M1393" t="inlineStr">
        <is>
          <t>1001-1200</t>
        </is>
      </c>
      <c r="N1393" t="inlineStr"/>
      <c r="O1393" t="inlineStr">
        <is>
          <t>-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>
        <is>
          <t>10.7</t>
        </is>
      </c>
      <c r="AK1393" t="inlineStr">
        <is>
          <t>601+</t>
        </is>
      </c>
      <c r="AL1393" t="inlineStr">
        <is>
          <t>11.5</t>
        </is>
      </c>
      <c r="AM1393" t="inlineStr">
        <is>
          <t>601+</t>
        </is>
      </c>
      <c r="AN1393" t="inlineStr">
        <is>
          <t>13.6</t>
        </is>
      </c>
      <c r="AO1393" t="inlineStr">
        <is>
          <t>701+</t>
        </is>
      </c>
      <c r="AP1393" t="inlineStr">
        <is>
          <t>1.5</t>
        </is>
      </c>
      <c r="AQ1393" t="inlineStr">
        <is>
          <t>701+</t>
        </is>
      </c>
      <c r="AR1393" t="inlineStr">
        <is>
          <t>10.3</t>
        </is>
      </c>
      <c r="AS1393" t="inlineStr">
        <is>
          <t>701+</t>
        </is>
      </c>
      <c r="AT1393" t="inlineStr">
        <is>
          <t>2.0</t>
        </is>
      </c>
      <c r="AU1393" t="inlineStr">
        <is>
          <t>701+</t>
        </is>
      </c>
      <c r="AV1393" t="inlineStr">
        <is>
          <t>1.0</t>
        </is>
      </c>
      <c r="AW1393" t="inlineStr">
        <is>
          <t>701+</t>
        </is>
      </c>
      <c r="AX1393" t="inlineStr">
        <is>
          <t>7.5</t>
        </is>
      </c>
      <c r="AY1393" t="inlineStr">
        <is>
          <t>701+</t>
        </is>
      </c>
      <c r="AZ1393" t="inlineStr">
        <is>
          <t>7</t>
        </is>
      </c>
      <c r="BA1393" t="inlineStr">
        <is>
          <t>701+</t>
        </is>
      </c>
    </row>
    <row r="1394">
      <c r="A1394" t="inlineStr">
        <is>
          <t>Universitas Sumatera Utara</t>
        </is>
      </c>
      <c r="B1394" t="inlineStr">
        <is>
          <t>Indonesia</t>
        </is>
      </c>
      <c r="C1394" t="inlineStr">
        <is>
          <t>ID</t>
        </is>
      </c>
      <c r="D1394" t="inlineStr">
        <is>
          <t>Asia</t>
        </is>
      </c>
      <c r="E1394" t="inlineStr">
        <is>
          <t>XL</t>
        </is>
      </c>
      <c r="F1394" t="inlineStr">
        <is>
          <t>FC</t>
        </is>
      </c>
      <c r="G1394" t="inlineStr">
        <is>
          <t>HI</t>
        </is>
      </c>
      <c r="H1394" t="inlineStr">
        <is>
          <t>4</t>
        </is>
      </c>
      <c r="I1394" t="inlineStr">
        <is>
          <t>Public</t>
        </is>
      </c>
      <c r="J1394" t="inlineStr">
        <is>
          <t>1001-1200</t>
        </is>
      </c>
      <c r="K1394" t="inlineStr">
        <is>
          <t>1201-1400</t>
        </is>
      </c>
      <c r="L1394" t="inlineStr">
        <is>
          <t>1201-1400</t>
        </is>
      </c>
      <c r="M1394" t="inlineStr">
        <is>
          <t>1201-1400</t>
        </is>
      </c>
      <c r="N1394" t="inlineStr">
        <is>
          <t>-</t>
        </is>
      </c>
      <c r="O1394" t="inlineStr">
        <is>
          <t>-</t>
        </is>
      </c>
      <c r="P1394" t="n">
        <v>14.4</v>
      </c>
      <c r="Q1394" t="inlineStr">
        <is>
          <t>701+</t>
        </is>
      </c>
      <c r="R1394" t="n">
        <v>13.4</v>
      </c>
      <c r="S1394" t="inlineStr">
        <is>
          <t>701+</t>
        </is>
      </c>
      <c r="T1394" t="n">
        <v>38</v>
      </c>
      <c r="U1394" t="inlineStr">
        <is>
          <t>532</t>
        </is>
      </c>
      <c r="V1394" t="n">
        <v>1.8</v>
      </c>
      <c r="W1394" t="inlineStr">
        <is>
          <t>801+</t>
        </is>
      </c>
      <c r="X1394" t="n">
        <v>14.1</v>
      </c>
      <c r="Y1394" t="inlineStr">
        <is>
          <t>801+</t>
        </is>
      </c>
      <c r="Z1394" t="n">
        <v>2.6</v>
      </c>
      <c r="AA1394" t="inlineStr">
        <is>
          <t>801+</t>
        </is>
      </c>
      <c r="AB1394" t="n">
        <v>7</v>
      </c>
      <c r="AC1394" t="inlineStr">
        <is>
          <t>801+</t>
        </is>
      </c>
      <c r="AD1394" t="n">
        <v>28.6</v>
      </c>
      <c r="AE1394" t="inlineStr">
        <is>
          <t>801+</t>
        </is>
      </c>
      <c r="AF1394" t="n">
        <v>7.4</v>
      </c>
      <c r="AG1394" t="inlineStr">
        <is>
          <t>801+</t>
        </is>
      </c>
      <c r="AH1394" t="n">
        <v>46</v>
      </c>
      <c r="AI1394" t="inlineStr">
        <is>
          <t>801+</t>
        </is>
      </c>
      <c r="AJ1394" t="inlineStr">
        <is>
          <t>7.6</t>
        </is>
      </c>
      <c r="AK1394" t="inlineStr">
        <is>
          <t>601+</t>
        </is>
      </c>
      <c r="AL1394" t="inlineStr">
        <is>
          <t>6.2</t>
        </is>
      </c>
      <c r="AM1394" t="inlineStr">
        <is>
          <t>601+</t>
        </is>
      </c>
      <c r="AN1394" t="inlineStr">
        <is>
          <t>21.0</t>
        </is>
      </c>
      <c r="AO1394" t="inlineStr">
        <is>
          <t>646</t>
        </is>
      </c>
      <c r="AP1394" t="inlineStr">
        <is>
          <t>1.3</t>
        </is>
      </c>
      <c r="AQ1394" t="inlineStr">
        <is>
          <t>701+</t>
        </is>
      </c>
      <c r="AR1394" t="inlineStr">
        <is>
          <t>9.8</t>
        </is>
      </c>
      <c r="AS1394" t="inlineStr">
        <is>
          <t>701+</t>
        </is>
      </c>
      <c r="AT1394" t="inlineStr">
        <is>
          <t>2.4</t>
        </is>
      </c>
      <c r="AU1394" t="inlineStr">
        <is>
          <t>701+</t>
        </is>
      </c>
      <c r="AV1394" t="inlineStr">
        <is>
          <t>1.0</t>
        </is>
      </c>
      <c r="AW1394" t="inlineStr">
        <is>
          <t>701+</t>
        </is>
      </c>
      <c r="AX1394" t="inlineStr">
        <is>
          <t>9.2</t>
        </is>
      </c>
      <c r="AY1394" t="inlineStr">
        <is>
          <t>701+</t>
        </is>
      </c>
      <c r="AZ1394" t="inlineStr">
        <is>
          <t>5.3</t>
        </is>
      </c>
      <c r="BA1394" t="inlineStr">
        <is>
          <t>701+</t>
        </is>
      </c>
    </row>
    <row r="1395">
      <c r="A1395" t="inlineStr">
        <is>
          <t>Universitas Syiah Kuala</t>
        </is>
      </c>
      <c r="B1395" t="inlineStr">
        <is>
          <t>Indonesia</t>
        </is>
      </c>
      <c r="C1395" t="inlineStr"/>
      <c r="D1395" t="inlineStr">
        <is>
          <t>Asia</t>
        </is>
      </c>
      <c r="E1395" t="inlineStr">
        <is>
          <t>L</t>
        </is>
      </c>
      <c r="F1395" t="inlineStr">
        <is>
          <t>FC</t>
        </is>
      </c>
      <c r="G1395" t="inlineStr">
        <is>
          <t>HI</t>
        </is>
      </c>
      <c r="H1395" t="inlineStr"/>
      <c r="I1395" t="inlineStr">
        <is>
          <t>Public</t>
        </is>
      </c>
      <c r="J1395" t="inlineStr">
        <is>
          <t>1401+</t>
        </is>
      </c>
      <c r="K1395" t="inlineStr"/>
      <c r="L1395" t="inlineStr"/>
      <c r="M1395" t="inlineStr"/>
      <c r="N1395" t="inlineStr">
        <is>
          <t>-</t>
        </is>
      </c>
      <c r="O1395" t="inlineStr"/>
      <c r="P1395" t="n">
        <v>8.6</v>
      </c>
      <c r="Q1395" t="inlineStr">
        <is>
          <t>701+</t>
        </is>
      </c>
      <c r="R1395" t="n">
        <v>3</v>
      </c>
      <c r="S1395" t="inlineStr">
        <is>
          <t>701+</t>
        </is>
      </c>
      <c r="T1395" t="n">
        <v>18.1</v>
      </c>
      <c r="U1395" t="inlineStr">
        <is>
          <t>801+</t>
        </is>
      </c>
      <c r="V1395" t="n">
        <v>3.6</v>
      </c>
      <c r="W1395" t="inlineStr">
        <is>
          <t>801+</t>
        </is>
      </c>
      <c r="X1395" t="n">
        <v>3.1</v>
      </c>
      <c r="Y1395" t="inlineStr">
        <is>
          <t>801+</t>
        </is>
      </c>
      <c r="Z1395" t="n">
        <v>2.5</v>
      </c>
      <c r="AA1395" t="inlineStr">
        <is>
          <t>801+</t>
        </is>
      </c>
      <c r="AB1395" t="n">
        <v>6.8</v>
      </c>
      <c r="AC1395" t="inlineStr">
        <is>
          <t>801+</t>
        </is>
      </c>
      <c r="AD1395" t="n">
        <v>24.4</v>
      </c>
      <c r="AE1395" t="inlineStr">
        <is>
          <t>801+</t>
        </is>
      </c>
      <c r="AF1395" t="n">
        <v>2.6</v>
      </c>
      <c r="AG1395" t="inlineStr">
        <is>
          <t>801+</t>
        </is>
      </c>
      <c r="AH1395" t="n">
        <v>38.6</v>
      </c>
      <c r="AI1395" t="inlineStr">
        <is>
          <t>801+</t>
        </is>
      </c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</row>
    <row r="1396">
      <c r="A1396" t="inlineStr">
        <is>
          <t>Universitas Trisakti</t>
        </is>
      </c>
      <c r="B1396" t="inlineStr">
        <is>
          <t>Indonesia</t>
        </is>
      </c>
      <c r="C1396" t="inlineStr"/>
      <c r="D1396" t="inlineStr">
        <is>
          <t>Asia</t>
        </is>
      </c>
      <c r="E1396" t="inlineStr">
        <is>
          <t>M</t>
        </is>
      </c>
      <c r="F1396" t="inlineStr">
        <is>
          <t>FO</t>
        </is>
      </c>
      <c r="G1396" t="inlineStr">
        <is>
          <t>VH</t>
        </is>
      </c>
      <c r="H1396" t="inlineStr"/>
      <c r="I1396" t="inlineStr">
        <is>
          <t>Private not for Profit</t>
        </is>
      </c>
      <c r="J1396" t="inlineStr">
        <is>
          <t>1201-1400</t>
        </is>
      </c>
      <c r="K1396" t="inlineStr"/>
      <c r="L1396" t="inlineStr"/>
      <c r="M1396" t="inlineStr"/>
      <c r="N1396" t="inlineStr">
        <is>
          <t>-</t>
        </is>
      </c>
      <c r="O1396" t="inlineStr"/>
      <c r="P1396" t="n">
        <v>14.3</v>
      </c>
      <c r="Q1396" t="inlineStr">
        <is>
          <t>701+</t>
        </is>
      </c>
      <c r="R1396" t="n">
        <v>5.8</v>
      </c>
      <c r="S1396" t="inlineStr">
        <is>
          <t>701+</t>
        </is>
      </c>
      <c r="T1396" t="n">
        <v>29</v>
      </c>
      <c r="U1396" t="inlineStr">
        <is>
          <t>649</t>
        </is>
      </c>
      <c r="V1396" t="n">
        <v>1.5</v>
      </c>
      <c r="W1396" t="inlineStr">
        <is>
          <t>801+</t>
        </is>
      </c>
      <c r="X1396" t="n">
        <v>3</v>
      </c>
      <c r="Y1396" t="inlineStr">
        <is>
          <t>801+</t>
        </is>
      </c>
      <c r="Z1396" t="n">
        <v>1.3</v>
      </c>
      <c r="AA1396" t="inlineStr">
        <is>
          <t>801+</t>
        </is>
      </c>
      <c r="AB1396" t="n">
        <v>5.7</v>
      </c>
      <c r="AC1396" t="inlineStr">
        <is>
          <t>801+</t>
        </is>
      </c>
      <c r="AD1396" t="n">
        <v>4.1</v>
      </c>
      <c r="AE1396" t="inlineStr">
        <is>
          <t>801+</t>
        </is>
      </c>
      <c r="AF1396" t="n">
        <v>41.1</v>
      </c>
      <c r="AG1396" t="inlineStr">
        <is>
          <t>425</t>
        </is>
      </c>
      <c r="AH1396" t="n">
        <v>33.3</v>
      </c>
      <c r="AI1396" t="inlineStr">
        <is>
          <t>801+</t>
        </is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</row>
    <row r="1397">
      <c r="A1397" t="inlineStr">
        <is>
          <t>Universitat Autònoma de Barcelona</t>
        </is>
      </c>
      <c r="B1397" t="inlineStr">
        <is>
          <t>Spain</t>
        </is>
      </c>
      <c r="C1397" t="inlineStr">
        <is>
          <t>ES</t>
        </is>
      </c>
      <c r="D1397" t="inlineStr"/>
      <c r="E1397" t="inlineStr">
        <is>
          <t>XL</t>
        </is>
      </c>
      <c r="F1397" t="inlineStr">
        <is>
          <t>FC</t>
        </is>
      </c>
      <c r="G1397" t="inlineStr">
        <is>
          <t>VH</t>
        </is>
      </c>
      <c r="H1397" t="inlineStr">
        <is>
          <t>4</t>
        </is>
      </c>
      <c r="I1397" t="inlineStr">
        <is>
          <t>A</t>
        </is>
      </c>
      <c r="J1397" t="inlineStr"/>
      <c r="K1397" t="inlineStr"/>
      <c r="L1397">
        <f>149</f>
        <v/>
      </c>
      <c r="M1397" t="inlineStr">
        <is>
          <t>178</t>
        </is>
      </c>
      <c r="N1397" t="inlineStr"/>
      <c r="O1397" t="inlineStr">
        <is>
          <t>51.7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>
        <is>
          <t>63.2</t>
        </is>
      </c>
      <c r="AK1397" t="inlineStr">
        <is>
          <t>109</t>
        </is>
      </c>
      <c r="AL1397" t="inlineStr">
        <is>
          <t>39.0</t>
        </is>
      </c>
      <c r="AM1397" t="inlineStr">
        <is>
          <t>246</t>
        </is>
      </c>
      <c r="AN1397" t="inlineStr">
        <is>
          <t>10.6</t>
        </is>
      </c>
      <c r="AO1397" t="inlineStr">
        <is>
          <t>701+</t>
        </is>
      </c>
      <c r="AP1397" t="inlineStr">
        <is>
          <t>70.6</t>
        </is>
      </c>
      <c r="AQ1397" t="inlineStr">
        <is>
          <t>145</t>
        </is>
      </c>
      <c r="AR1397" t="inlineStr">
        <is>
          <t>18.0</t>
        </is>
      </c>
      <c r="AS1397" t="inlineStr">
        <is>
          <t>615</t>
        </is>
      </c>
      <c r="AT1397" t="inlineStr">
        <is>
          <t>17.4</t>
        </is>
      </c>
      <c r="AU1397" t="inlineStr">
        <is>
          <t>582</t>
        </is>
      </c>
      <c r="AV1397" t="inlineStr">
        <is>
          <t>84.2</t>
        </is>
      </c>
      <c r="AW1397" t="inlineStr">
        <is>
          <t>123</t>
        </is>
      </c>
      <c r="AX1397" t="inlineStr">
        <is>
          <t>13.7</t>
        </is>
      </c>
      <c r="AY1397" t="inlineStr">
        <is>
          <t>623</t>
        </is>
      </c>
      <c r="AZ1397" t="inlineStr">
        <is>
          <t>94.6</t>
        </is>
      </c>
      <c r="BA1397" t="inlineStr">
        <is>
          <t>60</t>
        </is>
      </c>
    </row>
    <row r="1398">
      <c r="A1398" t="inlineStr">
        <is>
          <t>Universitat Autónoma de Barcelona</t>
        </is>
      </c>
      <c r="B1398" t="inlineStr">
        <is>
          <t>Spain</t>
        </is>
      </c>
      <c r="C1398" t="inlineStr"/>
      <c r="D1398" t="inlineStr">
        <is>
          <t>Europe</t>
        </is>
      </c>
      <c r="E1398" t="inlineStr">
        <is>
          <t>XL</t>
        </is>
      </c>
      <c r="F1398" t="inlineStr">
        <is>
          <t>FC</t>
        </is>
      </c>
      <c r="G1398" t="inlineStr">
        <is>
          <t>VH</t>
        </is>
      </c>
      <c r="H1398" t="inlineStr"/>
      <c r="I1398" t="inlineStr">
        <is>
          <t>Public</t>
        </is>
      </c>
      <c r="J1398" t="inlineStr">
        <is>
          <t>172</t>
        </is>
      </c>
      <c r="K1398" t="inlineStr">
        <is>
          <t>175</t>
        </is>
      </c>
      <c r="L1398" t="inlineStr"/>
      <c r="M1398" t="inlineStr"/>
      <c r="N1398" t="inlineStr">
        <is>
          <t>59.2</t>
        </is>
      </c>
      <c r="O1398" t="inlineStr"/>
      <c r="P1398" t="n">
        <v>76.40000000000001</v>
      </c>
      <c r="Q1398" t="inlineStr">
        <is>
          <t>105</t>
        </is>
      </c>
      <c r="R1398" t="n">
        <v>42.1</v>
      </c>
      <c r="S1398" t="inlineStr">
        <is>
          <t>318</t>
        </is>
      </c>
      <c r="T1398" t="n">
        <v>15.2</v>
      </c>
      <c r="U1398" t="inlineStr">
        <is>
          <t>801+</t>
        </is>
      </c>
      <c r="V1398" t="n">
        <v>76.2</v>
      </c>
      <c r="W1398" t="inlineStr">
        <is>
          <t>170</t>
        </is>
      </c>
      <c r="X1398" t="n">
        <v>26.5</v>
      </c>
      <c r="Y1398" t="inlineStr">
        <is>
          <t>632</t>
        </is>
      </c>
      <c r="Z1398" t="n">
        <v>27.2</v>
      </c>
      <c r="AA1398" t="inlineStr">
        <is>
          <t>625</t>
        </is>
      </c>
      <c r="AB1398" t="n">
        <v>33.3</v>
      </c>
      <c r="AC1398" t="inlineStr">
        <is>
          <t>572</t>
        </is>
      </c>
      <c r="AD1398" t="n">
        <v>93.7</v>
      </c>
      <c r="AE1398" t="inlineStr">
        <is>
          <t>105</t>
        </is>
      </c>
      <c r="AF1398" t="n">
        <v>30.4</v>
      </c>
      <c r="AG1398" t="inlineStr">
        <is>
          <t>546</t>
        </is>
      </c>
      <c r="AH1398" t="n">
        <v>90.3</v>
      </c>
      <c r="AI1398" t="inlineStr">
        <is>
          <t>61=</t>
        </is>
      </c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</row>
    <row r="1399">
      <c r="A1399" t="inlineStr">
        <is>
          <t>Universitat de Barcelona</t>
        </is>
      </c>
      <c r="B1399" t="inlineStr">
        <is>
          <t>Spain</t>
        </is>
      </c>
      <c r="C1399" t="inlineStr">
        <is>
          <t>ES</t>
        </is>
      </c>
      <c r="D1399" t="inlineStr"/>
      <c r="E1399" t="inlineStr">
        <is>
          <t>XL</t>
        </is>
      </c>
      <c r="F1399" t="inlineStr">
        <is>
          <t>FC</t>
        </is>
      </c>
      <c r="G1399" t="inlineStr">
        <is>
          <t>VH</t>
        </is>
      </c>
      <c r="H1399" t="inlineStr">
        <is>
          <t>5</t>
        </is>
      </c>
      <c r="I1399" t="inlineStr">
        <is>
          <t>A</t>
        </is>
      </c>
      <c r="J1399" t="inlineStr"/>
      <c r="K1399" t="inlineStr"/>
      <c r="L1399">
        <f>164</f>
        <v/>
      </c>
      <c r="M1399" t="inlineStr">
        <is>
          <t>184</t>
        </is>
      </c>
      <c r="N1399" t="inlineStr"/>
      <c r="O1399" t="inlineStr">
        <is>
          <t>49.7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>
        <is>
          <t>73.2</t>
        </is>
      </c>
      <c r="AK1399" t="inlineStr">
        <is>
          <t>83</t>
        </is>
      </c>
      <c r="AL1399" t="inlineStr">
        <is>
          <t>23.0</t>
        </is>
      </c>
      <c r="AM1399" t="inlineStr">
        <is>
          <t>412</t>
        </is>
      </c>
      <c r="AN1399" t="inlineStr">
        <is>
          <t>13.1</t>
        </is>
      </c>
      <c r="AO1399" t="inlineStr">
        <is>
          <t>701+</t>
        </is>
      </c>
      <c r="AP1399" t="inlineStr">
        <is>
          <t>41.8</t>
        </is>
      </c>
      <c r="AQ1399" t="inlineStr">
        <is>
          <t>325</t>
        </is>
      </c>
      <c r="AR1399" t="inlineStr">
        <is>
          <t>21.8</t>
        </is>
      </c>
      <c r="AS1399" t="inlineStr">
        <is>
          <t>574</t>
        </is>
      </c>
      <c r="AT1399" t="inlineStr">
        <is>
          <t>28.5</t>
        </is>
      </c>
      <c r="AU1399" t="inlineStr">
        <is>
          <t>437</t>
        </is>
      </c>
      <c r="AV1399" t="inlineStr">
        <is>
          <t>97.8</t>
        </is>
      </c>
      <c r="AW1399" t="inlineStr">
        <is>
          <t>23</t>
        </is>
      </c>
      <c r="AX1399" t="inlineStr">
        <is>
          <t>39.8</t>
        </is>
      </c>
      <c r="AY1399" t="inlineStr">
        <is>
          <t>180</t>
        </is>
      </c>
      <c r="AZ1399" t="inlineStr">
        <is>
          <t>98.1</t>
        </is>
      </c>
      <c r="BA1399" t="inlineStr">
        <is>
          <t>23</t>
        </is>
      </c>
    </row>
    <row r="1400">
      <c r="A1400" t="inlineStr">
        <is>
          <t>Universitat de Lleida</t>
        </is>
      </c>
      <c r="B1400" t="inlineStr">
        <is>
          <t>Spain</t>
        </is>
      </c>
      <c r="C1400" t="inlineStr">
        <is>
          <t>ES</t>
        </is>
      </c>
      <c r="D1400" t="inlineStr">
        <is>
          <t>Europe</t>
        </is>
      </c>
      <c r="E1400" t="inlineStr">
        <is>
          <t>M</t>
        </is>
      </c>
      <c r="F1400" t="inlineStr">
        <is>
          <t>CO</t>
        </is>
      </c>
      <c r="G1400" t="inlineStr">
        <is>
          <t>VH</t>
        </is>
      </c>
      <c r="H1400" t="inlineStr">
        <is>
          <t>3</t>
        </is>
      </c>
      <c r="I1400" t="inlineStr"/>
      <c r="J1400" t="inlineStr">
        <is>
          <t>1001-1200</t>
        </is>
      </c>
      <c r="K1400" t="inlineStr">
        <is>
          <t>1001-1200</t>
        </is>
      </c>
      <c r="L1400" t="inlineStr">
        <is>
          <t>1001-1200</t>
        </is>
      </c>
      <c r="M1400" t="inlineStr"/>
      <c r="N1400" t="inlineStr">
        <is>
          <t>-</t>
        </is>
      </c>
      <c r="O1400" t="inlineStr">
        <is>
          <t>-</t>
        </is>
      </c>
      <c r="P1400" t="n">
        <v>7.4</v>
      </c>
      <c r="Q1400" t="inlineStr">
        <is>
          <t>701+</t>
        </is>
      </c>
      <c r="R1400" t="n">
        <v>3.7</v>
      </c>
      <c r="S1400" t="inlineStr">
        <is>
          <t>701+</t>
        </is>
      </c>
      <c r="T1400" t="n">
        <v>27.5</v>
      </c>
      <c r="U1400" t="inlineStr">
        <is>
          <t>690</t>
        </is>
      </c>
      <c r="V1400" t="n">
        <v>21.5</v>
      </c>
      <c r="W1400" t="inlineStr">
        <is>
          <t>691</t>
        </is>
      </c>
      <c r="X1400" t="n">
        <v>7.3</v>
      </c>
      <c r="Y1400" t="inlineStr">
        <is>
          <t>801+</t>
        </is>
      </c>
      <c r="Z1400" t="n">
        <v>16.2</v>
      </c>
      <c r="AA1400" t="inlineStr">
        <is>
          <t>795</t>
        </is>
      </c>
      <c r="AB1400" t="n">
        <v>22.3</v>
      </c>
      <c r="AC1400" t="inlineStr">
        <is>
          <t>724</t>
        </is>
      </c>
      <c r="AD1400" t="n">
        <v>56.4</v>
      </c>
      <c r="AE1400" t="inlineStr">
        <is>
          <t>747</t>
        </is>
      </c>
      <c r="AF1400" t="n">
        <v>5.2</v>
      </c>
      <c r="AG1400" t="inlineStr">
        <is>
          <t>801+</t>
        </is>
      </c>
      <c r="AH1400" t="n">
        <v>59.1</v>
      </c>
      <c r="AI1400" t="inlineStr">
        <is>
          <t>519</t>
        </is>
      </c>
      <c r="AJ1400" t="inlineStr">
        <is>
          <t>5.8</t>
        </is>
      </c>
      <c r="AK1400" t="inlineStr">
        <is>
          <t>601+</t>
        </is>
      </c>
      <c r="AL1400" t="inlineStr">
        <is>
          <t>1.9</t>
        </is>
      </c>
      <c r="AM1400" t="inlineStr">
        <is>
          <t>601+</t>
        </is>
      </c>
      <c r="AN1400" t="inlineStr">
        <is>
          <t>18.7</t>
        </is>
      </c>
      <c r="AO1400" t="inlineStr">
        <is>
          <t>701+</t>
        </is>
      </c>
      <c r="AP1400" t="inlineStr">
        <is>
          <t>13.1</t>
        </is>
      </c>
      <c r="AQ1400" t="inlineStr">
        <is>
          <t>676</t>
        </is>
      </c>
      <c r="AR1400" t="inlineStr">
        <is>
          <t>2.9</t>
        </is>
      </c>
      <c r="AS1400" t="inlineStr">
        <is>
          <t>701+</t>
        </is>
      </c>
      <c r="AT1400" t="inlineStr">
        <is>
          <t>12.5</t>
        </is>
      </c>
      <c r="AU1400" t="inlineStr">
        <is>
          <t>671</t>
        </is>
      </c>
      <c r="AV1400" t="inlineStr">
        <is>
          <t>4.9</t>
        </is>
      </c>
      <c r="AW1400" t="inlineStr">
        <is>
          <t>701+</t>
        </is>
      </c>
      <c r="AX1400" t="inlineStr">
        <is>
          <t>7.9</t>
        </is>
      </c>
      <c r="AY1400" t="inlineStr">
        <is>
          <t>701+</t>
        </is>
      </c>
      <c r="AZ1400" t="inlineStr"/>
      <c r="BA1400" t="inlineStr"/>
    </row>
    <row r="1401">
      <c r="A1401" t="inlineStr">
        <is>
          <t>Universitat de Valencia</t>
        </is>
      </c>
      <c r="B1401" t="inlineStr">
        <is>
          <t>Spain</t>
        </is>
      </c>
      <c r="C1401" t="inlineStr">
        <is>
          <t>ES</t>
        </is>
      </c>
      <c r="D1401" t="inlineStr">
        <is>
          <t>Europe</t>
        </is>
      </c>
      <c r="E1401" t="inlineStr">
        <is>
          <t>XL</t>
        </is>
      </c>
      <c r="F1401" t="inlineStr">
        <is>
          <t>FC</t>
        </is>
      </c>
      <c r="G1401" t="inlineStr">
        <is>
          <t>VH</t>
        </is>
      </c>
      <c r="H1401" t="inlineStr">
        <is>
          <t>5</t>
        </is>
      </c>
      <c r="I1401" t="inlineStr">
        <is>
          <t>Public</t>
        </is>
      </c>
      <c r="J1401" t="inlineStr">
        <is>
          <t>430</t>
        </is>
      </c>
      <c r="K1401" t="inlineStr">
        <is>
          <t>445</t>
        </is>
      </c>
      <c r="L1401" t="inlineStr">
        <is>
          <t>485</t>
        </is>
      </c>
      <c r="M1401" t="inlineStr">
        <is>
          <t>571-580</t>
        </is>
      </c>
      <c r="N1401" t="inlineStr">
        <is>
          <t>35.7</t>
        </is>
      </c>
      <c r="O1401" t="inlineStr">
        <is>
          <t>23.8</t>
        </is>
      </c>
      <c r="P1401" t="n">
        <v>49.7</v>
      </c>
      <c r="Q1401" t="inlineStr">
        <is>
          <t>227</t>
        </is>
      </c>
      <c r="R1401" t="n">
        <v>17.2</v>
      </c>
      <c r="S1401" t="inlineStr">
        <is>
          <t>701+</t>
        </is>
      </c>
      <c r="T1401" t="n">
        <v>17.3</v>
      </c>
      <c r="U1401" t="inlineStr">
        <is>
          <t>801+</t>
        </is>
      </c>
      <c r="V1401" t="n">
        <v>31</v>
      </c>
      <c r="W1401" t="inlineStr">
        <is>
          <t>575</t>
        </is>
      </c>
      <c r="X1401" t="n">
        <v>2.7</v>
      </c>
      <c r="Y1401" t="inlineStr">
        <is>
          <t>801+</t>
        </is>
      </c>
      <c r="Z1401" t="n">
        <v>39.4</v>
      </c>
      <c r="AA1401" t="inlineStr">
        <is>
          <t>497</t>
        </is>
      </c>
      <c r="AB1401" t="n">
        <v>44.8</v>
      </c>
      <c r="AC1401" t="inlineStr">
        <is>
          <t>465</t>
        </is>
      </c>
      <c r="AD1401" t="n">
        <v>91.40000000000001</v>
      </c>
      <c r="AE1401" t="inlineStr">
        <is>
          <t>151</t>
        </is>
      </c>
      <c r="AF1401" t="n">
        <v>16.5</v>
      </c>
      <c r="AG1401" t="inlineStr">
        <is>
          <t>797</t>
        </is>
      </c>
      <c r="AH1401" t="n">
        <v>74.09999999999999</v>
      </c>
      <c r="AI1401" t="inlineStr">
        <is>
          <t>255=</t>
        </is>
      </c>
      <c r="AJ1401" t="inlineStr">
        <is>
          <t>33.9</t>
        </is>
      </c>
      <c r="AK1401" t="inlineStr">
        <is>
          <t>255</t>
        </is>
      </c>
      <c r="AL1401" t="inlineStr">
        <is>
          <t>7.3</t>
        </is>
      </c>
      <c r="AM1401" t="inlineStr">
        <is>
          <t>601+</t>
        </is>
      </c>
      <c r="AN1401" t="inlineStr">
        <is>
          <t>10.9</t>
        </is>
      </c>
      <c r="AO1401" t="inlineStr">
        <is>
          <t>701+</t>
        </is>
      </c>
      <c r="AP1401" t="inlineStr">
        <is>
          <t>22.4</t>
        </is>
      </c>
      <c r="AQ1401" t="inlineStr">
        <is>
          <t>523</t>
        </is>
      </c>
      <c r="AR1401" t="inlineStr">
        <is>
          <t>2.3</t>
        </is>
      </c>
      <c r="AS1401" t="inlineStr">
        <is>
          <t>701+</t>
        </is>
      </c>
      <c r="AT1401" t="inlineStr">
        <is>
          <t>16.6</t>
        </is>
      </c>
      <c r="AU1401" t="inlineStr">
        <is>
          <t>588</t>
        </is>
      </c>
      <c r="AV1401" t="inlineStr">
        <is>
          <t>83.4</t>
        </is>
      </c>
      <c r="AW1401" t="inlineStr">
        <is>
          <t>128</t>
        </is>
      </c>
      <c r="AX1401" t="inlineStr">
        <is>
          <t>6.6</t>
        </is>
      </c>
      <c r="AY1401" t="inlineStr">
        <is>
          <t>701+</t>
        </is>
      </c>
      <c r="AZ1401" t="inlineStr">
        <is>
          <t>31.6</t>
        </is>
      </c>
      <c r="BA1401" t="inlineStr">
        <is>
          <t>425=</t>
        </is>
      </c>
    </row>
    <row r="1402">
      <c r="A1402" t="inlineStr">
        <is>
          <t>Universitat Jaume I</t>
        </is>
      </c>
      <c r="B1402" t="inlineStr">
        <is>
          <t>Spain</t>
        </is>
      </c>
      <c r="C1402" t="inlineStr"/>
      <c r="D1402" t="inlineStr">
        <is>
          <t>Europe</t>
        </is>
      </c>
      <c r="E1402" t="inlineStr">
        <is>
          <t>L</t>
        </is>
      </c>
      <c r="F1402" t="inlineStr">
        <is>
          <t>CO</t>
        </is>
      </c>
      <c r="G1402" t="inlineStr">
        <is>
          <t>VH</t>
        </is>
      </c>
      <c r="H1402" t="inlineStr"/>
      <c r="I1402" t="inlineStr">
        <is>
          <t>Public</t>
        </is>
      </c>
      <c r="J1402" t="inlineStr">
        <is>
          <t>1001-1200</t>
        </is>
      </c>
      <c r="K1402" t="inlineStr"/>
      <c r="L1402" t="inlineStr"/>
      <c r="M1402" t="inlineStr"/>
      <c r="N1402" t="inlineStr">
        <is>
          <t>-</t>
        </is>
      </c>
      <c r="O1402" t="inlineStr"/>
      <c r="P1402" t="n">
        <v>7.7</v>
      </c>
      <c r="Q1402" t="inlineStr">
        <is>
          <t>701+</t>
        </is>
      </c>
      <c r="R1402" t="n">
        <v>3.3</v>
      </c>
      <c r="S1402" t="inlineStr">
        <is>
          <t>701+</t>
        </is>
      </c>
      <c r="T1402" t="n">
        <v>20.8</v>
      </c>
      <c r="U1402" t="inlineStr">
        <is>
          <t>801+</t>
        </is>
      </c>
      <c r="V1402" t="n">
        <v>28.4</v>
      </c>
      <c r="W1402" t="inlineStr">
        <is>
          <t>601</t>
        </is>
      </c>
      <c r="X1402" t="n">
        <v>4.8</v>
      </c>
      <c r="Y1402" t="inlineStr">
        <is>
          <t>801+</t>
        </is>
      </c>
      <c r="Z1402" t="n">
        <v>24.1</v>
      </c>
      <c r="AA1402" t="inlineStr">
        <is>
          <t>671</t>
        </is>
      </c>
      <c r="AB1402" t="n">
        <v>30.2</v>
      </c>
      <c r="AC1402" t="inlineStr">
        <is>
          <t>612</t>
        </is>
      </c>
      <c r="AD1402" t="n">
        <v>51.1</v>
      </c>
      <c r="AE1402" t="inlineStr">
        <is>
          <t>801+</t>
        </is>
      </c>
      <c r="AF1402" t="n">
        <v>1.7</v>
      </c>
      <c r="AG1402" t="inlineStr">
        <is>
          <t>801+</t>
        </is>
      </c>
      <c r="AH1402" t="n">
        <v>59.6</v>
      </c>
      <c r="AI1402" t="inlineStr">
        <is>
          <t>509=</t>
        </is>
      </c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</row>
    <row r="1403">
      <c r="A1403" t="inlineStr">
        <is>
          <t>Universitat Politecnica de Valencia</t>
        </is>
      </c>
      <c r="B1403" t="inlineStr">
        <is>
          <t>Spain</t>
        </is>
      </c>
      <c r="C1403" t="inlineStr"/>
      <c r="D1403" t="inlineStr">
        <is>
          <t>Europe</t>
        </is>
      </c>
      <c r="E1403" t="inlineStr">
        <is>
          <t>XL</t>
        </is>
      </c>
      <c r="F1403" t="inlineStr">
        <is>
          <t>CO</t>
        </is>
      </c>
      <c r="G1403" t="inlineStr">
        <is>
          <t>VH</t>
        </is>
      </c>
      <c r="H1403" t="inlineStr"/>
      <c r="I1403" t="inlineStr">
        <is>
          <t>Public</t>
        </is>
      </c>
      <c r="J1403" t="inlineStr">
        <is>
          <t>422</t>
        </is>
      </c>
      <c r="K1403" t="inlineStr">
        <is>
          <t>436</t>
        </is>
      </c>
      <c r="L1403" t="inlineStr"/>
      <c r="M1403" t="inlineStr"/>
      <c r="N1403" t="inlineStr">
        <is>
          <t>36.2</t>
        </is>
      </c>
      <c r="O1403" t="inlineStr"/>
      <c r="P1403" t="n">
        <v>38</v>
      </c>
      <c r="Q1403" t="inlineStr">
        <is>
          <t>314</t>
        </is>
      </c>
      <c r="R1403" t="n">
        <v>27.6</v>
      </c>
      <c r="S1403" t="inlineStr">
        <is>
          <t>501</t>
        </is>
      </c>
      <c r="T1403" t="n">
        <v>35.3</v>
      </c>
      <c r="U1403" t="inlineStr">
        <is>
          <t>561</t>
        </is>
      </c>
      <c r="V1403" t="n">
        <v>31.2</v>
      </c>
      <c r="W1403" t="inlineStr">
        <is>
          <t>572</t>
        </is>
      </c>
      <c r="X1403" t="n">
        <v>7.7</v>
      </c>
      <c r="Y1403" t="inlineStr">
        <is>
          <t>801+</t>
        </is>
      </c>
      <c r="Z1403" t="n">
        <v>41.5</v>
      </c>
      <c r="AA1403" t="inlineStr">
        <is>
          <t>479</t>
        </is>
      </c>
      <c r="AB1403" t="n">
        <v>46.9</v>
      </c>
      <c r="AC1403" t="inlineStr">
        <is>
          <t>443</t>
        </is>
      </c>
      <c r="AD1403" t="n">
        <v>85.8</v>
      </c>
      <c r="AE1403" t="inlineStr">
        <is>
          <t>240</t>
        </is>
      </c>
      <c r="AF1403" t="n">
        <v>22.4</v>
      </c>
      <c r="AG1403" t="inlineStr">
        <is>
          <t>689</t>
        </is>
      </c>
      <c r="AH1403" t="n">
        <v>79.5</v>
      </c>
      <c r="AI1403" t="inlineStr">
        <is>
          <t>180=</t>
        </is>
      </c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</row>
    <row r="1404">
      <c r="A1404" t="inlineStr">
        <is>
          <t>Universitat Politècnica de Catalunya</t>
        </is>
      </c>
      <c r="B1404" t="inlineStr">
        <is>
          <t>Spain</t>
        </is>
      </c>
      <c r="C1404" t="inlineStr"/>
      <c r="D1404" t="inlineStr">
        <is>
          <t>Europe</t>
        </is>
      </c>
      <c r="E1404" t="inlineStr">
        <is>
          <t>L</t>
        </is>
      </c>
      <c r="F1404" t="inlineStr">
        <is>
          <t>CO</t>
        </is>
      </c>
      <c r="G1404" t="inlineStr">
        <is>
          <t>VH</t>
        </is>
      </c>
      <c r="H1404" t="inlineStr"/>
      <c r="I1404" t="inlineStr">
        <is>
          <t>Public</t>
        </is>
      </c>
      <c r="J1404" t="inlineStr">
        <is>
          <t>392</t>
        </is>
      </c>
      <c r="K1404" t="inlineStr">
        <is>
          <t>371</t>
        </is>
      </c>
      <c r="L1404" t="inlineStr"/>
      <c r="M1404" t="inlineStr"/>
      <c r="N1404" t="inlineStr">
        <is>
          <t>38.2</t>
        </is>
      </c>
      <c r="O1404" t="inlineStr"/>
      <c r="P1404" t="n">
        <v>40.8</v>
      </c>
      <c r="Q1404" t="inlineStr">
        <is>
          <t>291</t>
        </is>
      </c>
      <c r="R1404" t="n">
        <v>32.8</v>
      </c>
      <c r="S1404" t="inlineStr">
        <is>
          <t>437</t>
        </is>
      </c>
      <c r="T1404" t="n">
        <v>42.5</v>
      </c>
      <c r="U1404" t="inlineStr">
        <is>
          <t>471</t>
        </is>
      </c>
      <c r="V1404" t="n">
        <v>27</v>
      </c>
      <c r="W1404" t="inlineStr">
        <is>
          <t>617</t>
        </is>
      </c>
      <c r="X1404" t="n">
        <v>16.7</v>
      </c>
      <c r="Y1404" t="inlineStr">
        <is>
          <t>771</t>
        </is>
      </c>
      <c r="Z1404" t="n">
        <v>31</v>
      </c>
      <c r="AA1404" t="inlineStr">
        <is>
          <t>578</t>
        </is>
      </c>
      <c r="AB1404" t="n">
        <v>36.9</v>
      </c>
      <c r="AC1404" t="inlineStr">
        <is>
          <t>527</t>
        </is>
      </c>
      <c r="AD1404" t="n">
        <v>84</v>
      </c>
      <c r="AE1404" t="inlineStr">
        <is>
          <t>276</t>
        </is>
      </c>
      <c r="AF1404" t="n">
        <v>35.7</v>
      </c>
      <c r="AG1404" t="inlineStr">
        <is>
          <t>481</t>
        </is>
      </c>
      <c r="AH1404" t="n">
        <v>77</v>
      </c>
      <c r="AI1404" t="inlineStr">
        <is>
          <t>214=</t>
        </is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</row>
    <row r="1405">
      <c r="A1405" t="inlineStr">
        <is>
          <t>Universitat Politècnica de Catalunya · BarcelonaTech (UPC)</t>
        </is>
      </c>
      <c r="B1405" t="inlineStr">
        <is>
          <t>Spain</t>
        </is>
      </c>
      <c r="C1405" t="inlineStr">
        <is>
          <t>ES</t>
        </is>
      </c>
      <c r="D1405" t="inlineStr"/>
      <c r="E1405" t="inlineStr">
        <is>
          <t>L</t>
        </is>
      </c>
      <c r="F1405" t="inlineStr">
        <is>
          <t>FO</t>
        </is>
      </c>
      <c r="G1405" t="inlineStr">
        <is>
          <t>VH</t>
        </is>
      </c>
      <c r="H1405" t="inlineStr">
        <is>
          <t>4</t>
        </is>
      </c>
      <c r="I1405" t="inlineStr">
        <is>
          <t>A</t>
        </is>
      </c>
      <c r="J1405" t="inlineStr"/>
      <c r="K1405" t="inlineStr"/>
      <c r="L1405" t="inlineStr">
        <is>
          <t>354</t>
        </is>
      </c>
      <c r="M1405" t="inlineStr">
        <is>
          <t>343=</t>
        </is>
      </c>
      <c r="N1405" t="inlineStr"/>
      <c r="O1405" t="inlineStr">
        <is>
          <t>31.0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>
        <is>
          <t>31.9</t>
        </is>
      </c>
      <c r="AK1405" t="inlineStr">
        <is>
          <t>274</t>
        </is>
      </c>
      <c r="AL1405" t="inlineStr">
        <is>
          <t>22.0</t>
        </is>
      </c>
      <c r="AM1405" t="inlineStr">
        <is>
          <t>426</t>
        </is>
      </c>
      <c r="AN1405" t="inlineStr">
        <is>
          <t>41.2</t>
        </is>
      </c>
      <c r="AO1405" t="inlineStr">
        <is>
          <t>380</t>
        </is>
      </c>
      <c r="AP1405" t="inlineStr">
        <is>
          <t>22.3</t>
        </is>
      </c>
      <c r="AQ1405" t="inlineStr">
        <is>
          <t>524</t>
        </is>
      </c>
      <c r="AR1405" t="inlineStr">
        <is>
          <t>8.0</t>
        </is>
      </c>
      <c r="AS1405" t="inlineStr">
        <is>
          <t>701+</t>
        </is>
      </c>
      <c r="AT1405" t="inlineStr">
        <is>
          <t>21.2</t>
        </is>
      </c>
      <c r="AU1405" t="inlineStr">
        <is>
          <t>532</t>
        </is>
      </c>
      <c r="AV1405" t="inlineStr">
        <is>
          <t>72.8</t>
        </is>
      </c>
      <c r="AW1405" t="inlineStr">
        <is>
          <t>183</t>
        </is>
      </c>
      <c r="AX1405" t="inlineStr">
        <is>
          <t>15.1</t>
        </is>
      </c>
      <c r="AY1405" t="inlineStr">
        <is>
          <t>556</t>
        </is>
      </c>
      <c r="AZ1405" t="inlineStr">
        <is>
          <t>73.3</t>
        </is>
      </c>
      <c r="BA1405" t="inlineStr">
        <is>
          <t>186</t>
        </is>
      </c>
    </row>
    <row r="1406">
      <c r="A1406" t="inlineStr">
        <is>
          <t>Universitat Politècnica de València</t>
        </is>
      </c>
      <c r="B1406" t="inlineStr">
        <is>
          <t>Spain</t>
        </is>
      </c>
      <c r="C1406" t="inlineStr">
        <is>
          <t>ES</t>
        </is>
      </c>
      <c r="D1406" t="inlineStr"/>
      <c r="E1406" t="inlineStr">
        <is>
          <t>L</t>
        </is>
      </c>
      <c r="F1406" t="inlineStr">
        <is>
          <t>CO</t>
        </is>
      </c>
      <c r="G1406" t="inlineStr">
        <is>
          <t>VH</t>
        </is>
      </c>
      <c r="H1406" t="inlineStr">
        <is>
          <t>4</t>
        </is>
      </c>
      <c r="I1406" t="inlineStr">
        <is>
          <t>A</t>
        </is>
      </c>
      <c r="J1406" t="inlineStr"/>
      <c r="K1406" t="inlineStr"/>
      <c r="L1406">
        <f>476</f>
        <v/>
      </c>
      <c r="M1406" t="inlineStr">
        <is>
          <t>400=</t>
        </is>
      </c>
      <c r="N1406" t="inlineStr"/>
      <c r="O1406" t="inlineStr">
        <is>
          <t>24.3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>
        <is>
          <t>26.2</t>
        </is>
      </c>
      <c r="AK1406" t="inlineStr">
        <is>
          <t>338</t>
        </is>
      </c>
      <c r="AL1406" t="inlineStr">
        <is>
          <t>12.0</t>
        </is>
      </c>
      <c r="AM1406" t="inlineStr">
        <is>
          <t>601+</t>
        </is>
      </c>
      <c r="AN1406" t="inlineStr">
        <is>
          <t>47.0</t>
        </is>
      </c>
      <c r="AO1406" t="inlineStr">
        <is>
          <t>332</t>
        </is>
      </c>
      <c r="AP1406" t="inlineStr">
        <is>
          <t>19.6</t>
        </is>
      </c>
      <c r="AQ1406" t="inlineStr">
        <is>
          <t>561</t>
        </is>
      </c>
      <c r="AR1406" t="inlineStr">
        <is>
          <t>4.3</t>
        </is>
      </c>
      <c r="AS1406" t="inlineStr">
        <is>
          <t>701+</t>
        </is>
      </c>
      <c r="AT1406" t="inlineStr">
        <is>
          <t>23.9</t>
        </is>
      </c>
      <c r="AU1406" t="inlineStr">
        <is>
          <t>489</t>
        </is>
      </c>
      <c r="AV1406" t="inlineStr">
        <is>
          <t>56.8</t>
        </is>
      </c>
      <c r="AW1406" t="inlineStr">
        <is>
          <t>271</t>
        </is>
      </c>
      <c r="AX1406" t="inlineStr">
        <is>
          <t>8.1</t>
        </is>
      </c>
      <c r="AY1406" t="inlineStr">
        <is>
          <t>701+</t>
        </is>
      </c>
      <c r="AZ1406" t="inlineStr">
        <is>
          <t>28.1</t>
        </is>
      </c>
      <c r="BA1406" t="inlineStr">
        <is>
          <t>467=</t>
        </is>
      </c>
    </row>
    <row r="1407">
      <c r="A1407" t="inlineStr">
        <is>
          <t>Universitat Pompeu Fabra</t>
        </is>
      </c>
      <c r="B1407" t="inlineStr">
        <is>
          <t>Spain</t>
        </is>
      </c>
      <c r="C1407" t="inlineStr"/>
      <c r="D1407" t="inlineStr">
        <is>
          <t>Europe</t>
        </is>
      </c>
      <c r="E1407" t="inlineStr">
        <is>
          <t>M</t>
        </is>
      </c>
      <c r="F1407" t="inlineStr">
        <is>
          <t>FO</t>
        </is>
      </c>
      <c r="G1407" t="inlineStr">
        <is>
          <t>VH</t>
        </is>
      </c>
      <c r="H1407" t="inlineStr"/>
      <c r="I1407" t="inlineStr">
        <is>
          <t>Public</t>
        </is>
      </c>
      <c r="J1407" t="inlineStr">
        <is>
          <t>265</t>
        </is>
      </c>
      <c r="K1407" t="inlineStr">
        <is>
          <t>265</t>
        </is>
      </c>
      <c r="L1407" t="inlineStr"/>
      <c r="M1407" t="inlineStr"/>
      <c r="N1407" t="inlineStr">
        <is>
          <t>49</t>
        </is>
      </c>
      <c r="O1407" t="inlineStr"/>
      <c r="P1407" t="n">
        <v>43.7</v>
      </c>
      <c r="Q1407" t="inlineStr">
        <is>
          <t>268</t>
        </is>
      </c>
      <c r="R1407" t="n">
        <v>39.5</v>
      </c>
      <c r="S1407" t="inlineStr">
        <is>
          <t>346</t>
        </is>
      </c>
      <c r="T1407" t="n">
        <v>19.1</v>
      </c>
      <c r="U1407" t="inlineStr">
        <is>
          <t>801+</t>
        </is>
      </c>
      <c r="V1407" t="n">
        <v>70.59999999999999</v>
      </c>
      <c r="W1407" t="inlineStr">
        <is>
          <t>212</t>
        </is>
      </c>
      <c r="X1407" t="n">
        <v>84.7</v>
      </c>
      <c r="Y1407" t="inlineStr">
        <is>
          <t>260</t>
        </is>
      </c>
      <c r="Z1407" t="n">
        <v>40</v>
      </c>
      <c r="AA1407" t="inlineStr">
        <is>
          <t>487</t>
        </is>
      </c>
      <c r="AB1407" t="n">
        <v>45.5</v>
      </c>
      <c r="AC1407" t="inlineStr">
        <is>
          <t>456</t>
        </is>
      </c>
      <c r="AD1407" t="n">
        <v>75.8</v>
      </c>
      <c r="AE1407" t="inlineStr">
        <is>
          <t>422</t>
        </is>
      </c>
      <c r="AF1407" t="n">
        <v>23</v>
      </c>
      <c r="AG1407" t="inlineStr">
        <is>
          <t>671</t>
        </is>
      </c>
      <c r="AH1407" t="n">
        <v>66.40000000000001</v>
      </c>
      <c r="AI1407" t="inlineStr">
        <is>
          <t>371=</t>
        </is>
      </c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</row>
    <row r="1408">
      <c r="A1408" t="inlineStr">
        <is>
          <t>Universitat Pompeu Fabra (Barcelona)</t>
        </is>
      </c>
      <c r="B1408" t="inlineStr">
        <is>
          <t>Spain</t>
        </is>
      </c>
      <c r="C1408" t="inlineStr">
        <is>
          <t>ES</t>
        </is>
      </c>
      <c r="D1408" t="inlineStr"/>
      <c r="E1408" t="inlineStr">
        <is>
          <t>M</t>
        </is>
      </c>
      <c r="F1408" t="inlineStr">
        <is>
          <t>FO</t>
        </is>
      </c>
      <c r="G1408" t="inlineStr">
        <is>
          <t>VH</t>
        </is>
      </c>
      <c r="H1408" t="inlineStr">
        <is>
          <t>3</t>
        </is>
      </c>
      <c r="I1408" t="inlineStr">
        <is>
          <t>A</t>
        </is>
      </c>
      <c r="J1408" t="inlineStr"/>
      <c r="K1408" t="inlineStr"/>
      <c r="L1408">
        <f>310</f>
        <v/>
      </c>
      <c r="M1408" t="inlineStr">
        <is>
          <t>233=</t>
        </is>
      </c>
      <c r="N1408" t="inlineStr"/>
      <c r="O1408" t="inlineStr">
        <is>
          <t>33.8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>
        <is>
          <t>30.9</t>
        </is>
      </c>
      <c r="AK1408" t="inlineStr">
        <is>
          <t>282</t>
        </is>
      </c>
      <c r="AL1408" t="inlineStr">
        <is>
          <t>22.8</t>
        </is>
      </c>
      <c r="AM1408" t="inlineStr">
        <is>
          <t>417</t>
        </is>
      </c>
      <c r="AN1408" t="inlineStr">
        <is>
          <t>13.1</t>
        </is>
      </c>
      <c r="AO1408" t="inlineStr">
        <is>
          <t>701+</t>
        </is>
      </c>
      <c r="AP1408" t="inlineStr">
        <is>
          <t>55.6</t>
        </is>
      </c>
      <c r="AQ1408" t="inlineStr">
        <is>
          <t>232</t>
        </is>
      </c>
      <c r="AR1408" t="inlineStr">
        <is>
          <t>77.9</t>
        </is>
      </c>
      <c r="AS1408" t="inlineStr">
        <is>
          <t>238</t>
        </is>
      </c>
      <c r="AT1408" t="inlineStr">
        <is>
          <t>26.6</t>
        </is>
      </c>
      <c r="AU1408" t="inlineStr">
        <is>
          <t>455</t>
        </is>
      </c>
      <c r="AV1408" t="inlineStr">
        <is>
          <t>38.4</t>
        </is>
      </c>
      <c r="AW1408" t="inlineStr">
        <is>
          <t>389</t>
        </is>
      </c>
      <c r="AX1408" t="inlineStr">
        <is>
          <t>15.3</t>
        </is>
      </c>
      <c r="AY1408" t="inlineStr">
        <is>
          <t>551</t>
        </is>
      </c>
      <c r="AZ1408" t="inlineStr">
        <is>
          <t>13.2</t>
        </is>
      </c>
      <c r="BA1408" t="inlineStr">
        <is>
          <t>633</t>
        </is>
      </c>
    </row>
    <row r="1409">
      <c r="A1409" t="inlineStr">
        <is>
          <t>Universitat Ramon Llull</t>
        </is>
      </c>
      <c r="B1409" t="inlineStr">
        <is>
          <t>Spain</t>
        </is>
      </c>
      <c r="C1409" t="inlineStr">
        <is>
          <t>ES</t>
        </is>
      </c>
      <c r="D1409" t="inlineStr">
        <is>
          <t>Europe</t>
        </is>
      </c>
      <c r="E1409" t="inlineStr">
        <is>
          <t>L</t>
        </is>
      </c>
      <c r="F1409" t="inlineStr">
        <is>
          <t>CO</t>
        </is>
      </c>
      <c r="G1409" t="inlineStr">
        <is>
          <t>HI</t>
        </is>
      </c>
      <c r="H1409" t="inlineStr">
        <is>
          <t>3</t>
        </is>
      </c>
      <c r="I1409" t="inlineStr">
        <is>
          <t>Private not for Profit</t>
        </is>
      </c>
      <c r="J1409" t="inlineStr">
        <is>
          <t>436</t>
        </is>
      </c>
      <c r="K1409" t="inlineStr">
        <is>
          <t>466</t>
        </is>
      </c>
      <c r="L1409" t="inlineStr">
        <is>
          <t>621-630</t>
        </is>
      </c>
      <c r="M1409" t="inlineStr">
        <is>
          <t>651-700</t>
        </is>
      </c>
      <c r="N1409" t="inlineStr">
        <is>
          <t>35.2</t>
        </is>
      </c>
      <c r="O1409" t="inlineStr">
        <is>
          <t>-</t>
        </is>
      </c>
      <c r="P1409" t="n">
        <v>17.5</v>
      </c>
      <c r="Q1409" t="inlineStr">
        <is>
          <t>701+</t>
        </is>
      </c>
      <c r="R1409" t="n">
        <v>72.5</v>
      </c>
      <c r="S1409" t="inlineStr">
        <is>
          <t>136</t>
        </is>
      </c>
      <c r="T1409" t="n">
        <v>10.3</v>
      </c>
      <c r="U1409" t="inlineStr">
        <is>
          <t>801+</t>
        </is>
      </c>
      <c r="V1409" t="n">
        <v>15.5</v>
      </c>
      <c r="W1409" t="inlineStr">
        <is>
          <t>797</t>
        </is>
      </c>
      <c r="X1409" t="n">
        <v>80.40000000000001</v>
      </c>
      <c r="Y1409" t="inlineStr">
        <is>
          <t>295</t>
        </is>
      </c>
      <c r="Z1409" t="n">
        <v>68</v>
      </c>
      <c r="AA1409" t="inlineStr">
        <is>
          <t>290</t>
        </is>
      </c>
      <c r="AB1409" t="n">
        <v>71.09999999999999</v>
      </c>
      <c r="AC1409" t="inlineStr">
        <is>
          <t>261</t>
        </is>
      </c>
      <c r="AD1409" t="n">
        <v>31.3</v>
      </c>
      <c r="AE1409" t="inlineStr">
        <is>
          <t>801+</t>
        </is>
      </c>
      <c r="AF1409" t="n">
        <v>81.2</v>
      </c>
      <c r="AG1409" t="inlineStr">
        <is>
          <t>152</t>
        </is>
      </c>
      <c r="AH1409" t="n">
        <v>56.7</v>
      </c>
      <c r="AI1409" t="inlineStr">
        <is>
          <t>562=</t>
        </is>
      </c>
      <c r="AJ1409" t="inlineStr">
        <is>
          <t>10.4</t>
        </is>
      </c>
      <c r="AK1409" t="inlineStr">
        <is>
          <t>601+</t>
        </is>
      </c>
      <c r="AL1409" t="inlineStr">
        <is>
          <t>43.7</t>
        </is>
      </c>
      <c r="AM1409" t="inlineStr">
        <is>
          <t>208</t>
        </is>
      </c>
      <c r="AN1409" t="inlineStr">
        <is>
          <t>6.3</t>
        </is>
      </c>
      <c r="AO1409" t="inlineStr">
        <is>
          <t>701+</t>
        </is>
      </c>
      <c r="AP1409" t="inlineStr">
        <is>
          <t>8.5</t>
        </is>
      </c>
      <c r="AQ1409" t="inlineStr">
        <is>
          <t>701+</t>
        </is>
      </c>
      <c r="AR1409" t="inlineStr">
        <is>
          <t>94.7</t>
        </is>
      </c>
      <c r="AS1409" t="inlineStr">
        <is>
          <t>153</t>
        </is>
      </c>
      <c r="AT1409" t="inlineStr">
        <is>
          <t>32.2</t>
        </is>
      </c>
      <c r="AU1409" t="inlineStr">
        <is>
          <t>399</t>
        </is>
      </c>
      <c r="AV1409" t="inlineStr">
        <is>
          <t>2.4</t>
        </is>
      </c>
      <c r="AW1409" t="inlineStr">
        <is>
          <t>701+</t>
        </is>
      </c>
      <c r="AX1409" t="inlineStr">
        <is>
          <t>15.6</t>
        </is>
      </c>
      <c r="AY1409" t="inlineStr">
        <is>
          <t>535</t>
        </is>
      </c>
      <c r="AZ1409" t="inlineStr">
        <is>
          <t>1.4</t>
        </is>
      </c>
      <c r="BA1409" t="inlineStr">
        <is>
          <t>701+</t>
        </is>
      </c>
    </row>
    <row r="1410">
      <c r="A1410" t="inlineStr">
        <is>
          <t>Universitat Rovira i Virgili</t>
        </is>
      </c>
      <c r="B1410" t="inlineStr">
        <is>
          <t>Spain</t>
        </is>
      </c>
      <c r="C1410" t="inlineStr">
        <is>
          <t>ES</t>
        </is>
      </c>
      <c r="D1410" t="inlineStr"/>
      <c r="E1410" t="inlineStr">
        <is>
          <t>L</t>
        </is>
      </c>
      <c r="F1410" t="inlineStr">
        <is>
          <t>FC</t>
        </is>
      </c>
      <c r="G1410" t="inlineStr">
        <is>
          <t>HI</t>
        </is>
      </c>
      <c r="H1410" t="inlineStr">
        <is>
          <t>3</t>
        </is>
      </c>
      <c r="I1410" t="inlineStr">
        <is>
          <t>A</t>
        </is>
      </c>
      <c r="J1410" t="inlineStr"/>
      <c r="K1410" t="inlineStr"/>
      <c r="L1410" t="inlineStr">
        <is>
          <t>661-670</t>
        </is>
      </c>
      <c r="M1410" t="inlineStr">
        <is>
          <t>751-800</t>
        </is>
      </c>
      <c r="N1410" t="inlineStr"/>
      <c r="O1410" t="inlineStr">
        <is>
          <t>-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>
        <is>
          <t>6.7</t>
        </is>
      </c>
      <c r="AK1410" t="inlineStr">
        <is>
          <t>601+</t>
        </is>
      </c>
      <c r="AL1410" t="inlineStr">
        <is>
          <t>2.0</t>
        </is>
      </c>
      <c r="AM1410" t="inlineStr">
        <is>
          <t>601+</t>
        </is>
      </c>
      <c r="AN1410" t="inlineStr">
        <is>
          <t>16.6</t>
        </is>
      </c>
      <c r="AO1410" t="inlineStr">
        <is>
          <t>701+</t>
        </is>
      </c>
      <c r="AP1410" t="inlineStr">
        <is>
          <t>37.4</t>
        </is>
      </c>
      <c r="AQ1410" t="inlineStr">
        <is>
          <t>375</t>
        </is>
      </c>
      <c r="AR1410" t="inlineStr">
        <is>
          <t>7.6</t>
        </is>
      </c>
      <c r="AS1410" t="inlineStr">
        <is>
          <t>701+</t>
        </is>
      </c>
      <c r="AT1410" t="inlineStr">
        <is>
          <t>22.5</t>
        </is>
      </c>
      <c r="AU1410" t="inlineStr">
        <is>
          <t>507</t>
        </is>
      </c>
      <c r="AV1410" t="inlineStr">
        <is>
          <t>38.6</t>
        </is>
      </c>
      <c r="AW1410" t="inlineStr">
        <is>
          <t>386</t>
        </is>
      </c>
      <c r="AX1410" t="inlineStr">
        <is>
          <t>7.5</t>
        </is>
      </c>
      <c r="AY1410" t="inlineStr">
        <is>
          <t>701+</t>
        </is>
      </c>
      <c r="AZ1410" t="inlineStr">
        <is>
          <t>47.2</t>
        </is>
      </c>
      <c r="BA1410" t="inlineStr">
        <is>
          <t>323=</t>
        </is>
      </c>
    </row>
    <row r="1411">
      <c r="A1411" t="inlineStr">
        <is>
          <t>Universitatea de Vest din Timisoara / West University of Timisoara</t>
        </is>
      </c>
      <c r="B1411" t="inlineStr">
        <is>
          <t>Romania</t>
        </is>
      </c>
      <c r="C1411" t="inlineStr">
        <is>
          <t>RO</t>
        </is>
      </c>
      <c r="D1411" t="inlineStr"/>
      <c r="E1411" t="inlineStr">
        <is>
          <t>L</t>
        </is>
      </c>
      <c r="F1411" t="inlineStr">
        <is>
          <t>FO</t>
        </is>
      </c>
      <c r="G1411" t="inlineStr">
        <is>
          <t>HI</t>
        </is>
      </c>
      <c r="H1411" t="inlineStr">
        <is>
          <t>4</t>
        </is>
      </c>
      <c r="I1411" t="inlineStr">
        <is>
          <t>A</t>
        </is>
      </c>
      <c r="J1411" t="inlineStr"/>
      <c r="K1411" t="inlineStr"/>
      <c r="L1411" t="inlineStr">
        <is>
          <t>1201-1400</t>
        </is>
      </c>
      <c r="M1411" t="inlineStr">
        <is>
          <t>1201-1400</t>
        </is>
      </c>
      <c r="N1411" t="inlineStr"/>
      <c r="O1411" t="inlineStr">
        <is>
          <t>-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>
        <is>
          <t>9.6</t>
        </is>
      </c>
      <c r="AK1411" t="inlineStr">
        <is>
          <t>601+</t>
        </is>
      </c>
      <c r="AL1411" t="inlineStr">
        <is>
          <t>6.3</t>
        </is>
      </c>
      <c r="AM1411" t="inlineStr">
        <is>
          <t>601+</t>
        </is>
      </c>
      <c r="AN1411" t="inlineStr">
        <is>
          <t>4.8</t>
        </is>
      </c>
      <c r="AO1411" t="inlineStr">
        <is>
          <t>701+</t>
        </is>
      </c>
      <c r="AP1411" t="inlineStr">
        <is>
          <t>2.6</t>
        </is>
      </c>
      <c r="AQ1411" t="inlineStr">
        <is>
          <t>701+</t>
        </is>
      </c>
      <c r="AR1411" t="inlineStr">
        <is>
          <t>1.6</t>
        </is>
      </c>
      <c r="AS1411" t="inlineStr">
        <is>
          <t>701+</t>
        </is>
      </c>
      <c r="AT1411" t="inlineStr">
        <is>
          <t>5.2</t>
        </is>
      </c>
      <c r="AU1411" t="inlineStr">
        <is>
          <t>701+</t>
        </is>
      </c>
      <c r="AV1411" t="inlineStr">
        <is>
          <t>1.1</t>
        </is>
      </c>
      <c r="AW1411" t="inlineStr">
        <is>
          <t>701+</t>
        </is>
      </c>
      <c r="AX1411" t="inlineStr">
        <is>
          <t>8.2</t>
        </is>
      </c>
      <c r="AY1411" t="inlineStr">
        <is>
          <t>701+</t>
        </is>
      </c>
      <c r="AZ1411" t="inlineStr">
        <is>
          <t>1.1</t>
        </is>
      </c>
      <c r="BA1411" t="inlineStr">
        <is>
          <t>701+</t>
        </is>
      </c>
    </row>
    <row r="1412">
      <c r="A1412" t="inlineStr">
        <is>
          <t>Universite libre de Bruxelles</t>
        </is>
      </c>
      <c r="B1412" t="inlineStr">
        <is>
          <t>Belgium</t>
        </is>
      </c>
      <c r="C1412" t="inlineStr">
        <is>
          <t>BE</t>
        </is>
      </c>
      <c r="D1412" t="inlineStr"/>
      <c r="E1412" t="inlineStr">
        <is>
          <t>L</t>
        </is>
      </c>
      <c r="F1412" t="inlineStr">
        <is>
          <t>FC</t>
        </is>
      </c>
      <c r="G1412" t="inlineStr">
        <is>
          <t>VH</t>
        </is>
      </c>
      <c r="H1412" t="inlineStr">
        <is>
          <t>5</t>
        </is>
      </c>
      <c r="I1412" t="inlineStr">
        <is>
          <t>A</t>
        </is>
      </c>
      <c r="J1412" t="inlineStr"/>
      <c r="K1412" t="inlineStr"/>
      <c r="L1412">
        <f>189</f>
        <v/>
      </c>
      <c r="M1412" t="inlineStr">
        <is>
          <t>210=</t>
        </is>
      </c>
      <c r="N1412" t="inlineStr"/>
      <c r="O1412" t="inlineStr">
        <is>
          <t>46.8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>
        <is>
          <t>34.4</t>
        </is>
      </c>
      <c r="AK1412" t="inlineStr">
        <is>
          <t>249</t>
        </is>
      </c>
      <c r="AL1412" t="inlineStr">
        <is>
          <t>38.9</t>
        </is>
      </c>
      <c r="AM1412" t="inlineStr">
        <is>
          <t>247</t>
        </is>
      </c>
      <c r="AN1412" t="inlineStr">
        <is>
          <t>3.3</t>
        </is>
      </c>
      <c r="AO1412" t="inlineStr">
        <is>
          <t>701+</t>
        </is>
      </c>
      <c r="AP1412" t="inlineStr">
        <is>
          <t>63.3</t>
        </is>
      </c>
      <c r="AQ1412" t="inlineStr">
        <is>
          <t>186</t>
        </is>
      </c>
      <c r="AR1412" t="inlineStr">
        <is>
          <t>97.1</t>
        </is>
      </c>
      <c r="AS1412" t="inlineStr">
        <is>
          <t>126</t>
        </is>
      </c>
      <c r="AT1412" t="inlineStr">
        <is>
          <t>85.0</t>
        </is>
      </c>
      <c r="AU1412" t="inlineStr">
        <is>
          <t>144</t>
        </is>
      </c>
      <c r="AV1412" t="inlineStr">
        <is>
          <t>69.1</t>
        </is>
      </c>
      <c r="AW1412" t="inlineStr">
        <is>
          <t>201</t>
        </is>
      </c>
      <c r="AX1412" t="inlineStr">
        <is>
          <t>35.7</t>
        </is>
      </c>
      <c r="AY1412" t="inlineStr">
        <is>
          <t>207</t>
        </is>
      </c>
      <c r="AZ1412" t="inlineStr">
        <is>
          <t>60.4</t>
        </is>
      </c>
      <c r="BA1412" t="inlineStr">
        <is>
          <t>249=</t>
        </is>
      </c>
    </row>
    <row r="1413">
      <c r="A1413" t="inlineStr">
        <is>
          <t>Universiti Brunei Darussalam (UBD)</t>
        </is>
      </c>
      <c r="B1413" t="inlineStr">
        <is>
          <t>Brunei</t>
        </is>
      </c>
      <c r="C1413" t="inlineStr">
        <is>
          <t>BN</t>
        </is>
      </c>
      <c r="D1413" t="inlineStr"/>
      <c r="E1413" t="inlineStr">
        <is>
          <t>S</t>
        </is>
      </c>
      <c r="F1413" t="inlineStr">
        <is>
          <t>CO</t>
        </is>
      </c>
      <c r="G1413" t="inlineStr">
        <is>
          <t>VH</t>
        </is>
      </c>
      <c r="H1413" t="inlineStr">
        <is>
          <t>3</t>
        </is>
      </c>
      <c r="I1413" t="inlineStr">
        <is>
          <t>A</t>
        </is>
      </c>
      <c r="J1413" t="inlineStr"/>
      <c r="K1413" t="inlineStr"/>
      <c r="L1413">
        <f>387</f>
        <v/>
      </c>
      <c r="M1413" t="inlineStr">
        <is>
          <t>256=</t>
        </is>
      </c>
      <c r="N1413" t="inlineStr"/>
      <c r="O1413" t="inlineStr">
        <is>
          <t>28.3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>
        <is>
          <t>21.0</t>
        </is>
      </c>
      <c r="AK1413" t="inlineStr">
        <is>
          <t>420</t>
        </is>
      </c>
      <c r="AL1413" t="inlineStr">
        <is>
          <t>5.5</t>
        </is>
      </c>
      <c r="AM1413" t="inlineStr">
        <is>
          <t>601+</t>
        </is>
      </c>
      <c r="AN1413" t="inlineStr">
        <is>
          <t>96.3</t>
        </is>
      </c>
      <c r="AO1413" t="inlineStr">
        <is>
          <t>54</t>
        </is>
      </c>
      <c r="AP1413" t="inlineStr">
        <is>
          <t>8.2</t>
        </is>
      </c>
      <c r="AQ1413" t="inlineStr">
        <is>
          <t>701+</t>
        </is>
      </c>
      <c r="AR1413" t="inlineStr">
        <is>
          <t>100.0</t>
        </is>
      </c>
      <c r="AS1413" t="inlineStr">
        <is>
          <t>47</t>
        </is>
      </c>
      <c r="AT1413" t="inlineStr">
        <is>
          <t>65.1</t>
        </is>
      </c>
      <c r="AU1413" t="inlineStr">
        <is>
          <t>231</t>
        </is>
      </c>
      <c r="AV1413" t="inlineStr">
        <is>
          <t>2.3</t>
        </is>
      </c>
      <c r="AW1413" t="inlineStr">
        <is>
          <t>701+</t>
        </is>
      </c>
      <c r="AX1413" t="inlineStr">
        <is>
          <t>27.4</t>
        </is>
      </c>
      <c r="AY1413" t="inlineStr">
        <is>
          <t>296</t>
        </is>
      </c>
      <c r="AZ1413" t="inlineStr">
        <is>
          <t>4</t>
        </is>
      </c>
      <c r="BA1413" t="inlineStr">
        <is>
          <t>701+</t>
        </is>
      </c>
    </row>
    <row r="1414">
      <c r="A1414" t="inlineStr">
        <is>
          <t>Universiti Brunei Darussalam (UBD)</t>
        </is>
      </c>
      <c r="B1414" t="inlineStr">
        <is>
          <t>Brunei Darussalam</t>
        </is>
      </c>
      <c r="C1414" t="inlineStr"/>
      <c r="D1414" t="inlineStr">
        <is>
          <t>Asia</t>
        </is>
      </c>
      <c r="E1414" t="inlineStr">
        <is>
          <t>S</t>
        </is>
      </c>
      <c r="F1414" t="inlineStr">
        <is>
          <t>CO</t>
        </is>
      </c>
      <c r="G1414" t="inlineStr">
        <is>
          <t>VH</t>
        </is>
      </c>
      <c r="H1414" t="inlineStr"/>
      <c r="I1414" t="inlineStr">
        <is>
          <t>Public</t>
        </is>
      </c>
      <c r="J1414" t="inlineStr">
        <is>
          <t>367</t>
        </is>
      </c>
      <c r="K1414" t="inlineStr">
        <is>
          <t>385</t>
        </is>
      </c>
      <c r="L1414" t="inlineStr"/>
      <c r="M1414" t="inlineStr"/>
      <c r="N1414" t="inlineStr">
        <is>
          <t>40.5</t>
        </is>
      </c>
      <c r="O1414" t="inlineStr"/>
      <c r="P1414" t="n">
        <v>29.9</v>
      </c>
      <c r="Q1414" t="inlineStr">
        <is>
          <t>406</t>
        </is>
      </c>
      <c r="R1414" t="n">
        <v>20.5</v>
      </c>
      <c r="S1414" t="inlineStr">
        <is>
          <t>643</t>
        </is>
      </c>
      <c r="T1414" t="n">
        <v>94.2</v>
      </c>
      <c r="U1414" t="inlineStr">
        <is>
          <t>82</t>
        </is>
      </c>
      <c r="V1414" t="n">
        <v>22.5</v>
      </c>
      <c r="W1414" t="inlineStr">
        <is>
          <t>679</t>
        </is>
      </c>
      <c r="X1414" t="n">
        <v>100</v>
      </c>
      <c r="Y1414" t="inlineStr">
        <is>
          <t>70</t>
        </is>
      </c>
      <c r="Z1414" t="n">
        <v>43.5</v>
      </c>
      <c r="AA1414" t="inlineStr">
        <is>
          <t>463</t>
        </is>
      </c>
      <c r="AB1414" t="n">
        <v>42.1</v>
      </c>
      <c r="AC1414" t="inlineStr">
        <is>
          <t>492</t>
        </is>
      </c>
      <c r="AD1414" t="n">
        <v>53</v>
      </c>
      <c r="AE1414" t="inlineStr">
        <is>
          <t>796</t>
        </is>
      </c>
      <c r="AF1414" t="n">
        <v>58.2</v>
      </c>
      <c r="AG1414" t="inlineStr">
        <is>
          <t>283</t>
        </is>
      </c>
      <c r="AH1414" t="n">
        <v>52.4</v>
      </c>
      <c r="AI1414" t="inlineStr">
        <is>
          <t>655</t>
        </is>
      </c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</row>
    <row r="1415">
      <c r="A1415" t="inlineStr">
        <is>
          <t>Universiti Kebangsaan Malaysia (UKM)</t>
        </is>
      </c>
      <c r="B1415" t="inlineStr">
        <is>
          <t>Malaysia</t>
        </is>
      </c>
      <c r="C1415" t="inlineStr">
        <is>
          <t>MY</t>
        </is>
      </c>
      <c r="D1415" t="inlineStr">
        <is>
          <t>Asia</t>
        </is>
      </c>
      <c r="E1415" t="inlineStr">
        <is>
          <t>L</t>
        </is>
      </c>
      <c r="F1415" t="inlineStr">
        <is>
          <t>FC</t>
        </is>
      </c>
      <c r="G1415" t="inlineStr">
        <is>
          <t>VH</t>
        </is>
      </c>
      <c r="H1415" t="inlineStr">
        <is>
          <t>4</t>
        </is>
      </c>
      <c r="I1415" t="inlineStr">
        <is>
          <t>Public</t>
        </is>
      </c>
      <c r="J1415" t="inlineStr">
        <is>
          <t>126</t>
        </is>
      </c>
      <c r="K1415" t="inlineStr">
        <is>
          <t>138</t>
        </is>
      </c>
      <c r="L1415">
        <f>159</f>
        <v/>
      </c>
      <c r="M1415" t="inlineStr">
        <is>
          <t>129=</t>
        </is>
      </c>
      <c r="N1415" t="inlineStr">
        <is>
          <t>65.2</t>
        </is>
      </c>
      <c r="O1415" t="inlineStr">
        <is>
          <t>50.2</t>
        </is>
      </c>
      <c r="P1415" t="n">
        <v>76.2</v>
      </c>
      <c r="Q1415" t="inlineStr">
        <is>
          <t>106</t>
        </is>
      </c>
      <c r="R1415" t="n">
        <v>76.40000000000001</v>
      </c>
      <c r="S1415" t="inlineStr">
        <is>
          <t>119</t>
        </is>
      </c>
      <c r="T1415" t="n">
        <v>78.7</v>
      </c>
      <c r="U1415" t="inlineStr">
        <is>
          <t>174</t>
        </is>
      </c>
      <c r="V1415" t="n">
        <v>30.1</v>
      </c>
      <c r="W1415" t="inlineStr">
        <is>
          <t>587</t>
        </is>
      </c>
      <c r="X1415" t="n">
        <v>50.1</v>
      </c>
      <c r="Y1415" t="inlineStr">
        <is>
          <t>439</t>
        </is>
      </c>
      <c r="Z1415" t="n">
        <v>94.7</v>
      </c>
      <c r="AA1415" t="inlineStr">
        <is>
          <t>129</t>
        </is>
      </c>
      <c r="AB1415" t="n">
        <v>94</v>
      </c>
      <c r="AC1415" t="inlineStr">
        <is>
          <t>114</t>
        </is>
      </c>
      <c r="AD1415" t="n">
        <v>86.09999999999999</v>
      </c>
      <c r="AE1415" t="inlineStr">
        <is>
          <t>235</t>
        </is>
      </c>
      <c r="AF1415" t="n">
        <v>35.5</v>
      </c>
      <c r="AG1415" t="inlineStr">
        <is>
          <t>485</t>
        </is>
      </c>
      <c r="AH1415" t="n">
        <v>74.7</v>
      </c>
      <c r="AI1415" t="inlineStr">
        <is>
          <t>243=</t>
        </is>
      </c>
      <c r="AJ1415" t="inlineStr">
        <is>
          <t>59.7</t>
        </is>
      </c>
      <c r="AK1415" t="inlineStr">
        <is>
          <t>121</t>
        </is>
      </c>
      <c r="AL1415" t="inlineStr">
        <is>
          <t>70.1</t>
        </is>
      </c>
      <c r="AM1415" t="inlineStr">
        <is>
          <t>103</t>
        </is>
      </c>
      <c r="AN1415" t="inlineStr">
        <is>
          <t>87.5</t>
        </is>
      </c>
      <c r="AO1415" t="inlineStr">
        <is>
          <t>95</t>
        </is>
      </c>
      <c r="AP1415" t="inlineStr">
        <is>
          <t>11.7</t>
        </is>
      </c>
      <c r="AQ1415" t="inlineStr">
        <is>
          <t>701+</t>
        </is>
      </c>
      <c r="AR1415" t="inlineStr">
        <is>
          <t>52.7</t>
        </is>
      </c>
      <c r="AS1415" t="inlineStr">
        <is>
          <t>347</t>
        </is>
      </c>
      <c r="AT1415" t="inlineStr">
        <is>
          <t>61.1</t>
        </is>
      </c>
      <c r="AU1415" t="inlineStr">
        <is>
          <t>242</t>
        </is>
      </c>
      <c r="AV1415" t="inlineStr">
        <is>
          <t>56.7</t>
        </is>
      </c>
      <c r="AW1415" t="inlineStr">
        <is>
          <t>272</t>
        </is>
      </c>
      <c r="AX1415" t="inlineStr">
        <is>
          <t>11.2</t>
        </is>
      </c>
      <c r="AY1415" t="inlineStr">
        <is>
          <t>701+</t>
        </is>
      </c>
      <c r="AZ1415" t="inlineStr">
        <is>
          <t>24.4</t>
        </is>
      </c>
      <c r="BA1415" t="inlineStr">
        <is>
          <t>497=</t>
        </is>
      </c>
    </row>
    <row r="1416">
      <c r="A1416" t="inlineStr">
        <is>
          <t>Universiti Kuala Lumpur (UniKL)</t>
        </is>
      </c>
      <c r="B1416" t="inlineStr">
        <is>
          <t>Malaysia</t>
        </is>
      </c>
      <c r="C1416" t="inlineStr">
        <is>
          <t>MY</t>
        </is>
      </c>
      <c r="D1416" t="inlineStr">
        <is>
          <t>Asia</t>
        </is>
      </c>
      <c r="E1416" t="inlineStr">
        <is>
          <t>L</t>
        </is>
      </c>
      <c r="F1416" t="inlineStr">
        <is>
          <t>FC</t>
        </is>
      </c>
      <c r="G1416" t="inlineStr">
        <is>
          <t>HI</t>
        </is>
      </c>
      <c r="H1416" t="inlineStr">
        <is>
          <t>2</t>
        </is>
      </c>
      <c r="I1416" t="inlineStr">
        <is>
          <t>Private for Profit</t>
        </is>
      </c>
      <c r="J1416" t="inlineStr">
        <is>
          <t>1201-1400</t>
        </is>
      </c>
      <c r="K1416" t="inlineStr">
        <is>
          <t>1201-1400</t>
        </is>
      </c>
      <c r="L1416" t="inlineStr">
        <is>
          <t>1001-1200</t>
        </is>
      </c>
      <c r="M1416" t="inlineStr">
        <is>
          <t>1001-1200</t>
        </is>
      </c>
      <c r="N1416" t="inlineStr">
        <is>
          <t>-</t>
        </is>
      </c>
      <c r="O1416" t="inlineStr">
        <is>
          <t>-</t>
        </is>
      </c>
      <c r="P1416" t="n">
        <v>9.9</v>
      </c>
      <c r="Q1416" t="inlineStr">
        <is>
          <t>701+</t>
        </is>
      </c>
      <c r="R1416" t="n">
        <v>10.8</v>
      </c>
      <c r="S1416" t="inlineStr">
        <is>
          <t>701+</t>
        </is>
      </c>
      <c r="T1416" t="n">
        <v>33.8</v>
      </c>
      <c r="U1416" t="inlineStr">
        <is>
          <t>579</t>
        </is>
      </c>
      <c r="V1416" t="n">
        <v>4.1</v>
      </c>
      <c r="W1416" t="inlineStr">
        <is>
          <t>801+</t>
        </is>
      </c>
      <c r="X1416" t="n">
        <v>7.1</v>
      </c>
      <c r="Y1416" t="inlineStr">
        <is>
          <t>801+</t>
        </is>
      </c>
      <c r="Z1416" t="n">
        <v>5</v>
      </c>
      <c r="AA1416" t="inlineStr">
        <is>
          <t>801+</t>
        </is>
      </c>
      <c r="AB1416" t="n">
        <v>9.800000000000001</v>
      </c>
      <c r="AC1416" t="inlineStr">
        <is>
          <t>801+</t>
        </is>
      </c>
      <c r="AD1416" t="n">
        <v>18.1</v>
      </c>
      <c r="AE1416" t="inlineStr">
        <is>
          <t>801+</t>
        </is>
      </c>
      <c r="AF1416" t="n">
        <v>5.1</v>
      </c>
      <c r="AG1416" t="inlineStr">
        <is>
          <t>801+</t>
        </is>
      </c>
      <c r="AH1416" t="n">
        <v>23.2</v>
      </c>
      <c r="AI1416" t="inlineStr">
        <is>
          <t>801+</t>
        </is>
      </c>
      <c r="AJ1416" t="inlineStr">
        <is>
          <t>6.4</t>
        </is>
      </c>
      <c r="AK1416" t="inlineStr">
        <is>
          <t>601+</t>
        </is>
      </c>
      <c r="AL1416" t="inlineStr">
        <is>
          <t>9.9</t>
        </is>
      </c>
      <c r="AM1416" t="inlineStr">
        <is>
          <t>601+</t>
        </is>
      </c>
      <c r="AN1416" t="inlineStr">
        <is>
          <t>33.6</t>
        </is>
      </c>
      <c r="AO1416" t="inlineStr">
        <is>
          <t>475</t>
        </is>
      </c>
      <c r="AP1416" t="inlineStr">
        <is>
          <t>2.1</t>
        </is>
      </c>
      <c r="AQ1416" t="inlineStr">
        <is>
          <t>701+</t>
        </is>
      </c>
      <c r="AR1416" t="inlineStr">
        <is>
          <t>8.0</t>
        </is>
      </c>
      <c r="AS1416" t="inlineStr">
        <is>
          <t>701+</t>
        </is>
      </c>
      <c r="AT1416" t="inlineStr">
        <is>
          <t>3.8</t>
        </is>
      </c>
      <c r="AU1416" t="inlineStr">
        <is>
          <t>701+</t>
        </is>
      </c>
      <c r="AV1416" t="inlineStr">
        <is>
          <t>1.1</t>
        </is>
      </c>
      <c r="AW1416" t="inlineStr">
        <is>
          <t>701+</t>
        </is>
      </c>
      <c r="AX1416" t="inlineStr">
        <is>
          <t>9.8</t>
        </is>
      </c>
      <c r="AY1416" t="inlineStr">
        <is>
          <t>701+</t>
        </is>
      </c>
      <c r="AZ1416" t="inlineStr">
        <is>
          <t>1.1</t>
        </is>
      </c>
      <c r="BA1416" t="inlineStr">
        <is>
          <t>701+</t>
        </is>
      </c>
    </row>
    <row r="1417">
      <c r="A1417" t="inlineStr">
        <is>
          <t>Universiti Malaya (UM)</t>
        </is>
      </c>
      <c r="B1417" t="inlineStr">
        <is>
          <t>Malaysia</t>
        </is>
      </c>
      <c r="C1417" t="inlineStr">
        <is>
          <t>MY</t>
        </is>
      </c>
      <c r="D1417" t="inlineStr">
        <is>
          <t>Asia</t>
        </is>
      </c>
      <c r="E1417" t="inlineStr">
        <is>
          <t>L</t>
        </is>
      </c>
      <c r="F1417" t="inlineStr">
        <is>
          <t>FC</t>
        </is>
      </c>
      <c r="G1417" t="inlineStr">
        <is>
          <t>VH</t>
        </is>
      </c>
      <c r="H1417" t="inlineStr">
        <is>
          <t>4</t>
        </is>
      </c>
      <c r="I1417" t="inlineStr">
        <is>
          <t>Public</t>
        </is>
      </c>
      <c r="J1417" t="inlineStr">
        <is>
          <t>58</t>
        </is>
      </c>
      <c r="K1417" t="inlineStr">
        <is>
          <t>60</t>
        </is>
      </c>
      <c r="L1417">
        <f>65</f>
        <v/>
      </c>
      <c r="M1417" t="inlineStr">
        <is>
          <t>70</t>
        </is>
      </c>
      <c r="N1417" t="inlineStr">
        <is>
          <t>80.1</t>
        </is>
      </c>
      <c r="O1417" t="inlineStr">
        <is>
          <t>68.7</t>
        </is>
      </c>
      <c r="P1417" t="n">
        <v>92.3</v>
      </c>
      <c r="Q1417" t="inlineStr">
        <is>
          <t>58</t>
        </is>
      </c>
      <c r="R1417" t="n">
        <v>96.7</v>
      </c>
      <c r="S1417" t="inlineStr">
        <is>
          <t>40</t>
        </is>
      </c>
      <c r="T1417" t="n">
        <v>74.2</v>
      </c>
      <c r="U1417" t="inlineStr">
        <is>
          <t>205</t>
        </is>
      </c>
      <c r="V1417" t="n">
        <v>47.4</v>
      </c>
      <c r="W1417" t="inlineStr">
        <is>
          <t>398</t>
        </is>
      </c>
      <c r="X1417" t="n">
        <v>69.2</v>
      </c>
      <c r="Y1417" t="inlineStr">
        <is>
          <t>338</t>
        </is>
      </c>
      <c r="Z1417" t="n">
        <v>86.8</v>
      </c>
      <c r="AA1417" t="inlineStr">
        <is>
          <t>188</t>
        </is>
      </c>
      <c r="AB1417" t="n">
        <v>87.3</v>
      </c>
      <c r="AC1417" t="inlineStr">
        <is>
          <t>159</t>
        </is>
      </c>
      <c r="AD1417" t="n">
        <v>92.90000000000001</v>
      </c>
      <c r="AE1417" t="inlineStr">
        <is>
          <t>127</t>
        </is>
      </c>
      <c r="AF1417" t="n">
        <v>77.7</v>
      </c>
      <c r="AG1417" t="inlineStr">
        <is>
          <t>167</t>
        </is>
      </c>
      <c r="AH1417" t="n">
        <v>84.7</v>
      </c>
      <c r="AI1417" t="inlineStr">
        <is>
          <t>115=</t>
        </is>
      </c>
      <c r="AJ1417" t="inlineStr">
        <is>
          <t>81.2</t>
        </is>
      </c>
      <c r="AK1417" t="inlineStr">
        <is>
          <t>68</t>
        </is>
      </c>
      <c r="AL1417" t="inlineStr">
        <is>
          <t>96.0</t>
        </is>
      </c>
      <c r="AM1417" t="inlineStr">
        <is>
          <t>34</t>
        </is>
      </c>
      <c r="AN1417" t="inlineStr">
        <is>
          <t>71.6</t>
        </is>
      </c>
      <c r="AO1417" t="inlineStr">
        <is>
          <t>178</t>
        </is>
      </c>
      <c r="AP1417" t="inlineStr">
        <is>
          <t>32.7</t>
        </is>
      </c>
      <c r="AQ1417" t="inlineStr">
        <is>
          <t>416</t>
        </is>
      </c>
      <c r="AR1417" t="inlineStr">
        <is>
          <t>52.8</t>
        </is>
      </c>
      <c r="AS1417" t="inlineStr">
        <is>
          <t>346</t>
        </is>
      </c>
      <c r="AT1417" t="inlineStr">
        <is>
          <t>58.9</t>
        </is>
      </c>
      <c r="AU1417" t="inlineStr">
        <is>
          <t>254</t>
        </is>
      </c>
      <c r="AV1417" t="inlineStr">
        <is>
          <t>79.3</t>
        </is>
      </c>
      <c r="AW1417" t="inlineStr">
        <is>
          <t>148</t>
        </is>
      </c>
      <c r="AX1417" t="inlineStr">
        <is>
          <t>28.1</t>
        </is>
      </c>
      <c r="AY1417" t="inlineStr">
        <is>
          <t>286</t>
        </is>
      </c>
      <c r="AZ1417" t="inlineStr">
        <is>
          <t>93.4</t>
        </is>
      </c>
      <c r="BA1417" t="inlineStr">
        <is>
          <t>68</t>
        </is>
      </c>
    </row>
    <row r="1418">
      <c r="A1418" t="inlineStr">
        <is>
          <t>Universiti Malaysia Kelantan</t>
        </is>
      </c>
      <c r="B1418" t="inlineStr">
        <is>
          <t>Malaysia</t>
        </is>
      </c>
      <c r="C1418" t="inlineStr"/>
      <c r="D1418" t="inlineStr">
        <is>
          <t>Asia</t>
        </is>
      </c>
      <c r="E1418" t="inlineStr">
        <is>
          <t>M</t>
        </is>
      </c>
      <c r="F1418" t="inlineStr">
        <is>
          <t>CO</t>
        </is>
      </c>
      <c r="G1418" t="inlineStr">
        <is>
          <t>VH</t>
        </is>
      </c>
      <c r="H1418" t="inlineStr"/>
      <c r="I1418" t="inlineStr">
        <is>
          <t>Public</t>
        </is>
      </c>
      <c r="J1418" t="inlineStr">
        <is>
          <t>1201-1400</t>
        </is>
      </c>
      <c r="K1418" t="inlineStr"/>
      <c r="L1418" t="inlineStr"/>
      <c r="M1418" t="inlineStr"/>
      <c r="N1418" t="inlineStr">
        <is>
          <t>-</t>
        </is>
      </c>
      <c r="O1418" t="inlineStr"/>
      <c r="P1418" t="n">
        <v>9.5</v>
      </c>
      <c r="Q1418" t="inlineStr">
        <is>
          <t>701+</t>
        </is>
      </c>
      <c r="R1418" t="n">
        <v>3.6</v>
      </c>
      <c r="S1418" t="inlineStr">
        <is>
          <t>701+</t>
        </is>
      </c>
      <c r="T1418" t="n">
        <v>7.1</v>
      </c>
      <c r="U1418" t="inlineStr">
        <is>
          <t>801+</t>
        </is>
      </c>
      <c r="V1418" t="n">
        <v>10.6</v>
      </c>
      <c r="W1418" t="inlineStr">
        <is>
          <t>801+</t>
        </is>
      </c>
      <c r="X1418" t="n">
        <v>17</v>
      </c>
      <c r="Y1418" t="inlineStr">
        <is>
          <t>768</t>
        </is>
      </c>
      <c r="Z1418" t="n">
        <v>14.2</v>
      </c>
      <c r="AA1418" t="inlineStr">
        <is>
          <t>801+</t>
        </is>
      </c>
      <c r="AB1418" t="n">
        <v>16.4</v>
      </c>
      <c r="AC1418" t="inlineStr">
        <is>
          <t>801+</t>
        </is>
      </c>
      <c r="AD1418" t="n">
        <v>25.5</v>
      </c>
      <c r="AE1418" t="inlineStr">
        <is>
          <t>801+</t>
        </is>
      </c>
      <c r="AF1418" t="n">
        <v>5.1</v>
      </c>
      <c r="AG1418" t="inlineStr">
        <is>
          <t>801+</t>
        </is>
      </c>
      <c r="AH1418" t="n">
        <v>47.9</v>
      </c>
      <c r="AI1418" t="inlineStr">
        <is>
          <t>763=</t>
        </is>
      </c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</row>
    <row r="1419">
      <c r="A1419" t="inlineStr">
        <is>
          <t>Universiti Malaysia Pahang</t>
        </is>
      </c>
      <c r="B1419" t="inlineStr">
        <is>
          <t>Malaysia</t>
        </is>
      </c>
      <c r="C1419" t="inlineStr">
        <is>
          <t>MY</t>
        </is>
      </c>
      <c r="D1419" t="inlineStr"/>
      <c r="E1419" t="inlineStr">
        <is>
          <t>M</t>
        </is>
      </c>
      <c r="F1419" t="inlineStr">
        <is>
          <t>SP</t>
        </is>
      </c>
      <c r="G1419" t="inlineStr"/>
      <c r="H1419" t="inlineStr">
        <is>
          <t>2</t>
        </is>
      </c>
      <c r="I1419" t="inlineStr">
        <is>
          <t>A</t>
        </is>
      </c>
      <c r="J1419" t="inlineStr"/>
      <c r="K1419" t="inlineStr"/>
      <c r="L1419" t="inlineStr">
        <is>
          <t>781-790</t>
        </is>
      </c>
      <c r="M1419" t="inlineStr">
        <is>
          <t>801-1000</t>
        </is>
      </c>
      <c r="N1419" t="inlineStr"/>
      <c r="O1419" t="inlineStr">
        <is>
          <t>-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>
        <is>
          <t>10.1</t>
        </is>
      </c>
      <c r="AK1419" t="inlineStr">
        <is>
          <t>601+</t>
        </is>
      </c>
      <c r="AL1419" t="inlineStr">
        <is>
          <t>7.1</t>
        </is>
      </c>
      <c r="AM1419" t="inlineStr">
        <is>
          <t>601+</t>
        </is>
      </c>
      <c r="AN1419" t="inlineStr">
        <is>
          <t>15.2</t>
        </is>
      </c>
      <c r="AO1419" t="inlineStr">
        <is>
          <t>701+</t>
        </is>
      </c>
      <c r="AP1419" t="inlineStr">
        <is>
          <t>28.3</t>
        </is>
      </c>
      <c r="AQ1419" t="inlineStr">
        <is>
          <t>450</t>
        </is>
      </c>
      <c r="AR1419" t="inlineStr">
        <is>
          <t>23.6</t>
        </is>
      </c>
      <c r="AS1419" t="inlineStr">
        <is>
          <t>558</t>
        </is>
      </c>
      <c r="AT1419" t="inlineStr">
        <is>
          <t>9.7</t>
        </is>
      </c>
      <c r="AU1419" t="inlineStr">
        <is>
          <t>701+</t>
        </is>
      </c>
      <c r="AV1419" t="inlineStr">
        <is>
          <t>5.9</t>
        </is>
      </c>
      <c r="AW1419" t="inlineStr">
        <is>
          <t>701+</t>
        </is>
      </c>
      <c r="AX1419" t="inlineStr">
        <is>
          <t>9.9</t>
        </is>
      </c>
      <c r="AY1419" t="inlineStr">
        <is>
          <t>701+</t>
        </is>
      </c>
      <c r="AZ1419" t="inlineStr">
        <is>
          <t>28.4</t>
        </is>
      </c>
      <c r="BA1419" t="inlineStr">
        <is>
          <t>463=</t>
        </is>
      </c>
    </row>
    <row r="1420">
      <c r="A1420" t="inlineStr">
        <is>
          <t>Universiti Malaysia Pahang Al-Sultan Abdullah (UMPSA)</t>
        </is>
      </c>
      <c r="B1420" t="inlineStr">
        <is>
          <t>Malaysia</t>
        </is>
      </c>
      <c r="C1420" t="inlineStr"/>
      <c r="D1420" t="inlineStr">
        <is>
          <t>Asia</t>
        </is>
      </c>
      <c r="E1420" t="inlineStr">
        <is>
          <t>M</t>
        </is>
      </c>
      <c r="F1420" t="inlineStr">
        <is>
          <t>FO</t>
        </is>
      </c>
      <c r="G1420" t="inlineStr">
        <is>
          <t>VH</t>
        </is>
      </c>
      <c r="H1420" t="inlineStr"/>
      <c r="I1420" t="inlineStr">
        <is>
          <t>Public</t>
        </is>
      </c>
      <c r="J1420" t="inlineStr">
        <is>
          <t>609</t>
        </is>
      </c>
      <c r="K1420" t="inlineStr">
        <is>
          <t>741-750</t>
        </is>
      </c>
      <c r="L1420" t="inlineStr"/>
      <c r="M1420" t="inlineStr"/>
      <c r="N1420" t="inlineStr">
        <is>
          <t>27.9</t>
        </is>
      </c>
      <c r="O1420" t="inlineStr"/>
      <c r="P1420" t="n">
        <v>17.2</v>
      </c>
      <c r="Q1420" t="inlineStr">
        <is>
          <t>701+</t>
        </is>
      </c>
      <c r="R1420" t="n">
        <v>9.9</v>
      </c>
      <c r="S1420" t="inlineStr">
        <is>
          <t>701+</t>
        </is>
      </c>
      <c r="T1420" t="n">
        <v>23.6</v>
      </c>
      <c r="U1420" t="inlineStr">
        <is>
          <t>760</t>
        </is>
      </c>
      <c r="V1420" t="n">
        <v>57.9</v>
      </c>
      <c r="W1420" t="inlineStr">
        <is>
          <t>300</t>
        </is>
      </c>
      <c r="X1420" t="n">
        <v>32.1</v>
      </c>
      <c r="Y1420" t="inlineStr">
        <is>
          <t>561</t>
        </is>
      </c>
      <c r="Z1420" t="n">
        <v>19</v>
      </c>
      <c r="AA1420" t="inlineStr">
        <is>
          <t>746</t>
        </is>
      </c>
      <c r="AB1420" t="n">
        <v>21.1</v>
      </c>
      <c r="AC1420" t="inlineStr">
        <is>
          <t>747</t>
        </is>
      </c>
      <c r="AD1420" t="n">
        <v>61.6</v>
      </c>
      <c r="AE1420" t="inlineStr">
        <is>
          <t>668</t>
        </is>
      </c>
      <c r="AF1420" t="n">
        <v>5.2</v>
      </c>
      <c r="AG1420" t="inlineStr">
        <is>
          <t>801+</t>
        </is>
      </c>
      <c r="AH1420" t="n">
        <v>51.4</v>
      </c>
      <c r="AI1420" t="inlineStr">
        <is>
          <t>675=</t>
        </is>
      </c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</row>
    <row r="1421">
      <c r="A1421" t="inlineStr">
        <is>
          <t>Universiti Malaysia Perlis</t>
        </is>
      </c>
      <c r="B1421" t="inlineStr">
        <is>
          <t>Malaysia</t>
        </is>
      </c>
      <c r="C1421" t="inlineStr">
        <is>
          <t>MY</t>
        </is>
      </c>
      <c r="D1421" t="inlineStr"/>
      <c r="E1421" t="inlineStr">
        <is>
          <t>M</t>
        </is>
      </c>
      <c r="F1421" t="inlineStr">
        <is>
          <t>FO</t>
        </is>
      </c>
      <c r="G1421" t="inlineStr">
        <is>
          <t>VH</t>
        </is>
      </c>
      <c r="H1421" t="inlineStr">
        <is>
          <t>2</t>
        </is>
      </c>
      <c r="I1421" t="inlineStr">
        <is>
          <t>A</t>
        </is>
      </c>
      <c r="J1421" t="inlineStr"/>
      <c r="K1421" t="inlineStr"/>
      <c r="L1421" t="inlineStr">
        <is>
          <t>1001-1200</t>
        </is>
      </c>
      <c r="M1421" t="inlineStr">
        <is>
          <t>801-1000</t>
        </is>
      </c>
      <c r="N1421" t="inlineStr"/>
      <c r="O1421" t="inlineStr">
        <is>
          <t>-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>
        <is>
          <t>7.3</t>
        </is>
      </c>
      <c r="AK1421" t="inlineStr">
        <is>
          <t>601+</t>
        </is>
      </c>
      <c r="AL1421" t="inlineStr">
        <is>
          <t>5.5</t>
        </is>
      </c>
      <c r="AM1421" t="inlineStr">
        <is>
          <t>601+</t>
        </is>
      </c>
      <c r="AN1421" t="inlineStr">
        <is>
          <t>24.1</t>
        </is>
      </c>
      <c r="AO1421" t="inlineStr">
        <is>
          <t>590</t>
        </is>
      </c>
      <c r="AP1421" t="inlineStr">
        <is>
          <t>7.5</t>
        </is>
      </c>
      <c r="AQ1421" t="inlineStr">
        <is>
          <t>701+</t>
        </is>
      </c>
      <c r="AR1421" t="inlineStr">
        <is>
          <t>2.0</t>
        </is>
      </c>
      <c r="AS1421" t="inlineStr">
        <is>
          <t>701+</t>
        </is>
      </c>
      <c r="AT1421" t="inlineStr">
        <is>
          <t>4.0</t>
        </is>
      </c>
      <c r="AU1421" t="inlineStr">
        <is>
          <t>701+</t>
        </is>
      </c>
      <c r="AV1421" t="inlineStr">
        <is>
          <t>1.6</t>
        </is>
      </c>
      <c r="AW1421" t="inlineStr">
        <is>
          <t>701+</t>
        </is>
      </c>
      <c r="AX1421" t="inlineStr">
        <is>
          <t>9</t>
        </is>
      </c>
      <c r="AY1421" t="inlineStr">
        <is>
          <t>701+</t>
        </is>
      </c>
      <c r="AZ1421" t="inlineStr">
        <is>
          <t>15.6</t>
        </is>
      </c>
      <c r="BA1421" t="inlineStr">
        <is>
          <t>601=</t>
        </is>
      </c>
    </row>
    <row r="1422">
      <c r="A1422" t="inlineStr">
        <is>
          <t>Universiti Malaysia Perlis (UniMAP)</t>
        </is>
      </c>
      <c r="B1422" t="inlineStr">
        <is>
          <t>Malaysia</t>
        </is>
      </c>
      <c r="C1422" t="inlineStr"/>
      <c r="D1422" t="inlineStr">
        <is>
          <t>Asia</t>
        </is>
      </c>
      <c r="E1422" t="inlineStr">
        <is>
          <t>M</t>
        </is>
      </c>
      <c r="F1422" t="inlineStr">
        <is>
          <t>FO</t>
        </is>
      </c>
      <c r="G1422" t="inlineStr">
        <is>
          <t>VH</t>
        </is>
      </c>
      <c r="H1422" t="inlineStr"/>
      <c r="I1422" t="inlineStr">
        <is>
          <t>Public</t>
        </is>
      </c>
      <c r="J1422" t="inlineStr">
        <is>
          <t>1001-1200</t>
        </is>
      </c>
      <c r="K1422" t="inlineStr">
        <is>
          <t>1201-1400</t>
        </is>
      </c>
      <c r="L1422" t="inlineStr"/>
      <c r="M1422" t="inlineStr"/>
      <c r="N1422" t="inlineStr">
        <is>
          <t>-</t>
        </is>
      </c>
      <c r="O1422" t="inlineStr"/>
      <c r="P1422" t="n">
        <v>10.7</v>
      </c>
      <c r="Q1422" t="inlineStr">
        <is>
          <t>701+</t>
        </is>
      </c>
      <c r="R1422" t="n">
        <v>9.1</v>
      </c>
      <c r="S1422" t="inlineStr">
        <is>
          <t>701+</t>
        </is>
      </c>
      <c r="T1422" t="n">
        <v>29.8</v>
      </c>
      <c r="U1422" t="inlineStr">
        <is>
          <t>636</t>
        </is>
      </c>
      <c r="V1422" t="n">
        <v>13.7</v>
      </c>
      <c r="W1422" t="inlineStr">
        <is>
          <t>801+</t>
        </is>
      </c>
      <c r="X1422" t="n">
        <v>1.8</v>
      </c>
      <c r="Y1422" t="inlineStr">
        <is>
          <t>801+</t>
        </is>
      </c>
      <c r="Z1422" t="n">
        <v>4.9</v>
      </c>
      <c r="AA1422" t="inlineStr">
        <is>
          <t>801+</t>
        </is>
      </c>
      <c r="AB1422" t="n">
        <v>9.1</v>
      </c>
      <c r="AC1422" t="inlineStr">
        <is>
          <t>801+</t>
        </is>
      </c>
      <c r="AD1422" t="n">
        <v>47.9</v>
      </c>
      <c r="AE1422" t="inlineStr">
        <is>
          <t>801+</t>
        </is>
      </c>
      <c r="AF1422" t="n">
        <v>5.2</v>
      </c>
      <c r="AG1422" t="inlineStr">
        <is>
          <t>801+</t>
        </is>
      </c>
      <c r="AH1422" t="n">
        <v>43.1</v>
      </c>
      <c r="AI1422" t="inlineStr">
        <is>
          <t>801+</t>
        </is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</row>
    <row r="1423">
      <c r="A1423" t="inlineStr">
        <is>
          <t>Universiti Malaysia Sabah (UMS)</t>
        </is>
      </c>
      <c r="B1423" t="inlineStr">
        <is>
          <t>Malaysia</t>
        </is>
      </c>
      <c r="C1423" t="inlineStr">
        <is>
          <t>MY</t>
        </is>
      </c>
      <c r="D1423" t="inlineStr"/>
      <c r="E1423" t="inlineStr">
        <is>
          <t>L</t>
        </is>
      </c>
      <c r="F1423" t="inlineStr">
        <is>
          <t>FC</t>
        </is>
      </c>
      <c r="G1423" t="inlineStr">
        <is>
          <t>HI</t>
        </is>
      </c>
      <c r="H1423" t="inlineStr">
        <is>
          <t>3</t>
        </is>
      </c>
      <c r="I1423" t="inlineStr">
        <is>
          <t>A</t>
        </is>
      </c>
      <c r="J1423" t="inlineStr"/>
      <c r="K1423" t="inlineStr"/>
      <c r="L1423" t="inlineStr">
        <is>
          <t>1001-1200</t>
        </is>
      </c>
      <c r="M1423" t="inlineStr">
        <is>
          <t>1001-1200</t>
        </is>
      </c>
      <c r="N1423" t="inlineStr"/>
      <c r="O1423" t="inlineStr">
        <is>
          <t>-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>
        <is>
          <t>13.6</t>
        </is>
      </c>
      <c r="AK1423" t="inlineStr">
        <is>
          <t>601+</t>
        </is>
      </c>
      <c r="AL1423" t="inlineStr">
        <is>
          <t>10.0</t>
        </is>
      </c>
      <c r="AM1423" t="inlineStr">
        <is>
          <t>601+</t>
        </is>
      </c>
      <c r="AN1423" t="inlineStr">
        <is>
          <t>7.8</t>
        </is>
      </c>
      <c r="AO1423" t="inlineStr">
        <is>
          <t>701+</t>
        </is>
      </c>
      <c r="AP1423" t="inlineStr">
        <is>
          <t>3.3</t>
        </is>
      </c>
      <c r="AQ1423" t="inlineStr">
        <is>
          <t>701+</t>
        </is>
      </c>
      <c r="AR1423" t="inlineStr">
        <is>
          <t>9.8</t>
        </is>
      </c>
      <c r="AS1423" t="inlineStr">
        <is>
          <t>701+</t>
        </is>
      </c>
      <c r="AT1423" t="inlineStr">
        <is>
          <t>4.0</t>
        </is>
      </c>
      <c r="AU1423" t="inlineStr">
        <is>
          <t>701+</t>
        </is>
      </c>
      <c r="AV1423" t="inlineStr">
        <is>
          <t>1.7</t>
        </is>
      </c>
      <c r="AW1423" t="inlineStr">
        <is>
          <t>701+</t>
        </is>
      </c>
      <c r="AX1423" t="inlineStr">
        <is>
          <t>9.6</t>
        </is>
      </c>
      <c r="AY1423" t="inlineStr">
        <is>
          <t>701+</t>
        </is>
      </c>
      <c r="AZ1423" t="inlineStr">
        <is>
          <t>2</t>
        </is>
      </c>
      <c r="BA1423" t="inlineStr">
        <is>
          <t>701+</t>
        </is>
      </c>
    </row>
    <row r="1424">
      <c r="A1424" t="inlineStr">
        <is>
          <t>Universiti Malaysia Sarawak (UNIMAS)</t>
        </is>
      </c>
      <c r="B1424" t="inlineStr">
        <is>
          <t>Malaysia</t>
        </is>
      </c>
      <c r="C1424" t="inlineStr">
        <is>
          <t>MY</t>
        </is>
      </c>
      <c r="D1424" t="inlineStr">
        <is>
          <t>Asia</t>
        </is>
      </c>
      <c r="E1424" t="inlineStr">
        <is>
          <t>M</t>
        </is>
      </c>
      <c r="F1424" t="inlineStr">
        <is>
          <t>FC</t>
        </is>
      </c>
      <c r="G1424" t="inlineStr">
        <is>
          <t>HI</t>
        </is>
      </c>
      <c r="H1424" t="inlineStr">
        <is>
          <t>3</t>
        </is>
      </c>
      <c r="I1424" t="inlineStr">
        <is>
          <t>Public</t>
        </is>
      </c>
      <c r="J1424" t="inlineStr">
        <is>
          <t>1001-1200</t>
        </is>
      </c>
      <c r="K1424" t="inlineStr">
        <is>
          <t>1001-1200</t>
        </is>
      </c>
      <c r="L1424" t="inlineStr">
        <is>
          <t>1001-1200</t>
        </is>
      </c>
      <c r="M1424" t="inlineStr">
        <is>
          <t>1001-1200</t>
        </is>
      </c>
      <c r="N1424" t="inlineStr">
        <is>
          <t>-</t>
        </is>
      </c>
      <c r="O1424" t="inlineStr">
        <is>
          <t>-</t>
        </is>
      </c>
      <c r="P1424" t="n">
        <v>20.1</v>
      </c>
      <c r="Q1424" t="inlineStr">
        <is>
          <t>612</t>
        </is>
      </c>
      <c r="R1424" t="n">
        <v>14.4</v>
      </c>
      <c r="S1424" t="inlineStr">
        <is>
          <t>701+</t>
        </is>
      </c>
      <c r="T1424" t="n">
        <v>17.3</v>
      </c>
      <c r="U1424" t="inlineStr">
        <is>
          <t>801+</t>
        </is>
      </c>
      <c r="V1424" t="n">
        <v>6.8</v>
      </c>
      <c r="W1424" t="inlineStr">
        <is>
          <t>801+</t>
        </is>
      </c>
      <c r="X1424" t="n">
        <v>43.9</v>
      </c>
      <c r="Y1424" t="inlineStr">
        <is>
          <t>472</t>
        </is>
      </c>
      <c r="Z1424" t="n">
        <v>19.7</v>
      </c>
      <c r="AA1424" t="inlineStr">
        <is>
          <t>732</t>
        </is>
      </c>
      <c r="AB1424" t="n">
        <v>23</v>
      </c>
      <c r="AC1424" t="inlineStr">
        <is>
          <t>719</t>
        </is>
      </c>
      <c r="AD1424" t="n">
        <v>35.9</v>
      </c>
      <c r="AE1424" t="inlineStr">
        <is>
          <t>801+</t>
        </is>
      </c>
      <c r="AF1424" t="n">
        <v>5</v>
      </c>
      <c r="AG1424" t="inlineStr">
        <is>
          <t>801+</t>
        </is>
      </c>
      <c r="AH1424" t="n">
        <v>42.6</v>
      </c>
      <c r="AI1424" t="inlineStr">
        <is>
          <t>801+</t>
        </is>
      </c>
      <c r="AJ1424" t="inlineStr">
        <is>
          <t>12.6</t>
        </is>
      </c>
      <c r="AK1424" t="inlineStr">
        <is>
          <t>601+</t>
        </is>
      </c>
      <c r="AL1424" t="inlineStr">
        <is>
          <t>8.7</t>
        </is>
      </c>
      <c r="AM1424" t="inlineStr">
        <is>
          <t>601+</t>
        </is>
      </c>
      <c r="AN1424" t="inlineStr">
        <is>
          <t>11.9</t>
        </is>
      </c>
      <c r="AO1424" t="inlineStr">
        <is>
          <t>701+</t>
        </is>
      </c>
      <c r="AP1424" t="inlineStr">
        <is>
          <t>3.0</t>
        </is>
      </c>
      <c r="AQ1424" t="inlineStr">
        <is>
          <t>701+</t>
        </is>
      </c>
      <c r="AR1424" t="inlineStr">
        <is>
          <t>37.3</t>
        </is>
      </c>
      <c r="AS1424" t="inlineStr">
        <is>
          <t>433</t>
        </is>
      </c>
      <c r="AT1424" t="inlineStr">
        <is>
          <t>8.7</t>
        </is>
      </c>
      <c r="AU1424" t="inlineStr">
        <is>
          <t>701+</t>
        </is>
      </c>
      <c r="AV1424" t="inlineStr">
        <is>
          <t>1.3</t>
        </is>
      </c>
      <c r="AW1424" t="inlineStr">
        <is>
          <t>701+</t>
        </is>
      </c>
      <c r="AX1424" t="inlineStr">
        <is>
          <t>8.9</t>
        </is>
      </c>
      <c r="AY1424" t="inlineStr">
        <is>
          <t>701+</t>
        </is>
      </c>
      <c r="AZ1424" t="inlineStr">
        <is>
          <t>1.2</t>
        </is>
      </c>
      <c r="BA1424" t="inlineStr">
        <is>
          <t>701+</t>
        </is>
      </c>
    </row>
    <row r="1425">
      <c r="A1425" t="inlineStr">
        <is>
          <t>Universiti Malaysia Terengganu (UMT)</t>
        </is>
      </c>
      <c r="B1425" t="inlineStr">
        <is>
          <t>Malaysia</t>
        </is>
      </c>
      <c r="C1425" t="inlineStr">
        <is>
          <t>MY</t>
        </is>
      </c>
      <c r="D1425" t="inlineStr">
        <is>
          <t>Asia</t>
        </is>
      </c>
      <c r="E1425" t="inlineStr">
        <is>
          <t>M</t>
        </is>
      </c>
      <c r="F1425" t="inlineStr">
        <is>
          <t>CO</t>
        </is>
      </c>
      <c r="G1425" t="inlineStr">
        <is>
          <t>VH</t>
        </is>
      </c>
      <c r="H1425" t="inlineStr">
        <is>
          <t>2</t>
        </is>
      </c>
      <c r="I1425" t="inlineStr">
        <is>
          <t>Public</t>
        </is>
      </c>
      <c r="J1425" t="inlineStr">
        <is>
          <t>801-850</t>
        </is>
      </c>
      <c r="K1425" t="inlineStr">
        <is>
          <t>1001-1200</t>
        </is>
      </c>
      <c r="L1425" t="inlineStr">
        <is>
          <t>1001-1200</t>
        </is>
      </c>
      <c r="M1425" t="inlineStr">
        <is>
          <t>1001-1200</t>
        </is>
      </c>
      <c r="N1425" t="inlineStr">
        <is>
          <t>-</t>
        </is>
      </c>
      <c r="O1425" t="inlineStr">
        <is>
          <t>-</t>
        </is>
      </c>
      <c r="P1425" t="n">
        <v>16.7</v>
      </c>
      <c r="Q1425" t="inlineStr">
        <is>
          <t>701+</t>
        </is>
      </c>
      <c r="R1425" t="n">
        <v>8.199999999999999</v>
      </c>
      <c r="S1425" t="inlineStr">
        <is>
          <t>701+</t>
        </is>
      </c>
      <c r="T1425" t="n">
        <v>18.6</v>
      </c>
      <c r="U1425" t="inlineStr">
        <is>
          <t>801+</t>
        </is>
      </c>
      <c r="V1425" t="n">
        <v>28.9</v>
      </c>
      <c r="W1425" t="inlineStr">
        <is>
          <t>596</t>
        </is>
      </c>
      <c r="X1425" t="n">
        <v>23.6</v>
      </c>
      <c r="Y1425" t="inlineStr">
        <is>
          <t>668</t>
        </is>
      </c>
      <c r="Z1425" t="n">
        <v>30.3</v>
      </c>
      <c r="AA1425" t="inlineStr">
        <is>
          <t>588</t>
        </is>
      </c>
      <c r="AB1425" t="n">
        <v>31.7</v>
      </c>
      <c r="AC1425" t="inlineStr">
        <is>
          <t>592</t>
        </is>
      </c>
      <c r="AD1425" t="n">
        <v>58.9</v>
      </c>
      <c r="AE1425" t="inlineStr">
        <is>
          <t>709</t>
        </is>
      </c>
      <c r="AF1425" t="n">
        <v>5</v>
      </c>
      <c r="AG1425" t="inlineStr">
        <is>
          <t>801+</t>
        </is>
      </c>
      <c r="AH1425" t="n">
        <v>58.2</v>
      </c>
      <c r="AI1425" t="inlineStr">
        <is>
          <t>543=</t>
        </is>
      </c>
      <c r="AJ1425" t="inlineStr">
        <is>
          <t>10.0</t>
        </is>
      </c>
      <c r="AK1425" t="inlineStr">
        <is>
          <t>601+</t>
        </is>
      </c>
      <c r="AL1425" t="inlineStr">
        <is>
          <t>4.6</t>
        </is>
      </c>
      <c r="AM1425" t="inlineStr">
        <is>
          <t>601+</t>
        </is>
      </c>
      <c r="AN1425" t="inlineStr">
        <is>
          <t>10.8</t>
        </is>
      </c>
      <c r="AO1425" t="inlineStr">
        <is>
          <t>701+</t>
        </is>
      </c>
      <c r="AP1425" t="inlineStr">
        <is>
          <t>9.3</t>
        </is>
      </c>
      <c r="AQ1425" t="inlineStr">
        <is>
          <t>701+</t>
        </is>
      </c>
      <c r="AR1425" t="inlineStr">
        <is>
          <t>12.9</t>
        </is>
      </c>
      <c r="AS1425" t="inlineStr">
        <is>
          <t>701+</t>
        </is>
      </c>
      <c r="AT1425" t="inlineStr">
        <is>
          <t>6.7</t>
        </is>
      </c>
      <c r="AU1425" t="inlineStr">
        <is>
          <t>701+</t>
        </is>
      </c>
      <c r="AV1425" t="inlineStr">
        <is>
          <t>7.4</t>
        </is>
      </c>
      <c r="AW1425" t="inlineStr">
        <is>
          <t>701+</t>
        </is>
      </c>
      <c r="AX1425" t="inlineStr">
        <is>
          <t>8.6</t>
        </is>
      </c>
      <c r="AY1425" t="inlineStr">
        <is>
          <t>701+</t>
        </is>
      </c>
      <c r="AZ1425" t="inlineStr">
        <is>
          <t>23.7</t>
        </is>
      </c>
      <c r="BA1425" t="inlineStr">
        <is>
          <t>506=</t>
        </is>
      </c>
    </row>
    <row r="1426">
      <c r="A1426" t="inlineStr">
        <is>
          <t>Universiti Pendidikan Sultan Idris (UPSI)</t>
        </is>
      </c>
      <c r="B1426" t="inlineStr">
        <is>
          <t>Malaysia</t>
        </is>
      </c>
      <c r="C1426" t="inlineStr">
        <is>
          <t>MY</t>
        </is>
      </c>
      <c r="D1426" t="inlineStr">
        <is>
          <t>Asia</t>
        </is>
      </c>
      <c r="E1426" t="inlineStr">
        <is>
          <t>M</t>
        </is>
      </c>
      <c r="F1426" t="inlineStr">
        <is>
          <t>FO</t>
        </is>
      </c>
      <c r="G1426" t="inlineStr">
        <is>
          <t>VH</t>
        </is>
      </c>
      <c r="H1426" t="inlineStr">
        <is>
          <t>3</t>
        </is>
      </c>
      <c r="I1426" t="inlineStr">
        <is>
          <t>Public</t>
        </is>
      </c>
      <c r="J1426" t="inlineStr">
        <is>
          <t>851-900</t>
        </is>
      </c>
      <c r="K1426" t="inlineStr">
        <is>
          <t>951-1000</t>
        </is>
      </c>
      <c r="L1426" t="inlineStr">
        <is>
          <t>951-1000</t>
        </is>
      </c>
      <c r="M1426" t="inlineStr">
        <is>
          <t>801-1000</t>
        </is>
      </c>
      <c r="N1426" t="inlineStr">
        <is>
          <t>-</t>
        </is>
      </c>
      <c r="O1426" t="inlineStr">
        <is>
          <t>-</t>
        </is>
      </c>
      <c r="P1426" t="n">
        <v>17</v>
      </c>
      <c r="Q1426" t="inlineStr">
        <is>
          <t>701+</t>
        </is>
      </c>
      <c r="R1426" t="n">
        <v>18.5</v>
      </c>
      <c r="S1426" t="inlineStr">
        <is>
          <t>696</t>
        </is>
      </c>
      <c r="T1426" t="n">
        <v>39.1</v>
      </c>
      <c r="U1426" t="inlineStr">
        <is>
          <t>519</t>
        </is>
      </c>
      <c r="V1426" t="n">
        <v>5.5</v>
      </c>
      <c r="W1426" t="inlineStr">
        <is>
          <t>801+</t>
        </is>
      </c>
      <c r="X1426" t="n">
        <v>45.3</v>
      </c>
      <c r="Y1426" t="inlineStr">
        <is>
          <t>466</t>
        </is>
      </c>
      <c r="Z1426" t="n">
        <v>63.4</v>
      </c>
      <c r="AA1426" t="inlineStr">
        <is>
          <t>318</t>
        </is>
      </c>
      <c r="AB1426" t="n">
        <v>56.9</v>
      </c>
      <c r="AC1426" t="inlineStr">
        <is>
          <t>359</t>
        </is>
      </c>
      <c r="AD1426" t="n">
        <v>23</v>
      </c>
      <c r="AE1426" t="inlineStr">
        <is>
          <t>801+</t>
        </is>
      </c>
      <c r="AF1426" t="n">
        <v>5.2</v>
      </c>
      <c r="AG1426" t="inlineStr">
        <is>
          <t>801+</t>
        </is>
      </c>
      <c r="AH1426" t="n">
        <v>42.5</v>
      </c>
      <c r="AI1426" t="inlineStr">
        <is>
          <t>801+</t>
        </is>
      </c>
      <c r="AJ1426" t="inlineStr">
        <is>
          <t>11.9</t>
        </is>
      </c>
      <c r="AK1426" t="inlineStr">
        <is>
          <t>601+</t>
        </is>
      </c>
      <c r="AL1426" t="inlineStr">
        <is>
          <t>11.0</t>
        </is>
      </c>
      <c r="AM1426" t="inlineStr">
        <is>
          <t>601+</t>
        </is>
      </c>
      <c r="AN1426" t="inlineStr">
        <is>
          <t>25.0</t>
        </is>
      </c>
      <c r="AO1426" t="inlineStr">
        <is>
          <t>584</t>
        </is>
      </c>
      <c r="AP1426" t="inlineStr">
        <is>
          <t>2.5</t>
        </is>
      </c>
      <c r="AQ1426" t="inlineStr">
        <is>
          <t>701+</t>
        </is>
      </c>
      <c r="AR1426" t="inlineStr">
        <is>
          <t>21.0</t>
        </is>
      </c>
      <c r="AS1426" t="inlineStr">
        <is>
          <t>583</t>
        </is>
      </c>
      <c r="AT1426" t="inlineStr">
        <is>
          <t>28.7</t>
        </is>
      </c>
      <c r="AU1426" t="inlineStr">
        <is>
          <t>433</t>
        </is>
      </c>
      <c r="AV1426" t="inlineStr">
        <is>
          <t>1.1</t>
        </is>
      </c>
      <c r="AW1426" t="inlineStr">
        <is>
          <t>701+</t>
        </is>
      </c>
      <c r="AX1426" t="inlineStr">
        <is>
          <t>9.6</t>
        </is>
      </c>
      <c r="AY1426" t="inlineStr">
        <is>
          <t>701+</t>
        </is>
      </c>
      <c r="AZ1426" t="inlineStr">
        <is>
          <t>6.6</t>
        </is>
      </c>
      <c r="BA1426" t="inlineStr">
        <is>
          <t>701+</t>
        </is>
      </c>
    </row>
    <row r="1427">
      <c r="A1427" t="inlineStr">
        <is>
          <t>Universiti Putra Malaysia (UPM)</t>
        </is>
      </c>
      <c r="B1427" t="inlineStr">
        <is>
          <t>Malaysia</t>
        </is>
      </c>
      <c r="C1427" t="inlineStr">
        <is>
          <t>MY</t>
        </is>
      </c>
      <c r="D1427" t="inlineStr">
        <is>
          <t>Asia</t>
        </is>
      </c>
      <c r="E1427" t="inlineStr">
        <is>
          <t>L</t>
        </is>
      </c>
      <c r="F1427" t="inlineStr">
        <is>
          <t>FC</t>
        </is>
      </c>
      <c r="G1427" t="inlineStr">
        <is>
          <t>VH</t>
        </is>
      </c>
      <c r="H1427" t="inlineStr">
        <is>
          <t>4</t>
        </is>
      </c>
      <c r="I1427" t="inlineStr">
        <is>
          <t>Public</t>
        </is>
      </c>
      <c r="J1427" t="inlineStr">
        <is>
          <t>134</t>
        </is>
      </c>
      <c r="K1427" t="inlineStr">
        <is>
          <t>148</t>
        </is>
      </c>
      <c r="L1427" t="inlineStr">
        <is>
          <t>158</t>
        </is>
      </c>
      <c r="M1427" t="inlineStr">
        <is>
          <t>123</t>
        </is>
      </c>
      <c r="N1427" t="inlineStr">
        <is>
          <t>64.1</t>
        </is>
      </c>
      <c r="O1427" t="inlineStr">
        <is>
          <t>50.4</t>
        </is>
      </c>
      <c r="P1427" t="n">
        <v>75.7</v>
      </c>
      <c r="Q1427" t="inlineStr">
        <is>
          <t>108</t>
        </is>
      </c>
      <c r="R1427" t="n">
        <v>73.40000000000001</v>
      </c>
      <c r="S1427" t="inlineStr">
        <is>
          <t>133</t>
        </is>
      </c>
      <c r="T1427" t="n">
        <v>66.8</v>
      </c>
      <c r="U1427" t="inlineStr">
        <is>
          <t>258</t>
        </is>
      </c>
      <c r="V1427" t="n">
        <v>38.3</v>
      </c>
      <c r="W1427" t="inlineStr">
        <is>
          <t>487</t>
        </is>
      </c>
      <c r="X1427" t="n">
        <v>45.2</v>
      </c>
      <c r="Y1427" t="inlineStr">
        <is>
          <t>467</t>
        </is>
      </c>
      <c r="Z1427" t="n">
        <v>98.40000000000001</v>
      </c>
      <c r="AA1427" t="inlineStr">
        <is>
          <t>84</t>
        </is>
      </c>
      <c r="AB1427" t="n">
        <v>98.5</v>
      </c>
      <c r="AC1427" t="inlineStr">
        <is>
          <t>71</t>
        </is>
      </c>
      <c r="AD1427" t="n">
        <v>86.8</v>
      </c>
      <c r="AE1427" t="inlineStr">
        <is>
          <t>221</t>
        </is>
      </c>
      <c r="AF1427" t="n">
        <v>23.2</v>
      </c>
      <c r="AG1427" t="inlineStr">
        <is>
          <t>666</t>
        </is>
      </c>
      <c r="AH1427" t="n">
        <v>68.90000000000001</v>
      </c>
      <c r="AI1427" t="inlineStr">
        <is>
          <t>331=</t>
        </is>
      </c>
      <c r="AJ1427" t="inlineStr">
        <is>
          <t>58.8</t>
        </is>
      </c>
      <c r="AK1427" t="inlineStr">
        <is>
          <t>129</t>
        </is>
      </c>
      <c r="AL1427" t="inlineStr">
        <is>
          <t>67.5</t>
        </is>
      </c>
      <c r="AM1427" t="inlineStr">
        <is>
          <t>113</t>
        </is>
      </c>
      <c r="AN1427" t="inlineStr">
        <is>
          <t>67.6</t>
        </is>
      </c>
      <c r="AO1427" t="inlineStr">
        <is>
          <t>194</t>
        </is>
      </c>
      <c r="AP1427" t="inlineStr">
        <is>
          <t>22.7</t>
        </is>
      </c>
      <c r="AQ1427" t="inlineStr">
        <is>
          <t>519</t>
        </is>
      </c>
      <c r="AR1427" t="inlineStr">
        <is>
          <t>44.3</t>
        </is>
      </c>
      <c r="AS1427" t="inlineStr">
        <is>
          <t>381</t>
        </is>
      </c>
      <c r="AT1427" t="inlineStr">
        <is>
          <t>97.3</t>
        </is>
      </c>
      <c r="AU1427" t="inlineStr">
        <is>
          <t>72</t>
        </is>
      </c>
      <c r="AV1427" t="inlineStr">
        <is>
          <t>45.4</t>
        </is>
      </c>
      <c r="AW1427" t="inlineStr">
        <is>
          <t>341</t>
        </is>
      </c>
      <c r="AX1427" t="inlineStr">
        <is>
          <t>9.7</t>
        </is>
      </c>
      <c r="AY1427" t="inlineStr">
        <is>
          <t>701+</t>
        </is>
      </c>
      <c r="AZ1427" t="inlineStr">
        <is>
          <t>23.2</t>
        </is>
      </c>
      <c r="BA1427" t="inlineStr">
        <is>
          <t>511=</t>
        </is>
      </c>
    </row>
    <row r="1428">
      <c r="A1428" t="inlineStr">
        <is>
          <t>Universiti Sains Islam Malaysia</t>
        </is>
      </c>
      <c r="B1428" t="inlineStr">
        <is>
          <t>Malaysia</t>
        </is>
      </c>
      <c r="C1428" t="inlineStr">
        <is>
          <t>MY</t>
        </is>
      </c>
      <c r="D1428" t="inlineStr"/>
      <c r="E1428" t="inlineStr">
        <is>
          <t>M</t>
        </is>
      </c>
      <c r="F1428" t="inlineStr">
        <is>
          <t>CO</t>
        </is>
      </c>
      <c r="G1428" t="inlineStr">
        <is>
          <t>HI</t>
        </is>
      </c>
      <c r="H1428" t="inlineStr">
        <is>
          <t>3</t>
        </is>
      </c>
      <c r="I1428" t="inlineStr">
        <is>
          <t>A</t>
        </is>
      </c>
      <c r="J1428" t="inlineStr"/>
      <c r="K1428" t="inlineStr"/>
      <c r="L1428" t="inlineStr">
        <is>
          <t>1201-1400</t>
        </is>
      </c>
      <c r="M1428" t="inlineStr"/>
      <c r="N1428" t="inlineStr"/>
      <c r="O1428" t="inlineStr">
        <is>
          <t>-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>
        <is>
          <t>6.0</t>
        </is>
      </c>
      <c r="AK1428" t="inlineStr">
        <is>
          <t>601+</t>
        </is>
      </c>
      <c r="AL1428" t="inlineStr">
        <is>
          <t>2.9</t>
        </is>
      </c>
      <c r="AM1428" t="inlineStr">
        <is>
          <t>601+</t>
        </is>
      </c>
      <c r="AN1428" t="inlineStr">
        <is>
          <t>9.2</t>
        </is>
      </c>
      <c r="AO1428" t="inlineStr">
        <is>
          <t>701+</t>
        </is>
      </c>
      <c r="AP1428" t="inlineStr">
        <is>
          <t>1.9</t>
        </is>
      </c>
      <c r="AQ1428" t="inlineStr">
        <is>
          <t>701+</t>
        </is>
      </c>
      <c r="AR1428" t="inlineStr">
        <is>
          <t>9.0</t>
        </is>
      </c>
      <c r="AS1428" t="inlineStr">
        <is>
          <t>701+</t>
        </is>
      </c>
      <c r="AT1428" t="inlineStr">
        <is>
          <t>6.7</t>
        </is>
      </c>
      <c r="AU1428" t="inlineStr">
        <is>
          <t>701+</t>
        </is>
      </c>
      <c r="AV1428" t="inlineStr">
        <is>
          <t>1.0</t>
        </is>
      </c>
      <c r="AW1428" t="inlineStr">
        <is>
          <t>701+</t>
        </is>
      </c>
      <c r="AX1428" t="inlineStr">
        <is>
          <t>4.2</t>
        </is>
      </c>
      <c r="AY1428" t="inlineStr">
        <is>
          <t>701+</t>
        </is>
      </c>
      <c r="AZ1428" t="inlineStr">
        <is>
          <t>1</t>
        </is>
      </c>
      <c r="BA1428" t="inlineStr">
        <is>
          <t>701+</t>
        </is>
      </c>
    </row>
    <row r="1429">
      <c r="A1429" t="inlineStr">
        <is>
          <t>Universiti Sains Malaysia (USM)</t>
        </is>
      </c>
      <c r="B1429" t="inlineStr">
        <is>
          <t>Malaysia</t>
        </is>
      </c>
      <c r="C1429" t="inlineStr">
        <is>
          <t>MY</t>
        </is>
      </c>
      <c r="D1429" t="inlineStr">
        <is>
          <t>Asia</t>
        </is>
      </c>
      <c r="E1429" t="inlineStr">
        <is>
          <t>L</t>
        </is>
      </c>
      <c r="F1429" t="inlineStr">
        <is>
          <t>FC</t>
        </is>
      </c>
      <c r="G1429" t="inlineStr">
        <is>
          <t>VH</t>
        </is>
      </c>
      <c r="H1429" t="inlineStr">
        <is>
          <t>4</t>
        </is>
      </c>
      <c r="I1429" t="inlineStr">
        <is>
          <t>Public</t>
        </is>
      </c>
      <c r="J1429" t="inlineStr">
        <is>
          <t>134</t>
        </is>
      </c>
      <c r="K1429" t="inlineStr">
        <is>
          <t>146</t>
        </is>
      </c>
      <c r="L1429">
        <f>137</f>
        <v/>
      </c>
      <c r="M1429" t="inlineStr">
        <is>
          <t>143=</t>
        </is>
      </c>
      <c r="N1429" t="inlineStr">
        <is>
          <t>64.1</t>
        </is>
      </c>
      <c r="O1429" t="inlineStr">
        <is>
          <t>52.6</t>
        </is>
      </c>
      <c r="P1429" t="n">
        <v>77.59999999999999</v>
      </c>
      <c r="Q1429" t="inlineStr">
        <is>
          <t>104</t>
        </is>
      </c>
      <c r="R1429" t="n">
        <v>79.8</v>
      </c>
      <c r="S1429" t="inlineStr">
        <is>
          <t>104</t>
        </is>
      </c>
      <c r="T1429" t="n">
        <v>47.6</v>
      </c>
      <c r="U1429" t="inlineStr">
        <is>
          <t>410</t>
        </is>
      </c>
      <c r="V1429" t="n">
        <v>38.4</v>
      </c>
      <c r="W1429" t="inlineStr">
        <is>
          <t>486</t>
        </is>
      </c>
      <c r="X1429" t="n">
        <v>34.7</v>
      </c>
      <c r="Y1429" t="inlineStr">
        <is>
          <t>539</t>
        </is>
      </c>
      <c r="Z1429" t="n">
        <v>99.3</v>
      </c>
      <c r="AA1429" t="inlineStr">
        <is>
          <t>57</t>
        </is>
      </c>
      <c r="AB1429" t="n">
        <v>99.3</v>
      </c>
      <c r="AC1429" t="inlineStr">
        <is>
          <t>48</t>
        </is>
      </c>
      <c r="AD1429" t="n">
        <v>92.5</v>
      </c>
      <c r="AE1429" t="inlineStr">
        <is>
          <t>137</t>
        </is>
      </c>
      <c r="AF1429" t="n">
        <v>29.1</v>
      </c>
      <c r="AG1429" t="inlineStr">
        <is>
          <t>568</t>
        </is>
      </c>
      <c r="AH1429" t="n">
        <v>74.5</v>
      </c>
      <c r="AI1429" t="inlineStr">
        <is>
          <t>249</t>
        </is>
      </c>
      <c r="AJ1429" t="inlineStr">
        <is>
          <t>61.4</t>
        </is>
      </c>
      <c r="AK1429" t="inlineStr">
        <is>
          <t>115</t>
        </is>
      </c>
      <c r="AL1429" t="inlineStr">
        <is>
          <t>74.7</t>
        </is>
      </c>
      <c r="AM1429" t="inlineStr">
        <is>
          <t>86</t>
        </is>
      </c>
      <c r="AN1429" t="inlineStr">
        <is>
          <t>55.2</t>
        </is>
      </c>
      <c r="AO1429" t="inlineStr">
        <is>
          <t>273</t>
        </is>
      </c>
      <c r="AP1429" t="inlineStr">
        <is>
          <t>16.2</t>
        </is>
      </c>
      <c r="AQ1429" t="inlineStr">
        <is>
          <t>613</t>
        </is>
      </c>
      <c r="AR1429" t="inlineStr">
        <is>
          <t>24.9</t>
        </is>
      </c>
      <c r="AS1429" t="inlineStr">
        <is>
          <t>538</t>
        </is>
      </c>
      <c r="AT1429" t="inlineStr">
        <is>
          <t>88.9</t>
        </is>
      </c>
      <c r="AU1429" t="inlineStr">
        <is>
          <t>124</t>
        </is>
      </c>
      <c r="AV1429" t="inlineStr">
        <is>
          <t>59.6</t>
        </is>
      </c>
      <c r="AW1429" t="inlineStr">
        <is>
          <t>246</t>
        </is>
      </c>
      <c r="AX1429" t="inlineStr">
        <is>
          <t>18.2</t>
        </is>
      </c>
      <c r="AY1429" t="inlineStr">
        <is>
          <t>462</t>
        </is>
      </c>
      <c r="AZ1429" t="inlineStr">
        <is>
          <t>85.5</t>
        </is>
      </c>
      <c r="BA1429" t="inlineStr">
        <is>
          <t>116</t>
        </is>
      </c>
    </row>
    <row r="1430">
      <c r="A1430" t="inlineStr">
        <is>
          <t>Universiti Sultan Zainal Abidin</t>
        </is>
      </c>
      <c r="B1430" t="inlineStr">
        <is>
          <t>Malaysia</t>
        </is>
      </c>
      <c r="C1430" t="inlineStr"/>
      <c r="D1430" t="inlineStr">
        <is>
          <t>Asia</t>
        </is>
      </c>
      <c r="E1430" t="inlineStr">
        <is>
          <t>M</t>
        </is>
      </c>
      <c r="F1430" t="inlineStr">
        <is>
          <t>CO</t>
        </is>
      </c>
      <c r="G1430" t="inlineStr">
        <is>
          <t>VH</t>
        </is>
      </c>
      <c r="H1430" t="inlineStr"/>
      <c r="I1430" t="inlineStr">
        <is>
          <t>Public</t>
        </is>
      </c>
      <c r="J1430" t="inlineStr">
        <is>
          <t>1401+</t>
        </is>
      </c>
      <c r="K1430" t="inlineStr"/>
      <c r="L1430" t="inlineStr"/>
      <c r="M1430" t="inlineStr"/>
      <c r="N1430" t="inlineStr">
        <is>
          <t>-</t>
        </is>
      </c>
      <c r="O1430" t="inlineStr"/>
      <c r="P1430" t="n">
        <v>8</v>
      </c>
      <c r="Q1430" t="inlineStr">
        <is>
          <t>701+</t>
        </is>
      </c>
      <c r="R1430" t="n">
        <v>2.8</v>
      </c>
      <c r="S1430" t="inlineStr">
        <is>
          <t>701+</t>
        </is>
      </c>
      <c r="T1430" t="n">
        <v>13.8</v>
      </c>
      <c r="U1430" t="inlineStr">
        <is>
          <t>801+</t>
        </is>
      </c>
      <c r="V1430" t="n">
        <v>5.4</v>
      </c>
      <c r="W1430" t="inlineStr">
        <is>
          <t>801+</t>
        </is>
      </c>
      <c r="X1430" t="n">
        <v>19.5</v>
      </c>
      <c r="Y1430" t="inlineStr">
        <is>
          <t>721</t>
        </is>
      </c>
      <c r="Z1430" t="n">
        <v>9.9</v>
      </c>
      <c r="AA1430" t="inlineStr">
        <is>
          <t>801+</t>
        </is>
      </c>
      <c r="AB1430" t="n">
        <v>13.6</v>
      </c>
      <c r="AC1430" t="inlineStr">
        <is>
          <t>801+</t>
        </is>
      </c>
      <c r="AD1430" t="n">
        <v>28.1</v>
      </c>
      <c r="AE1430" t="inlineStr">
        <is>
          <t>801+</t>
        </is>
      </c>
      <c r="AF1430" t="n">
        <v>5.1</v>
      </c>
      <c r="AG1430" t="inlineStr">
        <is>
          <t>801+</t>
        </is>
      </c>
      <c r="AH1430" t="n">
        <v>16.9</v>
      </c>
      <c r="AI1430" t="inlineStr">
        <is>
          <t>801+</t>
        </is>
      </c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</row>
    <row r="1431">
      <c r="A1431" t="inlineStr">
        <is>
          <t>Universiti Teknikal Malaysia Melaka</t>
        </is>
      </c>
      <c r="B1431" t="inlineStr">
        <is>
          <t>Malaysia</t>
        </is>
      </c>
      <c r="C1431" t="inlineStr">
        <is>
          <t>MY</t>
        </is>
      </c>
      <c r="D1431" t="inlineStr"/>
      <c r="E1431" t="inlineStr">
        <is>
          <t>M</t>
        </is>
      </c>
      <c r="F1431" t="inlineStr">
        <is>
          <t>FO</t>
        </is>
      </c>
      <c r="G1431" t="inlineStr">
        <is>
          <t>VH</t>
        </is>
      </c>
      <c r="H1431" t="inlineStr">
        <is>
          <t>2</t>
        </is>
      </c>
      <c r="I1431" t="inlineStr">
        <is>
          <t>A</t>
        </is>
      </c>
      <c r="J1431" t="inlineStr"/>
      <c r="K1431" t="inlineStr"/>
      <c r="L1431" t="inlineStr">
        <is>
          <t>1201-1400</t>
        </is>
      </c>
      <c r="M1431" t="inlineStr"/>
      <c r="N1431" t="inlineStr"/>
      <c r="O1431" t="inlineStr">
        <is>
          <t>-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>
        <is>
          <t>6.0</t>
        </is>
      </c>
      <c r="AK1431" t="inlineStr">
        <is>
          <t>601+</t>
        </is>
      </c>
      <c r="AL1431" t="inlineStr">
        <is>
          <t>6.2</t>
        </is>
      </c>
      <c r="AM1431" t="inlineStr">
        <is>
          <t>601+</t>
        </is>
      </c>
      <c r="AN1431" t="inlineStr">
        <is>
          <t>9.8</t>
        </is>
      </c>
      <c r="AO1431" t="inlineStr">
        <is>
          <t>701+</t>
        </is>
      </c>
      <c r="AP1431" t="inlineStr">
        <is>
          <t>5.4</t>
        </is>
      </c>
      <c r="AQ1431" t="inlineStr">
        <is>
          <t>701+</t>
        </is>
      </c>
      <c r="AR1431" t="inlineStr">
        <is>
          <t>3.5</t>
        </is>
      </c>
      <c r="AS1431" t="inlineStr">
        <is>
          <t>701+</t>
        </is>
      </c>
      <c r="AT1431" t="inlineStr">
        <is>
          <t>5.7</t>
        </is>
      </c>
      <c r="AU1431" t="inlineStr">
        <is>
          <t>701+</t>
        </is>
      </c>
      <c r="AV1431" t="inlineStr">
        <is>
          <t>1.2</t>
        </is>
      </c>
      <c r="AW1431" t="inlineStr">
        <is>
          <t>701+</t>
        </is>
      </c>
      <c r="AX1431" t="inlineStr">
        <is>
          <t>9.2</t>
        </is>
      </c>
      <c r="AY1431" t="inlineStr">
        <is>
          <t>701+</t>
        </is>
      </c>
      <c r="AZ1431" t="inlineStr">
        <is>
          <t>4.3</t>
        </is>
      </c>
      <c r="BA1431" t="inlineStr">
        <is>
          <t>701+</t>
        </is>
      </c>
    </row>
    <row r="1432">
      <c r="A1432" t="inlineStr">
        <is>
          <t>Universiti Teknikal Malaysia Melaka (UTeM)</t>
        </is>
      </c>
      <c r="B1432" t="inlineStr">
        <is>
          <t>Malaysia</t>
        </is>
      </c>
      <c r="C1432" t="inlineStr"/>
      <c r="D1432" t="inlineStr">
        <is>
          <t>Asia</t>
        </is>
      </c>
      <c r="E1432" t="inlineStr">
        <is>
          <t>M</t>
        </is>
      </c>
      <c r="F1432" t="inlineStr">
        <is>
          <t>SP</t>
        </is>
      </c>
      <c r="G1432" t="inlineStr">
        <is>
          <t>VH</t>
        </is>
      </c>
      <c r="H1432" t="inlineStr"/>
      <c r="I1432" t="inlineStr">
        <is>
          <t>Public</t>
        </is>
      </c>
      <c r="J1432" t="inlineStr">
        <is>
          <t>1201-1400</t>
        </is>
      </c>
      <c r="K1432" t="inlineStr">
        <is>
          <t>1201-1400</t>
        </is>
      </c>
      <c r="L1432" t="inlineStr"/>
      <c r="M1432" t="inlineStr"/>
      <c r="N1432" t="inlineStr">
        <is>
          <t>-</t>
        </is>
      </c>
      <c r="O1432" t="inlineStr"/>
      <c r="P1432" t="n">
        <v>10.3</v>
      </c>
      <c r="Q1432" t="inlineStr">
        <is>
          <t>701+</t>
        </is>
      </c>
      <c r="R1432" t="n">
        <v>11.2</v>
      </c>
      <c r="S1432" t="inlineStr">
        <is>
          <t>701+</t>
        </is>
      </c>
      <c r="T1432" t="n">
        <v>18</v>
      </c>
      <c r="U1432" t="inlineStr">
        <is>
          <t>801+</t>
        </is>
      </c>
      <c r="V1432" t="n">
        <v>11.4</v>
      </c>
      <c r="W1432" t="inlineStr">
        <is>
          <t>801+</t>
        </is>
      </c>
      <c r="X1432" t="n">
        <v>5.4</v>
      </c>
      <c r="Y1432" t="inlineStr">
        <is>
          <t>801+</t>
        </is>
      </c>
      <c r="Z1432" t="n">
        <v>10.7</v>
      </c>
      <c r="AA1432" t="inlineStr">
        <is>
          <t>801+</t>
        </is>
      </c>
      <c r="AB1432" t="n">
        <v>13.9</v>
      </c>
      <c r="AC1432" t="inlineStr">
        <is>
          <t>801+</t>
        </is>
      </c>
      <c r="AD1432" t="n">
        <v>34.7</v>
      </c>
      <c r="AE1432" t="inlineStr">
        <is>
          <t>801+</t>
        </is>
      </c>
      <c r="AF1432" t="n">
        <v>5.2</v>
      </c>
      <c r="AG1432" t="inlineStr">
        <is>
          <t>801+</t>
        </is>
      </c>
      <c r="AH1432" t="n">
        <v>36.4</v>
      </c>
      <c r="AI1432" t="inlineStr">
        <is>
          <t>801+</t>
        </is>
      </c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</row>
    <row r="1433">
      <c r="A1433" t="inlineStr">
        <is>
          <t>Universiti Teknologi Brunei</t>
        </is>
      </c>
      <c r="B1433" t="inlineStr">
        <is>
          <t>Brunei</t>
        </is>
      </c>
      <c r="C1433" t="inlineStr">
        <is>
          <t>BN</t>
        </is>
      </c>
      <c r="D1433" t="inlineStr"/>
      <c r="E1433" t="inlineStr">
        <is>
          <t>S</t>
        </is>
      </c>
      <c r="F1433" t="inlineStr">
        <is>
          <t>FO</t>
        </is>
      </c>
      <c r="G1433" t="inlineStr">
        <is>
          <t>VH</t>
        </is>
      </c>
      <c r="H1433" t="inlineStr">
        <is>
          <t>3</t>
        </is>
      </c>
      <c r="I1433" t="inlineStr">
        <is>
          <t>A</t>
        </is>
      </c>
      <c r="J1433" t="inlineStr"/>
      <c r="K1433" t="inlineStr"/>
      <c r="L1433" t="inlineStr">
        <is>
          <t>525</t>
        </is>
      </c>
      <c r="M1433" t="inlineStr">
        <is>
          <t>340=</t>
        </is>
      </c>
      <c r="N1433" t="inlineStr"/>
      <c r="O1433" t="inlineStr">
        <is>
          <t>22.4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>
        <is>
          <t>13.7</t>
        </is>
      </c>
      <c r="AK1433" t="inlineStr">
        <is>
          <t>601+</t>
        </is>
      </c>
      <c r="AL1433" t="inlineStr">
        <is>
          <t>3.9</t>
        </is>
      </c>
      <c r="AM1433" t="inlineStr">
        <is>
          <t>601+</t>
        </is>
      </c>
      <c r="AN1433" t="inlineStr">
        <is>
          <t>90.3</t>
        </is>
      </c>
      <c r="AO1433" t="inlineStr">
        <is>
          <t>86</t>
        </is>
      </c>
      <c r="AP1433" t="inlineStr">
        <is>
          <t>8.6</t>
        </is>
      </c>
      <c r="AQ1433" t="inlineStr">
        <is>
          <t>701+</t>
        </is>
      </c>
      <c r="AR1433" t="inlineStr">
        <is>
          <t>100.0</t>
        </is>
      </c>
      <c r="AS1433" t="inlineStr">
        <is>
          <t>46</t>
        </is>
      </c>
      <c r="AT1433" t="inlineStr">
        <is>
          <t>5.5</t>
        </is>
      </c>
      <c r="AU1433" t="inlineStr">
        <is>
          <t>701+</t>
        </is>
      </c>
      <c r="AV1433" t="inlineStr">
        <is>
          <t>1.0</t>
        </is>
      </c>
      <c r="AW1433" t="inlineStr">
        <is>
          <t>701+</t>
        </is>
      </c>
      <c r="AX1433" t="inlineStr">
        <is>
          <t>34.2</t>
        </is>
      </c>
      <c r="AY1433" t="inlineStr">
        <is>
          <t>226</t>
        </is>
      </c>
      <c r="AZ1433" t="inlineStr">
        <is>
          <t>1</t>
        </is>
      </c>
      <c r="BA1433" t="inlineStr">
        <is>
          <t>701+</t>
        </is>
      </c>
    </row>
    <row r="1434">
      <c r="A1434" t="inlineStr">
        <is>
          <t>Universiti Teknologi Brunei</t>
        </is>
      </c>
      <c r="B1434" t="inlineStr">
        <is>
          <t>Brunei Darussalam</t>
        </is>
      </c>
      <c r="C1434" t="inlineStr"/>
      <c r="D1434" t="inlineStr">
        <is>
          <t>Asia</t>
        </is>
      </c>
      <c r="E1434" t="inlineStr">
        <is>
          <t>S</t>
        </is>
      </c>
      <c r="F1434" t="inlineStr">
        <is>
          <t>FO</t>
        </is>
      </c>
      <c r="G1434" t="inlineStr">
        <is>
          <t>VH</t>
        </is>
      </c>
      <c r="H1434" t="inlineStr"/>
      <c r="I1434" t="inlineStr">
        <is>
          <t>Public</t>
        </is>
      </c>
      <c r="J1434" t="inlineStr">
        <is>
          <t>578</t>
        </is>
      </c>
      <c r="K1434" t="inlineStr">
        <is>
          <t>562</t>
        </is>
      </c>
      <c r="L1434" t="inlineStr"/>
      <c r="M1434" t="inlineStr"/>
      <c r="N1434" t="inlineStr">
        <is>
          <t>29</t>
        </is>
      </c>
      <c r="O1434" t="inlineStr"/>
      <c r="P1434" t="n">
        <v>20.2</v>
      </c>
      <c r="Q1434" t="inlineStr">
        <is>
          <t>609</t>
        </is>
      </c>
      <c r="R1434" t="n">
        <v>13.1</v>
      </c>
      <c r="S1434" t="inlineStr">
        <is>
          <t>701+</t>
        </is>
      </c>
      <c r="T1434" t="n">
        <v>86.5</v>
      </c>
      <c r="U1434" t="inlineStr">
        <is>
          <t>123</t>
        </is>
      </c>
      <c r="V1434" t="n">
        <v>22.7</v>
      </c>
      <c r="W1434" t="inlineStr">
        <is>
          <t>673</t>
        </is>
      </c>
      <c r="X1434" t="n">
        <v>100</v>
      </c>
      <c r="Y1434" t="inlineStr">
        <is>
          <t>62</t>
        </is>
      </c>
      <c r="Z1434" t="n">
        <v>7.7</v>
      </c>
      <c r="AA1434" t="inlineStr">
        <is>
          <t>801+</t>
        </is>
      </c>
      <c r="AB1434" t="n">
        <v>11.5</v>
      </c>
      <c r="AC1434" t="inlineStr">
        <is>
          <t>801+</t>
        </is>
      </c>
      <c r="AD1434" t="n">
        <v>20.7</v>
      </c>
      <c r="AE1434" t="inlineStr">
        <is>
          <t>801+</t>
        </is>
      </c>
      <c r="AF1434" t="n">
        <v>16.6</v>
      </c>
      <c r="AG1434" t="inlineStr">
        <is>
          <t>794</t>
        </is>
      </c>
      <c r="AH1434" t="n">
        <v>34.7</v>
      </c>
      <c r="AI1434" t="inlineStr">
        <is>
          <t>801+</t>
        </is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</row>
    <row r="1435">
      <c r="A1435" t="inlineStr">
        <is>
          <t xml:space="preserve">Universiti Teknologi Malaysia </t>
        </is>
      </c>
      <c r="B1435" t="inlineStr">
        <is>
          <t>Malaysia</t>
        </is>
      </c>
      <c r="C1435" t="inlineStr">
        <is>
          <t>MY</t>
        </is>
      </c>
      <c r="D1435" t="inlineStr"/>
      <c r="E1435" t="inlineStr">
        <is>
          <t>L</t>
        </is>
      </c>
      <c r="F1435" t="inlineStr">
        <is>
          <t>CO</t>
        </is>
      </c>
      <c r="G1435" t="inlineStr">
        <is>
          <t>VH</t>
        </is>
      </c>
      <c r="H1435" t="inlineStr">
        <is>
          <t>3</t>
        </is>
      </c>
      <c r="I1435" t="inlineStr">
        <is>
          <t>A</t>
        </is>
      </c>
      <c r="J1435" t="inlineStr"/>
      <c r="K1435" t="inlineStr"/>
      <c r="L1435" t="inlineStr">
        <is>
          <t>188</t>
        </is>
      </c>
      <c r="M1435" t="inlineStr">
        <is>
          <t>203=</t>
        </is>
      </c>
      <c r="N1435" t="inlineStr"/>
      <c r="O1435" t="inlineStr">
        <is>
          <t>46.9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>
        <is>
          <t>46.6</t>
        </is>
      </c>
      <c r="AK1435" t="inlineStr">
        <is>
          <t>175</t>
        </is>
      </c>
      <c r="AL1435" t="inlineStr">
        <is>
          <t>63.8</t>
        </is>
      </c>
      <c r="AM1435" t="inlineStr">
        <is>
          <t>124</t>
        </is>
      </c>
      <c r="AN1435" t="inlineStr">
        <is>
          <t>42.5</t>
        </is>
      </c>
      <c r="AO1435" t="inlineStr">
        <is>
          <t>371</t>
        </is>
      </c>
      <c r="AP1435" t="inlineStr">
        <is>
          <t>33.9</t>
        </is>
      </c>
      <c r="AQ1435" t="inlineStr">
        <is>
          <t>403</t>
        </is>
      </c>
      <c r="AR1435" t="inlineStr">
        <is>
          <t>16.0</t>
        </is>
      </c>
      <c r="AS1435" t="inlineStr">
        <is>
          <t>651</t>
        </is>
      </c>
      <c r="AT1435" t="inlineStr">
        <is>
          <t>85.2</t>
        </is>
      </c>
      <c r="AU1435" t="inlineStr">
        <is>
          <t>141</t>
        </is>
      </c>
      <c r="AV1435" t="inlineStr">
        <is>
          <t>58.6</t>
        </is>
      </c>
      <c r="AW1435" t="inlineStr">
        <is>
          <t>257</t>
        </is>
      </c>
      <c r="AX1435" t="inlineStr">
        <is>
          <t>13.6</t>
        </is>
      </c>
      <c r="AY1435" t="inlineStr">
        <is>
          <t>631</t>
        </is>
      </c>
      <c r="AZ1435" t="inlineStr">
        <is>
          <t>66.8</t>
        </is>
      </c>
      <c r="BA1435" t="inlineStr">
        <is>
          <t>217=</t>
        </is>
      </c>
    </row>
    <row r="1436">
      <c r="A1436" t="inlineStr">
        <is>
          <t>Universiti Teknologi Malaysia (UTM)</t>
        </is>
      </c>
      <c r="B1436" t="inlineStr">
        <is>
          <t>Malaysia</t>
        </is>
      </c>
      <c r="C1436" t="inlineStr"/>
      <c r="D1436" t="inlineStr">
        <is>
          <t>Asia</t>
        </is>
      </c>
      <c r="E1436" t="inlineStr">
        <is>
          <t>L</t>
        </is>
      </c>
      <c r="F1436" t="inlineStr">
        <is>
          <t>CO</t>
        </is>
      </c>
      <c r="G1436" t="inlineStr">
        <is>
          <t>VH</t>
        </is>
      </c>
      <c r="H1436" t="inlineStr"/>
      <c r="I1436" t="inlineStr">
        <is>
          <t>Public</t>
        </is>
      </c>
      <c r="J1436" t="inlineStr">
        <is>
          <t>153</t>
        </is>
      </c>
      <c r="K1436" t="inlineStr">
        <is>
          <t>181</t>
        </is>
      </c>
      <c r="L1436" t="inlineStr"/>
      <c r="M1436" t="inlineStr"/>
      <c r="N1436" t="inlineStr">
        <is>
          <t>61.6</t>
        </is>
      </c>
      <c r="O1436" t="inlineStr"/>
      <c r="P1436" t="n">
        <v>64</v>
      </c>
      <c r="Q1436" t="inlineStr">
        <is>
          <t>158</t>
        </is>
      </c>
      <c r="R1436" t="n">
        <v>72.09999999999999</v>
      </c>
      <c r="S1436" t="inlineStr">
        <is>
          <t>139</t>
        </is>
      </c>
      <c r="T1436" t="n">
        <v>58.8</v>
      </c>
      <c r="U1436" t="inlineStr">
        <is>
          <t>309</t>
        </is>
      </c>
      <c r="V1436" t="n">
        <v>57.8</v>
      </c>
      <c r="W1436" t="inlineStr">
        <is>
          <t>302</t>
        </is>
      </c>
      <c r="X1436" t="n">
        <v>15.5</v>
      </c>
      <c r="Y1436" t="inlineStr">
        <is>
          <t>797</t>
        </is>
      </c>
      <c r="Z1436" t="n">
        <v>91.40000000000001</v>
      </c>
      <c r="AA1436" t="inlineStr">
        <is>
          <t>155</t>
        </is>
      </c>
      <c r="AB1436" t="n">
        <v>92.09999999999999</v>
      </c>
      <c r="AC1436" t="inlineStr">
        <is>
          <t>132</t>
        </is>
      </c>
      <c r="AD1436" t="n">
        <v>90.59999999999999</v>
      </c>
      <c r="AE1436" t="inlineStr">
        <is>
          <t>167</t>
        </is>
      </c>
      <c r="AF1436" t="n">
        <v>19.9</v>
      </c>
      <c r="AG1436" t="inlineStr">
        <is>
          <t>730</t>
        </is>
      </c>
      <c r="AH1436" t="n">
        <v>69.2</v>
      </c>
      <c r="AI1436" t="inlineStr">
        <is>
          <t>326=</t>
        </is>
      </c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</row>
    <row r="1437">
      <c r="A1437" t="inlineStr">
        <is>
          <t>Universiti Teknologi MARA - UiTM</t>
        </is>
      </c>
      <c r="B1437" t="inlineStr">
        <is>
          <t>Malaysia</t>
        </is>
      </c>
      <c r="C1437" t="inlineStr">
        <is>
          <t>MY</t>
        </is>
      </c>
      <c r="D1437" t="inlineStr">
        <is>
          <t>Asia</t>
        </is>
      </c>
      <c r="E1437" t="inlineStr">
        <is>
          <t>XL</t>
        </is>
      </c>
      <c r="F1437" t="inlineStr">
        <is>
          <t>FC</t>
        </is>
      </c>
      <c r="G1437" t="inlineStr">
        <is>
          <t>VH</t>
        </is>
      </c>
      <c r="H1437" t="inlineStr">
        <is>
          <t>2</t>
        </is>
      </c>
      <c r="I1437" t="inlineStr">
        <is>
          <t>Public</t>
        </is>
      </c>
      <c r="J1437" t="inlineStr">
        <is>
          <t>542</t>
        </is>
      </c>
      <c r="K1437" t="inlineStr">
        <is>
          <t>587</t>
        </is>
      </c>
      <c r="L1437" t="inlineStr">
        <is>
          <t>555</t>
        </is>
      </c>
      <c r="M1437" t="inlineStr">
        <is>
          <t>651-700</t>
        </is>
      </c>
      <c r="N1437" t="inlineStr">
        <is>
          <t>30.3</t>
        </is>
      </c>
      <c r="O1437" t="inlineStr">
        <is>
          <t>21.2</t>
        </is>
      </c>
      <c r="P1437" t="n">
        <v>44.5</v>
      </c>
      <c r="Q1437" t="inlineStr">
        <is>
          <t>267</t>
        </is>
      </c>
      <c r="R1437" t="n">
        <v>48.8</v>
      </c>
      <c r="S1437" t="inlineStr">
        <is>
          <t>265</t>
        </is>
      </c>
      <c r="T1437" t="n">
        <v>26.3</v>
      </c>
      <c r="U1437" t="inlineStr">
        <is>
          <t>709</t>
        </is>
      </c>
      <c r="V1437" t="n">
        <v>5.6</v>
      </c>
      <c r="W1437" t="inlineStr">
        <is>
          <t>801+</t>
        </is>
      </c>
      <c r="X1437" t="n">
        <v>2.5</v>
      </c>
      <c r="Y1437" t="inlineStr">
        <is>
          <t>801+</t>
        </is>
      </c>
      <c r="Z1437" t="n">
        <v>3.4</v>
      </c>
      <c r="AA1437" t="inlineStr">
        <is>
          <t>801+</t>
        </is>
      </c>
      <c r="AB1437" t="n">
        <v>7.7</v>
      </c>
      <c r="AC1437" t="inlineStr">
        <is>
          <t>801+</t>
        </is>
      </c>
      <c r="AD1437" t="n">
        <v>74.3</v>
      </c>
      <c r="AE1437" t="inlineStr">
        <is>
          <t>458</t>
        </is>
      </c>
      <c r="AF1437" t="n">
        <v>4.9</v>
      </c>
      <c r="AG1437" t="inlineStr">
        <is>
          <t>801+</t>
        </is>
      </c>
      <c r="AH1437" t="n">
        <v>55.4</v>
      </c>
      <c r="AI1437" t="inlineStr">
        <is>
          <t>593=</t>
        </is>
      </c>
      <c r="AJ1437" t="inlineStr">
        <is>
          <t>28.9</t>
        </is>
      </c>
      <c r="AK1437" t="inlineStr">
        <is>
          <t>303</t>
        </is>
      </c>
      <c r="AL1437" t="inlineStr">
        <is>
          <t>47.6</t>
        </is>
      </c>
      <c r="AM1437" t="inlineStr">
        <is>
          <t>184</t>
        </is>
      </c>
      <c r="AN1437" t="inlineStr">
        <is>
          <t>15.8</t>
        </is>
      </c>
      <c r="AO1437" t="inlineStr">
        <is>
          <t>701+</t>
        </is>
      </c>
      <c r="AP1437" t="inlineStr">
        <is>
          <t>2.8</t>
        </is>
      </c>
      <c r="AQ1437" t="inlineStr">
        <is>
          <t>701+</t>
        </is>
      </c>
      <c r="AR1437" t="inlineStr">
        <is>
          <t>1.9</t>
        </is>
      </c>
      <c r="AS1437" t="inlineStr">
        <is>
          <t>701+</t>
        </is>
      </c>
      <c r="AT1437" t="inlineStr">
        <is>
          <t>2.1</t>
        </is>
      </c>
      <c r="AU1437" t="inlineStr">
        <is>
          <t>701+</t>
        </is>
      </c>
      <c r="AV1437" t="inlineStr">
        <is>
          <t>24.3</t>
        </is>
      </c>
      <c r="AW1437" t="inlineStr">
        <is>
          <t>504</t>
        </is>
      </c>
      <c r="AX1437" t="inlineStr">
        <is>
          <t>8.7</t>
        </is>
      </c>
      <c r="AY1437" t="inlineStr">
        <is>
          <t>701+</t>
        </is>
      </c>
      <c r="AZ1437" t="inlineStr">
        <is>
          <t>31</t>
        </is>
      </c>
      <c r="BA1437" t="inlineStr">
        <is>
          <t>432=</t>
        </is>
      </c>
    </row>
    <row r="1438">
      <c r="A1438" t="inlineStr">
        <is>
          <t>Universiti Teknologi Petronas (UTP)</t>
        </is>
      </c>
      <c r="B1438" t="inlineStr">
        <is>
          <t>Malaysia</t>
        </is>
      </c>
      <c r="C1438" t="inlineStr">
        <is>
          <t>MY</t>
        </is>
      </c>
      <c r="D1438" t="inlineStr">
        <is>
          <t>Asia</t>
        </is>
      </c>
      <c r="E1438" t="inlineStr">
        <is>
          <t>S</t>
        </is>
      </c>
      <c r="F1438" t="inlineStr">
        <is>
          <t>SP</t>
        </is>
      </c>
      <c r="G1438" t="inlineStr">
        <is>
          <t>VH</t>
        </is>
      </c>
      <c r="H1438" t="inlineStr">
        <is>
          <t>3</t>
        </is>
      </c>
      <c r="I1438" t="inlineStr">
        <is>
          <t>Private not for Profit</t>
        </is>
      </c>
      <c r="J1438" t="inlineStr">
        <is>
          <t>251</t>
        </is>
      </c>
      <c r="K1438" t="inlineStr">
        <is>
          <t>269</t>
        </is>
      </c>
      <c r="L1438">
        <f>307</f>
        <v/>
      </c>
      <c r="M1438" t="inlineStr">
        <is>
          <t>361</t>
        </is>
      </c>
      <c r="N1438" t="inlineStr">
        <is>
          <t>50.2</t>
        </is>
      </c>
      <c r="O1438" t="inlineStr">
        <is>
          <t>33.9</t>
        </is>
      </c>
      <c r="P1438" t="n">
        <v>29.7</v>
      </c>
      <c r="Q1438" t="inlineStr">
        <is>
          <t>415</t>
        </is>
      </c>
      <c r="R1438" t="n">
        <v>41</v>
      </c>
      <c r="S1438" t="inlineStr">
        <is>
          <t>332</t>
        </is>
      </c>
      <c r="T1438" t="n">
        <v>44.6</v>
      </c>
      <c r="U1438" t="inlineStr">
        <is>
          <t>442</t>
        </is>
      </c>
      <c r="V1438" t="n">
        <v>95</v>
      </c>
      <c r="W1438" t="inlineStr">
        <is>
          <t>70</t>
        </is>
      </c>
      <c r="X1438" t="n">
        <v>87</v>
      </c>
      <c r="Y1438" t="inlineStr">
        <is>
          <t>245</t>
        </is>
      </c>
      <c r="Z1438" t="n">
        <v>29.5</v>
      </c>
      <c r="AA1438" t="inlineStr">
        <is>
          <t>596</t>
        </is>
      </c>
      <c r="AB1438" t="n">
        <v>30.7</v>
      </c>
      <c r="AC1438" t="inlineStr">
        <is>
          <t>608</t>
        </is>
      </c>
      <c r="AD1438" t="n">
        <v>72.09999999999999</v>
      </c>
      <c r="AE1438" t="inlineStr">
        <is>
          <t>498</t>
        </is>
      </c>
      <c r="AF1438" t="n">
        <v>5.2</v>
      </c>
      <c r="AG1438" t="inlineStr">
        <is>
          <t>801+</t>
        </is>
      </c>
      <c r="AH1438" t="n">
        <v>50</v>
      </c>
      <c r="AI1438" t="inlineStr">
        <is>
          <t>704</t>
        </is>
      </c>
      <c r="AJ1438" t="inlineStr">
        <is>
          <t>18.2</t>
        </is>
      </c>
      <c r="AK1438" t="inlineStr">
        <is>
          <t>491</t>
        </is>
      </c>
      <c r="AL1438" t="inlineStr">
        <is>
          <t>31.6</t>
        </is>
      </c>
      <c r="AM1438" t="inlineStr">
        <is>
          <t>313</t>
        </is>
      </c>
      <c r="AN1438" t="inlineStr">
        <is>
          <t>34.6</t>
        </is>
      </c>
      <c r="AO1438" t="inlineStr">
        <is>
          <t>463</t>
        </is>
      </c>
      <c r="AP1438" t="inlineStr">
        <is>
          <t>65.7</t>
        </is>
      </c>
      <c r="AQ1438" t="inlineStr">
        <is>
          <t>167</t>
        </is>
      </c>
      <c r="AR1438" t="inlineStr">
        <is>
          <t>85.2</t>
        </is>
      </c>
      <c r="AS1438" t="inlineStr">
        <is>
          <t>207</t>
        </is>
      </c>
      <c r="AT1438" t="inlineStr">
        <is>
          <t>18.5</t>
        </is>
      </c>
      <c r="AU1438" t="inlineStr">
        <is>
          <t>567</t>
        </is>
      </c>
      <c r="AV1438" t="inlineStr">
        <is>
          <t>24.2</t>
        </is>
      </c>
      <c r="AW1438" t="inlineStr">
        <is>
          <t>505</t>
        </is>
      </c>
      <c r="AX1438" t="inlineStr">
        <is>
          <t>9.9</t>
        </is>
      </c>
      <c r="AY1438" t="inlineStr">
        <is>
          <t>701+</t>
        </is>
      </c>
      <c r="AZ1438" t="inlineStr">
        <is>
          <t>2.9</t>
        </is>
      </c>
      <c r="BA1438" t="inlineStr">
        <is>
          <t>701+</t>
        </is>
      </c>
    </row>
    <row r="1439">
      <c r="A1439" t="inlineStr">
        <is>
          <t>Universiti Tenaga Nasional (UNITEN)</t>
        </is>
      </c>
      <c r="B1439" t="inlineStr">
        <is>
          <t>Malaysia</t>
        </is>
      </c>
      <c r="C1439" t="inlineStr">
        <is>
          <t>MY</t>
        </is>
      </c>
      <c r="D1439" t="inlineStr">
        <is>
          <t>Asia</t>
        </is>
      </c>
      <c r="E1439" t="inlineStr">
        <is>
          <t>S</t>
        </is>
      </c>
      <c r="F1439" t="inlineStr">
        <is>
          <t>SP</t>
        </is>
      </c>
      <c r="G1439" t="inlineStr">
        <is>
          <t>VH</t>
        </is>
      </c>
      <c r="H1439" t="inlineStr">
        <is>
          <t>3</t>
        </is>
      </c>
      <c r="I1439" t="inlineStr">
        <is>
          <t>Private for Profit</t>
        </is>
      </c>
      <c r="J1439" t="inlineStr">
        <is>
          <t>551</t>
        </is>
      </c>
      <c r="K1439" t="inlineStr">
        <is>
          <t>641-650</t>
        </is>
      </c>
      <c r="L1439" t="inlineStr">
        <is>
          <t>761-770</t>
        </is>
      </c>
      <c r="M1439" t="inlineStr">
        <is>
          <t>701-750</t>
        </is>
      </c>
      <c r="N1439" t="inlineStr">
        <is>
          <t>29.9</t>
        </is>
      </c>
      <c r="O1439" t="inlineStr">
        <is>
          <t>-</t>
        </is>
      </c>
      <c r="P1439" t="n">
        <v>9.5</v>
      </c>
      <c r="Q1439" t="inlineStr">
        <is>
          <t>701+</t>
        </is>
      </c>
      <c r="R1439" t="n">
        <v>19.9</v>
      </c>
      <c r="S1439" t="inlineStr">
        <is>
          <t>660</t>
        </is>
      </c>
      <c r="T1439" t="n">
        <v>76.59999999999999</v>
      </c>
      <c r="U1439" t="inlineStr">
        <is>
          <t>187</t>
        </is>
      </c>
      <c r="V1439" t="n">
        <v>34.1</v>
      </c>
      <c r="W1439" t="inlineStr">
        <is>
          <t>535</t>
        </is>
      </c>
      <c r="X1439" t="n">
        <v>34.7</v>
      </c>
      <c r="Y1439" t="inlineStr">
        <is>
          <t>537</t>
        </is>
      </c>
      <c r="Z1439" t="n">
        <v>70.5</v>
      </c>
      <c r="AA1439" t="inlineStr">
        <is>
          <t>274</t>
        </is>
      </c>
      <c r="AB1439" t="n">
        <v>65.59999999999999</v>
      </c>
      <c r="AC1439" t="inlineStr">
        <is>
          <t>299</t>
        </is>
      </c>
      <c r="AD1439" t="n">
        <v>55.7</v>
      </c>
      <c r="AE1439" t="inlineStr">
        <is>
          <t>754</t>
        </is>
      </c>
      <c r="AF1439" t="n">
        <v>5.3</v>
      </c>
      <c r="AG1439" t="inlineStr">
        <is>
          <t>801+</t>
        </is>
      </c>
      <c r="AH1439" t="n">
        <v>48.7</v>
      </c>
      <c r="AI1439" t="inlineStr">
        <is>
          <t>737=</t>
        </is>
      </c>
      <c r="AJ1439" t="inlineStr">
        <is>
          <t>7.3</t>
        </is>
      </c>
      <c r="AK1439" t="inlineStr">
        <is>
          <t>601+</t>
        </is>
      </c>
      <c r="AL1439" t="inlineStr">
        <is>
          <t>13.8</t>
        </is>
      </c>
      <c r="AM1439" t="inlineStr">
        <is>
          <t>588</t>
        </is>
      </c>
      <c r="AN1439" t="inlineStr">
        <is>
          <t>49.1</t>
        </is>
      </c>
      <c r="AO1439" t="inlineStr">
        <is>
          <t>317</t>
        </is>
      </c>
      <c r="AP1439" t="inlineStr">
        <is>
          <t>14.6</t>
        </is>
      </c>
      <c r="AQ1439" t="inlineStr">
        <is>
          <t>644</t>
        </is>
      </c>
      <c r="AR1439" t="inlineStr">
        <is>
          <t>5.7</t>
        </is>
      </c>
      <c r="AS1439" t="inlineStr">
        <is>
          <t>701+</t>
        </is>
      </c>
      <c r="AT1439" t="inlineStr">
        <is>
          <t>50.2</t>
        </is>
      </c>
      <c r="AU1439" t="inlineStr">
        <is>
          <t>291</t>
        </is>
      </c>
      <c r="AV1439" t="inlineStr">
        <is>
          <t>3.0</t>
        </is>
      </c>
      <c r="AW1439" t="inlineStr">
        <is>
          <t>701+</t>
        </is>
      </c>
      <c r="AX1439" t="inlineStr">
        <is>
          <t>10.4</t>
        </is>
      </c>
      <c r="AY1439" t="inlineStr">
        <is>
          <t>701+</t>
        </is>
      </c>
      <c r="AZ1439" t="inlineStr">
        <is>
          <t>1.8</t>
        </is>
      </c>
      <c r="BA1439" t="inlineStr">
        <is>
          <t>701+</t>
        </is>
      </c>
    </row>
    <row r="1440">
      <c r="A1440" t="inlineStr">
        <is>
          <t>Universiti Tun Hussein Onn University of Malaysia (UTHM)</t>
        </is>
      </c>
      <c r="B1440" t="inlineStr">
        <is>
          <t>Malaysia</t>
        </is>
      </c>
      <c r="C1440" t="inlineStr">
        <is>
          <t>MY</t>
        </is>
      </c>
      <c r="D1440" t="inlineStr">
        <is>
          <t>Asia</t>
        </is>
      </c>
      <c r="E1440" t="inlineStr">
        <is>
          <t>L</t>
        </is>
      </c>
      <c r="F1440" t="inlineStr">
        <is>
          <t>CO</t>
        </is>
      </c>
      <c r="G1440" t="inlineStr">
        <is>
          <t>VH</t>
        </is>
      </c>
      <c r="H1440" t="inlineStr">
        <is>
          <t>2</t>
        </is>
      </c>
      <c r="I1440" t="inlineStr">
        <is>
          <t>Public</t>
        </is>
      </c>
      <c r="J1440" t="inlineStr">
        <is>
          <t>1001-1200</t>
        </is>
      </c>
      <c r="K1440" t="inlineStr">
        <is>
          <t>1001-1200</t>
        </is>
      </c>
      <c r="L1440" t="inlineStr">
        <is>
          <t>1001-1200</t>
        </is>
      </c>
      <c r="M1440" t="inlineStr">
        <is>
          <t>1001-1200</t>
        </is>
      </c>
      <c r="N1440" t="inlineStr">
        <is>
          <t>-</t>
        </is>
      </c>
      <c r="O1440" t="inlineStr">
        <is>
          <t>-</t>
        </is>
      </c>
      <c r="P1440" t="n">
        <v>14.5</v>
      </c>
      <c r="Q1440" t="inlineStr">
        <is>
          <t>701+</t>
        </is>
      </c>
      <c r="R1440" t="n">
        <v>12.2</v>
      </c>
      <c r="S1440" t="inlineStr">
        <is>
          <t>701+</t>
        </is>
      </c>
      <c r="T1440" t="n">
        <v>11.7</v>
      </c>
      <c r="U1440" t="inlineStr">
        <is>
          <t>801+</t>
        </is>
      </c>
      <c r="V1440" t="n">
        <v>18.6</v>
      </c>
      <c r="W1440" t="inlineStr">
        <is>
          <t>744</t>
        </is>
      </c>
      <c r="X1440" t="n">
        <v>6.8</v>
      </c>
      <c r="Y1440" t="inlineStr">
        <is>
          <t>801+</t>
        </is>
      </c>
      <c r="Z1440" t="n">
        <v>12</v>
      </c>
      <c r="AA1440" t="inlineStr">
        <is>
          <t>801+</t>
        </is>
      </c>
      <c r="AB1440" t="n">
        <v>15</v>
      </c>
      <c r="AC1440" t="inlineStr">
        <is>
          <t>801+</t>
        </is>
      </c>
      <c r="AD1440" t="n">
        <v>45.8</v>
      </c>
      <c r="AE1440" t="inlineStr">
        <is>
          <t>801+</t>
        </is>
      </c>
      <c r="AF1440" t="n">
        <v>5</v>
      </c>
      <c r="AG1440" t="inlineStr">
        <is>
          <t>801+</t>
        </is>
      </c>
      <c r="AH1440" t="n">
        <v>49.7</v>
      </c>
      <c r="AI1440" t="inlineStr">
        <is>
          <t>708=</t>
        </is>
      </c>
      <c r="AJ1440" t="inlineStr">
        <is>
          <t>9.1</t>
        </is>
      </c>
      <c r="AK1440" t="inlineStr">
        <is>
          <t>601+</t>
        </is>
      </c>
      <c r="AL1440" t="inlineStr">
        <is>
          <t>7.0</t>
        </is>
      </c>
      <c r="AM1440" t="inlineStr">
        <is>
          <t>601+</t>
        </is>
      </c>
      <c r="AN1440" t="inlineStr">
        <is>
          <t>9.6</t>
        </is>
      </c>
      <c r="AO1440" t="inlineStr">
        <is>
          <t>701+</t>
        </is>
      </c>
      <c r="AP1440" t="inlineStr">
        <is>
          <t>7.7</t>
        </is>
      </c>
      <c r="AQ1440" t="inlineStr">
        <is>
          <t>701+</t>
        </is>
      </c>
      <c r="AR1440" t="inlineStr">
        <is>
          <t>8.0</t>
        </is>
      </c>
      <c r="AS1440" t="inlineStr">
        <is>
          <t>701+</t>
        </is>
      </c>
      <c r="AT1440" t="inlineStr">
        <is>
          <t>7.0</t>
        </is>
      </c>
      <c r="AU1440" t="inlineStr">
        <is>
          <t>701+</t>
        </is>
      </c>
      <c r="AV1440" t="inlineStr">
        <is>
          <t>5.0</t>
        </is>
      </c>
      <c r="AW1440" t="inlineStr">
        <is>
          <t>701+</t>
        </is>
      </c>
      <c r="AX1440" t="inlineStr">
        <is>
          <t>9.4</t>
        </is>
      </c>
      <c r="AY1440" t="inlineStr">
        <is>
          <t>701+</t>
        </is>
      </c>
      <c r="AZ1440" t="inlineStr">
        <is>
          <t>11.3</t>
        </is>
      </c>
      <c r="BA1440" t="inlineStr">
        <is>
          <t>654</t>
        </is>
      </c>
    </row>
    <row r="1441">
      <c r="A1441" t="inlineStr">
        <is>
          <t>Universiti Tunku Abdul Rahman (UTAR)</t>
        </is>
      </c>
      <c r="B1441" t="inlineStr">
        <is>
          <t>Malaysia</t>
        </is>
      </c>
      <c r="C1441" t="inlineStr">
        <is>
          <t>MY</t>
        </is>
      </c>
      <c r="D1441" t="inlineStr">
        <is>
          <t>Asia</t>
        </is>
      </c>
      <c r="E1441" t="inlineStr">
        <is>
          <t>M</t>
        </is>
      </c>
      <c r="F1441" t="inlineStr">
        <is>
          <t>FC</t>
        </is>
      </c>
      <c r="G1441" t="inlineStr">
        <is>
          <t>HI</t>
        </is>
      </c>
      <c r="H1441" t="inlineStr">
        <is>
          <t>2</t>
        </is>
      </c>
      <c r="I1441" t="inlineStr">
        <is>
          <t>Private not for Profit</t>
        </is>
      </c>
      <c r="J1441" t="inlineStr">
        <is>
          <t>791-800</t>
        </is>
      </c>
      <c r="K1441" t="inlineStr">
        <is>
          <t>801-850</t>
        </is>
      </c>
      <c r="L1441" t="inlineStr">
        <is>
          <t>801-850</t>
        </is>
      </c>
      <c r="M1441" t="inlineStr">
        <is>
          <t>801-1000</t>
        </is>
      </c>
      <c r="N1441" t="inlineStr">
        <is>
          <t>-</t>
        </is>
      </c>
      <c r="O1441" t="inlineStr">
        <is>
          <t>-</t>
        </is>
      </c>
      <c r="P1441" t="n">
        <v>19.4</v>
      </c>
      <c r="Q1441" t="inlineStr">
        <is>
          <t>636</t>
        </is>
      </c>
      <c r="R1441" t="n">
        <v>43.9</v>
      </c>
      <c r="S1441" t="inlineStr">
        <is>
          <t>304</t>
        </is>
      </c>
      <c r="T1441" t="n">
        <v>19.2</v>
      </c>
      <c r="U1441" t="inlineStr">
        <is>
          <t>801+</t>
        </is>
      </c>
      <c r="V1441" t="n">
        <v>13.4</v>
      </c>
      <c r="W1441" t="inlineStr">
        <is>
          <t>801+</t>
        </is>
      </c>
      <c r="X1441" t="n">
        <v>15.8</v>
      </c>
      <c r="Y1441" t="inlineStr">
        <is>
          <t>784</t>
        </is>
      </c>
      <c r="Z1441" t="n">
        <v>8</v>
      </c>
      <c r="AA1441" t="inlineStr">
        <is>
          <t>801+</t>
        </is>
      </c>
      <c r="AB1441" t="n">
        <v>11.9</v>
      </c>
      <c r="AC1441" t="inlineStr">
        <is>
          <t>801+</t>
        </is>
      </c>
      <c r="AD1441" t="n">
        <v>51.7</v>
      </c>
      <c r="AE1441" t="inlineStr">
        <is>
          <t>801+</t>
        </is>
      </c>
      <c r="AF1441" t="n">
        <v>5.1</v>
      </c>
      <c r="AG1441" t="inlineStr">
        <is>
          <t>801+</t>
        </is>
      </c>
      <c r="AH1441" t="n">
        <v>57.7</v>
      </c>
      <c r="AI1441" t="inlineStr">
        <is>
          <t>548</t>
        </is>
      </c>
      <c r="AJ1441" t="inlineStr">
        <is>
          <t>12.9</t>
        </is>
      </c>
      <c r="AK1441" t="inlineStr">
        <is>
          <t>601+</t>
        </is>
      </c>
      <c r="AL1441" t="inlineStr">
        <is>
          <t>36.4</t>
        </is>
      </c>
      <c r="AM1441" t="inlineStr">
        <is>
          <t>269</t>
        </is>
      </c>
      <c r="AN1441" t="inlineStr">
        <is>
          <t>11.1</t>
        </is>
      </c>
      <c r="AO1441" t="inlineStr">
        <is>
          <t>701+</t>
        </is>
      </c>
      <c r="AP1441" t="inlineStr">
        <is>
          <t>5.1</t>
        </is>
      </c>
      <c r="AQ1441" t="inlineStr">
        <is>
          <t>701+</t>
        </is>
      </c>
      <c r="AR1441" t="inlineStr">
        <is>
          <t>8.4</t>
        </is>
      </c>
      <c r="AS1441" t="inlineStr">
        <is>
          <t>701+</t>
        </is>
      </c>
      <c r="AT1441" t="inlineStr">
        <is>
          <t>3.3</t>
        </is>
      </c>
      <c r="AU1441" t="inlineStr">
        <is>
          <t>701+</t>
        </is>
      </c>
      <c r="AV1441" t="inlineStr">
        <is>
          <t>2.1</t>
        </is>
      </c>
      <c r="AW1441" t="inlineStr">
        <is>
          <t>701+</t>
        </is>
      </c>
      <c r="AX1441" t="inlineStr">
        <is>
          <t>9.7</t>
        </is>
      </c>
      <c r="AY1441" t="inlineStr">
        <is>
          <t>701+</t>
        </is>
      </c>
      <c r="AZ1441" t="inlineStr">
        <is>
          <t>30.7</t>
        </is>
      </c>
      <c r="BA1441" t="inlineStr">
        <is>
          <t>438=</t>
        </is>
      </c>
    </row>
    <row r="1442">
      <c r="A1442" t="inlineStr">
        <is>
          <t>Universiti Utara Malaysia (UUM)</t>
        </is>
      </c>
      <c r="B1442" t="inlineStr">
        <is>
          <t>Malaysia</t>
        </is>
      </c>
      <c r="C1442" t="inlineStr">
        <is>
          <t>MY</t>
        </is>
      </c>
      <c r="D1442" t="inlineStr">
        <is>
          <t>Asia</t>
        </is>
      </c>
      <c r="E1442" t="inlineStr">
        <is>
          <t>M</t>
        </is>
      </c>
      <c r="F1442" t="inlineStr">
        <is>
          <t>CO</t>
        </is>
      </c>
      <c r="G1442" t="inlineStr">
        <is>
          <t>VH</t>
        </is>
      </c>
      <c r="H1442" t="inlineStr">
        <is>
          <t>3</t>
        </is>
      </c>
      <c r="I1442" t="inlineStr">
        <is>
          <t>Public</t>
        </is>
      </c>
      <c r="J1442" t="inlineStr">
        <is>
          <t>491</t>
        </is>
      </c>
      <c r="K1442" t="inlineStr">
        <is>
          <t>554</t>
        </is>
      </c>
      <c r="L1442">
        <f>538</f>
        <v/>
      </c>
      <c r="M1442" t="inlineStr">
        <is>
          <t>481=</t>
        </is>
      </c>
      <c r="N1442" t="inlineStr">
        <is>
          <t>32.6</t>
        </is>
      </c>
      <c r="O1442" t="inlineStr">
        <is>
          <t>21.9</t>
        </is>
      </c>
      <c r="P1442" t="n">
        <v>31.2</v>
      </c>
      <c r="Q1442" t="inlineStr">
        <is>
          <t>393</t>
        </is>
      </c>
      <c r="R1442" t="n">
        <v>39.2</v>
      </c>
      <c r="S1442" t="inlineStr">
        <is>
          <t>349</t>
        </is>
      </c>
      <c r="T1442" t="n">
        <v>48</v>
      </c>
      <c r="U1442" t="inlineStr">
        <is>
          <t>404</t>
        </is>
      </c>
      <c r="V1442" t="n">
        <v>12.7</v>
      </c>
      <c r="W1442" t="inlineStr">
        <is>
          <t>801+</t>
        </is>
      </c>
      <c r="X1442" t="n">
        <v>25.6</v>
      </c>
      <c r="Y1442" t="inlineStr">
        <is>
          <t>638</t>
        </is>
      </c>
      <c r="Z1442" t="n">
        <v>86.90000000000001</v>
      </c>
      <c r="AA1442" t="inlineStr">
        <is>
          <t>186</t>
        </is>
      </c>
      <c r="AB1442" t="n">
        <v>84</v>
      </c>
      <c r="AC1442" t="inlineStr">
        <is>
          <t>177</t>
        </is>
      </c>
      <c r="AD1442" t="n">
        <v>42.4</v>
      </c>
      <c r="AE1442" t="inlineStr">
        <is>
          <t>801+</t>
        </is>
      </c>
      <c r="AF1442" t="n">
        <v>16.4</v>
      </c>
      <c r="AG1442" t="inlineStr">
        <is>
          <t>799</t>
        </is>
      </c>
      <c r="AH1442" t="n">
        <v>49.5</v>
      </c>
      <c r="AI1442" t="inlineStr">
        <is>
          <t>715=</t>
        </is>
      </c>
      <c r="AJ1442" t="inlineStr">
        <is>
          <t>20.6</t>
        </is>
      </c>
      <c r="AK1442" t="inlineStr">
        <is>
          <t>423</t>
        </is>
      </c>
      <c r="AL1442" t="inlineStr">
        <is>
          <t>28.0</t>
        </is>
      </c>
      <c r="AM1442" t="inlineStr">
        <is>
          <t>345</t>
        </is>
      </c>
      <c r="AN1442" t="inlineStr">
        <is>
          <t>40.4</t>
        </is>
      </c>
      <c r="AO1442" t="inlineStr">
        <is>
          <t>389</t>
        </is>
      </c>
      <c r="AP1442" t="inlineStr">
        <is>
          <t>7.1</t>
        </is>
      </c>
      <c r="AQ1442" t="inlineStr">
        <is>
          <t>701+</t>
        </is>
      </c>
      <c r="AR1442" t="inlineStr">
        <is>
          <t>18.8</t>
        </is>
      </c>
      <c r="AS1442" t="inlineStr">
        <is>
          <t>603</t>
        </is>
      </c>
      <c r="AT1442" t="inlineStr">
        <is>
          <t>79.8</t>
        </is>
      </c>
      <c r="AU1442" t="inlineStr">
        <is>
          <t>164</t>
        </is>
      </c>
      <c r="AV1442" t="inlineStr">
        <is>
          <t>3.4</t>
        </is>
      </c>
      <c r="AW1442" t="inlineStr">
        <is>
          <t>701+</t>
        </is>
      </c>
      <c r="AX1442" t="inlineStr">
        <is>
          <t>9.7</t>
        </is>
      </c>
      <c r="AY1442" t="inlineStr">
        <is>
          <t>701+</t>
        </is>
      </c>
      <c r="AZ1442" t="inlineStr">
        <is>
          <t>10.6</t>
        </is>
      </c>
      <c r="BA1442" t="inlineStr">
        <is>
          <t>661=</t>
        </is>
      </c>
    </row>
    <row r="1443">
      <c r="A1443" t="inlineStr">
        <is>
          <t>University at Albany SUNY</t>
        </is>
      </c>
      <c r="B1443" t="inlineStr">
        <is>
          <t>United States</t>
        </is>
      </c>
      <c r="C1443" t="inlineStr">
        <is>
          <t>US</t>
        </is>
      </c>
      <c r="D1443" t="inlineStr">
        <is>
          <t>Americas</t>
        </is>
      </c>
      <c r="E1443" t="inlineStr">
        <is>
          <t>L</t>
        </is>
      </c>
      <c r="F1443" t="inlineStr">
        <is>
          <t>CO</t>
        </is>
      </c>
      <c r="G1443" t="inlineStr">
        <is>
          <t>VH</t>
        </is>
      </c>
      <c r="H1443" t="inlineStr">
        <is>
          <t>5</t>
        </is>
      </c>
      <c r="I1443" t="inlineStr">
        <is>
          <t>Public</t>
        </is>
      </c>
      <c r="J1443" t="inlineStr">
        <is>
          <t>901-950</t>
        </is>
      </c>
      <c r="K1443" t="inlineStr">
        <is>
          <t>851-900</t>
        </is>
      </c>
      <c r="L1443" t="inlineStr">
        <is>
          <t>771-780</t>
        </is>
      </c>
      <c r="M1443" t="inlineStr">
        <is>
          <t>801-1000</t>
        </is>
      </c>
      <c r="N1443" t="inlineStr">
        <is>
          <t>-</t>
        </is>
      </c>
      <c r="O1443" t="inlineStr">
        <is>
          <t>-</t>
        </is>
      </c>
      <c r="P1443" t="n">
        <v>10.1</v>
      </c>
      <c r="Q1443" t="inlineStr">
        <is>
          <t>701+</t>
        </is>
      </c>
      <c r="R1443" t="n">
        <v>9.699999999999999</v>
      </c>
      <c r="S1443" t="inlineStr">
        <is>
          <t>701+</t>
        </is>
      </c>
      <c r="T1443" t="n">
        <v>7.3</v>
      </c>
      <c r="U1443" t="inlineStr">
        <is>
          <t>801+</t>
        </is>
      </c>
      <c r="V1443" t="n">
        <v>44.1</v>
      </c>
      <c r="W1443" t="inlineStr">
        <is>
          <t>427</t>
        </is>
      </c>
      <c r="X1443" t="n">
        <v>5.3</v>
      </c>
      <c r="Y1443" t="inlineStr">
        <is>
          <t>801+</t>
        </is>
      </c>
      <c r="Z1443" t="n">
        <v>10.1</v>
      </c>
      <c r="AA1443" t="inlineStr">
        <is>
          <t>801+</t>
        </is>
      </c>
      <c r="AB1443" t="n">
        <v>7.8</v>
      </c>
      <c r="AC1443" t="inlineStr">
        <is>
          <t>801+</t>
        </is>
      </c>
      <c r="AD1443" t="n">
        <v>63.2</v>
      </c>
      <c r="AE1443" t="inlineStr">
        <is>
          <t>647</t>
        </is>
      </c>
      <c r="AF1443" t="n">
        <v>12.8</v>
      </c>
      <c r="AG1443" t="inlineStr">
        <is>
          <t>801+</t>
        </is>
      </c>
      <c r="AH1443" t="n">
        <v>47.4</v>
      </c>
      <c r="AI1443" t="inlineStr">
        <is>
          <t>776=</t>
        </is>
      </c>
      <c r="AJ1443" t="inlineStr">
        <is>
          <t>8.6</t>
        </is>
      </c>
      <c r="AK1443" t="inlineStr">
        <is>
          <t>601+</t>
        </is>
      </c>
      <c r="AL1443" t="inlineStr">
        <is>
          <t>4.5</t>
        </is>
      </c>
      <c r="AM1443" t="inlineStr">
        <is>
          <t>601+</t>
        </is>
      </c>
      <c r="AN1443" t="inlineStr">
        <is>
          <t>5.3</t>
        </is>
      </c>
      <c r="AO1443" t="inlineStr">
        <is>
          <t>701+</t>
        </is>
      </c>
      <c r="AP1443" t="inlineStr">
        <is>
          <t>41.8</t>
        </is>
      </c>
      <c r="AQ1443" t="inlineStr">
        <is>
          <t>324</t>
        </is>
      </c>
      <c r="AR1443" t="inlineStr">
        <is>
          <t>4.2</t>
        </is>
      </c>
      <c r="AS1443" t="inlineStr">
        <is>
          <t>701+</t>
        </is>
      </c>
      <c r="AT1443" t="inlineStr">
        <is>
          <t>6.0</t>
        </is>
      </c>
      <c r="AU1443" t="inlineStr">
        <is>
          <t>701+</t>
        </is>
      </c>
      <c r="AV1443" t="inlineStr">
        <is>
          <t>23.2</t>
        </is>
      </c>
      <c r="AW1443" t="inlineStr">
        <is>
          <t>518</t>
        </is>
      </c>
      <c r="AX1443" t="inlineStr">
        <is>
          <t>9.4</t>
        </is>
      </c>
      <c r="AY1443" t="inlineStr">
        <is>
          <t>701+</t>
        </is>
      </c>
      <c r="AZ1443" t="inlineStr">
        <is>
          <t>23.9</t>
        </is>
      </c>
      <c r="BA1443" t="inlineStr">
        <is>
          <t>504=</t>
        </is>
      </c>
    </row>
    <row r="1444">
      <c r="A1444" t="inlineStr">
        <is>
          <t>University at Buffalo SUNY</t>
        </is>
      </c>
      <c r="B1444" t="inlineStr">
        <is>
          <t>United States</t>
        </is>
      </c>
      <c r="C1444" t="inlineStr">
        <is>
          <t>US</t>
        </is>
      </c>
      <c r="D1444" t="inlineStr">
        <is>
          <t>Americas</t>
        </is>
      </c>
      <c r="E1444" t="inlineStr">
        <is>
          <t>L</t>
        </is>
      </c>
      <c r="F1444" t="inlineStr">
        <is>
          <t>FC</t>
        </is>
      </c>
      <c r="G1444" t="inlineStr">
        <is>
          <t>VH</t>
        </is>
      </c>
      <c r="H1444" t="inlineStr">
        <is>
          <t>5</t>
        </is>
      </c>
      <c r="I1444" t="inlineStr">
        <is>
          <t>Public</t>
        </is>
      </c>
      <c r="J1444" t="inlineStr">
        <is>
          <t>410</t>
        </is>
      </c>
      <c r="K1444" t="inlineStr">
        <is>
          <t>466</t>
        </is>
      </c>
      <c r="L1444">
        <f>491</f>
        <v/>
      </c>
      <c r="M1444" t="inlineStr">
        <is>
          <t>425=</t>
        </is>
      </c>
      <c r="N1444" t="inlineStr">
        <is>
          <t>36.7</t>
        </is>
      </c>
      <c r="O1444" t="inlineStr">
        <is>
          <t>23.5</t>
        </is>
      </c>
      <c r="P1444" t="n">
        <v>26.3</v>
      </c>
      <c r="Q1444" t="inlineStr">
        <is>
          <t>482</t>
        </is>
      </c>
      <c r="R1444" t="n">
        <v>19.1</v>
      </c>
      <c r="S1444" t="inlineStr">
        <is>
          <t>683</t>
        </is>
      </c>
      <c r="T1444" t="n">
        <v>10.7</v>
      </c>
      <c r="U1444" t="inlineStr">
        <is>
          <t>801+</t>
        </is>
      </c>
      <c r="V1444" t="n">
        <v>53</v>
      </c>
      <c r="W1444" t="inlineStr">
        <is>
          <t>354</t>
        </is>
      </c>
      <c r="X1444" t="n">
        <v>51.5</v>
      </c>
      <c r="Y1444" t="inlineStr">
        <is>
          <t>430</t>
        </is>
      </c>
      <c r="Z1444" t="n">
        <v>52.5</v>
      </c>
      <c r="AA1444" t="inlineStr">
        <is>
          <t>393</t>
        </is>
      </c>
      <c r="AB1444" t="n">
        <v>57</v>
      </c>
      <c r="AC1444" t="inlineStr">
        <is>
          <t>358</t>
        </is>
      </c>
      <c r="AD1444" t="n">
        <v>74.09999999999999</v>
      </c>
      <c r="AE1444" t="inlineStr">
        <is>
          <t>462</t>
        </is>
      </c>
      <c r="AF1444" t="n">
        <v>43.7</v>
      </c>
      <c r="AG1444" t="inlineStr">
        <is>
          <t>405</t>
        </is>
      </c>
      <c r="AH1444" t="n">
        <v>82.7</v>
      </c>
      <c r="AI1444" t="inlineStr">
        <is>
          <t>138=</t>
        </is>
      </c>
      <c r="AJ1444" t="inlineStr">
        <is>
          <t>18.0</t>
        </is>
      </c>
      <c r="AK1444" t="inlineStr">
        <is>
          <t>499</t>
        </is>
      </c>
      <c r="AL1444" t="inlineStr">
        <is>
          <t>8.3</t>
        </is>
      </c>
      <c r="AM1444" t="inlineStr">
        <is>
          <t>601+</t>
        </is>
      </c>
      <c r="AN1444" t="inlineStr">
        <is>
          <t>7.8</t>
        </is>
      </c>
      <c r="AO1444" t="inlineStr">
        <is>
          <t>701+</t>
        </is>
      </c>
      <c r="AP1444" t="inlineStr">
        <is>
          <t>37.2</t>
        </is>
      </c>
      <c r="AQ1444" t="inlineStr">
        <is>
          <t>378</t>
        </is>
      </c>
      <c r="AR1444" t="inlineStr">
        <is>
          <t>42.8</t>
        </is>
      </c>
      <c r="AS1444" t="inlineStr">
        <is>
          <t>389</t>
        </is>
      </c>
      <c r="AT1444" t="inlineStr">
        <is>
          <t>33.3</t>
        </is>
      </c>
      <c r="AU1444" t="inlineStr">
        <is>
          <t>390</t>
        </is>
      </c>
      <c r="AV1444" t="inlineStr">
        <is>
          <t>23.3</t>
        </is>
      </c>
      <c r="AW1444" t="inlineStr">
        <is>
          <t>516</t>
        </is>
      </c>
      <c r="AX1444" t="inlineStr">
        <is>
          <t>24.6</t>
        </is>
      </c>
      <c r="AY1444" t="inlineStr">
        <is>
          <t>340</t>
        </is>
      </c>
      <c r="AZ1444" t="inlineStr">
        <is>
          <t>50.6</t>
        </is>
      </c>
      <c r="BA1444" t="inlineStr">
        <is>
          <t>305=</t>
        </is>
      </c>
    </row>
    <row r="1445">
      <c r="A1445" t="inlineStr">
        <is>
          <t>University College Cork</t>
        </is>
      </c>
      <c r="B1445" t="inlineStr">
        <is>
          <t>Ireland</t>
        </is>
      </c>
      <c r="C1445" t="inlineStr">
        <is>
          <t>IE</t>
        </is>
      </c>
      <c r="D1445" t="inlineStr">
        <is>
          <t>Europe</t>
        </is>
      </c>
      <c r="E1445" t="inlineStr">
        <is>
          <t>L</t>
        </is>
      </c>
      <c r="F1445" t="inlineStr">
        <is>
          <t>FC</t>
        </is>
      </c>
      <c r="G1445" t="inlineStr">
        <is>
          <t>VH</t>
        </is>
      </c>
      <c r="H1445" t="inlineStr">
        <is>
          <t>5</t>
        </is>
      </c>
      <c r="I1445" t="inlineStr">
        <is>
          <t>Public</t>
        </is>
      </c>
      <c r="J1445" t="inlineStr">
        <is>
          <t>246</t>
        </is>
      </c>
      <c r="K1445" t="inlineStr">
        <is>
          <t>273</t>
        </is>
      </c>
      <c r="L1445">
        <f>292</f>
        <v/>
      </c>
      <c r="M1445" t="inlineStr">
        <is>
          <t>303</t>
        </is>
      </c>
      <c r="N1445" t="inlineStr">
        <is>
          <t>50.7</t>
        </is>
      </c>
      <c r="O1445" t="inlineStr">
        <is>
          <t>35.7</t>
        </is>
      </c>
      <c r="P1445" t="n">
        <v>43.4</v>
      </c>
      <c r="Q1445" t="inlineStr">
        <is>
          <t>270</t>
        </is>
      </c>
      <c r="R1445" t="n">
        <v>48.1</v>
      </c>
      <c r="S1445" t="inlineStr">
        <is>
          <t>269</t>
        </is>
      </c>
      <c r="T1445" t="n">
        <v>22.5</v>
      </c>
      <c r="U1445" t="inlineStr">
        <is>
          <t>782</t>
        </is>
      </c>
      <c r="V1445" t="n">
        <v>52.7</v>
      </c>
      <c r="W1445" t="inlineStr">
        <is>
          <t>357</t>
        </is>
      </c>
      <c r="X1445" t="n">
        <v>86.2</v>
      </c>
      <c r="Y1445" t="inlineStr">
        <is>
          <t>253</t>
        </is>
      </c>
      <c r="Z1445" t="n">
        <v>75</v>
      </c>
      <c r="AA1445" t="inlineStr">
        <is>
          <t>255</t>
        </is>
      </c>
      <c r="AB1445" t="n">
        <v>77.40000000000001</v>
      </c>
      <c r="AC1445" t="inlineStr">
        <is>
          <t>224</t>
        </is>
      </c>
      <c r="AD1445" t="n">
        <v>68.8</v>
      </c>
      <c r="AE1445" t="inlineStr">
        <is>
          <t>551</t>
        </is>
      </c>
      <c r="AF1445" t="n">
        <v>49.5</v>
      </c>
      <c r="AG1445" t="inlineStr">
        <is>
          <t>351</t>
        </is>
      </c>
      <c r="AH1445" t="n">
        <v>83.8</v>
      </c>
      <c r="AI1445" t="inlineStr">
        <is>
          <t>127=</t>
        </is>
      </c>
      <c r="AJ1445" t="inlineStr">
        <is>
          <t>28.4</t>
        </is>
      </c>
      <c r="AK1445" t="inlineStr">
        <is>
          <t>309</t>
        </is>
      </c>
      <c r="AL1445" t="inlineStr">
        <is>
          <t>36.3</t>
        </is>
      </c>
      <c r="AM1445" t="inlineStr">
        <is>
          <t>270</t>
        </is>
      </c>
      <c r="AN1445" t="inlineStr">
        <is>
          <t>29.4</t>
        </is>
      </c>
      <c r="AO1445" t="inlineStr">
        <is>
          <t>528</t>
        </is>
      </c>
      <c r="AP1445" t="inlineStr">
        <is>
          <t>21.6</t>
        </is>
      </c>
      <c r="AQ1445" t="inlineStr">
        <is>
          <t>534</t>
        </is>
      </c>
      <c r="AR1445" t="inlineStr">
        <is>
          <t>94.8</t>
        </is>
      </c>
      <c r="AS1445" t="inlineStr">
        <is>
          <t>152</t>
        </is>
      </c>
      <c r="AT1445" t="inlineStr">
        <is>
          <t>47.1</t>
        </is>
      </c>
      <c r="AU1445" t="inlineStr">
        <is>
          <t>308</t>
        </is>
      </c>
      <c r="AV1445" t="inlineStr">
        <is>
          <t>25.1</t>
        </is>
      </c>
      <c r="AW1445" t="inlineStr">
        <is>
          <t>496</t>
        </is>
      </c>
      <c r="AX1445" t="inlineStr">
        <is>
          <t>23.5</t>
        </is>
      </c>
      <c r="AY1445" t="inlineStr">
        <is>
          <t>360</t>
        </is>
      </c>
      <c r="AZ1445" t="inlineStr">
        <is>
          <t>96.1</t>
        </is>
      </c>
      <c r="BA1445" t="inlineStr">
        <is>
          <t>46</t>
        </is>
      </c>
    </row>
    <row r="1446">
      <c r="A1446" t="inlineStr">
        <is>
          <t>University College Dublin</t>
        </is>
      </c>
      <c r="B1446" t="inlineStr">
        <is>
          <t>Ireland</t>
        </is>
      </c>
      <c r="C1446" t="inlineStr">
        <is>
          <t>IE</t>
        </is>
      </c>
      <c r="D1446" t="inlineStr">
        <is>
          <t>Europe</t>
        </is>
      </c>
      <c r="E1446" t="inlineStr">
        <is>
          <t>L</t>
        </is>
      </c>
      <c r="F1446" t="inlineStr">
        <is>
          <t>FC</t>
        </is>
      </c>
      <c r="G1446" t="inlineStr">
        <is>
          <t>VH</t>
        </is>
      </c>
      <c r="H1446" t="inlineStr">
        <is>
          <t>5</t>
        </is>
      </c>
      <c r="I1446" t="inlineStr">
        <is>
          <t>Public</t>
        </is>
      </c>
      <c r="J1446" t="inlineStr">
        <is>
          <t>118</t>
        </is>
      </c>
      <c r="K1446" t="inlineStr">
        <is>
          <t>126</t>
        </is>
      </c>
      <c r="L1446">
        <f>171</f>
        <v/>
      </c>
      <c r="M1446" t="inlineStr">
        <is>
          <t>181=</t>
        </is>
      </c>
      <c r="N1446" t="inlineStr">
        <is>
          <t>66</t>
        </is>
      </c>
      <c r="O1446" t="inlineStr">
        <is>
          <t>48.8</t>
        </is>
      </c>
      <c r="P1446" t="n">
        <v>66.5</v>
      </c>
      <c r="Q1446" t="inlineStr">
        <is>
          <t>149</t>
        </is>
      </c>
      <c r="R1446" t="n">
        <v>57.6</v>
      </c>
      <c r="S1446" t="inlineStr">
        <is>
          <t>204</t>
        </is>
      </c>
      <c r="T1446" t="n">
        <v>19.7</v>
      </c>
      <c r="U1446" t="inlineStr">
        <is>
          <t>801+</t>
        </is>
      </c>
      <c r="V1446" t="n">
        <v>62</v>
      </c>
      <c r="W1446" t="inlineStr">
        <is>
          <t>272</t>
        </is>
      </c>
      <c r="X1446" t="n">
        <v>99.5</v>
      </c>
      <c r="Y1446" t="inlineStr">
        <is>
          <t>112</t>
        </is>
      </c>
      <c r="Z1446" t="n">
        <v>89.59999999999999</v>
      </c>
      <c r="AA1446" t="inlineStr">
        <is>
          <t>170</t>
        </is>
      </c>
      <c r="AB1446" t="n">
        <v>90.5</v>
      </c>
      <c r="AC1446" t="inlineStr">
        <is>
          <t>144</t>
        </is>
      </c>
      <c r="AD1446" t="n">
        <v>89</v>
      </c>
      <c r="AE1446" t="inlineStr">
        <is>
          <t>188</t>
        </is>
      </c>
      <c r="AF1446" t="n">
        <v>92.2</v>
      </c>
      <c r="AG1446" t="inlineStr">
        <is>
          <t>88</t>
        </is>
      </c>
      <c r="AH1446" t="n">
        <v>91.7</v>
      </c>
      <c r="AI1446" t="inlineStr">
        <is>
          <t>49=</t>
        </is>
      </c>
      <c r="AJ1446" t="inlineStr">
        <is>
          <t>49.8</t>
        </is>
      </c>
      <c r="AK1446" t="inlineStr">
        <is>
          <t>162</t>
        </is>
      </c>
      <c r="AL1446" t="inlineStr">
        <is>
          <t>41.3</t>
        </is>
      </c>
      <c r="AM1446" t="inlineStr">
        <is>
          <t>226</t>
        </is>
      </c>
      <c r="AN1446" t="inlineStr">
        <is>
          <t>20.7</t>
        </is>
      </c>
      <c r="AO1446" t="inlineStr">
        <is>
          <t>652</t>
        </is>
      </c>
      <c r="AP1446" t="inlineStr">
        <is>
          <t>38.9</t>
        </is>
      </c>
      <c r="AQ1446" t="inlineStr">
        <is>
          <t>354</t>
        </is>
      </c>
      <c r="AR1446" t="inlineStr">
        <is>
          <t>98.8</t>
        </is>
      </c>
      <c r="AS1446" t="inlineStr">
        <is>
          <t>101</t>
        </is>
      </c>
      <c r="AT1446" t="inlineStr">
        <is>
          <t>60.8</t>
        </is>
      </c>
      <c r="AU1446" t="inlineStr">
        <is>
          <t>245</t>
        </is>
      </c>
      <c r="AV1446" t="inlineStr">
        <is>
          <t>50.5</t>
        </is>
      </c>
      <c r="AW1446" t="inlineStr">
        <is>
          <t>309</t>
        </is>
      </c>
      <c r="AX1446" t="inlineStr">
        <is>
          <t>69</t>
        </is>
      </c>
      <c r="AY1446" t="inlineStr">
        <is>
          <t>75</t>
        </is>
      </c>
      <c r="AZ1446" t="inlineStr">
        <is>
          <t>70.1</t>
        </is>
      </c>
      <c r="BA1446" t="inlineStr">
        <is>
          <t>204=</t>
        </is>
      </c>
    </row>
    <row r="1447">
      <c r="A1447" t="inlineStr">
        <is>
          <t>University Complutense Madrid</t>
        </is>
      </c>
      <c r="B1447" t="inlineStr">
        <is>
          <t>Spain</t>
        </is>
      </c>
      <c r="C1447" t="inlineStr"/>
      <c r="D1447" t="inlineStr">
        <is>
          <t>Europe</t>
        </is>
      </c>
      <c r="E1447" t="inlineStr">
        <is>
          <t>XL</t>
        </is>
      </c>
      <c r="F1447" t="inlineStr">
        <is>
          <t>FC</t>
        </is>
      </c>
      <c r="G1447" t="inlineStr">
        <is>
          <t>VH</t>
        </is>
      </c>
      <c r="H1447" t="inlineStr"/>
      <c r="I1447" t="inlineStr">
        <is>
          <t>Public</t>
        </is>
      </c>
      <c r="J1447" t="inlineStr">
        <is>
          <t>187</t>
        </is>
      </c>
      <c r="K1447" t="inlineStr">
        <is>
          <t>164</t>
        </is>
      </c>
      <c r="L1447" t="inlineStr"/>
      <c r="M1447" t="inlineStr"/>
      <c r="N1447" t="inlineStr">
        <is>
          <t>57.1</t>
        </is>
      </c>
      <c r="O1447" t="inlineStr"/>
      <c r="P1447" t="n">
        <v>78.5</v>
      </c>
      <c r="Q1447" t="inlineStr">
        <is>
          <t>101</t>
        </is>
      </c>
      <c r="R1447" t="n">
        <v>73.90000000000001</v>
      </c>
      <c r="S1447" t="inlineStr">
        <is>
          <t>131</t>
        </is>
      </c>
      <c r="T1447" t="n">
        <v>41.6</v>
      </c>
      <c r="U1447" t="inlineStr">
        <is>
          <t>486</t>
        </is>
      </c>
      <c r="V1447" t="n">
        <v>12.8</v>
      </c>
      <c r="W1447" t="inlineStr">
        <is>
          <t>801+</t>
        </is>
      </c>
      <c r="X1447" t="n">
        <v>18.2</v>
      </c>
      <c r="Y1447" t="inlineStr">
        <is>
          <t>736</t>
        </is>
      </c>
      <c r="Z1447" t="n">
        <v>32.9</v>
      </c>
      <c r="AA1447" t="inlineStr">
        <is>
          <t>561</t>
        </is>
      </c>
      <c r="AB1447" t="n">
        <v>38.7</v>
      </c>
      <c r="AC1447" t="inlineStr">
        <is>
          <t>511</t>
        </is>
      </c>
      <c r="AD1447" t="n">
        <v>92.7</v>
      </c>
      <c r="AE1447" t="inlineStr">
        <is>
          <t>132</t>
        </is>
      </c>
      <c r="AF1447" t="n">
        <v>97.3</v>
      </c>
      <c r="AG1447" t="inlineStr">
        <is>
          <t>53</t>
        </is>
      </c>
      <c r="AH1447" t="n">
        <v>80.40000000000001</v>
      </c>
      <c r="AI1447" t="inlineStr">
        <is>
          <t>163=</t>
        </is>
      </c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</row>
    <row r="1448">
      <c r="A1448" t="inlineStr">
        <is>
          <t>University Duesseldorf</t>
        </is>
      </c>
      <c r="B1448" t="inlineStr">
        <is>
          <t>Germany</t>
        </is>
      </c>
      <c r="C1448" t="inlineStr">
        <is>
          <t>DE</t>
        </is>
      </c>
      <c r="D1448" t="inlineStr"/>
      <c r="E1448" t="inlineStr">
        <is>
          <t>XL</t>
        </is>
      </c>
      <c r="F1448" t="inlineStr">
        <is>
          <t>FC</t>
        </is>
      </c>
      <c r="G1448" t="inlineStr">
        <is>
          <t>HI</t>
        </is>
      </c>
      <c r="H1448" t="inlineStr">
        <is>
          <t>4</t>
        </is>
      </c>
      <c r="I1448" t="inlineStr">
        <is>
          <t>A</t>
        </is>
      </c>
      <c r="J1448" t="inlineStr"/>
      <c r="K1448" t="inlineStr"/>
      <c r="L1448" t="inlineStr">
        <is>
          <t>801-850</t>
        </is>
      </c>
      <c r="M1448" t="inlineStr">
        <is>
          <t>751-800</t>
        </is>
      </c>
      <c r="N1448" t="inlineStr"/>
      <c r="O1448" t="inlineStr">
        <is>
          <t>-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>
        <is>
          <t>12.9</t>
        </is>
      </c>
      <c r="AK1448" t="inlineStr">
        <is>
          <t>601+</t>
        </is>
      </c>
      <c r="AL1448" t="inlineStr">
        <is>
          <t>7.6</t>
        </is>
      </c>
      <c r="AM1448" t="inlineStr">
        <is>
          <t>601+</t>
        </is>
      </c>
      <c r="AN1448" t="inlineStr">
        <is>
          <t>41.1</t>
        </is>
      </c>
      <c r="AO1448" t="inlineStr">
        <is>
          <t>382</t>
        </is>
      </c>
      <c r="AP1448" t="inlineStr">
        <is>
          <t>7.5</t>
        </is>
      </c>
      <c r="AQ1448" t="inlineStr">
        <is>
          <t>701+</t>
        </is>
      </c>
      <c r="AR1448" t="inlineStr"/>
      <c r="AS1448" t="inlineStr"/>
      <c r="AT1448" t="inlineStr">
        <is>
          <t>15.7</t>
        </is>
      </c>
      <c r="AU1448" t="inlineStr">
        <is>
          <t>604</t>
        </is>
      </c>
      <c r="AV1448" t="inlineStr">
        <is>
          <t>30.9</t>
        </is>
      </c>
      <c r="AW1448" t="inlineStr">
        <is>
          <t>454</t>
        </is>
      </c>
      <c r="AX1448" t="inlineStr">
        <is>
          <t>9.5</t>
        </is>
      </c>
      <c r="AY1448" t="inlineStr">
        <is>
          <t>701+</t>
        </is>
      </c>
      <c r="AZ1448" t="inlineStr">
        <is>
          <t>1.7</t>
        </is>
      </c>
      <c r="BA1448" t="inlineStr">
        <is>
          <t>701+</t>
        </is>
      </c>
    </row>
    <row r="1449">
      <c r="A1449" t="inlineStr">
        <is>
          <t>University of Aberdeen</t>
        </is>
      </c>
      <c r="B1449" t="inlineStr">
        <is>
          <t>United Kingdom</t>
        </is>
      </c>
      <c r="C1449" t="inlineStr">
        <is>
          <t>UK</t>
        </is>
      </c>
      <c r="D1449" t="inlineStr">
        <is>
          <t>Europe</t>
        </is>
      </c>
      <c r="E1449" t="inlineStr">
        <is>
          <t>M</t>
        </is>
      </c>
      <c r="F1449" t="inlineStr">
        <is>
          <t>FC</t>
        </is>
      </c>
      <c r="G1449" t="inlineStr">
        <is>
          <t>VH</t>
        </is>
      </c>
      <c r="H1449" t="inlineStr">
        <is>
          <t>5</t>
        </is>
      </c>
      <c r="I1449" t="inlineStr">
        <is>
          <t>A</t>
        </is>
      </c>
      <c r="J1449" t="inlineStr">
        <is>
          <t>262</t>
        </is>
      </c>
      <c r="K1449" t="inlineStr">
        <is>
          <t>236</t>
        </is>
      </c>
      <c r="L1449" t="inlineStr">
        <is>
          <t>208</t>
        </is>
      </c>
      <c r="M1449" t="inlineStr">
        <is>
          <t>220=</t>
        </is>
      </c>
      <c r="N1449" t="inlineStr">
        <is>
          <t>49.3</t>
        </is>
      </c>
      <c r="O1449" t="inlineStr">
        <is>
          <t>44.6</t>
        </is>
      </c>
      <c r="P1449" t="n">
        <v>40.1</v>
      </c>
      <c r="Q1449" t="inlineStr">
        <is>
          <t>299</t>
        </is>
      </c>
      <c r="R1449" t="n">
        <v>34.8</v>
      </c>
      <c r="S1449" t="inlineStr">
        <is>
          <t>413</t>
        </is>
      </c>
      <c r="T1449" t="n">
        <v>44.9</v>
      </c>
      <c r="U1449" t="inlineStr">
        <is>
          <t>437</t>
        </is>
      </c>
      <c r="V1449" t="n">
        <v>42.9</v>
      </c>
      <c r="W1449" t="inlineStr">
        <is>
          <t>442</t>
        </is>
      </c>
      <c r="X1449" t="n">
        <v>95.8</v>
      </c>
      <c r="Y1449" t="inlineStr">
        <is>
          <t>168</t>
        </is>
      </c>
      <c r="Z1449" t="n">
        <v>87.2</v>
      </c>
      <c r="AA1449" t="inlineStr">
        <is>
          <t>185</t>
        </is>
      </c>
      <c r="AB1449" t="n">
        <v>88.3</v>
      </c>
      <c r="AC1449" t="inlineStr">
        <is>
          <t>155</t>
        </is>
      </c>
      <c r="AD1449" t="n">
        <v>89.7</v>
      </c>
      <c r="AE1449" t="inlineStr">
        <is>
          <t>176</t>
        </is>
      </c>
      <c r="AF1449" t="n">
        <v>30</v>
      </c>
      <c r="AG1449" t="inlineStr">
        <is>
          <t>549</t>
        </is>
      </c>
      <c r="AH1449" t="n">
        <v>87.8</v>
      </c>
      <c r="AI1449" t="inlineStr">
        <is>
          <t>83=</t>
        </is>
      </c>
      <c r="AJ1449" t="inlineStr">
        <is>
          <t>29.6</t>
        </is>
      </c>
      <c r="AK1449" t="inlineStr">
        <is>
          <t>292</t>
        </is>
      </c>
      <c r="AL1449" t="inlineStr">
        <is>
          <t>32.5</t>
        </is>
      </c>
      <c r="AM1449" t="inlineStr">
        <is>
          <t>302</t>
        </is>
      </c>
      <c r="AN1449" t="inlineStr">
        <is>
          <t>29.6</t>
        </is>
      </c>
      <c r="AO1449" t="inlineStr">
        <is>
          <t>525</t>
        </is>
      </c>
      <c r="AP1449" t="inlineStr">
        <is>
          <t>42.1</t>
        </is>
      </c>
      <c r="AQ1449" t="inlineStr">
        <is>
          <t>322</t>
        </is>
      </c>
      <c r="AR1449" t="inlineStr">
        <is>
          <t>95.8</t>
        </is>
      </c>
      <c r="AS1449" t="inlineStr">
        <is>
          <t>144</t>
        </is>
      </c>
      <c r="AT1449" t="inlineStr">
        <is>
          <t>96.7</t>
        </is>
      </c>
      <c r="AU1449" t="inlineStr">
        <is>
          <t>77</t>
        </is>
      </c>
      <c r="AV1449" t="inlineStr">
        <is>
          <t>73.3</t>
        </is>
      </c>
      <c r="AW1449" t="inlineStr">
        <is>
          <t>180</t>
        </is>
      </c>
      <c r="AX1449" t="inlineStr">
        <is>
          <t>20.5</t>
        </is>
      </c>
      <c r="AY1449" t="inlineStr">
        <is>
          <t>408</t>
        </is>
      </c>
      <c r="AZ1449" t="inlineStr">
        <is>
          <t>98.1</t>
        </is>
      </c>
      <c r="BA1449" t="inlineStr">
        <is>
          <t>21</t>
        </is>
      </c>
    </row>
    <row r="1450">
      <c r="A1450" t="inlineStr">
        <is>
          <t>University of Agriculture, Faisalabad</t>
        </is>
      </c>
      <c r="B1450" t="inlineStr">
        <is>
          <t>Pakistan</t>
        </is>
      </c>
      <c r="C1450" t="inlineStr">
        <is>
          <t>PK</t>
        </is>
      </c>
      <c r="D1450" t="inlineStr">
        <is>
          <t>Asia</t>
        </is>
      </c>
      <c r="E1450" t="inlineStr">
        <is>
          <t>XL</t>
        </is>
      </c>
      <c r="F1450" t="inlineStr">
        <is>
          <t>CO</t>
        </is>
      </c>
      <c r="G1450" t="inlineStr">
        <is>
          <t>VH</t>
        </is>
      </c>
      <c r="H1450" t="inlineStr">
        <is>
          <t>4</t>
        </is>
      </c>
      <c r="I1450" t="inlineStr">
        <is>
          <t>Public</t>
        </is>
      </c>
      <c r="J1450" t="inlineStr">
        <is>
          <t>654</t>
        </is>
      </c>
      <c r="K1450" t="inlineStr">
        <is>
          <t>681-690</t>
        </is>
      </c>
      <c r="L1450" t="inlineStr">
        <is>
          <t>741-750</t>
        </is>
      </c>
      <c r="M1450" t="inlineStr">
        <is>
          <t>1001-1200</t>
        </is>
      </c>
      <c r="N1450" t="inlineStr">
        <is>
          <t>26.6</t>
        </is>
      </c>
      <c r="O1450" t="inlineStr">
        <is>
          <t>-</t>
        </is>
      </c>
      <c r="P1450" t="n">
        <v>7.3</v>
      </c>
      <c r="Q1450" t="inlineStr">
        <is>
          <t>701+</t>
        </is>
      </c>
      <c r="R1450" t="n">
        <v>14.6</v>
      </c>
      <c r="S1450" t="inlineStr">
        <is>
          <t>701+</t>
        </is>
      </c>
      <c r="T1450" t="n">
        <v>2.2</v>
      </c>
      <c r="U1450" t="inlineStr">
        <is>
          <t>801+</t>
        </is>
      </c>
      <c r="V1450" t="n">
        <v>83.40000000000001</v>
      </c>
      <c r="W1450" t="inlineStr">
        <is>
          <t>133</t>
        </is>
      </c>
      <c r="X1450" t="n">
        <v>2.6</v>
      </c>
      <c r="Y1450" t="inlineStr">
        <is>
          <t>801+</t>
        </is>
      </c>
      <c r="Z1450" t="n">
        <v>1.2</v>
      </c>
      <c r="AA1450" t="inlineStr">
        <is>
          <t>801+</t>
        </is>
      </c>
      <c r="AB1450" t="n">
        <v>5.6</v>
      </c>
      <c r="AC1450" t="inlineStr">
        <is>
          <t>801+</t>
        </is>
      </c>
      <c r="AD1450" t="n">
        <v>75.3</v>
      </c>
      <c r="AE1450" t="inlineStr">
        <is>
          <t>436</t>
        </is>
      </c>
      <c r="AF1450" t="n">
        <v>3.1</v>
      </c>
      <c r="AG1450" t="inlineStr">
        <is>
          <t>801+</t>
        </is>
      </c>
      <c r="AH1450" t="n">
        <v>48.4</v>
      </c>
      <c r="AI1450" t="inlineStr">
        <is>
          <t>746=</t>
        </is>
      </c>
      <c r="AJ1450" t="inlineStr">
        <is>
          <t>5.8</t>
        </is>
      </c>
      <c r="AK1450" t="inlineStr">
        <is>
          <t>601+</t>
        </is>
      </c>
      <c r="AL1450" t="inlineStr">
        <is>
          <t>11.9</t>
        </is>
      </c>
      <c r="AM1450" t="inlineStr">
        <is>
          <t>601+</t>
        </is>
      </c>
      <c r="AN1450" t="inlineStr">
        <is>
          <t>1.6</t>
        </is>
      </c>
      <c r="AO1450" t="inlineStr">
        <is>
          <t>701+</t>
        </is>
      </c>
      <c r="AP1450" t="inlineStr">
        <is>
          <t>49.5</t>
        </is>
      </c>
      <c r="AQ1450" t="inlineStr">
        <is>
          <t>268</t>
        </is>
      </c>
      <c r="AR1450" t="inlineStr">
        <is>
          <t>3.2</t>
        </is>
      </c>
      <c r="AS1450" t="inlineStr">
        <is>
          <t>701+</t>
        </is>
      </c>
      <c r="AT1450" t="inlineStr">
        <is>
          <t>1.1</t>
        </is>
      </c>
      <c r="AU1450" t="inlineStr">
        <is>
          <t>701+</t>
        </is>
      </c>
      <c r="AV1450" t="inlineStr">
        <is>
          <t>19.1</t>
        </is>
      </c>
      <c r="AW1450" t="inlineStr">
        <is>
          <t>549</t>
        </is>
      </c>
      <c r="AX1450" t="inlineStr">
        <is>
          <t>5.7</t>
        </is>
      </c>
      <c r="AY1450" t="inlineStr">
        <is>
          <t>701+</t>
        </is>
      </c>
      <c r="AZ1450" t="inlineStr">
        <is>
          <t>21.6</t>
        </is>
      </c>
      <c r="BA1450" t="inlineStr">
        <is>
          <t>528=</t>
        </is>
      </c>
    </row>
    <row r="1451">
      <c r="A1451" t="inlineStr">
        <is>
          <t>University of Alabama</t>
        </is>
      </c>
      <c r="B1451" t="inlineStr">
        <is>
          <t>United States</t>
        </is>
      </c>
      <c r="C1451" t="inlineStr"/>
      <c r="D1451" t="inlineStr">
        <is>
          <t>Americas</t>
        </is>
      </c>
      <c r="E1451" t="inlineStr">
        <is>
          <t>XL</t>
        </is>
      </c>
      <c r="F1451" t="inlineStr">
        <is>
          <t>CO</t>
        </is>
      </c>
      <c r="G1451" t="inlineStr">
        <is>
          <t>VH</t>
        </is>
      </c>
      <c r="H1451" t="inlineStr"/>
      <c r="I1451" t="inlineStr">
        <is>
          <t>Public</t>
        </is>
      </c>
      <c r="J1451" t="inlineStr">
        <is>
          <t>901-950</t>
        </is>
      </c>
      <c r="K1451" t="inlineStr">
        <is>
          <t>951-1000</t>
        </is>
      </c>
      <c r="L1451" t="inlineStr"/>
      <c r="M1451" t="inlineStr"/>
      <c r="N1451" t="inlineStr">
        <is>
          <t>-</t>
        </is>
      </c>
      <c r="O1451" t="inlineStr"/>
      <c r="P1451" t="n">
        <v>12.1</v>
      </c>
      <c r="Q1451" t="inlineStr">
        <is>
          <t>701+</t>
        </is>
      </c>
      <c r="R1451" t="n">
        <v>29.6</v>
      </c>
      <c r="S1451" t="inlineStr">
        <is>
          <t>482</t>
        </is>
      </c>
      <c r="T1451" t="n">
        <v>8</v>
      </c>
      <c r="U1451" t="inlineStr">
        <is>
          <t>801+</t>
        </is>
      </c>
      <c r="V1451" t="n">
        <v>18.8</v>
      </c>
      <c r="W1451" t="inlineStr">
        <is>
          <t>736</t>
        </is>
      </c>
      <c r="X1451" t="n">
        <v>7.1</v>
      </c>
      <c r="Y1451" t="inlineStr">
        <is>
          <t>801+</t>
        </is>
      </c>
      <c r="Z1451" t="n">
        <v>4.4</v>
      </c>
      <c r="AA1451" t="inlineStr">
        <is>
          <t>801+</t>
        </is>
      </c>
      <c r="AB1451" t="n">
        <v>3.5</v>
      </c>
      <c r="AC1451" t="inlineStr">
        <is>
          <t>801+</t>
        </is>
      </c>
      <c r="AD1451" t="n">
        <v>59.7</v>
      </c>
      <c r="AE1451" t="inlineStr">
        <is>
          <t>698</t>
        </is>
      </c>
      <c r="AF1451" t="n">
        <v>29.4</v>
      </c>
      <c r="AG1451" t="inlineStr">
        <is>
          <t>557</t>
        </is>
      </c>
      <c r="AH1451" t="n">
        <v>53.1</v>
      </c>
      <c r="AI1451" t="inlineStr">
        <is>
          <t>644=</t>
        </is>
      </c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</row>
    <row r="1452">
      <c r="A1452" t="inlineStr">
        <is>
          <t>University of Alabama, Birmingham</t>
        </is>
      </c>
      <c r="B1452" t="inlineStr">
        <is>
          <t>United States</t>
        </is>
      </c>
      <c r="C1452" t="inlineStr">
        <is>
          <t>US</t>
        </is>
      </c>
      <c r="D1452" t="inlineStr">
        <is>
          <t>Americas</t>
        </is>
      </c>
      <c r="E1452" t="inlineStr">
        <is>
          <t>L</t>
        </is>
      </c>
      <c r="F1452" t="inlineStr">
        <is>
          <t>FC</t>
        </is>
      </c>
      <c r="G1452" t="inlineStr">
        <is>
          <t>VH</t>
        </is>
      </c>
      <c r="H1452" t="inlineStr">
        <is>
          <t>4</t>
        </is>
      </c>
      <c r="I1452" t="inlineStr">
        <is>
          <t>Public</t>
        </is>
      </c>
      <c r="J1452" t="inlineStr">
        <is>
          <t>1001-1200</t>
        </is>
      </c>
      <c r="K1452" t="inlineStr">
        <is>
          <t>901-950</t>
        </is>
      </c>
      <c r="L1452" t="inlineStr">
        <is>
          <t>901-950</t>
        </is>
      </c>
      <c r="M1452" t="inlineStr">
        <is>
          <t>651-700</t>
        </is>
      </c>
      <c r="N1452" t="inlineStr">
        <is>
          <t>-</t>
        </is>
      </c>
      <c r="O1452" t="inlineStr">
        <is>
          <t>-</t>
        </is>
      </c>
      <c r="P1452" t="n">
        <v>7.3</v>
      </c>
      <c r="Q1452" t="inlineStr">
        <is>
          <t>701+</t>
        </is>
      </c>
      <c r="R1452" t="n">
        <v>4.6</v>
      </c>
      <c r="S1452" t="inlineStr">
        <is>
          <t>701+</t>
        </is>
      </c>
      <c r="T1452" t="n">
        <v>62.6</v>
      </c>
      <c r="U1452" t="inlineStr">
        <is>
          <t>283</t>
        </is>
      </c>
      <c r="V1452" t="n">
        <v>24.1</v>
      </c>
      <c r="W1452" t="inlineStr">
        <is>
          <t>653</t>
        </is>
      </c>
      <c r="X1452" t="inlineStr"/>
      <c r="Y1452" t="inlineStr"/>
      <c r="Z1452" t="inlineStr"/>
      <c r="AA1452" t="inlineStr"/>
      <c r="AB1452" t="inlineStr"/>
      <c r="AC1452" t="inlineStr"/>
      <c r="AD1452" t="n">
        <v>57.2</v>
      </c>
      <c r="AE1452" t="inlineStr">
        <is>
          <t>732</t>
        </is>
      </c>
      <c r="AF1452" t="n">
        <v>5</v>
      </c>
      <c r="AG1452" t="inlineStr">
        <is>
          <t>801+</t>
        </is>
      </c>
      <c r="AH1452" t="n">
        <v>35.6</v>
      </c>
      <c r="AI1452" t="inlineStr">
        <is>
          <t>801+</t>
        </is>
      </c>
      <c r="AJ1452" t="inlineStr">
        <is>
          <t>6.7</t>
        </is>
      </c>
      <c r="AK1452" t="inlineStr">
        <is>
          <t>601+</t>
        </is>
      </c>
      <c r="AL1452" t="inlineStr">
        <is>
          <t>4.3</t>
        </is>
      </c>
      <c r="AM1452" t="inlineStr">
        <is>
          <t>601+</t>
        </is>
      </c>
      <c r="AN1452" t="inlineStr">
        <is>
          <t>49.4</t>
        </is>
      </c>
      <c r="AO1452" t="inlineStr">
        <is>
          <t>316</t>
        </is>
      </c>
      <c r="AP1452" t="inlineStr">
        <is>
          <t>18.0</t>
        </is>
      </c>
      <c r="AQ1452" t="inlineStr">
        <is>
          <t>584</t>
        </is>
      </c>
      <c r="AR1452" t="inlineStr"/>
      <c r="AS1452" t="inlineStr"/>
      <c r="AT1452" t="inlineStr"/>
      <c r="AU1452" t="inlineStr"/>
      <c r="AV1452" t="inlineStr">
        <is>
          <t>8.9</t>
        </is>
      </c>
      <c r="AW1452" t="inlineStr">
        <is>
          <t>701+</t>
        </is>
      </c>
      <c r="AX1452" t="inlineStr">
        <is>
          <t>7.3</t>
        </is>
      </c>
      <c r="AY1452" t="inlineStr">
        <is>
          <t>701+</t>
        </is>
      </c>
      <c r="AZ1452" t="inlineStr"/>
      <c r="BA1452" t="inlineStr"/>
    </row>
    <row r="1453">
      <c r="A1453" t="inlineStr">
        <is>
          <t>University of Alaska Fairbanks</t>
        </is>
      </c>
      <c r="B1453" t="inlineStr">
        <is>
          <t>United States</t>
        </is>
      </c>
      <c r="C1453" t="inlineStr">
        <is>
          <t>US</t>
        </is>
      </c>
      <c r="D1453" t="inlineStr">
        <is>
          <t>Americas</t>
        </is>
      </c>
      <c r="E1453" t="inlineStr">
        <is>
          <t>S</t>
        </is>
      </c>
      <c r="F1453" t="inlineStr">
        <is>
          <t>CO</t>
        </is>
      </c>
      <c r="G1453" t="inlineStr">
        <is>
          <t>VH</t>
        </is>
      </c>
      <c r="H1453" t="inlineStr"/>
      <c r="I1453" t="inlineStr">
        <is>
          <t>Public</t>
        </is>
      </c>
      <c r="J1453" t="inlineStr">
        <is>
          <t>901-950</t>
        </is>
      </c>
      <c r="K1453" t="inlineStr">
        <is>
          <t>801-850</t>
        </is>
      </c>
      <c r="L1453" t="inlineStr">
        <is>
          <t>781-790</t>
        </is>
      </c>
      <c r="M1453" t="inlineStr">
        <is>
          <t>467=</t>
        </is>
      </c>
      <c r="N1453" t="inlineStr">
        <is>
          <t>-</t>
        </is>
      </c>
      <c r="O1453" t="inlineStr">
        <is>
          <t>-</t>
        </is>
      </c>
      <c r="P1453" t="n">
        <v>3.4</v>
      </c>
      <c r="Q1453" t="inlineStr">
        <is>
          <t>701+</t>
        </is>
      </c>
      <c r="R1453" t="n">
        <v>3.5</v>
      </c>
      <c r="S1453" t="inlineStr">
        <is>
          <t>701+</t>
        </is>
      </c>
      <c r="T1453" t="n">
        <v>99.7</v>
      </c>
      <c r="U1453" t="inlineStr">
        <is>
          <t>33</t>
        </is>
      </c>
      <c r="V1453" t="n">
        <v>19.9</v>
      </c>
      <c r="W1453" t="inlineStr">
        <is>
          <t>713</t>
        </is>
      </c>
      <c r="X1453" t="n">
        <v>6.3</v>
      </c>
      <c r="Y1453" t="inlineStr">
        <is>
          <t>801+</t>
        </is>
      </c>
      <c r="Z1453" t="n">
        <v>5.5</v>
      </c>
      <c r="AA1453" t="inlineStr">
        <is>
          <t>801+</t>
        </is>
      </c>
      <c r="AB1453" t="n">
        <v>4.3</v>
      </c>
      <c r="AC1453" t="inlineStr">
        <is>
          <t>801+</t>
        </is>
      </c>
      <c r="AD1453" t="n">
        <v>40.4</v>
      </c>
      <c r="AE1453" t="inlineStr">
        <is>
          <t>801+</t>
        </is>
      </c>
      <c r="AF1453" t="n">
        <v>5.9</v>
      </c>
      <c r="AG1453" t="inlineStr">
        <is>
          <t>801+</t>
        </is>
      </c>
      <c r="AH1453" t="n">
        <v>37.9</v>
      </c>
      <c r="AI1453" t="inlineStr">
        <is>
          <t>801+</t>
        </is>
      </c>
      <c r="AJ1453" t="inlineStr">
        <is>
          <t>3.1</t>
        </is>
      </c>
      <c r="AK1453" t="inlineStr">
        <is>
          <t>601+</t>
        </is>
      </c>
      <c r="AL1453" t="inlineStr">
        <is>
          <t>3.2</t>
        </is>
      </c>
      <c r="AM1453" t="inlineStr">
        <is>
          <t>601+</t>
        </is>
      </c>
      <c r="AN1453" t="inlineStr">
        <is>
          <t>99.6</t>
        </is>
      </c>
      <c r="AO1453" t="inlineStr">
        <is>
          <t>30</t>
        </is>
      </c>
      <c r="AP1453" t="inlineStr">
        <is>
          <t>13.4</t>
        </is>
      </c>
      <c r="AQ1453" t="inlineStr">
        <is>
          <t>670</t>
        </is>
      </c>
      <c r="AR1453" t="inlineStr">
        <is>
          <t>6.7</t>
        </is>
      </c>
      <c r="AS1453" t="inlineStr">
        <is>
          <t>701+</t>
        </is>
      </c>
      <c r="AT1453" t="inlineStr">
        <is>
          <t>3.1</t>
        </is>
      </c>
      <c r="AU1453" t="inlineStr">
        <is>
          <t>701+</t>
        </is>
      </c>
      <c r="AV1453" t="inlineStr">
        <is>
          <t>4.6</t>
        </is>
      </c>
      <c r="AW1453" t="inlineStr">
        <is>
          <t>701+</t>
        </is>
      </c>
      <c r="AX1453" t="inlineStr">
        <is>
          <t>8.4</t>
        </is>
      </c>
      <c r="AY1453" t="inlineStr">
        <is>
          <t>701+</t>
        </is>
      </c>
      <c r="AZ1453" t="inlineStr"/>
      <c r="BA1453" t="inlineStr"/>
    </row>
    <row r="1454">
      <c r="A1454" t="inlineStr">
        <is>
          <t>University of Alberta</t>
        </is>
      </c>
      <c r="B1454" t="inlineStr">
        <is>
          <t>Canada</t>
        </is>
      </c>
      <c r="C1454" t="inlineStr">
        <is>
          <t>CA</t>
        </is>
      </c>
      <c r="D1454" t="inlineStr">
        <is>
          <t>Americas</t>
        </is>
      </c>
      <c r="E1454" t="inlineStr">
        <is>
          <t>XL</t>
        </is>
      </c>
      <c r="F1454" t="inlineStr">
        <is>
          <t>FC</t>
        </is>
      </c>
      <c r="G1454" t="inlineStr">
        <is>
          <t>VH</t>
        </is>
      </c>
      <c r="H1454" t="inlineStr">
        <is>
          <t>5</t>
        </is>
      </c>
      <c r="I1454" t="inlineStr">
        <is>
          <t>Public</t>
        </is>
      </c>
      <c r="J1454" t="inlineStr">
        <is>
          <t>94</t>
        </is>
      </c>
      <c r="K1454" t="inlineStr">
        <is>
          <t>96</t>
        </is>
      </c>
      <c r="L1454" t="inlineStr">
        <is>
          <t>111</t>
        </is>
      </c>
      <c r="M1454" t="inlineStr">
        <is>
          <t>110</t>
        </is>
      </c>
      <c r="N1454" t="inlineStr">
        <is>
          <t>70.1</t>
        </is>
      </c>
      <c r="O1454" t="inlineStr">
        <is>
          <t>58.3</t>
        </is>
      </c>
      <c r="P1454" t="n">
        <v>70.90000000000001</v>
      </c>
      <c r="Q1454" t="inlineStr">
        <is>
          <t>133</t>
        </is>
      </c>
      <c r="R1454" t="n">
        <v>53</v>
      </c>
      <c r="S1454" t="inlineStr">
        <is>
          <t>230</t>
        </is>
      </c>
      <c r="T1454" t="n">
        <v>44.6</v>
      </c>
      <c r="U1454" t="inlineStr">
        <is>
          <t>443</t>
        </is>
      </c>
      <c r="V1454" t="n">
        <v>71.5</v>
      </c>
      <c r="W1454" t="inlineStr">
        <is>
          <t>204</t>
        </is>
      </c>
      <c r="X1454" t="n">
        <v>99.40000000000001</v>
      </c>
      <c r="Y1454" t="inlineStr">
        <is>
          <t>119</t>
        </is>
      </c>
      <c r="Z1454" t="n">
        <v>78.59999999999999</v>
      </c>
      <c r="AA1454" t="inlineStr">
        <is>
          <t>229</t>
        </is>
      </c>
      <c r="AB1454" t="n">
        <v>80.59999999999999</v>
      </c>
      <c r="AC1454" t="inlineStr">
        <is>
          <t>199</t>
        </is>
      </c>
      <c r="AD1454" t="n">
        <v>94.5</v>
      </c>
      <c r="AE1454" t="inlineStr">
        <is>
          <t>90</t>
        </is>
      </c>
      <c r="AF1454" t="n">
        <v>77.09999999999999</v>
      </c>
      <c r="AG1454" t="inlineStr">
        <is>
          <t>169</t>
        </is>
      </c>
      <c r="AH1454" t="n">
        <v>90.7</v>
      </c>
      <c r="AI1454" t="inlineStr">
        <is>
          <t>58</t>
        </is>
      </c>
      <c r="AJ1454" t="inlineStr">
        <is>
          <t>56.8</t>
        </is>
      </c>
      <c r="AK1454" t="inlineStr">
        <is>
          <t>135</t>
        </is>
      </c>
      <c r="AL1454" t="inlineStr">
        <is>
          <t>36.5</t>
        </is>
      </c>
      <c r="AM1454" t="inlineStr">
        <is>
          <t>266</t>
        </is>
      </c>
      <c r="AN1454" t="inlineStr">
        <is>
          <t>42.8</t>
        </is>
      </c>
      <c r="AO1454" t="inlineStr">
        <is>
          <t>370</t>
        </is>
      </c>
      <c r="AP1454" t="inlineStr">
        <is>
          <t>59.1</t>
        </is>
      </c>
      <c r="AQ1454" t="inlineStr">
        <is>
          <t>213</t>
        </is>
      </c>
      <c r="AR1454" t="inlineStr">
        <is>
          <t>97.9</t>
        </is>
      </c>
      <c r="AS1454" t="inlineStr">
        <is>
          <t>116</t>
        </is>
      </c>
      <c r="AT1454" t="inlineStr">
        <is>
          <t>73.2</t>
        </is>
      </c>
      <c r="AU1454" t="inlineStr">
        <is>
          <t>193</t>
        </is>
      </c>
      <c r="AV1454" t="inlineStr">
        <is>
          <t>92.1</t>
        </is>
      </c>
      <c r="AW1454" t="inlineStr">
        <is>
          <t>68</t>
        </is>
      </c>
      <c r="AX1454" t="inlineStr">
        <is>
          <t>46</t>
        </is>
      </c>
      <c r="AY1454" t="inlineStr">
        <is>
          <t>152</t>
        </is>
      </c>
      <c r="AZ1454" t="inlineStr">
        <is>
          <t>76.1</t>
        </is>
      </c>
      <c r="BA1454" t="inlineStr">
        <is>
          <t>170</t>
        </is>
      </c>
    </row>
    <row r="1455">
      <c r="A1455" t="inlineStr">
        <is>
          <t>University of Alicante</t>
        </is>
      </c>
      <c r="B1455" t="inlineStr">
        <is>
          <t>Spain</t>
        </is>
      </c>
      <c r="C1455" t="inlineStr">
        <is>
          <t>ES</t>
        </is>
      </c>
      <c r="D1455" t="inlineStr"/>
      <c r="E1455" t="inlineStr">
        <is>
          <t>L</t>
        </is>
      </c>
      <c r="F1455" t="inlineStr">
        <is>
          <t>FC</t>
        </is>
      </c>
      <c r="G1455" t="inlineStr">
        <is>
          <t>VH</t>
        </is>
      </c>
      <c r="H1455" t="inlineStr">
        <is>
          <t>3</t>
        </is>
      </c>
      <c r="I1455" t="inlineStr">
        <is>
          <t>A</t>
        </is>
      </c>
      <c r="J1455" t="inlineStr"/>
      <c r="K1455" t="inlineStr"/>
      <c r="L1455" t="inlineStr">
        <is>
          <t>801-850</t>
        </is>
      </c>
      <c r="M1455" t="inlineStr">
        <is>
          <t>801-1000</t>
        </is>
      </c>
      <c r="N1455" t="inlineStr"/>
      <c r="O1455" t="inlineStr">
        <is>
          <t>-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>
        <is>
          <t>13.4</t>
        </is>
      </c>
      <c r="AK1455" t="inlineStr">
        <is>
          <t>601+</t>
        </is>
      </c>
      <c r="AL1455" t="inlineStr">
        <is>
          <t>6.2</t>
        </is>
      </c>
      <c r="AM1455" t="inlineStr">
        <is>
          <t>601+</t>
        </is>
      </c>
      <c r="AN1455" t="inlineStr">
        <is>
          <t>22.9</t>
        </is>
      </c>
      <c r="AO1455" t="inlineStr">
        <is>
          <t>620</t>
        </is>
      </c>
      <c r="AP1455" t="inlineStr">
        <is>
          <t>8.0</t>
        </is>
      </c>
      <c r="AQ1455" t="inlineStr">
        <is>
          <t>701+</t>
        </is>
      </c>
      <c r="AR1455" t="inlineStr">
        <is>
          <t>4.6</t>
        </is>
      </c>
      <c r="AS1455" t="inlineStr">
        <is>
          <t>701+</t>
        </is>
      </c>
      <c r="AT1455" t="inlineStr">
        <is>
          <t>14.0</t>
        </is>
      </c>
      <c r="AU1455" t="inlineStr">
        <is>
          <t>640</t>
        </is>
      </c>
      <c r="AV1455" t="inlineStr">
        <is>
          <t>41.8</t>
        </is>
      </c>
      <c r="AW1455" t="inlineStr">
        <is>
          <t>365</t>
        </is>
      </c>
      <c r="AX1455" t="inlineStr">
        <is>
          <t>5.5</t>
        </is>
      </c>
      <c r="AY1455" t="inlineStr">
        <is>
          <t>701+</t>
        </is>
      </c>
      <c r="AZ1455" t="inlineStr">
        <is>
          <t>29.9</t>
        </is>
      </c>
      <c r="BA1455" t="inlineStr">
        <is>
          <t>449=</t>
        </is>
      </c>
    </row>
    <row r="1456">
      <c r="A1456" t="inlineStr">
        <is>
          <t>University of Amsterdam</t>
        </is>
      </c>
      <c r="B1456" t="inlineStr">
        <is>
          <t>Netherlands</t>
        </is>
      </c>
      <c r="C1456" t="inlineStr">
        <is>
          <t>NL</t>
        </is>
      </c>
      <c r="D1456" t="inlineStr"/>
      <c r="E1456" t="inlineStr">
        <is>
          <t>XL</t>
        </is>
      </c>
      <c r="F1456" t="inlineStr">
        <is>
          <t>FC</t>
        </is>
      </c>
      <c r="G1456" t="inlineStr">
        <is>
          <t>VH</t>
        </is>
      </c>
      <c r="H1456" t="inlineStr">
        <is>
          <t>5</t>
        </is>
      </c>
      <c r="I1456" t="inlineStr">
        <is>
          <t>A</t>
        </is>
      </c>
      <c r="J1456" t="inlineStr"/>
      <c r="K1456" t="inlineStr"/>
      <c r="L1456" t="inlineStr">
        <is>
          <t>53</t>
        </is>
      </c>
      <c r="M1456" t="inlineStr">
        <is>
          <t>58</t>
        </is>
      </c>
      <c r="N1456" t="inlineStr"/>
      <c r="O1456" t="inlineStr">
        <is>
          <t>73.4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>
        <is>
          <t>83.6</t>
        </is>
      </c>
      <c r="AK1456" t="inlineStr">
        <is>
          <t>62</t>
        </is>
      </c>
      <c r="AL1456" t="inlineStr">
        <is>
          <t>44.2</t>
        </is>
      </c>
      <c r="AM1456" t="inlineStr">
        <is>
          <t>203</t>
        </is>
      </c>
      <c r="AN1456" t="inlineStr">
        <is>
          <t>21.2</t>
        </is>
      </c>
      <c r="AO1456" t="inlineStr">
        <is>
          <t>641</t>
        </is>
      </c>
      <c r="AP1456" t="inlineStr">
        <is>
          <t>98.1</t>
        </is>
      </c>
      <c r="AQ1456" t="inlineStr">
        <is>
          <t>33</t>
        </is>
      </c>
      <c r="AR1456" t="inlineStr">
        <is>
          <t>92.4</t>
        </is>
      </c>
      <c r="AS1456" t="inlineStr">
        <is>
          <t>168</t>
        </is>
      </c>
      <c r="AT1456" t="inlineStr">
        <is>
          <t>79.9</t>
        </is>
      </c>
      <c r="AU1456" t="inlineStr">
        <is>
          <t>163</t>
        </is>
      </c>
      <c r="AV1456" t="inlineStr">
        <is>
          <t>97.4</t>
        </is>
      </c>
      <c r="AW1456" t="inlineStr">
        <is>
          <t>28</t>
        </is>
      </c>
      <c r="AX1456" t="inlineStr">
        <is>
          <t>49.9</t>
        </is>
      </c>
      <c r="AY1456" t="inlineStr">
        <is>
          <t>133</t>
        </is>
      </c>
      <c r="AZ1456" t="inlineStr">
        <is>
          <t>64.8</t>
        </is>
      </c>
      <c r="BA1456" t="inlineStr">
        <is>
          <t>226=</t>
        </is>
      </c>
    </row>
    <row r="1457">
      <c r="A1457" t="inlineStr">
        <is>
          <t>University of Anbar</t>
        </is>
      </c>
      <c r="B1457" t="inlineStr">
        <is>
          <t>Iraq</t>
        </is>
      </c>
      <c r="C1457" t="inlineStr"/>
      <c r="D1457" t="inlineStr">
        <is>
          <t>Asia</t>
        </is>
      </c>
      <c r="E1457" t="inlineStr">
        <is>
          <t>L</t>
        </is>
      </c>
      <c r="F1457" t="inlineStr">
        <is>
          <t>CO</t>
        </is>
      </c>
      <c r="G1457" t="inlineStr">
        <is>
          <t>HI</t>
        </is>
      </c>
      <c r="H1457" t="inlineStr"/>
      <c r="I1457" t="inlineStr">
        <is>
          <t>Public</t>
        </is>
      </c>
      <c r="J1457" t="inlineStr">
        <is>
          <t>1001-1200</t>
        </is>
      </c>
      <c r="K1457" t="inlineStr"/>
      <c r="L1457" t="inlineStr"/>
      <c r="M1457" t="inlineStr"/>
      <c r="N1457" t="inlineStr">
        <is>
          <t>-</t>
        </is>
      </c>
      <c r="O1457" t="inlineStr"/>
      <c r="P1457" t="n">
        <v>25.3</v>
      </c>
      <c r="Q1457" t="inlineStr">
        <is>
          <t>507</t>
        </is>
      </c>
      <c r="R1457" t="n">
        <v>15.4</v>
      </c>
      <c r="S1457" t="inlineStr">
        <is>
          <t>701+</t>
        </is>
      </c>
      <c r="T1457" t="n">
        <v>27.2</v>
      </c>
      <c r="U1457" t="inlineStr">
        <is>
          <t>695</t>
        </is>
      </c>
      <c r="V1457" t="n">
        <v>3</v>
      </c>
      <c r="W1457" t="inlineStr">
        <is>
          <t>801+</t>
        </is>
      </c>
      <c r="X1457" t="n">
        <v>3.5</v>
      </c>
      <c r="Y1457" t="inlineStr">
        <is>
          <t>801+</t>
        </is>
      </c>
      <c r="Z1457" t="n">
        <v>1.8</v>
      </c>
      <c r="AA1457" t="inlineStr">
        <is>
          <t>801+</t>
        </is>
      </c>
      <c r="AB1457" t="n">
        <v>6.3</v>
      </c>
      <c r="AC1457" t="inlineStr">
        <is>
          <t>801+</t>
        </is>
      </c>
      <c r="AD1457" t="n">
        <v>25.9</v>
      </c>
      <c r="AE1457" t="inlineStr">
        <is>
          <t>801+</t>
        </is>
      </c>
      <c r="AF1457" t="n">
        <v>5.6</v>
      </c>
      <c r="AG1457" t="inlineStr">
        <is>
          <t>801+</t>
        </is>
      </c>
      <c r="AH1457" t="n">
        <v>31.7</v>
      </c>
      <c r="AI1457" t="inlineStr">
        <is>
          <t>801+</t>
        </is>
      </c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</row>
    <row r="1458">
      <c r="A1458" t="inlineStr">
        <is>
          <t>University of Antwerp</t>
        </is>
      </c>
      <c r="B1458" t="inlineStr">
        <is>
          <t>Belgium</t>
        </is>
      </c>
      <c r="C1458" t="inlineStr">
        <is>
          <t>BE</t>
        </is>
      </c>
      <c r="D1458" t="inlineStr">
        <is>
          <t>Europe</t>
        </is>
      </c>
      <c r="E1458" t="inlineStr">
        <is>
          <t>L</t>
        </is>
      </c>
      <c r="F1458" t="inlineStr">
        <is>
          <t>FC</t>
        </is>
      </c>
      <c r="G1458" t="inlineStr">
        <is>
          <t>VH</t>
        </is>
      </c>
      <c r="H1458" t="inlineStr">
        <is>
          <t>2</t>
        </is>
      </c>
      <c r="I1458" t="inlineStr">
        <is>
          <t>Public</t>
        </is>
      </c>
      <c r="J1458" t="inlineStr">
        <is>
          <t>280</t>
        </is>
      </c>
      <c r="K1458" t="inlineStr">
        <is>
          <t>267</t>
        </is>
      </c>
      <c r="L1458">
        <f>248</f>
        <v/>
      </c>
      <c r="M1458" t="inlineStr">
        <is>
          <t>280</t>
        </is>
      </c>
      <c r="N1458" t="inlineStr">
        <is>
          <t>47.4</t>
        </is>
      </c>
      <c r="O1458" t="inlineStr">
        <is>
          <t>39.6</t>
        </is>
      </c>
      <c r="P1458" t="n">
        <v>35</v>
      </c>
      <c r="Q1458" t="inlineStr">
        <is>
          <t>343</t>
        </is>
      </c>
      <c r="R1458" t="n">
        <v>18.8</v>
      </c>
      <c r="S1458" t="inlineStr">
        <is>
          <t>690</t>
        </is>
      </c>
      <c r="T1458" t="n">
        <v>42.8</v>
      </c>
      <c r="U1458" t="inlineStr">
        <is>
          <t>465</t>
        </is>
      </c>
      <c r="V1458" t="n">
        <v>57.7</v>
      </c>
      <c r="W1458" t="inlineStr">
        <is>
          <t>303</t>
        </is>
      </c>
      <c r="X1458" t="n">
        <v>96.40000000000001</v>
      </c>
      <c r="Y1458" t="inlineStr">
        <is>
          <t>162</t>
        </is>
      </c>
      <c r="Z1458" t="n">
        <v>45.5</v>
      </c>
      <c r="AA1458" t="inlineStr">
        <is>
          <t>444</t>
        </is>
      </c>
      <c r="AB1458" t="n">
        <v>50.5</v>
      </c>
      <c r="AC1458" t="inlineStr">
        <is>
          <t>411</t>
        </is>
      </c>
      <c r="AD1458" t="n">
        <v>95.2</v>
      </c>
      <c r="AE1458" t="inlineStr">
        <is>
          <t>79</t>
        </is>
      </c>
      <c r="AF1458" t="n">
        <v>60.3</v>
      </c>
      <c r="AG1458" t="inlineStr">
        <is>
          <t>270</t>
        </is>
      </c>
      <c r="AH1458" t="n">
        <v>80.59999999999999</v>
      </c>
      <c r="AI1458" t="inlineStr">
        <is>
          <t>162</t>
        </is>
      </c>
      <c r="AJ1458" t="inlineStr">
        <is>
          <t>23.7</t>
        </is>
      </c>
      <c r="AK1458" t="inlineStr">
        <is>
          <t>362</t>
        </is>
      </c>
      <c r="AL1458" t="inlineStr">
        <is>
          <t>11.8</t>
        </is>
      </c>
      <c r="AM1458" t="inlineStr">
        <is>
          <t>601+</t>
        </is>
      </c>
      <c r="AN1458" t="inlineStr">
        <is>
          <t>45.3</t>
        </is>
      </c>
      <c r="AO1458" t="inlineStr">
        <is>
          <t>349</t>
        </is>
      </c>
      <c r="AP1458" t="inlineStr">
        <is>
          <t>49.2</t>
        </is>
      </c>
      <c r="AQ1458" t="inlineStr">
        <is>
          <t>272</t>
        </is>
      </c>
      <c r="AR1458" t="inlineStr">
        <is>
          <t>90.9</t>
        </is>
      </c>
      <c r="AS1458" t="inlineStr">
        <is>
          <t>177</t>
        </is>
      </c>
      <c r="AT1458" t="inlineStr">
        <is>
          <t>32.3</t>
        </is>
      </c>
      <c r="AU1458" t="inlineStr">
        <is>
          <t>397</t>
        </is>
      </c>
      <c r="AV1458" t="inlineStr">
        <is>
          <t>90.0</t>
        </is>
      </c>
      <c r="AW1458" t="inlineStr">
        <is>
          <t>81</t>
        </is>
      </c>
      <c r="AX1458" t="inlineStr">
        <is>
          <t>29.6</t>
        </is>
      </c>
      <c r="AY1458" t="inlineStr">
        <is>
          <t>268</t>
        </is>
      </c>
      <c r="AZ1458" t="inlineStr">
        <is>
          <t>80.4</t>
        </is>
      </c>
      <c r="BA1458" t="inlineStr">
        <is>
          <t>146=</t>
        </is>
      </c>
    </row>
    <row r="1459">
      <c r="A1459" t="inlineStr">
        <is>
          <t>University of Arizona</t>
        </is>
      </c>
      <c r="B1459" t="inlineStr">
        <is>
          <t>United States</t>
        </is>
      </c>
      <c r="C1459" t="inlineStr"/>
      <c r="D1459" t="inlineStr">
        <is>
          <t>Americas</t>
        </is>
      </c>
      <c r="E1459" t="inlineStr">
        <is>
          <t>XL</t>
        </is>
      </c>
      <c r="F1459" t="inlineStr">
        <is>
          <t>FC</t>
        </is>
      </c>
      <c r="G1459" t="inlineStr">
        <is>
          <t>VH</t>
        </is>
      </c>
      <c r="H1459" t="inlineStr"/>
      <c r="I1459" t="inlineStr">
        <is>
          <t>Public</t>
        </is>
      </c>
      <c r="J1459" t="inlineStr">
        <is>
          <t>287</t>
        </is>
      </c>
      <c r="K1459" t="inlineStr">
        <is>
          <t>293</t>
        </is>
      </c>
      <c r="L1459" t="inlineStr"/>
      <c r="M1459" t="inlineStr"/>
      <c r="N1459" t="inlineStr">
        <is>
          <t>46.8</t>
        </is>
      </c>
      <c r="O1459" t="inlineStr"/>
      <c r="P1459" t="n">
        <v>49.3</v>
      </c>
      <c r="Q1459" t="inlineStr">
        <is>
          <t>231</t>
        </is>
      </c>
      <c r="R1459" t="n">
        <v>40.4</v>
      </c>
      <c r="S1459" t="inlineStr">
        <is>
          <t>336</t>
        </is>
      </c>
      <c r="T1459" t="n">
        <v>42.8</v>
      </c>
      <c r="U1459" t="inlineStr">
        <is>
          <t>463</t>
        </is>
      </c>
      <c r="V1459" t="n">
        <v>47.4</v>
      </c>
      <c r="W1459" t="inlineStr">
        <is>
          <t>397</t>
        </is>
      </c>
      <c r="X1459" t="n">
        <v>25.4</v>
      </c>
      <c r="Y1459" t="inlineStr">
        <is>
          <t>643</t>
        </is>
      </c>
      <c r="Z1459" t="n">
        <v>15.2</v>
      </c>
      <c r="AA1459" t="inlineStr">
        <is>
          <t>801+</t>
        </is>
      </c>
      <c r="AB1459" t="n">
        <v>21.2</v>
      </c>
      <c r="AC1459" t="inlineStr">
        <is>
          <t>746</t>
        </is>
      </c>
      <c r="AD1459" t="n">
        <v>93.5</v>
      </c>
      <c r="AE1459" t="inlineStr">
        <is>
          <t>116</t>
        </is>
      </c>
      <c r="AF1459" t="n">
        <v>54.1</v>
      </c>
      <c r="AG1459" t="inlineStr">
        <is>
          <t>311</t>
        </is>
      </c>
      <c r="AH1459" t="n">
        <v>66.90000000000001</v>
      </c>
      <c r="AI1459" t="inlineStr">
        <is>
          <t>363=</t>
        </is>
      </c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</row>
    <row r="1460">
      <c r="A1460" t="inlineStr">
        <is>
          <t>University of Arkansas Fayetteville</t>
        </is>
      </c>
      <c r="B1460" t="inlineStr">
        <is>
          <t>United States</t>
        </is>
      </c>
      <c r="C1460" t="inlineStr">
        <is>
          <t>US</t>
        </is>
      </c>
      <c r="D1460" t="inlineStr">
        <is>
          <t>Americas</t>
        </is>
      </c>
      <c r="E1460" t="inlineStr">
        <is>
          <t>L</t>
        </is>
      </c>
      <c r="F1460" t="inlineStr">
        <is>
          <t>CO</t>
        </is>
      </c>
      <c r="G1460" t="inlineStr">
        <is>
          <t>VH</t>
        </is>
      </c>
      <c r="H1460" t="inlineStr">
        <is>
          <t>5</t>
        </is>
      </c>
      <c r="I1460" t="inlineStr">
        <is>
          <t>Public</t>
        </is>
      </c>
      <c r="J1460" t="inlineStr">
        <is>
          <t>1001-1200</t>
        </is>
      </c>
      <c r="K1460" t="inlineStr">
        <is>
          <t>1001-1200</t>
        </is>
      </c>
      <c r="L1460" t="inlineStr">
        <is>
          <t>1001-1200</t>
        </is>
      </c>
      <c r="M1460" t="inlineStr">
        <is>
          <t>1001-1200</t>
        </is>
      </c>
      <c r="N1460" t="inlineStr">
        <is>
          <t>-</t>
        </is>
      </c>
      <c r="O1460" t="inlineStr">
        <is>
          <t>-</t>
        </is>
      </c>
      <c r="P1460" t="n">
        <v>8.4</v>
      </c>
      <c r="Q1460" t="inlineStr">
        <is>
          <t>701+</t>
        </is>
      </c>
      <c r="R1460" t="n">
        <v>7.4</v>
      </c>
      <c r="S1460" t="inlineStr">
        <is>
          <t>701+</t>
        </is>
      </c>
      <c r="T1460" t="n">
        <v>7.8</v>
      </c>
      <c r="U1460" t="inlineStr">
        <is>
          <t>801+</t>
        </is>
      </c>
      <c r="V1460" t="n">
        <v>19</v>
      </c>
      <c r="W1460" t="inlineStr">
        <is>
          <t>732</t>
        </is>
      </c>
      <c r="X1460" t="n">
        <v>9.199999999999999</v>
      </c>
      <c r="Y1460" t="inlineStr">
        <is>
          <t>801+</t>
        </is>
      </c>
      <c r="Z1460" t="n">
        <v>4.4</v>
      </c>
      <c r="AA1460" t="inlineStr">
        <is>
          <t>801+</t>
        </is>
      </c>
      <c r="AB1460" t="n">
        <v>3.5</v>
      </c>
      <c r="AC1460" t="inlineStr">
        <is>
          <t>801+</t>
        </is>
      </c>
      <c r="AD1460" t="n">
        <v>67.8</v>
      </c>
      <c r="AE1460" t="inlineStr">
        <is>
          <t>570</t>
        </is>
      </c>
      <c r="AF1460" t="n">
        <v>34.4</v>
      </c>
      <c r="AG1460" t="inlineStr">
        <is>
          <t>496</t>
        </is>
      </c>
      <c r="AH1460" t="n">
        <v>45.1</v>
      </c>
      <c r="AI1460" t="inlineStr">
        <is>
          <t>801+</t>
        </is>
      </c>
      <c r="AJ1460" t="inlineStr">
        <is>
          <t>6.8</t>
        </is>
      </c>
      <c r="AK1460" t="inlineStr">
        <is>
          <t>601+</t>
        </is>
      </c>
      <c r="AL1460" t="inlineStr">
        <is>
          <t>4.3</t>
        </is>
      </c>
      <c r="AM1460" t="inlineStr">
        <is>
          <t>601+</t>
        </is>
      </c>
      <c r="AN1460" t="inlineStr">
        <is>
          <t>6.6</t>
        </is>
      </c>
      <c r="AO1460" t="inlineStr">
        <is>
          <t>701+</t>
        </is>
      </c>
      <c r="AP1460" t="inlineStr">
        <is>
          <t>11.9</t>
        </is>
      </c>
      <c r="AQ1460" t="inlineStr">
        <is>
          <t>701+</t>
        </is>
      </c>
      <c r="AR1460" t="inlineStr">
        <is>
          <t>5.1</t>
        </is>
      </c>
      <c r="AS1460" t="inlineStr">
        <is>
          <t>701+</t>
        </is>
      </c>
      <c r="AT1460" t="inlineStr">
        <is>
          <t>3.2</t>
        </is>
      </c>
      <c r="AU1460" t="inlineStr">
        <is>
          <t>701+</t>
        </is>
      </c>
      <c r="AV1460" t="inlineStr">
        <is>
          <t>7.1</t>
        </is>
      </c>
      <c r="AW1460" t="inlineStr">
        <is>
          <t>701+</t>
        </is>
      </c>
      <c r="AX1460" t="inlineStr">
        <is>
          <t>15.7</t>
        </is>
      </c>
      <c r="AY1460" t="inlineStr">
        <is>
          <t>531</t>
        </is>
      </c>
      <c r="AZ1460" t="inlineStr">
        <is>
          <t>6.2</t>
        </is>
      </c>
      <c r="BA1460" t="inlineStr">
        <is>
          <t>701+</t>
        </is>
      </c>
    </row>
    <row r="1461">
      <c r="A1461" t="inlineStr">
        <is>
          <t>University of Aveiro</t>
        </is>
      </c>
      <c r="B1461" t="inlineStr">
        <is>
          <t>Portugal</t>
        </is>
      </c>
      <c r="C1461" t="inlineStr">
        <is>
          <t>PT</t>
        </is>
      </c>
      <c r="D1461" t="inlineStr">
        <is>
          <t>Europe</t>
        </is>
      </c>
      <c r="E1461" t="inlineStr">
        <is>
          <t>L</t>
        </is>
      </c>
      <c r="F1461" t="inlineStr">
        <is>
          <t>CO</t>
        </is>
      </c>
      <c r="G1461" t="inlineStr">
        <is>
          <t>VH</t>
        </is>
      </c>
      <c r="H1461" t="inlineStr">
        <is>
          <t>4</t>
        </is>
      </c>
      <c r="I1461" t="inlineStr">
        <is>
          <t>Public</t>
        </is>
      </c>
      <c r="J1461" t="inlineStr">
        <is>
          <t>419</t>
        </is>
      </c>
      <c r="K1461" t="inlineStr">
        <is>
          <t>359</t>
        </is>
      </c>
      <c r="L1461" t="inlineStr">
        <is>
          <t>344</t>
        </is>
      </c>
      <c r="M1461" t="inlineStr">
        <is>
          <t>501-510</t>
        </is>
      </c>
      <c r="N1461" t="inlineStr">
        <is>
          <t>36.4</t>
        </is>
      </c>
      <c r="O1461" t="inlineStr">
        <is>
          <t>31.6</t>
        </is>
      </c>
      <c r="P1461" t="n">
        <v>18.6</v>
      </c>
      <c r="Q1461" t="inlineStr">
        <is>
          <t>658</t>
        </is>
      </c>
      <c r="R1461" t="n">
        <v>15.5</v>
      </c>
      <c r="S1461" t="inlineStr">
        <is>
          <t>701+</t>
        </is>
      </c>
      <c r="T1461" t="n">
        <v>13.1</v>
      </c>
      <c r="U1461" t="inlineStr">
        <is>
          <t>801+</t>
        </is>
      </c>
      <c r="V1461" t="n">
        <v>94.7</v>
      </c>
      <c r="W1461" t="inlineStr">
        <is>
          <t>73</t>
        </is>
      </c>
      <c r="X1461" t="n">
        <v>5.2</v>
      </c>
      <c r="Y1461" t="inlineStr">
        <is>
          <t>801+</t>
        </is>
      </c>
      <c r="Z1461" t="n">
        <v>24.8</v>
      </c>
      <c r="AA1461" t="inlineStr">
        <is>
          <t>667</t>
        </is>
      </c>
      <c r="AB1461" t="n">
        <v>30.9</v>
      </c>
      <c r="AC1461" t="inlineStr">
        <is>
          <t>605</t>
        </is>
      </c>
      <c r="AD1461" t="n">
        <v>85.5</v>
      </c>
      <c r="AE1461" t="inlineStr">
        <is>
          <t>245</t>
        </is>
      </c>
      <c r="AF1461" t="n">
        <v>3.3</v>
      </c>
      <c r="AG1461" t="inlineStr">
        <is>
          <t>801+</t>
        </is>
      </c>
      <c r="AH1461" t="n">
        <v>64.7</v>
      </c>
      <c r="AI1461" t="inlineStr">
        <is>
          <t>405=</t>
        </is>
      </c>
      <c r="AJ1461" t="inlineStr">
        <is>
          <t>13.4</t>
        </is>
      </c>
      <c r="AK1461" t="inlineStr">
        <is>
          <t>601+</t>
        </is>
      </c>
      <c r="AL1461" t="inlineStr">
        <is>
          <t>6.6</t>
        </is>
      </c>
      <c r="AM1461" t="inlineStr">
        <is>
          <t>601+</t>
        </is>
      </c>
      <c r="AN1461" t="inlineStr">
        <is>
          <t>13.8</t>
        </is>
      </c>
      <c r="AO1461" t="inlineStr">
        <is>
          <t>701+</t>
        </is>
      </c>
      <c r="AP1461" t="inlineStr">
        <is>
          <t>84.3</t>
        </is>
      </c>
      <c r="AQ1461" t="inlineStr">
        <is>
          <t>98</t>
        </is>
      </c>
      <c r="AR1461" t="inlineStr">
        <is>
          <t>4.3</t>
        </is>
      </c>
      <c r="AS1461" t="inlineStr">
        <is>
          <t>701+</t>
        </is>
      </c>
      <c r="AT1461" t="inlineStr">
        <is>
          <t>13.5</t>
        </is>
      </c>
      <c r="AU1461" t="inlineStr">
        <is>
          <t>651</t>
        </is>
      </c>
      <c r="AV1461" t="inlineStr">
        <is>
          <t>72.3</t>
        </is>
      </c>
      <c r="AW1461" t="inlineStr">
        <is>
          <t>188</t>
        </is>
      </c>
      <c r="AX1461" t="inlineStr">
        <is>
          <t>6.7</t>
        </is>
      </c>
      <c r="AY1461" t="inlineStr">
        <is>
          <t>701+</t>
        </is>
      </c>
      <c r="AZ1461" t="inlineStr">
        <is>
          <t>69.3</t>
        </is>
      </c>
      <c r="BA1461" t="inlineStr">
        <is>
          <t>210=</t>
        </is>
      </c>
    </row>
    <row r="1462">
      <c r="A1462" t="inlineStr">
        <is>
          <t>University of Babylon</t>
        </is>
      </c>
      <c r="B1462" t="inlineStr">
        <is>
          <t>Iraq</t>
        </is>
      </c>
      <c r="C1462" t="inlineStr">
        <is>
          <t>IQ</t>
        </is>
      </c>
      <c r="D1462" t="inlineStr">
        <is>
          <t>Asia</t>
        </is>
      </c>
      <c r="E1462" t="inlineStr">
        <is>
          <t>L</t>
        </is>
      </c>
      <c r="F1462" t="inlineStr">
        <is>
          <t>FC</t>
        </is>
      </c>
      <c r="G1462" t="inlineStr">
        <is>
          <t>HI</t>
        </is>
      </c>
      <c r="H1462" t="inlineStr">
        <is>
          <t>3</t>
        </is>
      </c>
      <c r="I1462" t="inlineStr">
        <is>
          <t>Public</t>
        </is>
      </c>
      <c r="J1462" t="inlineStr">
        <is>
          <t>1201-1400</t>
        </is>
      </c>
      <c r="K1462" t="inlineStr">
        <is>
          <t>1201-1400</t>
        </is>
      </c>
      <c r="L1462" t="inlineStr">
        <is>
          <t>1201-1400</t>
        </is>
      </c>
      <c r="M1462" t="inlineStr">
        <is>
          <t>1201-1400</t>
        </is>
      </c>
      <c r="N1462" t="inlineStr">
        <is>
          <t>-</t>
        </is>
      </c>
      <c r="O1462" t="inlineStr">
        <is>
          <t>-</t>
        </is>
      </c>
      <c r="P1462" t="n">
        <v>7.7</v>
      </c>
      <c r="Q1462" t="inlineStr">
        <is>
          <t>701+</t>
        </is>
      </c>
      <c r="R1462" t="n">
        <v>25.9</v>
      </c>
      <c r="S1462" t="inlineStr">
        <is>
          <t>524</t>
        </is>
      </c>
      <c r="T1462" t="n">
        <v>19.6</v>
      </c>
      <c r="U1462" t="inlineStr">
        <is>
          <t>801+</t>
        </is>
      </c>
      <c r="V1462" t="n">
        <v>3.7</v>
      </c>
      <c r="W1462" t="inlineStr">
        <is>
          <t>801+</t>
        </is>
      </c>
      <c r="X1462" t="n">
        <v>1.3</v>
      </c>
      <c r="Y1462" t="inlineStr">
        <is>
          <t>801+</t>
        </is>
      </c>
      <c r="Z1462" t="n">
        <v>1.2</v>
      </c>
      <c r="AA1462" t="inlineStr">
        <is>
          <t>801+</t>
        </is>
      </c>
      <c r="AB1462" t="n">
        <v>1.1</v>
      </c>
      <c r="AC1462" t="inlineStr">
        <is>
          <t>801+</t>
        </is>
      </c>
      <c r="AD1462" t="n">
        <v>36.6</v>
      </c>
      <c r="AE1462" t="inlineStr">
        <is>
          <t>801+</t>
        </is>
      </c>
      <c r="AF1462" t="n">
        <v>5.8</v>
      </c>
      <c r="AG1462" t="inlineStr">
        <is>
          <t>801+</t>
        </is>
      </c>
      <c r="AH1462" t="n">
        <v>29.8</v>
      </c>
      <c r="AI1462" t="inlineStr">
        <is>
          <t>801+</t>
        </is>
      </c>
      <c r="AJ1462" t="inlineStr">
        <is>
          <t>3.6</t>
        </is>
      </c>
      <c r="AK1462" t="inlineStr">
        <is>
          <t>601+</t>
        </is>
      </c>
      <c r="AL1462" t="inlineStr">
        <is>
          <t>6.3</t>
        </is>
      </c>
      <c r="AM1462" t="inlineStr">
        <is>
          <t>601+</t>
        </is>
      </c>
      <c r="AN1462" t="inlineStr">
        <is>
          <t>13.2</t>
        </is>
      </c>
      <c r="AO1462" t="inlineStr">
        <is>
          <t>701+</t>
        </is>
      </c>
      <c r="AP1462" t="inlineStr">
        <is>
          <t>1.9</t>
        </is>
      </c>
      <c r="AQ1462" t="inlineStr">
        <is>
          <t>701+</t>
        </is>
      </c>
      <c r="AR1462" t="inlineStr">
        <is>
          <t>1.1</t>
        </is>
      </c>
      <c r="AS1462" t="inlineStr">
        <is>
          <t>701+</t>
        </is>
      </c>
      <c r="AT1462" t="inlineStr">
        <is>
          <t>1.0</t>
        </is>
      </c>
      <c r="AU1462" t="inlineStr">
        <is>
          <t>701+</t>
        </is>
      </c>
      <c r="AV1462" t="inlineStr">
        <is>
          <t>1.6</t>
        </is>
      </c>
      <c r="AW1462" t="inlineStr">
        <is>
          <t>701+</t>
        </is>
      </c>
      <c r="AX1462" t="inlineStr">
        <is>
          <t>9.7</t>
        </is>
      </c>
      <c r="AY1462" t="inlineStr">
        <is>
          <t>701+</t>
        </is>
      </c>
      <c r="AZ1462" t="inlineStr">
        <is>
          <t>2.6</t>
        </is>
      </c>
      <c r="BA1462" t="inlineStr">
        <is>
          <t>701+</t>
        </is>
      </c>
    </row>
    <row r="1463">
      <c r="A1463" t="inlineStr">
        <is>
          <t>University of Baghdad</t>
        </is>
      </c>
      <c r="B1463" t="inlineStr">
        <is>
          <t>Iraq</t>
        </is>
      </c>
      <c r="C1463" t="inlineStr">
        <is>
          <t>IQ</t>
        </is>
      </c>
      <c r="D1463" t="inlineStr">
        <is>
          <t>Asia</t>
        </is>
      </c>
      <c r="E1463" t="inlineStr">
        <is>
          <t>XL</t>
        </is>
      </c>
      <c r="F1463" t="inlineStr">
        <is>
          <t>FC</t>
        </is>
      </c>
      <c r="G1463" t="inlineStr">
        <is>
          <t>VH</t>
        </is>
      </c>
      <c r="H1463" t="inlineStr">
        <is>
          <t>4</t>
        </is>
      </c>
      <c r="I1463" t="inlineStr">
        <is>
          <t>Public</t>
        </is>
      </c>
      <c r="J1463" t="inlineStr">
        <is>
          <t>741-750</t>
        </is>
      </c>
      <c r="K1463" t="inlineStr">
        <is>
          <t>801-850</t>
        </is>
      </c>
      <c r="L1463" t="inlineStr">
        <is>
          <t>951-1000</t>
        </is>
      </c>
      <c r="M1463" t="inlineStr">
        <is>
          <t>801-1000</t>
        </is>
      </c>
      <c r="N1463" t="inlineStr">
        <is>
          <t>-</t>
        </is>
      </c>
      <c r="O1463" t="inlineStr">
        <is>
          <t>-</t>
        </is>
      </c>
      <c r="P1463" t="n">
        <v>18.1</v>
      </c>
      <c r="Q1463" t="inlineStr">
        <is>
          <t>675</t>
        </is>
      </c>
      <c r="R1463" t="n">
        <v>41.2</v>
      </c>
      <c r="S1463" t="inlineStr">
        <is>
          <t>330</t>
        </is>
      </c>
      <c r="T1463" t="n">
        <v>31.1</v>
      </c>
      <c r="U1463" t="inlineStr">
        <is>
          <t>614</t>
        </is>
      </c>
      <c r="V1463" t="n">
        <v>2.5</v>
      </c>
      <c r="W1463" t="inlineStr">
        <is>
          <t>801+</t>
        </is>
      </c>
      <c r="X1463" t="n">
        <v>2.8</v>
      </c>
      <c r="Y1463" t="inlineStr">
        <is>
          <t>801+</t>
        </is>
      </c>
      <c r="Z1463" t="n">
        <v>1.2</v>
      </c>
      <c r="AA1463" t="inlineStr">
        <is>
          <t>801+</t>
        </is>
      </c>
      <c r="AB1463" t="n">
        <v>1.1</v>
      </c>
      <c r="AC1463" t="inlineStr">
        <is>
          <t>801+</t>
        </is>
      </c>
      <c r="AD1463" t="n">
        <v>69</v>
      </c>
      <c r="AE1463" t="inlineStr">
        <is>
          <t>545</t>
        </is>
      </c>
      <c r="AF1463" t="n">
        <v>85.59999999999999</v>
      </c>
      <c r="AG1463" t="inlineStr">
        <is>
          <t>134</t>
        </is>
      </c>
      <c r="AH1463" t="n">
        <v>43.4</v>
      </c>
      <c r="AI1463" t="inlineStr">
        <is>
          <t>801+</t>
        </is>
      </c>
      <c r="AJ1463" t="inlineStr">
        <is>
          <t>9.5</t>
        </is>
      </c>
      <c r="AK1463" t="inlineStr">
        <is>
          <t>601+</t>
        </is>
      </c>
      <c r="AL1463" t="inlineStr">
        <is>
          <t>11.4</t>
        </is>
      </c>
      <c r="AM1463" t="inlineStr">
        <is>
          <t>601+</t>
        </is>
      </c>
      <c r="AN1463" t="inlineStr">
        <is>
          <t>30.9</t>
        </is>
      </c>
      <c r="AO1463" t="inlineStr">
        <is>
          <t>507</t>
        </is>
      </c>
      <c r="AP1463" t="inlineStr">
        <is>
          <t>1.5</t>
        </is>
      </c>
      <c r="AQ1463" t="inlineStr">
        <is>
          <t>701+</t>
        </is>
      </c>
      <c r="AR1463" t="inlineStr">
        <is>
          <t>1.8</t>
        </is>
      </c>
      <c r="AS1463" t="inlineStr">
        <is>
          <t>701+</t>
        </is>
      </c>
      <c r="AT1463" t="inlineStr">
        <is>
          <t>1.1</t>
        </is>
      </c>
      <c r="AU1463" t="inlineStr">
        <is>
          <t>701+</t>
        </is>
      </c>
      <c r="AV1463" t="inlineStr">
        <is>
          <t>14.1</t>
        </is>
      </c>
      <c r="AW1463" t="inlineStr">
        <is>
          <t>612</t>
        </is>
      </c>
      <c r="AX1463" t="inlineStr">
        <is>
          <t>31.4</t>
        </is>
      </c>
      <c r="AY1463" t="inlineStr">
        <is>
          <t>243</t>
        </is>
      </c>
      <c r="AZ1463" t="inlineStr">
        <is>
          <t>14.2</t>
        </is>
      </c>
      <c r="BA1463" t="inlineStr">
        <is>
          <t>621=</t>
        </is>
      </c>
    </row>
    <row r="1464">
      <c r="A1464" t="inlineStr">
        <is>
          <t>University of Bahrain</t>
        </is>
      </c>
      <c r="B1464" t="inlineStr">
        <is>
          <t>Bahrain</t>
        </is>
      </c>
      <c r="C1464" t="inlineStr">
        <is>
          <t>BH</t>
        </is>
      </c>
      <c r="D1464" t="inlineStr">
        <is>
          <t>Asia</t>
        </is>
      </c>
      <c r="E1464" t="inlineStr">
        <is>
          <t>L</t>
        </is>
      </c>
      <c r="F1464" t="inlineStr">
        <is>
          <t>CO</t>
        </is>
      </c>
      <c r="G1464" t="inlineStr">
        <is>
          <t>HI</t>
        </is>
      </c>
      <c r="H1464" t="inlineStr">
        <is>
          <t>3</t>
        </is>
      </c>
      <c r="I1464" t="inlineStr">
        <is>
          <t>Public</t>
        </is>
      </c>
      <c r="J1464" t="inlineStr">
        <is>
          <t>951-1000</t>
        </is>
      </c>
      <c r="K1464" t="inlineStr">
        <is>
          <t>951-1000</t>
        </is>
      </c>
      <c r="L1464" t="inlineStr">
        <is>
          <t>951-1000</t>
        </is>
      </c>
      <c r="M1464" t="inlineStr">
        <is>
          <t>801-1000</t>
        </is>
      </c>
      <c r="N1464" t="inlineStr">
        <is>
          <t>-</t>
        </is>
      </c>
      <c r="O1464" t="inlineStr">
        <is>
          <t>-</t>
        </is>
      </c>
      <c r="P1464" t="n">
        <v>14.3</v>
      </c>
      <c r="Q1464" t="inlineStr">
        <is>
          <t>701+</t>
        </is>
      </c>
      <c r="R1464" t="n">
        <v>15.1</v>
      </c>
      <c r="S1464" t="inlineStr">
        <is>
          <t>701+</t>
        </is>
      </c>
      <c r="T1464" t="n">
        <v>8.1</v>
      </c>
      <c r="U1464" t="inlineStr">
        <is>
          <t>801+</t>
        </is>
      </c>
      <c r="V1464" t="n">
        <v>5</v>
      </c>
      <c r="W1464" t="inlineStr">
        <is>
          <t>801+</t>
        </is>
      </c>
      <c r="X1464" t="n">
        <v>94.09999999999999</v>
      </c>
      <c r="Y1464" t="inlineStr">
        <is>
          <t>191</t>
        </is>
      </c>
      <c r="Z1464" t="n">
        <v>10.5</v>
      </c>
      <c r="AA1464" t="inlineStr">
        <is>
          <t>801+</t>
        </is>
      </c>
      <c r="AB1464" t="n">
        <v>14</v>
      </c>
      <c r="AC1464" t="inlineStr">
        <is>
          <t>801+</t>
        </is>
      </c>
      <c r="AD1464" t="n">
        <v>38.7</v>
      </c>
      <c r="AE1464" t="inlineStr">
        <is>
          <t>801+</t>
        </is>
      </c>
      <c r="AF1464" t="n">
        <v>55.5</v>
      </c>
      <c r="AG1464" t="inlineStr">
        <is>
          <t>299</t>
        </is>
      </c>
      <c r="AH1464" t="n">
        <v>28.9</v>
      </c>
      <c r="AI1464" t="inlineStr">
        <is>
          <t>801+</t>
        </is>
      </c>
      <c r="AJ1464" t="inlineStr">
        <is>
          <t>10.7</t>
        </is>
      </c>
      <c r="AK1464" t="inlineStr">
        <is>
          <t>601+</t>
        </is>
      </c>
      <c r="AL1464" t="inlineStr">
        <is>
          <t>7.6</t>
        </is>
      </c>
      <c r="AM1464" t="inlineStr">
        <is>
          <t>601+</t>
        </is>
      </c>
      <c r="AN1464" t="inlineStr">
        <is>
          <t>7.3</t>
        </is>
      </c>
      <c r="AO1464" t="inlineStr">
        <is>
          <t>701+</t>
        </is>
      </c>
      <c r="AP1464" t="inlineStr">
        <is>
          <t>2.1</t>
        </is>
      </c>
      <c r="AQ1464" t="inlineStr">
        <is>
          <t>701+</t>
        </is>
      </c>
      <c r="AR1464" t="inlineStr">
        <is>
          <t>87.6</t>
        </is>
      </c>
      <c r="AS1464" t="inlineStr">
        <is>
          <t>196</t>
        </is>
      </c>
      <c r="AT1464" t="inlineStr">
        <is>
          <t>11.4</t>
        </is>
      </c>
      <c r="AU1464" t="inlineStr">
        <is>
          <t>684</t>
        </is>
      </c>
      <c r="AV1464" t="inlineStr">
        <is>
          <t>1.3</t>
        </is>
      </c>
      <c r="AW1464" t="inlineStr">
        <is>
          <t>701+</t>
        </is>
      </c>
      <c r="AX1464" t="inlineStr">
        <is>
          <t>6.8</t>
        </is>
      </c>
      <c r="AY1464" t="inlineStr">
        <is>
          <t>701+</t>
        </is>
      </c>
      <c r="AZ1464" t="inlineStr">
        <is>
          <t>3</t>
        </is>
      </c>
      <c r="BA1464" t="inlineStr">
        <is>
          <t>701+</t>
        </is>
      </c>
    </row>
    <row r="1465">
      <c r="A1465" t="inlineStr">
        <is>
          <t>University of Balamand</t>
        </is>
      </c>
      <c r="B1465" t="inlineStr">
        <is>
          <t>Lebanon</t>
        </is>
      </c>
      <c r="C1465" t="inlineStr">
        <is>
          <t>LB</t>
        </is>
      </c>
      <c r="D1465" t="inlineStr">
        <is>
          <t>Asia</t>
        </is>
      </c>
      <c r="E1465" t="inlineStr">
        <is>
          <t>M</t>
        </is>
      </c>
      <c r="F1465" t="inlineStr">
        <is>
          <t>CO</t>
        </is>
      </c>
      <c r="G1465" t="inlineStr">
        <is>
          <t>HI</t>
        </is>
      </c>
      <c r="H1465" t="inlineStr">
        <is>
          <t>3</t>
        </is>
      </c>
      <c r="I1465" t="inlineStr">
        <is>
          <t>Private not for Profit</t>
        </is>
      </c>
      <c r="J1465" t="inlineStr">
        <is>
          <t>1001-1200</t>
        </is>
      </c>
      <c r="K1465" t="inlineStr"/>
      <c r="L1465" t="inlineStr">
        <is>
          <t>801-850</t>
        </is>
      </c>
      <c r="M1465" t="inlineStr">
        <is>
          <t>531-540</t>
        </is>
      </c>
      <c r="N1465" t="inlineStr">
        <is>
          <t>-</t>
        </is>
      </c>
      <c r="O1465" t="inlineStr">
        <is>
          <t>-</t>
        </is>
      </c>
      <c r="P1465" t="n">
        <v>8</v>
      </c>
      <c r="Q1465" t="inlineStr">
        <is>
          <t>701+</t>
        </is>
      </c>
      <c r="R1465" t="n">
        <v>21.2</v>
      </c>
      <c r="S1465" t="inlineStr">
        <is>
          <t>622</t>
        </is>
      </c>
      <c r="T1465" t="n">
        <v>49.8</v>
      </c>
      <c r="U1465" t="inlineStr">
        <is>
          <t>386</t>
        </is>
      </c>
      <c r="V1465" t="n">
        <v>3.6</v>
      </c>
      <c r="W1465" t="inlineStr">
        <is>
          <t>801+</t>
        </is>
      </c>
      <c r="X1465" t="n">
        <v>20.5</v>
      </c>
      <c r="Y1465" t="inlineStr">
        <is>
          <t>704</t>
        </is>
      </c>
      <c r="Z1465" t="n">
        <v>26.9</v>
      </c>
      <c r="AA1465" t="inlineStr">
        <is>
          <t>633</t>
        </is>
      </c>
      <c r="AB1465" t="n">
        <v>31.2</v>
      </c>
      <c r="AC1465" t="inlineStr">
        <is>
          <t>599</t>
        </is>
      </c>
      <c r="AD1465" t="n">
        <v>14.4</v>
      </c>
      <c r="AE1465" t="inlineStr">
        <is>
          <t>801+</t>
        </is>
      </c>
      <c r="AF1465" t="n">
        <v>3.8</v>
      </c>
      <c r="AG1465" t="inlineStr">
        <is>
          <t>801+</t>
        </is>
      </c>
      <c r="AH1465" t="n">
        <v>33.6</v>
      </c>
      <c r="AI1465" t="inlineStr">
        <is>
          <t>801+</t>
        </is>
      </c>
      <c r="AJ1465" t="inlineStr">
        <is>
          <t>4.9</t>
        </is>
      </c>
      <c r="AK1465" t="inlineStr">
        <is>
          <t>601+</t>
        </is>
      </c>
      <c r="AL1465" t="inlineStr">
        <is>
          <t>13.0</t>
        </is>
      </c>
      <c r="AM1465" t="inlineStr">
        <is>
          <t>601+</t>
        </is>
      </c>
      <c r="AN1465" t="inlineStr">
        <is>
          <t>83.8</t>
        </is>
      </c>
      <c r="AO1465" t="inlineStr">
        <is>
          <t>115</t>
        </is>
      </c>
      <c r="AP1465" t="inlineStr">
        <is>
          <t>2.0</t>
        </is>
      </c>
      <c r="AQ1465" t="inlineStr">
        <is>
          <t>701+</t>
        </is>
      </c>
      <c r="AR1465" t="inlineStr">
        <is>
          <t>12.6</t>
        </is>
      </c>
      <c r="AS1465" t="inlineStr">
        <is>
          <t>701+</t>
        </is>
      </c>
      <c r="AT1465" t="inlineStr">
        <is>
          <t>21.8</t>
        </is>
      </c>
      <c r="AU1465" t="inlineStr">
        <is>
          <t>520</t>
        </is>
      </c>
      <c r="AV1465" t="inlineStr">
        <is>
          <t>1.0</t>
        </is>
      </c>
      <c r="AW1465" t="inlineStr">
        <is>
          <t>701+</t>
        </is>
      </c>
      <c r="AX1465" t="inlineStr">
        <is>
          <t>8.2</t>
        </is>
      </c>
      <c r="AY1465" t="inlineStr">
        <is>
          <t>701+</t>
        </is>
      </c>
      <c r="AZ1465" t="inlineStr">
        <is>
          <t>1</t>
        </is>
      </c>
      <c r="BA1465" t="inlineStr">
        <is>
          <t>701+</t>
        </is>
      </c>
    </row>
    <row r="1466">
      <c r="A1466" t="inlineStr">
        <is>
          <t>University of Barcelona</t>
        </is>
      </c>
      <c r="B1466" t="inlineStr">
        <is>
          <t>Spain</t>
        </is>
      </c>
      <c r="C1466" t="inlineStr"/>
      <c r="D1466" t="inlineStr">
        <is>
          <t>Europe</t>
        </is>
      </c>
      <c r="E1466" t="inlineStr">
        <is>
          <t>XL</t>
        </is>
      </c>
      <c r="F1466" t="inlineStr">
        <is>
          <t>FC</t>
        </is>
      </c>
      <c r="G1466" t="inlineStr">
        <is>
          <t>VH</t>
        </is>
      </c>
      <c r="H1466" t="inlineStr"/>
      <c r="I1466" t="inlineStr">
        <is>
          <t>Public</t>
        </is>
      </c>
      <c r="J1466" t="inlineStr">
        <is>
          <t>160</t>
        </is>
      </c>
      <c r="K1466" t="inlineStr">
        <is>
          <t>165</t>
        </is>
      </c>
      <c r="L1466" t="inlineStr"/>
      <c r="M1466" t="inlineStr"/>
      <c r="N1466" t="inlineStr">
        <is>
          <t>61</t>
        </is>
      </c>
      <c r="O1466" t="inlineStr"/>
      <c r="P1466" t="n">
        <v>84.90000000000001</v>
      </c>
      <c r="Q1466" t="inlineStr">
        <is>
          <t>81</t>
        </is>
      </c>
      <c r="R1466" t="n">
        <v>48.9</v>
      </c>
      <c r="S1466" t="inlineStr">
        <is>
          <t>262</t>
        </is>
      </c>
      <c r="T1466" t="n">
        <v>19</v>
      </c>
      <c r="U1466" t="inlineStr">
        <is>
          <t>801+</t>
        </is>
      </c>
      <c r="V1466" t="n">
        <v>47.8</v>
      </c>
      <c r="W1466" t="inlineStr">
        <is>
          <t>391</t>
        </is>
      </c>
      <c r="X1466" t="n">
        <v>39.9</v>
      </c>
      <c r="Y1466" t="inlineStr">
        <is>
          <t>501</t>
        </is>
      </c>
      <c r="Z1466" t="n">
        <v>40.8</v>
      </c>
      <c r="AA1466" t="inlineStr">
        <is>
          <t>484</t>
        </is>
      </c>
      <c r="AB1466" t="n">
        <v>46.2</v>
      </c>
      <c r="AC1466" t="inlineStr">
        <is>
          <t>451</t>
        </is>
      </c>
      <c r="AD1466" t="n">
        <v>96.40000000000001</v>
      </c>
      <c r="AE1466" t="inlineStr">
        <is>
          <t>50</t>
        </is>
      </c>
      <c r="AF1466" t="n">
        <v>77</v>
      </c>
      <c r="AG1466" t="inlineStr">
        <is>
          <t>170</t>
        </is>
      </c>
      <c r="AH1466" t="n">
        <v>84.7</v>
      </c>
      <c r="AI1466" t="inlineStr">
        <is>
          <t>115=</t>
        </is>
      </c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</row>
    <row r="1467">
      <c r="A1467" t="inlineStr">
        <is>
          <t>University of Bari</t>
        </is>
      </c>
      <c r="B1467" t="inlineStr">
        <is>
          <t>Italy</t>
        </is>
      </c>
      <c r="C1467" t="inlineStr">
        <is>
          <t>IT</t>
        </is>
      </c>
      <c r="D1467" t="inlineStr">
        <is>
          <t>Europe</t>
        </is>
      </c>
      <c r="E1467" t="inlineStr">
        <is>
          <t>XL</t>
        </is>
      </c>
      <c r="F1467" t="inlineStr">
        <is>
          <t>FO</t>
        </is>
      </c>
      <c r="G1467" t="inlineStr">
        <is>
          <t>VH</t>
        </is>
      </c>
      <c r="H1467" t="inlineStr">
        <is>
          <t>4</t>
        </is>
      </c>
      <c r="I1467" t="inlineStr">
        <is>
          <t>Public</t>
        </is>
      </c>
      <c r="J1467" t="inlineStr">
        <is>
          <t>801-850</t>
        </is>
      </c>
      <c r="K1467" t="inlineStr">
        <is>
          <t>801-850</t>
        </is>
      </c>
      <c r="L1467" t="inlineStr">
        <is>
          <t>741-750</t>
        </is>
      </c>
      <c r="M1467" t="inlineStr">
        <is>
          <t>801-1000</t>
        </is>
      </c>
      <c r="N1467" t="inlineStr">
        <is>
          <t>-</t>
        </is>
      </c>
      <c r="O1467" t="inlineStr">
        <is>
          <t>-</t>
        </is>
      </c>
      <c r="P1467" t="n">
        <v>16.8</v>
      </c>
      <c r="Q1467" t="inlineStr">
        <is>
          <t>701+</t>
        </is>
      </c>
      <c r="R1467" t="n">
        <v>5.3</v>
      </c>
      <c r="S1467" t="inlineStr">
        <is>
          <t>701+</t>
        </is>
      </c>
      <c r="T1467" t="n">
        <v>7.4</v>
      </c>
      <c r="U1467" t="inlineStr">
        <is>
          <t>801+</t>
        </is>
      </c>
      <c r="V1467" t="n">
        <v>43.1</v>
      </c>
      <c r="W1467" t="inlineStr">
        <is>
          <t>437</t>
        </is>
      </c>
      <c r="X1467" t="n">
        <v>6.9</v>
      </c>
      <c r="Y1467" t="inlineStr">
        <is>
          <t>801+</t>
        </is>
      </c>
      <c r="Z1467" t="n">
        <v>4</v>
      </c>
      <c r="AA1467" t="inlineStr">
        <is>
          <t>801+</t>
        </is>
      </c>
      <c r="AB1467" t="n">
        <v>9.1</v>
      </c>
      <c r="AC1467" t="inlineStr">
        <is>
          <t>801+</t>
        </is>
      </c>
      <c r="AD1467" t="n">
        <v>80.7</v>
      </c>
      <c r="AE1467" t="inlineStr">
        <is>
          <t>338</t>
        </is>
      </c>
      <c r="AF1467" t="n">
        <v>12.2</v>
      </c>
      <c r="AG1467" t="inlineStr">
        <is>
          <t>801+</t>
        </is>
      </c>
      <c r="AH1467" t="n">
        <v>56.3</v>
      </c>
      <c r="AI1467" t="inlineStr">
        <is>
          <t>573=</t>
        </is>
      </c>
      <c r="AJ1467" t="inlineStr">
        <is>
          <t>12.8</t>
        </is>
      </c>
      <c r="AK1467" t="inlineStr">
        <is>
          <t>601+</t>
        </is>
      </c>
      <c r="AL1467" t="inlineStr">
        <is>
          <t>2.9</t>
        </is>
      </c>
      <c r="AM1467" t="inlineStr">
        <is>
          <t>601+</t>
        </is>
      </c>
      <c r="AN1467" t="inlineStr">
        <is>
          <t>4.2</t>
        </is>
      </c>
      <c r="AO1467" t="inlineStr">
        <is>
          <t>701+</t>
        </is>
      </c>
      <c r="AP1467" t="inlineStr">
        <is>
          <t>27.8</t>
        </is>
      </c>
      <c r="AQ1467" t="inlineStr">
        <is>
          <t>452</t>
        </is>
      </c>
      <c r="AR1467" t="inlineStr">
        <is>
          <t>5.0</t>
        </is>
      </c>
      <c r="AS1467" t="inlineStr">
        <is>
          <t>701+</t>
        </is>
      </c>
      <c r="AT1467" t="inlineStr">
        <is>
          <t>2.2</t>
        </is>
      </c>
      <c r="AU1467" t="inlineStr">
        <is>
          <t>701+</t>
        </is>
      </c>
      <c r="AV1467" t="inlineStr">
        <is>
          <t>64.5</t>
        </is>
      </c>
      <c r="AW1467" t="inlineStr">
        <is>
          <t>219</t>
        </is>
      </c>
      <c r="AX1467" t="inlineStr">
        <is>
          <t>6.8</t>
        </is>
      </c>
      <c r="AY1467" t="inlineStr">
        <is>
          <t>701+</t>
        </is>
      </c>
      <c r="AZ1467" t="inlineStr">
        <is>
          <t>37.5</t>
        </is>
      </c>
      <c r="BA1467" t="inlineStr">
        <is>
          <t>382=</t>
        </is>
      </c>
    </row>
    <row r="1468">
      <c r="A1468" t="inlineStr">
        <is>
          <t>University of Basel</t>
        </is>
      </c>
      <c r="B1468" t="inlineStr">
        <is>
          <t>Switzerland</t>
        </is>
      </c>
      <c r="C1468" t="inlineStr">
        <is>
          <t>CH</t>
        </is>
      </c>
      <c r="D1468" t="inlineStr">
        <is>
          <t>Europe</t>
        </is>
      </c>
      <c r="E1468" t="inlineStr">
        <is>
          <t>M</t>
        </is>
      </c>
      <c r="F1468" t="inlineStr">
        <is>
          <t>FC</t>
        </is>
      </c>
      <c r="G1468" t="inlineStr">
        <is>
          <t>VH</t>
        </is>
      </c>
      <c r="H1468" t="inlineStr">
        <is>
          <t>5</t>
        </is>
      </c>
      <c r="I1468" t="inlineStr">
        <is>
          <t>Public</t>
        </is>
      </c>
      <c r="J1468" t="inlineStr">
        <is>
          <t>158</t>
        </is>
      </c>
      <c r="K1468" t="inlineStr">
        <is>
          <t>131</t>
        </is>
      </c>
      <c r="L1468">
        <f>124</f>
        <v/>
      </c>
      <c r="M1468" t="inlineStr">
        <is>
          <t>136</t>
        </is>
      </c>
      <c r="N1468" t="inlineStr">
        <is>
          <t>61.3</t>
        </is>
      </c>
      <c r="O1468" t="inlineStr">
        <is>
          <t>55.0</t>
        </is>
      </c>
      <c r="P1468" t="n">
        <v>34</v>
      </c>
      <c r="Q1468" t="inlineStr">
        <is>
          <t>357</t>
        </is>
      </c>
      <c r="R1468" t="n">
        <v>20.7</v>
      </c>
      <c r="S1468" t="inlineStr">
        <is>
          <t>639</t>
        </is>
      </c>
      <c r="T1468" t="n">
        <v>70.2</v>
      </c>
      <c r="U1468" t="inlineStr">
        <is>
          <t>229</t>
        </is>
      </c>
      <c r="V1468" t="n">
        <v>94.2</v>
      </c>
      <c r="W1468" t="inlineStr">
        <is>
          <t>80</t>
        </is>
      </c>
      <c r="X1468" t="n">
        <v>100</v>
      </c>
      <c r="Y1468" t="inlineStr">
        <is>
          <t>47</t>
        </is>
      </c>
      <c r="Z1468" t="n">
        <v>91.40000000000001</v>
      </c>
      <c r="AA1468" t="inlineStr">
        <is>
          <t>156</t>
        </is>
      </c>
      <c r="AB1468" t="n">
        <v>68</v>
      </c>
      <c r="AC1468" t="inlineStr">
        <is>
          <t>284</t>
        </is>
      </c>
      <c r="AD1468" t="n">
        <v>90.40000000000001</v>
      </c>
      <c r="AE1468" t="inlineStr">
        <is>
          <t>170</t>
        </is>
      </c>
      <c r="AF1468" t="n">
        <v>74.90000000000001</v>
      </c>
      <c r="AG1468" t="inlineStr">
        <is>
          <t>183</t>
        </is>
      </c>
      <c r="AH1468" t="n">
        <v>88.40000000000001</v>
      </c>
      <c r="AI1468" t="inlineStr">
        <is>
          <t>74=</t>
        </is>
      </c>
      <c r="AJ1468" t="inlineStr">
        <is>
          <t>27.8</t>
        </is>
      </c>
      <c r="AK1468" t="inlineStr">
        <is>
          <t>314</t>
        </is>
      </c>
      <c r="AL1468" t="inlineStr">
        <is>
          <t>17.8</t>
        </is>
      </c>
      <c r="AM1468" t="inlineStr">
        <is>
          <t>494</t>
        </is>
      </c>
      <c r="AN1468" t="inlineStr">
        <is>
          <t>57.4</t>
        </is>
      </c>
      <c r="AO1468" t="inlineStr">
        <is>
          <t>253</t>
        </is>
      </c>
      <c r="AP1468" t="inlineStr">
        <is>
          <t>96.5</t>
        </is>
      </c>
      <c r="AQ1468" t="inlineStr">
        <is>
          <t>44</t>
        </is>
      </c>
      <c r="AR1468" t="inlineStr">
        <is>
          <t>100.0</t>
        </is>
      </c>
      <c r="AS1468" t="inlineStr">
        <is>
          <t>34</t>
        </is>
      </c>
      <c r="AT1468" t="inlineStr">
        <is>
          <t>85.0</t>
        </is>
      </c>
      <c r="AU1468" t="inlineStr">
        <is>
          <t>143</t>
        </is>
      </c>
      <c r="AV1468" t="inlineStr">
        <is>
          <t>74.4</t>
        </is>
      </c>
      <c r="AW1468" t="inlineStr">
        <is>
          <t>175</t>
        </is>
      </c>
      <c r="AX1468" t="inlineStr">
        <is>
          <t>41.1</t>
        </is>
      </c>
      <c r="AY1468" t="inlineStr">
        <is>
          <t>179</t>
        </is>
      </c>
      <c r="AZ1468" t="inlineStr">
        <is>
          <t>70.4</t>
        </is>
      </c>
      <c r="BA1468" t="inlineStr">
        <is>
          <t>201=</t>
        </is>
      </c>
    </row>
    <row r="1469">
      <c r="A1469" t="inlineStr">
        <is>
          <t>University of Basrah</t>
        </is>
      </c>
      <c r="B1469" t="inlineStr">
        <is>
          <t>Iraq</t>
        </is>
      </c>
      <c r="C1469" t="inlineStr">
        <is>
          <t>IQ</t>
        </is>
      </c>
      <c r="D1469" t="inlineStr">
        <is>
          <t>Asia</t>
        </is>
      </c>
      <c r="E1469" t="inlineStr">
        <is>
          <t>XL</t>
        </is>
      </c>
      <c r="F1469" t="inlineStr">
        <is>
          <t>FC</t>
        </is>
      </c>
      <c r="G1469" t="inlineStr">
        <is>
          <t>HI</t>
        </is>
      </c>
      <c r="H1469" t="inlineStr">
        <is>
          <t>4</t>
        </is>
      </c>
      <c r="I1469" t="inlineStr">
        <is>
          <t>Public</t>
        </is>
      </c>
      <c r="J1469" t="inlineStr">
        <is>
          <t>1201-1400</t>
        </is>
      </c>
      <c r="K1469" t="inlineStr">
        <is>
          <t>1201-1400</t>
        </is>
      </c>
      <c r="L1469" t="inlineStr">
        <is>
          <t>1201-1400</t>
        </is>
      </c>
      <c r="M1469" t="inlineStr">
        <is>
          <t>1201-1400</t>
        </is>
      </c>
      <c r="N1469" t="inlineStr">
        <is>
          <t>-</t>
        </is>
      </c>
      <c r="O1469" t="inlineStr">
        <is>
          <t>-</t>
        </is>
      </c>
      <c r="P1469" t="n">
        <v>9.1</v>
      </c>
      <c r="Q1469" t="inlineStr">
        <is>
          <t>701+</t>
        </is>
      </c>
      <c r="R1469" t="n">
        <v>26.6</v>
      </c>
      <c r="S1469" t="inlineStr">
        <is>
          <t>514</t>
        </is>
      </c>
      <c r="T1469" t="n">
        <v>18.7</v>
      </c>
      <c r="U1469" t="inlineStr">
        <is>
          <t>801+</t>
        </is>
      </c>
      <c r="V1469" t="n">
        <v>2.2</v>
      </c>
      <c r="W1469" t="inlineStr">
        <is>
          <t>801+</t>
        </is>
      </c>
      <c r="X1469" t="inlineStr"/>
      <c r="Y1469" t="inlineStr"/>
      <c r="Z1469" t="n">
        <v>1</v>
      </c>
      <c r="AA1469" t="inlineStr">
        <is>
          <t>801+</t>
        </is>
      </c>
      <c r="AB1469" t="n">
        <v>1</v>
      </c>
      <c r="AC1469" t="inlineStr">
        <is>
          <t>801+</t>
        </is>
      </c>
      <c r="AD1469" t="n">
        <v>34.7</v>
      </c>
      <c r="AE1469" t="inlineStr">
        <is>
          <t>801+</t>
        </is>
      </c>
      <c r="AF1469" t="n">
        <v>14.2</v>
      </c>
      <c r="AG1469" t="inlineStr">
        <is>
          <t>801+</t>
        </is>
      </c>
      <c r="AH1469" t="n">
        <v>20</v>
      </c>
      <c r="AI1469" t="inlineStr">
        <is>
          <t>801+</t>
        </is>
      </c>
      <c r="AJ1469" t="inlineStr">
        <is>
          <t>4.4</t>
        </is>
      </c>
      <c r="AK1469" t="inlineStr">
        <is>
          <t>601+</t>
        </is>
      </c>
      <c r="AL1469" t="inlineStr">
        <is>
          <t>6.0</t>
        </is>
      </c>
      <c r="AM1469" t="inlineStr">
        <is>
          <t>601+</t>
        </is>
      </c>
      <c r="AN1469" t="inlineStr">
        <is>
          <t>15.9</t>
        </is>
      </c>
      <c r="AO1469" t="inlineStr">
        <is>
          <t>701+</t>
        </is>
      </c>
      <c r="AP1469" t="inlineStr">
        <is>
          <t>1.4</t>
        </is>
      </c>
      <c r="AQ1469" t="inlineStr">
        <is>
          <t>701+</t>
        </is>
      </c>
      <c r="AR1469" t="inlineStr">
        <is>
          <t>1.3</t>
        </is>
      </c>
      <c r="AS1469" t="inlineStr">
        <is>
          <t>701+</t>
        </is>
      </c>
      <c r="AT1469" t="inlineStr">
        <is>
          <t>1.1</t>
        </is>
      </c>
      <c r="AU1469" t="inlineStr">
        <is>
          <t>701+</t>
        </is>
      </c>
      <c r="AV1469" t="inlineStr">
        <is>
          <t>1.4</t>
        </is>
      </c>
      <c r="AW1469" t="inlineStr">
        <is>
          <t>701+</t>
        </is>
      </c>
      <c r="AX1469" t="inlineStr">
        <is>
          <t>9.3</t>
        </is>
      </c>
      <c r="AY1469" t="inlineStr">
        <is>
          <t>701+</t>
        </is>
      </c>
      <c r="AZ1469" t="inlineStr">
        <is>
          <t>1</t>
        </is>
      </c>
      <c r="BA1469" t="inlineStr">
        <is>
          <t>701+</t>
        </is>
      </c>
    </row>
    <row r="1470">
      <c r="A1470" t="inlineStr">
        <is>
          <t>University of Bath</t>
        </is>
      </c>
      <c r="B1470" t="inlineStr">
        <is>
          <t>United Kingdom</t>
        </is>
      </c>
      <c r="C1470" t="inlineStr">
        <is>
          <t>UK</t>
        </is>
      </c>
      <c r="D1470" t="inlineStr">
        <is>
          <t>Europe</t>
        </is>
      </c>
      <c r="E1470" t="inlineStr">
        <is>
          <t>L</t>
        </is>
      </c>
      <c r="F1470" t="inlineStr">
        <is>
          <t>CO</t>
        </is>
      </c>
      <c r="G1470" t="inlineStr">
        <is>
          <t>VH</t>
        </is>
      </c>
      <c r="H1470" t="inlineStr">
        <is>
          <t>4</t>
        </is>
      </c>
      <c r="I1470" t="inlineStr">
        <is>
          <t>Public</t>
        </is>
      </c>
      <c r="J1470" t="inlineStr">
        <is>
          <t>132</t>
        </is>
      </c>
      <c r="K1470" t="inlineStr">
        <is>
          <t>150</t>
        </is>
      </c>
      <c r="L1470" t="inlineStr">
        <is>
          <t>148</t>
        </is>
      </c>
      <c r="M1470" t="inlineStr">
        <is>
          <t>179=</t>
        </is>
      </c>
      <c r="N1470" t="inlineStr">
        <is>
          <t>64.2</t>
        </is>
      </c>
      <c r="O1470" t="inlineStr">
        <is>
          <t>51.8</t>
        </is>
      </c>
      <c r="P1470" t="n">
        <v>48.9</v>
      </c>
      <c r="Q1470" t="inlineStr">
        <is>
          <t>233</t>
        </is>
      </c>
      <c r="R1470" t="n">
        <v>81.59999999999999</v>
      </c>
      <c r="S1470" t="inlineStr">
        <is>
          <t>100</t>
        </is>
      </c>
      <c r="T1470" t="n">
        <v>20.5</v>
      </c>
      <c r="U1470" t="inlineStr">
        <is>
          <t>801+</t>
        </is>
      </c>
      <c r="V1470" t="n">
        <v>75.90000000000001</v>
      </c>
      <c r="W1470" t="inlineStr">
        <is>
          <t>173</t>
        </is>
      </c>
      <c r="X1470" t="n">
        <v>95.59999999999999</v>
      </c>
      <c r="Y1470" t="inlineStr">
        <is>
          <t>170</t>
        </is>
      </c>
      <c r="Z1470" t="n">
        <v>86.8</v>
      </c>
      <c r="AA1470" t="inlineStr">
        <is>
          <t>187</t>
        </is>
      </c>
      <c r="AB1470" t="n">
        <v>88</v>
      </c>
      <c r="AC1470" t="inlineStr">
        <is>
          <t>156</t>
        </is>
      </c>
      <c r="AD1470" t="n">
        <v>85.3</v>
      </c>
      <c r="AE1470" t="inlineStr">
        <is>
          <t>250</t>
        </is>
      </c>
      <c r="AF1470" t="n">
        <v>50.7</v>
      </c>
      <c r="AG1470" t="inlineStr">
        <is>
          <t>337</t>
        </is>
      </c>
      <c r="AH1470" t="n">
        <v>83.8</v>
      </c>
      <c r="AI1470" t="inlineStr">
        <is>
          <t>127=</t>
        </is>
      </c>
      <c r="AJ1470" t="inlineStr">
        <is>
          <t>35.6</t>
        </is>
      </c>
      <c r="AK1470" t="inlineStr">
        <is>
          <t>244</t>
        </is>
      </c>
      <c r="AL1470" t="inlineStr">
        <is>
          <t>74.3</t>
        </is>
      </c>
      <c r="AM1470" t="inlineStr">
        <is>
          <t>88</t>
        </is>
      </c>
      <c r="AN1470" t="inlineStr">
        <is>
          <t>16.1</t>
        </is>
      </c>
      <c r="AO1470" t="inlineStr">
        <is>
          <t>701+</t>
        </is>
      </c>
      <c r="AP1470" t="inlineStr">
        <is>
          <t>61.9</t>
        </is>
      </c>
      <c r="AQ1470" t="inlineStr">
        <is>
          <t>196</t>
        </is>
      </c>
      <c r="AR1470" t="inlineStr">
        <is>
          <t>96.3</t>
        </is>
      </c>
      <c r="AS1470" t="inlineStr">
        <is>
          <t>136</t>
        </is>
      </c>
      <c r="AT1470" t="inlineStr">
        <is>
          <t>81.6</t>
        </is>
      </c>
      <c r="AU1470" t="inlineStr">
        <is>
          <t>155</t>
        </is>
      </c>
      <c r="AV1470" t="inlineStr">
        <is>
          <t>59.3</t>
        </is>
      </c>
      <c r="AW1470" t="inlineStr">
        <is>
          <t>251</t>
        </is>
      </c>
      <c r="AX1470" t="inlineStr">
        <is>
          <t>26.5</t>
        </is>
      </c>
      <c r="AY1470" t="inlineStr">
        <is>
          <t>310</t>
        </is>
      </c>
      <c r="AZ1470" t="inlineStr">
        <is>
          <t>48.4</t>
        </is>
      </c>
      <c r="BA1470" t="inlineStr">
        <is>
          <t>316=</t>
        </is>
      </c>
    </row>
    <row r="1471">
      <c r="A1471" t="inlineStr">
        <is>
          <t>University of Bayreuth</t>
        </is>
      </c>
      <c r="B1471" t="inlineStr">
        <is>
          <t>Germany</t>
        </is>
      </c>
      <c r="C1471" t="inlineStr">
        <is>
          <t>DE</t>
        </is>
      </c>
      <c r="D1471" t="inlineStr"/>
      <c r="E1471" t="inlineStr">
        <is>
          <t>M</t>
        </is>
      </c>
      <c r="F1471" t="inlineStr">
        <is>
          <t>CO</t>
        </is>
      </c>
      <c r="G1471" t="inlineStr">
        <is>
          <t>VH</t>
        </is>
      </c>
      <c r="H1471" t="inlineStr">
        <is>
          <t>3</t>
        </is>
      </c>
      <c r="I1471" t="inlineStr">
        <is>
          <t>A</t>
        </is>
      </c>
      <c r="J1471" t="inlineStr"/>
      <c r="K1471" t="inlineStr"/>
      <c r="L1471">
        <f>509</f>
        <v/>
      </c>
      <c r="M1471" t="inlineStr">
        <is>
          <t>511-520</t>
        </is>
      </c>
      <c r="N1471" t="inlineStr"/>
      <c r="O1471" t="inlineStr">
        <is>
          <t>22.9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>
        <is>
          <t>10.3</t>
        </is>
      </c>
      <c r="AK1471" t="inlineStr">
        <is>
          <t>601+</t>
        </is>
      </c>
      <c r="AL1471" t="inlineStr">
        <is>
          <t>19.3</t>
        </is>
      </c>
      <c r="AM1471" t="inlineStr">
        <is>
          <t>467</t>
        </is>
      </c>
      <c r="AN1471" t="inlineStr">
        <is>
          <t>46.4</t>
        </is>
      </c>
      <c r="AO1471" t="inlineStr">
        <is>
          <t>338</t>
        </is>
      </c>
      <c r="AP1471" t="inlineStr">
        <is>
          <t>27.0</t>
        </is>
      </c>
      <c r="AQ1471" t="inlineStr">
        <is>
          <t>464</t>
        </is>
      </c>
      <c r="AR1471" t="inlineStr">
        <is>
          <t>50.1</t>
        </is>
      </c>
      <c r="AS1471" t="inlineStr">
        <is>
          <t>357</t>
        </is>
      </c>
      <c r="AT1471" t="inlineStr">
        <is>
          <t>21.9</t>
        </is>
      </c>
      <c r="AU1471" t="inlineStr">
        <is>
          <t>515</t>
        </is>
      </c>
      <c r="AV1471" t="inlineStr">
        <is>
          <t>40.2</t>
        </is>
      </c>
      <c r="AW1471" t="inlineStr">
        <is>
          <t>374</t>
        </is>
      </c>
      <c r="AX1471" t="inlineStr">
        <is>
          <t>12.1</t>
        </is>
      </c>
      <c r="AY1471" t="inlineStr">
        <is>
          <t>701+</t>
        </is>
      </c>
      <c r="AZ1471" t="inlineStr">
        <is>
          <t>15.4</t>
        </is>
      </c>
      <c r="BA1471" t="inlineStr">
        <is>
          <t>603=</t>
        </is>
      </c>
    </row>
    <row r="1472">
      <c r="A1472" t="inlineStr">
        <is>
          <t>University of Belgrade</t>
        </is>
      </c>
      <c r="B1472" t="inlineStr">
        <is>
          <t>Serbia</t>
        </is>
      </c>
      <c r="C1472" t="inlineStr">
        <is>
          <t>RS</t>
        </is>
      </c>
      <c r="D1472" t="inlineStr">
        <is>
          <t>Europe</t>
        </is>
      </c>
      <c r="E1472" t="inlineStr">
        <is>
          <t>XL</t>
        </is>
      </c>
      <c r="F1472" t="inlineStr">
        <is>
          <t>FC</t>
        </is>
      </c>
      <c r="G1472" t="inlineStr">
        <is>
          <t>VH</t>
        </is>
      </c>
      <c r="H1472" t="inlineStr">
        <is>
          <t>5</t>
        </is>
      </c>
      <c r="I1472" t="inlineStr">
        <is>
          <t>Public</t>
        </is>
      </c>
      <c r="J1472" t="inlineStr">
        <is>
          <t>761-770</t>
        </is>
      </c>
      <c r="K1472" t="inlineStr">
        <is>
          <t>731-740</t>
        </is>
      </c>
      <c r="L1472" t="inlineStr">
        <is>
          <t>721-730</t>
        </is>
      </c>
      <c r="M1472" t="inlineStr">
        <is>
          <t>1001-1200</t>
        </is>
      </c>
      <c r="N1472" t="inlineStr">
        <is>
          <t>-</t>
        </is>
      </c>
      <c r="O1472" t="inlineStr">
        <is>
          <t>-</t>
        </is>
      </c>
      <c r="P1472" t="n">
        <v>23.6</v>
      </c>
      <c r="Q1472" t="inlineStr">
        <is>
          <t>536</t>
        </is>
      </c>
      <c r="R1472" t="n">
        <v>14</v>
      </c>
      <c r="S1472" t="inlineStr">
        <is>
          <t>701+</t>
        </is>
      </c>
      <c r="T1472" t="n">
        <v>6.5</v>
      </c>
      <c r="U1472" t="inlineStr">
        <is>
          <t>801+</t>
        </is>
      </c>
      <c r="V1472" t="n">
        <v>10.1</v>
      </c>
      <c r="W1472" t="inlineStr">
        <is>
          <t>801+</t>
        </is>
      </c>
      <c r="X1472" t="n">
        <v>3.6</v>
      </c>
      <c r="Y1472" t="inlineStr">
        <is>
          <t>801+</t>
        </is>
      </c>
      <c r="Z1472" t="n">
        <v>7.4</v>
      </c>
      <c r="AA1472" t="inlineStr">
        <is>
          <t>801+</t>
        </is>
      </c>
      <c r="AB1472" t="n">
        <v>5.8</v>
      </c>
      <c r="AC1472" t="inlineStr">
        <is>
          <t>801+</t>
        </is>
      </c>
      <c r="AD1472" t="n">
        <v>94.5</v>
      </c>
      <c r="AE1472" t="inlineStr">
        <is>
          <t>91</t>
        </is>
      </c>
      <c r="AF1472" t="n">
        <v>98.40000000000001</v>
      </c>
      <c r="AG1472" t="inlineStr">
        <is>
          <t>36</t>
        </is>
      </c>
      <c r="AH1472" t="n">
        <v>52.1</v>
      </c>
      <c r="AI1472" t="inlineStr">
        <is>
          <t>661=</t>
        </is>
      </c>
      <c r="AJ1472" t="inlineStr">
        <is>
          <t>17.8</t>
        </is>
      </c>
      <c r="AK1472" t="inlineStr">
        <is>
          <t>501</t>
        </is>
      </c>
      <c r="AL1472" t="inlineStr">
        <is>
          <t>5.2</t>
        </is>
      </c>
      <c r="AM1472" t="inlineStr">
        <is>
          <t>601+</t>
        </is>
      </c>
      <c r="AN1472" t="inlineStr">
        <is>
          <t>4.3</t>
        </is>
      </c>
      <c r="AO1472" t="inlineStr">
        <is>
          <t>701+</t>
        </is>
      </c>
      <c r="AP1472" t="inlineStr">
        <is>
          <t>5.3</t>
        </is>
      </c>
      <c r="AQ1472" t="inlineStr">
        <is>
          <t>701+</t>
        </is>
      </c>
      <c r="AR1472" t="inlineStr">
        <is>
          <t>2.9</t>
        </is>
      </c>
      <c r="AS1472" t="inlineStr">
        <is>
          <t>701+</t>
        </is>
      </c>
      <c r="AT1472" t="inlineStr">
        <is>
          <t>4.3</t>
        </is>
      </c>
      <c r="AU1472" t="inlineStr">
        <is>
          <t>701+</t>
        </is>
      </c>
      <c r="AV1472" t="inlineStr">
        <is>
          <t>95.4</t>
        </is>
      </c>
      <c r="AW1472" t="inlineStr">
        <is>
          <t>50</t>
        </is>
      </c>
      <c r="AX1472" t="inlineStr">
        <is>
          <t>56.7</t>
        </is>
      </c>
      <c r="AY1472" t="inlineStr">
        <is>
          <t>110</t>
        </is>
      </c>
      <c r="AZ1472" t="inlineStr">
        <is>
          <t>16.1</t>
        </is>
      </c>
      <c r="BA1472" t="inlineStr">
        <is>
          <t>592=</t>
        </is>
      </c>
    </row>
    <row r="1473">
      <c r="A1473" t="inlineStr">
        <is>
          <t>University of Bergen</t>
        </is>
      </c>
      <c r="B1473" t="inlineStr">
        <is>
          <t>Norway</t>
        </is>
      </c>
      <c r="C1473" t="inlineStr">
        <is>
          <t>NO</t>
        </is>
      </c>
      <c r="D1473" t="inlineStr">
        <is>
          <t>Europe</t>
        </is>
      </c>
      <c r="E1473" t="inlineStr">
        <is>
          <t>L</t>
        </is>
      </c>
      <c r="F1473" t="inlineStr">
        <is>
          <t>FC</t>
        </is>
      </c>
      <c r="G1473" t="inlineStr">
        <is>
          <t>VH</t>
        </is>
      </c>
      <c r="H1473" t="inlineStr">
        <is>
          <t>3</t>
        </is>
      </c>
      <c r="I1473" t="inlineStr">
        <is>
          <t>Public</t>
        </is>
      </c>
      <c r="J1473" t="inlineStr">
        <is>
          <t>287</t>
        </is>
      </c>
      <c r="K1473" t="inlineStr">
        <is>
          <t>291</t>
        </is>
      </c>
      <c r="L1473">
        <f>281</f>
        <v/>
      </c>
      <c r="M1473" t="inlineStr">
        <is>
          <t>207</t>
        </is>
      </c>
      <c r="N1473" t="inlineStr">
        <is>
          <t>46.8</t>
        </is>
      </c>
      <c r="O1473" t="inlineStr">
        <is>
          <t>36.6</t>
        </is>
      </c>
      <c r="P1473" t="n">
        <v>40.5</v>
      </c>
      <c r="Q1473" t="inlineStr">
        <is>
          <t>297</t>
        </is>
      </c>
      <c r="R1473" t="n">
        <v>13.7</v>
      </c>
      <c r="S1473" t="inlineStr">
        <is>
          <t>701+</t>
        </is>
      </c>
      <c r="T1473" t="n">
        <v>67.2</v>
      </c>
      <c r="U1473" t="inlineStr">
        <is>
          <t>254</t>
        </is>
      </c>
      <c r="V1473" t="n">
        <v>42.5</v>
      </c>
      <c r="W1473" t="inlineStr">
        <is>
          <t>446</t>
        </is>
      </c>
      <c r="X1473" t="n">
        <v>96.90000000000001</v>
      </c>
      <c r="Y1473" t="inlineStr">
        <is>
          <t>150</t>
        </is>
      </c>
      <c r="Z1473" t="n">
        <v>37.9</v>
      </c>
      <c r="AA1473" t="inlineStr">
        <is>
          <t>516</t>
        </is>
      </c>
      <c r="AB1473" t="n">
        <v>43.5</v>
      </c>
      <c r="AC1473" t="inlineStr">
        <is>
          <t>477</t>
        </is>
      </c>
      <c r="AD1473" t="n">
        <v>91</v>
      </c>
      <c r="AE1473" t="inlineStr">
        <is>
          <t>159</t>
        </is>
      </c>
      <c r="AF1473" t="n">
        <v>69.5</v>
      </c>
      <c r="AG1473" t="inlineStr">
        <is>
          <t>217</t>
        </is>
      </c>
      <c r="AH1473" t="n">
        <v>65.09999999999999</v>
      </c>
      <c r="AI1473" t="inlineStr">
        <is>
          <t>397</t>
        </is>
      </c>
      <c r="AJ1473" t="inlineStr">
        <is>
          <t>32.7</t>
        </is>
      </c>
      <c r="AK1473" t="inlineStr">
        <is>
          <t>269</t>
        </is>
      </c>
      <c r="AL1473" t="inlineStr">
        <is>
          <t>5.4</t>
        </is>
      </c>
      <c r="AM1473" t="inlineStr">
        <is>
          <t>601+</t>
        </is>
      </c>
      <c r="AN1473" t="inlineStr">
        <is>
          <t>67.1</t>
        </is>
      </c>
      <c r="AO1473" t="inlineStr">
        <is>
          <t>197</t>
        </is>
      </c>
      <c r="AP1473" t="inlineStr">
        <is>
          <t>31.2</t>
        </is>
      </c>
      <c r="AQ1473" t="inlineStr">
        <is>
          <t>426</t>
        </is>
      </c>
      <c r="AR1473" t="inlineStr">
        <is>
          <t>92.3</t>
        </is>
      </c>
      <c r="AS1473" t="inlineStr">
        <is>
          <t>171</t>
        </is>
      </c>
      <c r="AT1473" t="inlineStr">
        <is>
          <t>14.3</t>
        </is>
      </c>
      <c r="AU1473" t="inlineStr">
        <is>
          <t>635</t>
        </is>
      </c>
      <c r="AV1473" t="inlineStr">
        <is>
          <t>69.3</t>
        </is>
      </c>
      <c r="AW1473" t="inlineStr">
        <is>
          <t>200</t>
        </is>
      </c>
      <c r="AX1473" t="inlineStr">
        <is>
          <t>23.6</t>
        </is>
      </c>
      <c r="AY1473" t="inlineStr">
        <is>
          <t>358</t>
        </is>
      </c>
      <c r="AZ1473" t="inlineStr">
        <is>
          <t>57.7</t>
        </is>
      </c>
      <c r="BA1473" t="inlineStr">
        <is>
          <t>259=</t>
        </is>
      </c>
    </row>
    <row r="1474">
      <c r="A1474" t="inlineStr">
        <is>
          <t>University of Bern</t>
        </is>
      </c>
      <c r="B1474" t="inlineStr">
        <is>
          <t>Switzerland</t>
        </is>
      </c>
      <c r="C1474" t="inlineStr">
        <is>
          <t>CH</t>
        </is>
      </c>
      <c r="D1474" t="inlineStr">
        <is>
          <t>Europe</t>
        </is>
      </c>
      <c r="E1474" t="inlineStr">
        <is>
          <t>M</t>
        </is>
      </c>
      <c r="F1474" t="inlineStr">
        <is>
          <t>FC</t>
        </is>
      </c>
      <c r="G1474" t="inlineStr">
        <is>
          <t>VH</t>
        </is>
      </c>
      <c r="H1474" t="inlineStr">
        <is>
          <t>5</t>
        </is>
      </c>
      <c r="I1474" t="inlineStr">
        <is>
          <t>Public</t>
        </is>
      </c>
      <c r="J1474" t="inlineStr">
        <is>
          <t>184</t>
        </is>
      </c>
      <c r="K1474" t="inlineStr">
        <is>
          <t>161</t>
        </is>
      </c>
      <c r="L1474">
        <f>126</f>
        <v/>
      </c>
      <c r="M1474" t="inlineStr">
        <is>
          <t>120</t>
        </is>
      </c>
      <c r="N1474" t="inlineStr">
        <is>
          <t>57.5</t>
        </is>
      </c>
      <c r="O1474" t="inlineStr">
        <is>
          <t>54.8</t>
        </is>
      </c>
      <c r="P1474" t="n">
        <v>38</v>
      </c>
      <c r="Q1474" t="inlineStr">
        <is>
          <t>313</t>
        </is>
      </c>
      <c r="R1474" t="n">
        <v>26</v>
      </c>
      <c r="S1474" t="inlineStr">
        <is>
          <t>520</t>
        </is>
      </c>
      <c r="T1474" t="n">
        <v>49</v>
      </c>
      <c r="U1474" t="inlineStr">
        <is>
          <t>394</t>
        </is>
      </c>
      <c r="V1474" t="n">
        <v>99.3</v>
      </c>
      <c r="W1474" t="inlineStr">
        <is>
          <t>32</t>
        </is>
      </c>
      <c r="X1474" t="n">
        <v>100</v>
      </c>
      <c r="Y1474" t="inlineStr">
        <is>
          <t>58</t>
        </is>
      </c>
      <c r="Z1474" t="n">
        <v>52.9</v>
      </c>
      <c r="AA1474" t="inlineStr">
        <is>
          <t>389</t>
        </is>
      </c>
      <c r="AB1474" t="n">
        <v>57.4</v>
      </c>
      <c r="AC1474" t="inlineStr">
        <is>
          <t>356</t>
        </is>
      </c>
      <c r="AD1474" t="n">
        <v>95.5</v>
      </c>
      <c r="AE1474" t="inlineStr">
        <is>
          <t>69</t>
        </is>
      </c>
      <c r="AF1474" t="n">
        <v>37.2</v>
      </c>
      <c r="AG1474" t="inlineStr">
        <is>
          <t>466</t>
        </is>
      </c>
      <c r="AH1474" t="n">
        <v>68.90000000000001</v>
      </c>
      <c r="AI1474" t="inlineStr">
        <is>
          <t>331=</t>
        </is>
      </c>
      <c r="AJ1474" t="inlineStr">
        <is>
          <t>30.5</t>
        </is>
      </c>
      <c r="AK1474" t="inlineStr">
        <is>
          <t>284</t>
        </is>
      </c>
      <c r="AL1474" t="inlineStr">
        <is>
          <t>24.4</t>
        </is>
      </c>
      <c r="AM1474" t="inlineStr">
        <is>
          <t>396</t>
        </is>
      </c>
      <c r="AN1474" t="inlineStr">
        <is>
          <t>54.6</t>
        </is>
      </c>
      <c r="AO1474" t="inlineStr">
        <is>
          <t>280</t>
        </is>
      </c>
      <c r="AP1474" t="inlineStr">
        <is>
          <t>99.2</t>
        </is>
      </c>
      <c r="AQ1474" t="inlineStr">
        <is>
          <t>17</t>
        </is>
      </c>
      <c r="AR1474" t="inlineStr">
        <is>
          <t>100.0</t>
        </is>
      </c>
      <c r="AS1474" t="inlineStr">
        <is>
          <t>42</t>
        </is>
      </c>
      <c r="AT1474" t="inlineStr">
        <is>
          <t>36.9</t>
        </is>
      </c>
      <c r="AU1474" t="inlineStr">
        <is>
          <t>369</t>
        </is>
      </c>
      <c r="AV1474" t="inlineStr">
        <is>
          <t>89.1</t>
        </is>
      </c>
      <c r="AW1474" t="inlineStr">
        <is>
          <t>89</t>
        </is>
      </c>
      <c r="AX1474" t="inlineStr">
        <is>
          <t>26.1</t>
        </is>
      </c>
      <c r="AY1474" t="inlineStr">
        <is>
          <t>313</t>
        </is>
      </c>
      <c r="AZ1474" t="inlineStr">
        <is>
          <t>73.6</t>
        </is>
      </c>
      <c r="BA1474" t="inlineStr">
        <is>
          <t>182=</t>
        </is>
      </c>
    </row>
    <row r="1475">
      <c r="A1475" t="inlineStr">
        <is>
          <t>University of Bialystok</t>
        </is>
      </c>
      <c r="B1475" t="inlineStr">
        <is>
          <t>Poland</t>
        </is>
      </c>
      <c r="C1475" t="inlineStr">
        <is>
          <t>PL</t>
        </is>
      </c>
      <c r="D1475" t="inlineStr"/>
      <c r="E1475" t="inlineStr">
        <is>
          <t>M</t>
        </is>
      </c>
      <c r="F1475" t="inlineStr">
        <is>
          <t>FO</t>
        </is>
      </c>
      <c r="G1475" t="inlineStr">
        <is>
          <t>VH</t>
        </is>
      </c>
      <c r="H1475" t="inlineStr">
        <is>
          <t>3</t>
        </is>
      </c>
      <c r="I1475" t="inlineStr">
        <is>
          <t>A</t>
        </is>
      </c>
      <c r="J1475" t="inlineStr"/>
      <c r="K1475" t="inlineStr"/>
      <c r="L1475" t="inlineStr">
        <is>
          <t>1201-1400</t>
        </is>
      </c>
      <c r="M1475" t="inlineStr">
        <is>
          <t>1001-1200</t>
        </is>
      </c>
      <c r="N1475" t="inlineStr"/>
      <c r="O1475" t="inlineStr">
        <is>
          <t>-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>
        <is>
          <t>5.8</t>
        </is>
      </c>
      <c r="AK1475" t="inlineStr">
        <is>
          <t>601+</t>
        </is>
      </c>
      <c r="AL1475" t="inlineStr">
        <is>
          <t>3.1</t>
        </is>
      </c>
      <c r="AM1475" t="inlineStr">
        <is>
          <t>601+</t>
        </is>
      </c>
      <c r="AN1475" t="inlineStr">
        <is>
          <t>28.1</t>
        </is>
      </c>
      <c r="AO1475" t="inlineStr">
        <is>
          <t>544</t>
        </is>
      </c>
      <c r="AP1475" t="inlineStr">
        <is>
          <t>2.5</t>
        </is>
      </c>
      <c r="AQ1475" t="inlineStr">
        <is>
          <t>701+</t>
        </is>
      </c>
      <c r="AR1475" t="inlineStr"/>
      <c r="AS1475" t="inlineStr"/>
      <c r="AT1475" t="inlineStr">
        <is>
          <t>5.2</t>
        </is>
      </c>
      <c r="AU1475" t="inlineStr">
        <is>
          <t>701+</t>
        </is>
      </c>
      <c r="AV1475" t="inlineStr">
        <is>
          <t>1.5</t>
        </is>
      </c>
      <c r="AW1475" t="inlineStr">
        <is>
          <t>701+</t>
        </is>
      </c>
      <c r="AX1475" t="inlineStr">
        <is>
          <t>6.1</t>
        </is>
      </c>
      <c r="AY1475" t="inlineStr">
        <is>
          <t>701+</t>
        </is>
      </c>
      <c r="AZ1475" t="inlineStr">
        <is>
          <t>1</t>
        </is>
      </c>
      <c r="BA1475" t="inlineStr">
        <is>
          <t>701+</t>
        </is>
      </c>
    </row>
    <row r="1476">
      <c r="A1476" t="inlineStr">
        <is>
          <t>University of Birmingham</t>
        </is>
      </c>
      <c r="B1476" t="inlineStr">
        <is>
          <t>United Kingdom</t>
        </is>
      </c>
      <c r="C1476" t="inlineStr">
        <is>
          <t>UK</t>
        </is>
      </c>
      <c r="D1476" t="inlineStr">
        <is>
          <t>Europe</t>
        </is>
      </c>
      <c r="E1476" t="inlineStr">
        <is>
          <t>XL</t>
        </is>
      </c>
      <c r="F1476" t="inlineStr">
        <is>
          <t>FC</t>
        </is>
      </c>
      <c r="G1476" t="inlineStr">
        <is>
          <t>VH</t>
        </is>
      </c>
      <c r="H1476" t="inlineStr">
        <is>
          <t>5</t>
        </is>
      </c>
      <c r="I1476" t="inlineStr">
        <is>
          <t>Public</t>
        </is>
      </c>
      <c r="J1476" t="inlineStr">
        <is>
          <t>76</t>
        </is>
      </c>
      <c r="K1476" t="inlineStr">
        <is>
          <t>80</t>
        </is>
      </c>
      <c r="L1476" t="inlineStr">
        <is>
          <t>84</t>
        </is>
      </c>
      <c r="M1476" t="inlineStr">
        <is>
          <t>91</t>
        </is>
      </c>
      <c r="N1476" t="inlineStr">
        <is>
          <t>73.8</t>
        </is>
      </c>
      <c r="O1476" t="inlineStr">
        <is>
          <t>63.0</t>
        </is>
      </c>
      <c r="P1476" t="n">
        <v>81.09999999999999</v>
      </c>
      <c r="Q1476" t="inlineStr">
        <is>
          <t>95</t>
        </is>
      </c>
      <c r="R1476" t="n">
        <v>75.7</v>
      </c>
      <c r="S1476" t="inlineStr">
        <is>
          <t>122</t>
        </is>
      </c>
      <c r="T1476" t="n">
        <v>49.9</v>
      </c>
      <c r="U1476" t="inlineStr">
        <is>
          <t>385</t>
        </is>
      </c>
      <c r="V1476" t="n">
        <v>56.1</v>
      </c>
      <c r="W1476" t="inlineStr">
        <is>
          <t>316</t>
        </is>
      </c>
      <c r="X1476" t="n">
        <v>96.7</v>
      </c>
      <c r="Y1476" t="inlineStr">
        <is>
          <t>154</t>
        </is>
      </c>
      <c r="Z1476" t="n">
        <v>93.40000000000001</v>
      </c>
      <c r="AA1476" t="inlineStr">
        <is>
          <t>139</t>
        </is>
      </c>
      <c r="AB1476" t="n">
        <v>93.90000000000001</v>
      </c>
      <c r="AC1476" t="inlineStr">
        <is>
          <t>115</t>
        </is>
      </c>
      <c r="AD1476" t="n">
        <v>96.3</v>
      </c>
      <c r="AE1476" t="inlineStr">
        <is>
          <t>54</t>
        </is>
      </c>
      <c r="AF1476" t="n">
        <v>54.7</v>
      </c>
      <c r="AG1476" t="inlineStr">
        <is>
          <t>305</t>
        </is>
      </c>
      <c r="AH1476" t="n">
        <v>92.8</v>
      </c>
      <c r="AI1476" t="inlineStr">
        <is>
          <t>38</t>
        </is>
      </c>
      <c r="AJ1476" t="inlineStr">
        <is>
          <t>67.5</t>
        </is>
      </c>
      <c r="AK1476" t="inlineStr">
        <is>
          <t>99</t>
        </is>
      </c>
      <c r="AL1476" t="inlineStr">
        <is>
          <t>75.7</t>
        </is>
      </c>
      <c r="AM1476" t="inlineStr">
        <is>
          <t>81</t>
        </is>
      </c>
      <c r="AN1476" t="inlineStr">
        <is>
          <t>41.3</t>
        </is>
      </c>
      <c r="AO1476" t="inlineStr">
        <is>
          <t>379</t>
        </is>
      </c>
      <c r="AP1476" t="inlineStr">
        <is>
          <t>38.2</t>
        </is>
      </c>
      <c r="AQ1476" t="inlineStr">
        <is>
          <t>364</t>
        </is>
      </c>
      <c r="AR1476" t="inlineStr">
        <is>
          <t>92.3</t>
        </is>
      </c>
      <c r="AS1476" t="inlineStr">
        <is>
          <t>169</t>
        </is>
      </c>
      <c r="AT1476" t="inlineStr">
        <is>
          <t>83.9</t>
        </is>
      </c>
      <c r="AU1476" t="inlineStr">
        <is>
          <t>148</t>
        </is>
      </c>
      <c r="AV1476" t="inlineStr">
        <is>
          <t>96.0</t>
        </is>
      </c>
      <c r="AW1476" t="inlineStr">
        <is>
          <t>41</t>
        </is>
      </c>
      <c r="AX1476" t="inlineStr">
        <is>
          <t>29.5</t>
        </is>
      </c>
      <c r="AY1476" t="inlineStr">
        <is>
          <t>270</t>
        </is>
      </c>
      <c r="AZ1476" t="inlineStr">
        <is>
          <t>80.4</t>
        </is>
      </c>
      <c r="BA1476" t="inlineStr">
        <is>
          <t>146=</t>
        </is>
      </c>
    </row>
    <row r="1477">
      <c r="A1477" t="inlineStr">
        <is>
          <t>University of Bordeaux</t>
        </is>
      </c>
      <c r="B1477" t="inlineStr">
        <is>
          <t>France</t>
        </is>
      </c>
      <c r="C1477" t="inlineStr">
        <is>
          <t>FR</t>
        </is>
      </c>
      <c r="D1477" t="inlineStr"/>
      <c r="E1477" t="inlineStr">
        <is>
          <t>XL</t>
        </is>
      </c>
      <c r="F1477" t="inlineStr">
        <is>
          <t>FO</t>
        </is>
      </c>
      <c r="G1477" t="inlineStr">
        <is>
          <t>VH</t>
        </is>
      </c>
      <c r="H1477" t="inlineStr">
        <is>
          <t>5</t>
        </is>
      </c>
      <c r="I1477" t="inlineStr">
        <is>
          <t>A</t>
        </is>
      </c>
      <c r="J1477" t="inlineStr"/>
      <c r="K1477" t="inlineStr"/>
      <c r="L1477">
        <f>465</f>
        <v/>
      </c>
      <c r="M1477" t="inlineStr">
        <is>
          <t>521-530</t>
        </is>
      </c>
      <c r="N1477" t="inlineStr"/>
      <c r="O1477" t="inlineStr">
        <is>
          <t>24.7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>
        <is>
          <t>30.2</t>
        </is>
      </c>
      <c r="AK1477" t="inlineStr">
        <is>
          <t>289</t>
        </is>
      </c>
      <c r="AL1477" t="inlineStr">
        <is>
          <t>5.3</t>
        </is>
      </c>
      <c r="AM1477" t="inlineStr">
        <is>
          <t>601+</t>
        </is>
      </c>
      <c r="AN1477" t="inlineStr">
        <is>
          <t>14.4</t>
        </is>
      </c>
      <c r="AO1477" t="inlineStr">
        <is>
          <t>701+</t>
        </is>
      </c>
      <c r="AP1477" t="inlineStr">
        <is>
          <t>21.4</t>
        </is>
      </c>
      <c r="AQ1477" t="inlineStr">
        <is>
          <t>537</t>
        </is>
      </c>
      <c r="AR1477" t="inlineStr">
        <is>
          <t>25.6</t>
        </is>
      </c>
      <c r="AS1477" t="inlineStr">
        <is>
          <t>527</t>
        </is>
      </c>
      <c r="AT1477" t="inlineStr">
        <is>
          <t>19.5</t>
        </is>
      </c>
      <c r="AU1477" t="inlineStr">
        <is>
          <t>554</t>
        </is>
      </c>
      <c r="AV1477" t="inlineStr">
        <is>
          <t>91.2</t>
        </is>
      </c>
      <c r="AW1477" t="inlineStr">
        <is>
          <t>74</t>
        </is>
      </c>
      <c r="AX1477" t="inlineStr">
        <is>
          <t>11.9</t>
        </is>
      </c>
      <c r="AY1477" t="inlineStr">
        <is>
          <t>701+</t>
        </is>
      </c>
      <c r="AZ1477" t="inlineStr">
        <is>
          <t>35.8</t>
        </is>
      </c>
      <c r="BA1477" t="inlineStr">
        <is>
          <t>393=</t>
        </is>
      </c>
    </row>
    <row r="1478">
      <c r="A1478" t="inlineStr">
        <is>
          <t>University of Bradford</t>
        </is>
      </c>
      <c r="B1478" t="inlineStr">
        <is>
          <t>United Kingdom</t>
        </is>
      </c>
      <c r="C1478" t="inlineStr">
        <is>
          <t>UK</t>
        </is>
      </c>
      <c r="D1478" t="inlineStr">
        <is>
          <t>Europe</t>
        </is>
      </c>
      <c r="E1478" t="inlineStr">
        <is>
          <t>M</t>
        </is>
      </c>
      <c r="F1478" t="inlineStr">
        <is>
          <t>CO</t>
        </is>
      </c>
      <c r="G1478" t="inlineStr">
        <is>
          <t>VH</t>
        </is>
      </c>
      <c r="H1478" t="inlineStr">
        <is>
          <t>4</t>
        </is>
      </c>
      <c r="I1478" t="inlineStr">
        <is>
          <t>Public</t>
        </is>
      </c>
      <c r="J1478" t="inlineStr">
        <is>
          <t>511</t>
        </is>
      </c>
      <c r="K1478" t="inlineStr">
        <is>
          <t>531</t>
        </is>
      </c>
      <c r="L1478" t="inlineStr">
        <is>
          <t>641-650</t>
        </is>
      </c>
      <c r="M1478" t="inlineStr">
        <is>
          <t>701-750</t>
        </is>
      </c>
      <c r="N1478" t="inlineStr">
        <is>
          <t>31.6</t>
        </is>
      </c>
      <c r="O1478" t="inlineStr">
        <is>
          <t>-</t>
        </is>
      </c>
      <c r="P1478" t="n">
        <v>14</v>
      </c>
      <c r="Q1478" t="inlineStr">
        <is>
          <t>701+</t>
        </is>
      </c>
      <c r="R1478" t="n">
        <v>11.2</v>
      </c>
      <c r="S1478" t="inlineStr">
        <is>
          <t>701+</t>
        </is>
      </c>
      <c r="T1478" t="n">
        <v>9.300000000000001</v>
      </c>
      <c r="U1478" t="inlineStr">
        <is>
          <t>801+</t>
        </is>
      </c>
      <c r="V1478" t="n">
        <v>40.3</v>
      </c>
      <c r="W1478" t="inlineStr">
        <is>
          <t>465</t>
        </is>
      </c>
      <c r="X1478" t="n">
        <v>75</v>
      </c>
      <c r="Y1478" t="inlineStr">
        <is>
          <t>316</t>
        </is>
      </c>
      <c r="Z1478" t="n">
        <v>99.2</v>
      </c>
      <c r="AA1478" t="inlineStr">
        <is>
          <t>66</t>
        </is>
      </c>
      <c r="AB1478" t="n">
        <v>99.2</v>
      </c>
      <c r="AC1478" t="inlineStr">
        <is>
          <t>56</t>
        </is>
      </c>
      <c r="AD1478" t="n">
        <v>70.5</v>
      </c>
      <c r="AE1478" t="inlineStr">
        <is>
          <t>519</t>
        </is>
      </c>
      <c r="AF1478" t="n">
        <v>41.5</v>
      </c>
      <c r="AG1478" t="inlineStr">
        <is>
          <t>421</t>
        </is>
      </c>
      <c r="AH1478" t="n">
        <v>70.40000000000001</v>
      </c>
      <c r="AI1478" t="inlineStr">
        <is>
          <t>311=</t>
        </is>
      </c>
      <c r="AJ1478" t="inlineStr">
        <is>
          <t>8.7</t>
        </is>
      </c>
      <c r="AK1478" t="inlineStr">
        <is>
          <t>601+</t>
        </is>
      </c>
      <c r="AL1478" t="inlineStr">
        <is>
          <t>7.3</t>
        </is>
      </c>
      <c r="AM1478" t="inlineStr">
        <is>
          <t>601+</t>
        </is>
      </c>
      <c r="AN1478" t="inlineStr">
        <is>
          <t>8.2</t>
        </is>
      </c>
      <c r="AO1478" t="inlineStr">
        <is>
          <t>701+</t>
        </is>
      </c>
      <c r="AP1478" t="inlineStr">
        <is>
          <t>18.1</t>
        </is>
      </c>
      <c r="AQ1478" t="inlineStr">
        <is>
          <t>582</t>
        </is>
      </c>
      <c r="AR1478" t="inlineStr">
        <is>
          <t>63.8</t>
        </is>
      </c>
      <c r="AS1478" t="inlineStr">
        <is>
          <t>301</t>
        </is>
      </c>
      <c r="AT1478" t="inlineStr">
        <is>
          <t>93.2</t>
        </is>
      </c>
      <c r="AU1478" t="inlineStr">
        <is>
          <t>99</t>
        </is>
      </c>
      <c r="AV1478" t="inlineStr">
        <is>
          <t>20.1</t>
        </is>
      </c>
      <c r="AW1478" t="inlineStr">
        <is>
          <t>543</t>
        </is>
      </c>
      <c r="AX1478" t="inlineStr">
        <is>
          <t>21.6</t>
        </is>
      </c>
      <c r="AY1478" t="inlineStr">
        <is>
          <t>384</t>
        </is>
      </c>
      <c r="AZ1478" t="inlineStr">
        <is>
          <t>3.4</t>
        </is>
      </c>
      <c r="BA1478" t="inlineStr">
        <is>
          <t>701+</t>
        </is>
      </c>
    </row>
    <row r="1479">
      <c r="A1479" t="inlineStr">
        <is>
          <t>University of Brawijaya</t>
        </is>
      </c>
      <c r="B1479" t="inlineStr">
        <is>
          <t>Indonesia</t>
        </is>
      </c>
      <c r="C1479" t="inlineStr"/>
      <c r="D1479" t="inlineStr">
        <is>
          <t>Asia</t>
        </is>
      </c>
      <c r="E1479" t="inlineStr">
        <is>
          <t>XL</t>
        </is>
      </c>
      <c r="F1479" t="inlineStr">
        <is>
          <t>FC</t>
        </is>
      </c>
      <c r="G1479" t="inlineStr">
        <is>
          <t>HI</t>
        </is>
      </c>
      <c r="H1479" t="inlineStr"/>
      <c r="I1479" t="inlineStr">
        <is>
          <t>Public</t>
        </is>
      </c>
      <c r="J1479" t="inlineStr">
        <is>
          <t>680</t>
        </is>
      </c>
      <c r="K1479" t="inlineStr">
        <is>
          <t>801-850</t>
        </is>
      </c>
      <c r="L1479" t="inlineStr"/>
      <c r="M1479" t="inlineStr"/>
      <c r="N1479" t="inlineStr">
        <is>
          <t>25.9</t>
        </is>
      </c>
      <c r="O1479" t="inlineStr"/>
      <c r="P1479" t="n">
        <v>30.1</v>
      </c>
      <c r="Q1479" t="inlineStr">
        <is>
          <t>404</t>
        </is>
      </c>
      <c r="R1479" t="n">
        <v>55.3</v>
      </c>
      <c r="S1479" t="inlineStr">
        <is>
          <t>218</t>
        </is>
      </c>
      <c r="T1479" t="n">
        <v>20.4</v>
      </c>
      <c r="U1479" t="inlineStr">
        <is>
          <t>801+</t>
        </is>
      </c>
      <c r="V1479" t="n">
        <v>1.9</v>
      </c>
      <c r="W1479" t="inlineStr">
        <is>
          <t>801+</t>
        </is>
      </c>
      <c r="X1479" t="n">
        <v>35.9</v>
      </c>
      <c r="Y1479" t="inlineStr">
        <is>
          <t>531</t>
        </is>
      </c>
      <c r="Z1479" t="n">
        <v>2.7</v>
      </c>
      <c r="AA1479" t="inlineStr">
        <is>
          <t>801+</t>
        </is>
      </c>
      <c r="AB1479" t="n">
        <v>6.9</v>
      </c>
      <c r="AC1479" t="inlineStr">
        <is>
          <t>801+</t>
        </is>
      </c>
      <c r="AD1479" t="n">
        <v>27.3</v>
      </c>
      <c r="AE1479" t="inlineStr">
        <is>
          <t>801+</t>
        </is>
      </c>
      <c r="AF1479" t="n">
        <v>29.1</v>
      </c>
      <c r="AG1479" t="inlineStr">
        <is>
          <t>567</t>
        </is>
      </c>
      <c r="AH1479" t="n">
        <v>53.3</v>
      </c>
      <c r="AI1479" t="inlineStr">
        <is>
          <t>636=</t>
        </is>
      </c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</row>
    <row r="1480">
      <c r="A1480" t="inlineStr">
        <is>
          <t>University of Brescia</t>
        </is>
      </c>
      <c r="B1480" t="inlineStr">
        <is>
          <t>Italy</t>
        </is>
      </c>
      <c r="C1480" t="inlineStr">
        <is>
          <t>IT</t>
        </is>
      </c>
      <c r="D1480" t="inlineStr">
        <is>
          <t>Europe</t>
        </is>
      </c>
      <c r="E1480" t="inlineStr">
        <is>
          <t>M</t>
        </is>
      </c>
      <c r="F1480" t="inlineStr">
        <is>
          <t>FO</t>
        </is>
      </c>
      <c r="G1480" t="inlineStr">
        <is>
          <t>VH</t>
        </is>
      </c>
      <c r="H1480" t="inlineStr">
        <is>
          <t>3</t>
        </is>
      </c>
      <c r="I1480" t="inlineStr">
        <is>
          <t>Public</t>
        </is>
      </c>
      <c r="J1480" t="inlineStr">
        <is>
          <t>650</t>
        </is>
      </c>
      <c r="K1480" t="inlineStr">
        <is>
          <t>691-700</t>
        </is>
      </c>
      <c r="L1480" t="inlineStr">
        <is>
          <t>791-800</t>
        </is>
      </c>
      <c r="M1480" t="inlineStr">
        <is>
          <t>801-1000</t>
        </is>
      </c>
      <c r="N1480" t="inlineStr">
        <is>
          <t>26.7</t>
        </is>
      </c>
      <c r="O1480" t="inlineStr">
        <is>
          <t>-</t>
        </is>
      </c>
      <c r="P1480" t="n">
        <v>7.3</v>
      </c>
      <c r="Q1480" t="inlineStr">
        <is>
          <t>701+</t>
        </is>
      </c>
      <c r="R1480" t="n">
        <v>4.1</v>
      </c>
      <c r="S1480" t="inlineStr">
        <is>
          <t>701+</t>
        </is>
      </c>
      <c r="T1480" t="n">
        <v>8.699999999999999</v>
      </c>
      <c r="U1480" t="inlineStr">
        <is>
          <t>801+</t>
        </is>
      </c>
      <c r="V1480" t="n">
        <v>85</v>
      </c>
      <c r="W1480" t="inlineStr">
        <is>
          <t>124</t>
        </is>
      </c>
      <c r="X1480" t="n">
        <v>2</v>
      </c>
      <c r="Y1480" t="inlineStr">
        <is>
          <t>801+</t>
        </is>
      </c>
      <c r="Z1480" t="n">
        <v>8.5</v>
      </c>
      <c r="AA1480" t="inlineStr">
        <is>
          <t>801+</t>
        </is>
      </c>
      <c r="AB1480" t="n">
        <v>14.2</v>
      </c>
      <c r="AC1480" t="inlineStr">
        <is>
          <t>801+</t>
        </is>
      </c>
      <c r="AD1480" t="n">
        <v>58.8</v>
      </c>
      <c r="AE1480" t="inlineStr">
        <is>
          <t>710</t>
        </is>
      </c>
      <c r="AF1480" t="n">
        <v>11.6</v>
      </c>
      <c r="AG1480" t="inlineStr">
        <is>
          <t>801+</t>
        </is>
      </c>
      <c r="AH1480" t="n">
        <v>63.9</v>
      </c>
      <c r="AI1480" t="inlineStr">
        <is>
          <t>425=</t>
        </is>
      </c>
      <c r="AJ1480" t="inlineStr">
        <is>
          <t>3.9</t>
        </is>
      </c>
      <c r="AK1480" t="inlineStr">
        <is>
          <t>601+</t>
        </is>
      </c>
      <c r="AL1480" t="inlineStr">
        <is>
          <t>2.1</t>
        </is>
      </c>
      <c r="AM1480" t="inlineStr">
        <is>
          <t>601+</t>
        </is>
      </c>
      <c r="AN1480" t="inlineStr">
        <is>
          <t>6.8</t>
        </is>
      </c>
      <c r="AO1480" t="inlineStr">
        <is>
          <t>701+</t>
        </is>
      </c>
      <c r="AP1480" t="inlineStr">
        <is>
          <t>50.4</t>
        </is>
      </c>
      <c r="AQ1480" t="inlineStr">
        <is>
          <t>261</t>
        </is>
      </c>
      <c r="AR1480" t="inlineStr">
        <is>
          <t>2.6</t>
        </is>
      </c>
      <c r="AS1480" t="inlineStr">
        <is>
          <t>701+</t>
        </is>
      </c>
      <c r="AT1480" t="inlineStr">
        <is>
          <t>6.9</t>
        </is>
      </c>
      <c r="AU1480" t="inlineStr">
        <is>
          <t>701+</t>
        </is>
      </c>
      <c r="AV1480" t="inlineStr">
        <is>
          <t>9.0</t>
        </is>
      </c>
      <c r="AW1480" t="inlineStr">
        <is>
          <t>698</t>
        </is>
      </c>
      <c r="AX1480" t="inlineStr">
        <is>
          <t>8.8</t>
        </is>
      </c>
      <c r="AY1480" t="inlineStr">
        <is>
          <t>701+</t>
        </is>
      </c>
      <c r="AZ1480" t="inlineStr">
        <is>
          <t>24.8</t>
        </is>
      </c>
      <c r="BA1480" t="inlineStr">
        <is>
          <t>490=</t>
        </is>
      </c>
    </row>
    <row r="1481">
      <c r="A1481" t="inlineStr">
        <is>
          <t>University of Brighton</t>
        </is>
      </c>
      <c r="B1481" t="inlineStr">
        <is>
          <t>United Kingdom</t>
        </is>
      </c>
      <c r="C1481" t="inlineStr">
        <is>
          <t>UK</t>
        </is>
      </c>
      <c r="D1481" t="inlineStr">
        <is>
          <t>Europe</t>
        </is>
      </c>
      <c r="E1481" t="inlineStr">
        <is>
          <t>L</t>
        </is>
      </c>
      <c r="F1481" t="inlineStr">
        <is>
          <t>FO</t>
        </is>
      </c>
      <c r="G1481" t="inlineStr">
        <is>
          <t>VH</t>
        </is>
      </c>
      <c r="H1481" t="inlineStr">
        <is>
          <t>3</t>
        </is>
      </c>
      <c r="I1481" t="inlineStr">
        <is>
          <t>Public</t>
        </is>
      </c>
      <c r="J1481" t="inlineStr">
        <is>
          <t>801-850</t>
        </is>
      </c>
      <c r="K1481" t="inlineStr">
        <is>
          <t>801-850</t>
        </is>
      </c>
      <c r="L1481" t="inlineStr">
        <is>
          <t>771-780</t>
        </is>
      </c>
      <c r="M1481" t="inlineStr">
        <is>
          <t>801-1000</t>
        </is>
      </c>
      <c r="N1481" t="inlineStr">
        <is>
          <t>-</t>
        </is>
      </c>
      <c r="O1481" t="inlineStr">
        <is>
          <t>-</t>
        </is>
      </c>
      <c r="P1481" t="n">
        <v>9.6</v>
      </c>
      <c r="Q1481" t="inlineStr">
        <is>
          <t>701+</t>
        </is>
      </c>
      <c r="R1481" t="n">
        <v>9.699999999999999</v>
      </c>
      <c r="S1481" t="inlineStr">
        <is>
          <t>701+</t>
        </is>
      </c>
      <c r="T1481" t="n">
        <v>12.4</v>
      </c>
      <c r="U1481" t="inlineStr">
        <is>
          <t>801+</t>
        </is>
      </c>
      <c r="V1481" t="n">
        <v>24.9</v>
      </c>
      <c r="W1481" t="inlineStr">
        <is>
          <t>642</t>
        </is>
      </c>
      <c r="X1481" t="n">
        <v>64.90000000000001</v>
      </c>
      <c r="Y1481" t="inlineStr">
        <is>
          <t>359</t>
        </is>
      </c>
      <c r="Z1481" t="n">
        <v>68.09999999999999</v>
      </c>
      <c r="AA1481" t="inlineStr">
        <is>
          <t>289</t>
        </is>
      </c>
      <c r="AB1481" t="n">
        <v>71.2</v>
      </c>
      <c r="AC1481" t="inlineStr">
        <is>
          <t>260</t>
        </is>
      </c>
      <c r="AD1481" t="n">
        <v>73.09999999999999</v>
      </c>
      <c r="AE1481" t="inlineStr">
        <is>
          <t>486</t>
        </is>
      </c>
      <c r="AF1481" t="n">
        <v>11.5</v>
      </c>
      <c r="AG1481" t="inlineStr">
        <is>
          <t>801+</t>
        </is>
      </c>
      <c r="AH1481" t="n">
        <v>39.1</v>
      </c>
      <c r="AI1481" t="inlineStr">
        <is>
          <t>801+</t>
        </is>
      </c>
      <c r="AJ1481" t="inlineStr">
        <is>
          <t>8.4</t>
        </is>
      </c>
      <c r="AK1481" t="inlineStr">
        <is>
          <t>601+</t>
        </is>
      </c>
      <c r="AL1481" t="inlineStr">
        <is>
          <t>7.0</t>
        </is>
      </c>
      <c r="AM1481" t="inlineStr">
        <is>
          <t>601+</t>
        </is>
      </c>
      <c r="AN1481" t="inlineStr">
        <is>
          <t>8.9</t>
        </is>
      </c>
      <c r="AO1481" t="inlineStr">
        <is>
          <t>701+</t>
        </is>
      </c>
      <c r="AP1481" t="inlineStr">
        <is>
          <t>15.8</t>
        </is>
      </c>
      <c r="AQ1481" t="inlineStr">
        <is>
          <t>622</t>
        </is>
      </c>
      <c r="AR1481" t="inlineStr">
        <is>
          <t>56.2</t>
        </is>
      </c>
      <c r="AS1481" t="inlineStr">
        <is>
          <t>330</t>
        </is>
      </c>
      <c r="AT1481" t="inlineStr">
        <is>
          <t>54.2</t>
        </is>
      </c>
      <c r="AU1481" t="inlineStr">
        <is>
          <t>270</t>
        </is>
      </c>
      <c r="AV1481" t="inlineStr">
        <is>
          <t>27.6</t>
        </is>
      </c>
      <c r="AW1481" t="inlineStr">
        <is>
          <t>473</t>
        </is>
      </c>
      <c r="AX1481" t="inlineStr">
        <is>
          <t>11.2</t>
        </is>
      </c>
      <c r="AY1481" t="inlineStr">
        <is>
          <t>701+</t>
        </is>
      </c>
      <c r="AZ1481" t="inlineStr">
        <is>
          <t>9.1</t>
        </is>
      </c>
      <c r="BA1481" t="inlineStr">
        <is>
          <t>687</t>
        </is>
      </c>
    </row>
    <row r="1482">
      <c r="A1482" t="inlineStr">
        <is>
          <t>University of Bristol</t>
        </is>
      </c>
      <c r="B1482" t="inlineStr">
        <is>
          <t>United Kingdom</t>
        </is>
      </c>
      <c r="C1482" t="inlineStr">
        <is>
          <t>UK</t>
        </is>
      </c>
      <c r="D1482" t="inlineStr">
        <is>
          <t>Europe</t>
        </is>
      </c>
      <c r="E1482" t="inlineStr">
        <is>
          <t>XL</t>
        </is>
      </c>
      <c r="F1482" t="inlineStr">
        <is>
          <t>FC</t>
        </is>
      </c>
      <c r="G1482" t="inlineStr">
        <is>
          <t>VH</t>
        </is>
      </c>
      <c r="H1482" t="inlineStr">
        <is>
          <t>5</t>
        </is>
      </c>
      <c r="I1482" t="inlineStr">
        <is>
          <t>Public</t>
        </is>
      </c>
      <c r="J1482" t="inlineStr">
        <is>
          <t>51</t>
        </is>
      </c>
      <c r="K1482" t="inlineStr">
        <is>
          <t>54</t>
        </is>
      </c>
      <c r="L1482" t="inlineStr">
        <is>
          <t>55</t>
        </is>
      </c>
      <c r="M1482" t="inlineStr">
        <is>
          <t>61=</t>
        </is>
      </c>
      <c r="N1482" t="inlineStr">
        <is>
          <t>82.5</t>
        </is>
      </c>
      <c r="O1482" t="inlineStr">
        <is>
          <t>72.4</t>
        </is>
      </c>
      <c r="P1482" t="n">
        <v>87.3</v>
      </c>
      <c r="Q1482" t="inlineStr">
        <is>
          <t>73</t>
        </is>
      </c>
      <c r="R1482" t="n">
        <v>89.40000000000001</v>
      </c>
      <c r="S1482" t="inlineStr">
        <is>
          <t>75</t>
        </is>
      </c>
      <c r="T1482" t="n">
        <v>36.7</v>
      </c>
      <c r="U1482" t="inlineStr">
        <is>
          <t>546</t>
        </is>
      </c>
      <c r="V1482" t="n">
        <v>83.2</v>
      </c>
      <c r="W1482" t="inlineStr">
        <is>
          <t>135</t>
        </is>
      </c>
      <c r="X1482" t="n">
        <v>90.7</v>
      </c>
      <c r="Y1482" t="inlineStr">
        <is>
          <t>219</t>
        </is>
      </c>
      <c r="Z1482" t="n">
        <v>95.7</v>
      </c>
      <c r="AA1482" t="inlineStr">
        <is>
          <t>118</t>
        </is>
      </c>
      <c r="AB1482" t="n">
        <v>96</v>
      </c>
      <c r="AC1482" t="inlineStr">
        <is>
          <t>100</t>
        </is>
      </c>
      <c r="AD1482" t="n">
        <v>95.3</v>
      </c>
      <c r="AE1482" t="inlineStr">
        <is>
          <t>74</t>
        </is>
      </c>
      <c r="AF1482" t="n">
        <v>63.1</v>
      </c>
      <c r="AG1482" t="inlineStr">
        <is>
          <t>248</t>
        </is>
      </c>
      <c r="AH1482" t="n">
        <v>97</v>
      </c>
      <c r="AI1482" t="inlineStr">
        <is>
          <t>12=</t>
        </is>
      </c>
      <c r="AJ1482" t="inlineStr">
        <is>
          <t>74.9</t>
        </is>
      </c>
      <c r="AK1482" t="inlineStr">
        <is>
          <t>78</t>
        </is>
      </c>
      <c r="AL1482" t="inlineStr">
        <is>
          <t>84.7</t>
        </is>
      </c>
      <c r="AM1482" t="inlineStr">
        <is>
          <t>60</t>
        </is>
      </c>
      <c r="AN1482" t="inlineStr">
        <is>
          <t>47.3</t>
        </is>
      </c>
      <c r="AO1482" t="inlineStr">
        <is>
          <t>331</t>
        </is>
      </c>
      <c r="AP1482" t="inlineStr">
        <is>
          <t>64.7</t>
        </is>
      </c>
      <c r="AQ1482" t="inlineStr">
        <is>
          <t>179</t>
        </is>
      </c>
      <c r="AR1482" t="inlineStr">
        <is>
          <t>85.5</t>
        </is>
      </c>
      <c r="AS1482" t="inlineStr">
        <is>
          <t>205</t>
        </is>
      </c>
      <c r="AT1482" t="inlineStr">
        <is>
          <t>86.8</t>
        </is>
      </c>
      <c r="AU1482" t="inlineStr">
        <is>
          <t>136</t>
        </is>
      </c>
      <c r="AV1482" t="inlineStr">
        <is>
          <t>84.4</t>
        </is>
      </c>
      <c r="AW1482" t="inlineStr">
        <is>
          <t>122</t>
        </is>
      </c>
      <c r="AX1482" t="inlineStr">
        <is>
          <t>39.6</t>
        </is>
      </c>
      <c r="AY1482" t="inlineStr">
        <is>
          <t>181</t>
        </is>
      </c>
      <c r="AZ1482" t="inlineStr">
        <is>
          <t>81.3</t>
        </is>
      </c>
      <c r="BA1482" t="inlineStr">
        <is>
          <t>141</t>
        </is>
      </c>
    </row>
    <row r="1483">
      <c r="A1483" t="inlineStr">
        <is>
          <t>University of British Columbia</t>
        </is>
      </c>
      <c r="B1483" t="inlineStr">
        <is>
          <t>Canada</t>
        </is>
      </c>
      <c r="C1483" t="inlineStr">
        <is>
          <t>CA</t>
        </is>
      </c>
      <c r="D1483" t="inlineStr">
        <is>
          <t>Americas</t>
        </is>
      </c>
      <c r="E1483" t="inlineStr">
        <is>
          <t>XL</t>
        </is>
      </c>
      <c r="F1483" t="inlineStr">
        <is>
          <t>FC</t>
        </is>
      </c>
      <c r="G1483" t="inlineStr">
        <is>
          <t>VH</t>
        </is>
      </c>
      <c r="H1483" t="inlineStr">
        <is>
          <t>5</t>
        </is>
      </c>
      <c r="I1483" t="inlineStr">
        <is>
          <t>Public</t>
        </is>
      </c>
      <c r="J1483" t="inlineStr">
        <is>
          <t>40</t>
        </is>
      </c>
      <c r="K1483" t="inlineStr">
        <is>
          <t>38</t>
        </is>
      </c>
      <c r="L1483">
        <f>34</f>
        <v/>
      </c>
      <c r="M1483" t="inlineStr">
        <is>
          <t>47</t>
        </is>
      </c>
      <c r="N1483" t="inlineStr">
        <is>
          <t>85.5</t>
        </is>
      </c>
      <c r="O1483" t="inlineStr">
        <is>
          <t>81.5</t>
        </is>
      </c>
      <c r="P1483" t="n">
        <v>99.59999999999999</v>
      </c>
      <c r="Q1483" t="inlineStr">
        <is>
          <t>23</t>
        </is>
      </c>
      <c r="R1483" t="n">
        <v>96.5</v>
      </c>
      <c r="S1483" t="inlineStr">
        <is>
          <t>41</t>
        </is>
      </c>
      <c r="T1483" t="n">
        <v>34.7</v>
      </c>
      <c r="U1483" t="inlineStr">
        <is>
          <t>568</t>
        </is>
      </c>
      <c r="V1483" t="n">
        <v>70.90000000000001</v>
      </c>
      <c r="W1483" t="inlineStr">
        <is>
          <t>210</t>
        </is>
      </c>
      <c r="X1483" t="n">
        <v>98.5</v>
      </c>
      <c r="Y1483" t="inlineStr">
        <is>
          <t>135</t>
        </is>
      </c>
      <c r="Z1483" t="n">
        <v>79.8</v>
      </c>
      <c r="AA1483" t="inlineStr">
        <is>
          <t>222</t>
        </is>
      </c>
      <c r="AB1483" t="n">
        <v>81.7</v>
      </c>
      <c r="AC1483" t="inlineStr">
        <is>
          <t>191</t>
        </is>
      </c>
      <c r="AD1483" t="n">
        <v>96.59999999999999</v>
      </c>
      <c r="AE1483" t="inlineStr">
        <is>
          <t>48</t>
        </is>
      </c>
      <c r="AF1483" t="n">
        <v>84.90000000000001</v>
      </c>
      <c r="AG1483" t="inlineStr">
        <is>
          <t>135</t>
        </is>
      </c>
      <c r="AH1483" t="n">
        <v>98.5</v>
      </c>
      <c r="AI1483" t="inlineStr">
        <is>
          <t>5=</t>
        </is>
      </c>
      <c r="AJ1483" t="inlineStr">
        <is>
          <t>98.2</t>
        </is>
      </c>
      <c r="AK1483" t="inlineStr">
        <is>
          <t>24</t>
        </is>
      </c>
      <c r="AL1483" t="inlineStr">
        <is>
          <t>93.5</t>
        </is>
      </c>
      <c r="AM1483" t="inlineStr">
        <is>
          <t>43</t>
        </is>
      </c>
      <c r="AN1483" t="inlineStr">
        <is>
          <t>44.4</t>
        </is>
      </c>
      <c r="AO1483" t="inlineStr">
        <is>
          <t>354</t>
        </is>
      </c>
      <c r="AP1483" t="inlineStr">
        <is>
          <t>57.0</t>
        </is>
      </c>
      <c r="AQ1483" t="inlineStr">
        <is>
          <t>227</t>
        </is>
      </c>
      <c r="AR1483" t="inlineStr">
        <is>
          <t>96.4</t>
        </is>
      </c>
      <c r="AS1483" t="inlineStr">
        <is>
          <t>134</t>
        </is>
      </c>
      <c r="AT1483" t="inlineStr">
        <is>
          <t>74.1</t>
        </is>
      </c>
      <c r="AU1483" t="inlineStr">
        <is>
          <t>189</t>
        </is>
      </c>
      <c r="AV1483" t="inlineStr">
        <is>
          <t>96.3</t>
        </is>
      </c>
      <c r="AW1483" t="inlineStr">
        <is>
          <t>37</t>
        </is>
      </c>
      <c r="AX1483" t="inlineStr">
        <is>
          <t>60.1</t>
        </is>
      </c>
      <c r="AY1483" t="inlineStr">
        <is>
          <t>99</t>
        </is>
      </c>
      <c r="AZ1483" t="inlineStr">
        <is>
          <t>99.9</t>
        </is>
      </c>
      <c r="BA1483" t="inlineStr">
        <is>
          <t>3=</t>
        </is>
      </c>
    </row>
    <row r="1484">
      <c r="A1484" t="inlineStr">
        <is>
          <t>University of Bucharest</t>
        </is>
      </c>
      <c r="B1484" t="inlineStr">
        <is>
          <t>Romania</t>
        </is>
      </c>
      <c r="C1484" t="inlineStr">
        <is>
          <t>RO</t>
        </is>
      </c>
      <c r="D1484" t="inlineStr">
        <is>
          <t>Europe</t>
        </is>
      </c>
      <c r="E1484" t="inlineStr">
        <is>
          <t>XL</t>
        </is>
      </c>
      <c r="F1484" t="inlineStr">
        <is>
          <t>CO</t>
        </is>
      </c>
      <c r="G1484" t="inlineStr">
        <is>
          <t>VH</t>
        </is>
      </c>
      <c r="H1484" t="inlineStr">
        <is>
          <t>5</t>
        </is>
      </c>
      <c r="I1484" t="inlineStr">
        <is>
          <t>Public</t>
        </is>
      </c>
      <c r="J1484" t="inlineStr">
        <is>
          <t>761-770</t>
        </is>
      </c>
      <c r="K1484" t="inlineStr">
        <is>
          <t>801-850</t>
        </is>
      </c>
      <c r="L1484" t="inlineStr">
        <is>
          <t>851-900</t>
        </is>
      </c>
      <c r="M1484" t="inlineStr">
        <is>
          <t>1001-1200</t>
        </is>
      </c>
      <c r="N1484" t="inlineStr">
        <is>
          <t>-</t>
        </is>
      </c>
      <c r="O1484" t="inlineStr">
        <is>
          <t>-</t>
        </is>
      </c>
      <c r="P1484" t="n">
        <v>21.1</v>
      </c>
      <c r="Q1484" t="inlineStr">
        <is>
          <t>590</t>
        </is>
      </c>
      <c r="R1484" t="n">
        <v>35.9</v>
      </c>
      <c r="S1484" t="inlineStr">
        <is>
          <t>400</t>
        </is>
      </c>
      <c r="T1484" t="n">
        <v>9</v>
      </c>
      <c r="U1484" t="inlineStr">
        <is>
          <t>801+</t>
        </is>
      </c>
      <c r="V1484" t="n">
        <v>8.300000000000001</v>
      </c>
      <c r="W1484" t="inlineStr">
        <is>
          <t>801+</t>
        </is>
      </c>
      <c r="X1484" t="n">
        <v>3.5</v>
      </c>
      <c r="Y1484" t="inlineStr">
        <is>
          <t>801+</t>
        </is>
      </c>
      <c r="Z1484" t="n">
        <v>4.8</v>
      </c>
      <c r="AA1484" t="inlineStr">
        <is>
          <t>801+</t>
        </is>
      </c>
      <c r="AB1484" t="n">
        <v>10</v>
      </c>
      <c r="AC1484" t="inlineStr">
        <is>
          <t>801+</t>
        </is>
      </c>
      <c r="AD1484" t="n">
        <v>72.3</v>
      </c>
      <c r="AE1484" t="inlineStr">
        <is>
          <t>495</t>
        </is>
      </c>
      <c r="AF1484" t="n">
        <v>67.90000000000001</v>
      </c>
      <c r="AG1484" t="inlineStr">
        <is>
          <t>226</t>
        </is>
      </c>
      <c r="AH1484" t="n">
        <v>60.8</v>
      </c>
      <c r="AI1484" t="inlineStr">
        <is>
          <t>491=</t>
        </is>
      </c>
      <c r="AJ1484" t="inlineStr">
        <is>
          <t>15.5</t>
        </is>
      </c>
      <c r="AK1484" t="inlineStr">
        <is>
          <t>564</t>
        </is>
      </c>
      <c r="AL1484" t="inlineStr">
        <is>
          <t>13.8</t>
        </is>
      </c>
      <c r="AM1484" t="inlineStr">
        <is>
          <t>586</t>
        </is>
      </c>
      <c r="AN1484" t="inlineStr">
        <is>
          <t>6.5</t>
        </is>
      </c>
      <c r="AO1484" t="inlineStr">
        <is>
          <t>701+</t>
        </is>
      </c>
      <c r="AP1484" t="inlineStr">
        <is>
          <t>4.2</t>
        </is>
      </c>
      <c r="AQ1484" t="inlineStr">
        <is>
          <t>701+</t>
        </is>
      </c>
      <c r="AR1484" t="inlineStr">
        <is>
          <t>2.8</t>
        </is>
      </c>
      <c r="AS1484" t="inlineStr">
        <is>
          <t>701+</t>
        </is>
      </c>
      <c r="AT1484" t="inlineStr">
        <is>
          <t>1.9</t>
        </is>
      </c>
      <c r="AU1484" t="inlineStr">
        <is>
          <t>701+</t>
        </is>
      </c>
      <c r="AV1484" t="inlineStr">
        <is>
          <t>28.7</t>
        </is>
      </c>
      <c r="AW1484" t="inlineStr">
        <is>
          <t>465</t>
        </is>
      </c>
      <c r="AX1484" t="inlineStr">
        <is>
          <t>34.7</t>
        </is>
      </c>
      <c r="AY1484" t="inlineStr">
        <is>
          <t>222</t>
        </is>
      </c>
      <c r="AZ1484" t="inlineStr">
        <is>
          <t>27.8</t>
        </is>
      </c>
      <c r="BA1484" t="inlineStr">
        <is>
          <t>469=</t>
        </is>
      </c>
    </row>
    <row r="1485">
      <c r="A1485" t="inlineStr">
        <is>
          <t>University of Calabria</t>
        </is>
      </c>
      <c r="B1485" t="inlineStr">
        <is>
          <t>Italy</t>
        </is>
      </c>
      <c r="C1485" t="inlineStr">
        <is>
          <t>IT</t>
        </is>
      </c>
      <c r="D1485" t="inlineStr"/>
      <c r="E1485" t="inlineStr">
        <is>
          <t>L</t>
        </is>
      </c>
      <c r="F1485" t="inlineStr">
        <is>
          <t>CO</t>
        </is>
      </c>
      <c r="G1485" t="inlineStr">
        <is>
          <t>VH</t>
        </is>
      </c>
      <c r="H1485" t="inlineStr">
        <is>
          <t>4</t>
        </is>
      </c>
      <c r="I1485" t="inlineStr">
        <is>
          <t>A</t>
        </is>
      </c>
      <c r="J1485" t="inlineStr"/>
      <c r="K1485" t="inlineStr"/>
      <c r="L1485" t="inlineStr">
        <is>
          <t>951-1000</t>
        </is>
      </c>
      <c r="M1485" t="inlineStr">
        <is>
          <t>1001-1200</t>
        </is>
      </c>
      <c r="N1485" t="inlineStr"/>
      <c r="O1485" t="inlineStr">
        <is>
          <t>-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>
        <is>
          <t>5.7</t>
        </is>
      </c>
      <c r="AK1485" t="inlineStr">
        <is>
          <t>601+</t>
        </is>
      </c>
      <c r="AL1485" t="inlineStr">
        <is>
          <t>2.0</t>
        </is>
      </c>
      <c r="AM1485" t="inlineStr">
        <is>
          <t>601+</t>
        </is>
      </c>
      <c r="AN1485" t="inlineStr">
        <is>
          <t>3.9</t>
        </is>
      </c>
      <c r="AO1485" t="inlineStr">
        <is>
          <t>701+</t>
        </is>
      </c>
      <c r="AP1485" t="inlineStr">
        <is>
          <t>25.7</t>
        </is>
      </c>
      <c r="AQ1485" t="inlineStr">
        <is>
          <t>473</t>
        </is>
      </c>
      <c r="AR1485" t="inlineStr">
        <is>
          <t>6.2</t>
        </is>
      </c>
      <c r="AS1485" t="inlineStr">
        <is>
          <t>701+</t>
        </is>
      </c>
      <c r="AT1485" t="inlineStr">
        <is>
          <t>5.7</t>
        </is>
      </c>
      <c r="AU1485" t="inlineStr">
        <is>
          <t>701+</t>
        </is>
      </c>
      <c r="AV1485" t="inlineStr">
        <is>
          <t>49.6</t>
        </is>
      </c>
      <c r="AW1485" t="inlineStr">
        <is>
          <t>316</t>
        </is>
      </c>
      <c r="AX1485" t="inlineStr">
        <is>
          <t>4.7</t>
        </is>
      </c>
      <c r="AY1485" t="inlineStr">
        <is>
          <t>701+</t>
        </is>
      </c>
      <c r="AZ1485" t="inlineStr">
        <is>
          <t>3.3</t>
        </is>
      </c>
      <c r="BA1485" t="inlineStr">
        <is>
          <t>701+</t>
        </is>
      </c>
    </row>
    <row r="1486">
      <c r="A1486" t="inlineStr">
        <is>
          <t>University of Calcutta</t>
        </is>
      </c>
      <c r="B1486" t="inlineStr">
        <is>
          <t>India</t>
        </is>
      </c>
      <c r="C1486" t="inlineStr">
        <is>
          <t>IN</t>
        </is>
      </c>
      <c r="D1486" t="inlineStr">
        <is>
          <t>Asia</t>
        </is>
      </c>
      <c r="E1486" t="inlineStr">
        <is>
          <t>L</t>
        </is>
      </c>
      <c r="F1486" t="inlineStr">
        <is>
          <t>CO</t>
        </is>
      </c>
      <c r="G1486" t="inlineStr">
        <is>
          <t>VH</t>
        </is>
      </c>
      <c r="H1486" t="inlineStr">
        <is>
          <t>5</t>
        </is>
      </c>
      <c r="I1486" t="inlineStr">
        <is>
          <t>Public</t>
        </is>
      </c>
      <c r="J1486" t="inlineStr">
        <is>
          <t>771-780</t>
        </is>
      </c>
      <c r="K1486" t="inlineStr">
        <is>
          <t>751-760</t>
        </is>
      </c>
      <c r="L1486" t="inlineStr">
        <is>
          <t>801-850</t>
        </is>
      </c>
      <c r="M1486" t="inlineStr">
        <is>
          <t>801-1000</t>
        </is>
      </c>
      <c r="N1486" t="inlineStr">
        <is>
          <t>-</t>
        </is>
      </c>
      <c r="O1486" t="inlineStr">
        <is>
          <t>-</t>
        </is>
      </c>
      <c r="P1486" t="n">
        <v>19.7</v>
      </c>
      <c r="Q1486" t="inlineStr">
        <is>
          <t>628</t>
        </is>
      </c>
      <c r="R1486" t="n">
        <v>11.1</v>
      </c>
      <c r="S1486" t="inlineStr">
        <is>
          <t>701+</t>
        </is>
      </c>
      <c r="T1486" t="n">
        <v>7.7</v>
      </c>
      <c r="U1486" t="inlineStr">
        <is>
          <t>801+</t>
        </is>
      </c>
      <c r="V1486" t="n">
        <v>33.9</v>
      </c>
      <c r="W1486" t="inlineStr">
        <is>
          <t>538</t>
        </is>
      </c>
      <c r="X1486" t="n">
        <v>31.3</v>
      </c>
      <c r="Y1486" t="inlineStr">
        <is>
          <t>574</t>
        </is>
      </c>
      <c r="Z1486" t="n">
        <v>1.3</v>
      </c>
      <c r="AA1486" t="inlineStr">
        <is>
          <t>801+</t>
        </is>
      </c>
      <c r="AB1486" t="n">
        <v>5.7</v>
      </c>
      <c r="AC1486" t="inlineStr">
        <is>
          <t>801+</t>
        </is>
      </c>
      <c r="AD1486" t="n">
        <v>57</v>
      </c>
      <c r="AE1486" t="inlineStr">
        <is>
          <t>735</t>
        </is>
      </c>
      <c r="AF1486" t="n">
        <v>61.6</v>
      </c>
      <c r="AG1486" t="inlineStr">
        <is>
          <t>253</t>
        </is>
      </c>
      <c r="AH1486" t="n">
        <v>34.4</v>
      </c>
      <c r="AI1486" t="inlineStr">
        <is>
          <t>801+</t>
        </is>
      </c>
      <c r="AJ1486" t="inlineStr">
        <is>
          <t>15.7</t>
        </is>
      </c>
      <c r="AK1486" t="inlineStr">
        <is>
          <t>557</t>
        </is>
      </c>
      <c r="AL1486" t="inlineStr">
        <is>
          <t>4.3</t>
        </is>
      </c>
      <c r="AM1486" t="inlineStr">
        <is>
          <t>601+</t>
        </is>
      </c>
      <c r="AN1486" t="inlineStr">
        <is>
          <t>5.6</t>
        </is>
      </c>
      <c r="AO1486" t="inlineStr">
        <is>
          <t>701+</t>
        </is>
      </c>
      <c r="AP1486" t="inlineStr">
        <is>
          <t>20.3</t>
        </is>
      </c>
      <c r="AQ1486" t="inlineStr">
        <is>
          <t>554</t>
        </is>
      </c>
      <c r="AR1486" t="inlineStr">
        <is>
          <t>25.9</t>
        </is>
      </c>
      <c r="AS1486" t="inlineStr">
        <is>
          <t>524</t>
        </is>
      </c>
      <c r="AT1486" t="inlineStr">
        <is>
          <t>1.1</t>
        </is>
      </c>
      <c r="AU1486" t="inlineStr">
        <is>
          <t>701+</t>
        </is>
      </c>
      <c r="AV1486" t="inlineStr">
        <is>
          <t>3.2</t>
        </is>
      </c>
      <c r="AW1486" t="inlineStr">
        <is>
          <t>701+</t>
        </is>
      </c>
      <c r="AX1486" t="inlineStr">
        <is>
          <t>38.8</t>
        </is>
      </c>
      <c r="AY1486" t="inlineStr">
        <is>
          <t>186</t>
        </is>
      </c>
      <c r="AZ1486" t="inlineStr">
        <is>
          <t>1.9</t>
        </is>
      </c>
      <c r="BA1486" t="inlineStr">
        <is>
          <t>701+</t>
        </is>
      </c>
    </row>
    <row r="1487">
      <c r="A1487" t="inlineStr">
        <is>
          <t>University of Calgary</t>
        </is>
      </c>
      <c r="B1487" t="inlineStr">
        <is>
          <t>Canada</t>
        </is>
      </c>
      <c r="C1487" t="inlineStr">
        <is>
          <t>CA</t>
        </is>
      </c>
      <c r="D1487" t="inlineStr">
        <is>
          <t>Americas</t>
        </is>
      </c>
      <c r="E1487" t="inlineStr">
        <is>
          <t>XL</t>
        </is>
      </c>
      <c r="F1487" t="inlineStr">
        <is>
          <t>FC</t>
        </is>
      </c>
      <c r="G1487" t="inlineStr">
        <is>
          <t>VH</t>
        </is>
      </c>
      <c r="H1487" t="inlineStr">
        <is>
          <t>4</t>
        </is>
      </c>
      <c r="I1487" t="inlineStr">
        <is>
          <t>Public</t>
        </is>
      </c>
      <c r="J1487" t="inlineStr">
        <is>
          <t>211</t>
        </is>
      </c>
      <c r="K1487" t="inlineStr">
        <is>
          <t>198</t>
        </is>
      </c>
      <c r="L1487" t="inlineStr">
        <is>
          <t>182</t>
        </is>
      </c>
      <c r="M1487" t="inlineStr">
        <is>
          <t>242</t>
        </is>
      </c>
      <c r="N1487" t="inlineStr">
        <is>
          <t>54.7</t>
        </is>
      </c>
      <c r="O1487" t="inlineStr">
        <is>
          <t>47.9</t>
        </is>
      </c>
      <c r="P1487" t="n">
        <v>47.6</v>
      </c>
      <c r="Q1487" t="inlineStr">
        <is>
          <t>245</t>
        </is>
      </c>
      <c r="R1487" t="n">
        <v>50.5</v>
      </c>
      <c r="S1487" t="inlineStr">
        <is>
          <t>249</t>
        </is>
      </c>
      <c r="T1487" t="n">
        <v>24.4</v>
      </c>
      <c r="U1487" t="inlineStr">
        <is>
          <t>746</t>
        </is>
      </c>
      <c r="V1487" t="n">
        <v>54.6</v>
      </c>
      <c r="W1487" t="inlineStr">
        <is>
          <t>332</t>
        </is>
      </c>
      <c r="X1487" t="n">
        <v>87.40000000000001</v>
      </c>
      <c r="Y1487" t="inlineStr">
        <is>
          <t>239</t>
        </is>
      </c>
      <c r="Z1487" t="n">
        <v>76.90000000000001</v>
      </c>
      <c r="AA1487" t="inlineStr">
        <is>
          <t>243</t>
        </is>
      </c>
      <c r="AB1487" t="n">
        <v>79.09999999999999</v>
      </c>
      <c r="AC1487" t="inlineStr">
        <is>
          <t>216</t>
        </is>
      </c>
      <c r="AD1487" t="n">
        <v>86.2</v>
      </c>
      <c r="AE1487" t="inlineStr">
        <is>
          <t>233</t>
        </is>
      </c>
      <c r="AF1487" t="n">
        <v>61.5</v>
      </c>
      <c r="AG1487" t="inlineStr">
        <is>
          <t>255</t>
        </is>
      </c>
      <c r="AH1487" t="n">
        <v>86</v>
      </c>
      <c r="AI1487" t="inlineStr">
        <is>
          <t>100</t>
        </is>
      </c>
      <c r="AJ1487" t="inlineStr">
        <is>
          <t>37.7</t>
        </is>
      </c>
      <c r="AK1487" t="inlineStr">
        <is>
          <t>229</t>
        </is>
      </c>
      <c r="AL1487" t="inlineStr">
        <is>
          <t>61.2</t>
        </is>
      </c>
      <c r="AM1487" t="inlineStr">
        <is>
          <t>129</t>
        </is>
      </c>
      <c r="AN1487" t="inlineStr">
        <is>
          <t>19.9</t>
        </is>
      </c>
      <c r="AO1487" t="inlineStr">
        <is>
          <t>668</t>
        </is>
      </c>
      <c r="AP1487" t="inlineStr">
        <is>
          <t>41.5</t>
        </is>
      </c>
      <c r="AQ1487" t="inlineStr">
        <is>
          <t>330</t>
        </is>
      </c>
      <c r="AR1487" t="inlineStr">
        <is>
          <t>82.8</t>
        </is>
      </c>
      <c r="AS1487" t="inlineStr">
        <is>
          <t>222</t>
        </is>
      </c>
      <c r="AT1487" t="inlineStr">
        <is>
          <t>62.0</t>
        </is>
      </c>
      <c r="AU1487" t="inlineStr">
        <is>
          <t>241</t>
        </is>
      </c>
      <c r="AV1487" t="inlineStr">
        <is>
          <t>62.3</t>
        </is>
      </c>
      <c r="AW1487" t="inlineStr">
        <is>
          <t>232</t>
        </is>
      </c>
      <c r="AX1487" t="inlineStr">
        <is>
          <t>38.6</t>
        </is>
      </c>
      <c r="AY1487" t="inlineStr">
        <is>
          <t>188</t>
        </is>
      </c>
      <c r="AZ1487" t="inlineStr">
        <is>
          <t>91.5</t>
        </is>
      </c>
      <c r="BA1487" t="inlineStr">
        <is>
          <t>82</t>
        </is>
      </c>
    </row>
    <row r="1488">
      <c r="A1488" t="inlineStr">
        <is>
          <t>University of California, Berkeley (UCB)</t>
        </is>
      </c>
      <c r="B1488" t="inlineStr">
        <is>
          <t>United States</t>
        </is>
      </c>
      <c r="C1488" t="inlineStr">
        <is>
          <t>US</t>
        </is>
      </c>
      <c r="D1488" t="inlineStr">
        <is>
          <t>Americas</t>
        </is>
      </c>
      <c r="E1488" t="inlineStr">
        <is>
          <t>XL</t>
        </is>
      </c>
      <c r="F1488" t="inlineStr">
        <is>
          <t>FC</t>
        </is>
      </c>
      <c r="G1488" t="inlineStr">
        <is>
          <t>VH</t>
        </is>
      </c>
      <c r="H1488" t="inlineStr">
        <is>
          <t>5</t>
        </is>
      </c>
      <c r="I1488" t="inlineStr">
        <is>
          <t>Public</t>
        </is>
      </c>
      <c r="J1488" t="inlineStr">
        <is>
          <t>17</t>
        </is>
      </c>
      <c r="K1488" t="inlineStr">
        <is>
          <t>12</t>
        </is>
      </c>
      <c r="L1488" t="inlineStr">
        <is>
          <t>10</t>
        </is>
      </c>
      <c r="M1488" t="inlineStr">
        <is>
          <t>27</t>
        </is>
      </c>
      <c r="N1488" t="inlineStr">
        <is>
          <t>91.2</t>
        </is>
      </c>
      <c r="O1488" t="inlineStr">
        <is>
          <t>90.4</t>
        </is>
      </c>
      <c r="P1488" t="n">
        <v>100</v>
      </c>
      <c r="Q1488" t="inlineStr">
        <is>
          <t>6</t>
        </is>
      </c>
      <c r="R1488" t="n">
        <v>100</v>
      </c>
      <c r="S1488" t="inlineStr">
        <is>
          <t>6</t>
        </is>
      </c>
      <c r="T1488" t="n">
        <v>29.4</v>
      </c>
      <c r="U1488" t="inlineStr">
        <is>
          <t>643</t>
        </is>
      </c>
      <c r="V1488" t="n">
        <v>97.2</v>
      </c>
      <c r="W1488" t="inlineStr">
        <is>
          <t>53</t>
        </is>
      </c>
      <c r="X1488" t="n">
        <v>95.59999999999999</v>
      </c>
      <c r="Y1488" t="inlineStr">
        <is>
          <t>172</t>
        </is>
      </c>
      <c r="Z1488" t="n">
        <v>70.59999999999999</v>
      </c>
      <c r="AA1488" t="inlineStr">
        <is>
          <t>273</t>
        </is>
      </c>
      <c r="AB1488" t="n">
        <v>52.6</v>
      </c>
      <c r="AC1488" t="inlineStr">
        <is>
          <t>392</t>
        </is>
      </c>
      <c r="AD1488" t="n">
        <v>96.7</v>
      </c>
      <c r="AE1488" t="inlineStr">
        <is>
          <t>47</t>
        </is>
      </c>
      <c r="AF1488" t="n">
        <v>99.8</v>
      </c>
      <c r="AG1488" t="inlineStr">
        <is>
          <t>17</t>
        </is>
      </c>
      <c r="AH1488" t="n">
        <v>98.8</v>
      </c>
      <c r="AI1488" t="inlineStr">
        <is>
          <t>3=</t>
        </is>
      </c>
      <c r="AJ1488" t="inlineStr">
        <is>
          <t>100.0</t>
        </is>
      </c>
      <c r="AK1488" t="inlineStr">
        <is>
          <t>6</t>
        </is>
      </c>
      <c r="AL1488" t="inlineStr">
        <is>
          <t>100.0</t>
        </is>
      </c>
      <c r="AM1488" t="inlineStr">
        <is>
          <t>6</t>
        </is>
      </c>
      <c r="AN1488" t="inlineStr">
        <is>
          <t>20.5</t>
        </is>
      </c>
      <c r="AO1488" t="inlineStr">
        <is>
          <t>656</t>
        </is>
      </c>
      <c r="AP1488" t="inlineStr">
        <is>
          <t>99.9</t>
        </is>
      </c>
      <c r="AQ1488" t="inlineStr">
        <is>
          <t>7</t>
        </is>
      </c>
      <c r="AR1488" t="inlineStr">
        <is>
          <t>92.2</t>
        </is>
      </c>
      <c r="AS1488" t="inlineStr">
        <is>
          <t>172</t>
        </is>
      </c>
      <c r="AT1488" t="inlineStr">
        <is>
          <t>63.9</t>
        </is>
      </c>
      <c r="AU1488" t="inlineStr">
        <is>
          <t>235</t>
        </is>
      </c>
      <c r="AV1488" t="inlineStr">
        <is>
          <t>92.4</t>
        </is>
      </c>
      <c r="AW1488" t="inlineStr">
        <is>
          <t>66</t>
        </is>
      </c>
      <c r="AX1488" t="inlineStr">
        <is>
          <t>98.7</t>
        </is>
      </c>
      <c r="AY1488" t="inlineStr">
        <is>
          <t>15</t>
        </is>
      </c>
      <c r="AZ1488" t="inlineStr">
        <is>
          <t>100</t>
        </is>
      </c>
      <c r="BA1488" t="inlineStr">
        <is>
          <t>1</t>
        </is>
      </c>
    </row>
    <row r="1489">
      <c r="A1489" t="inlineStr">
        <is>
          <t>University of California, Davis</t>
        </is>
      </c>
      <c r="B1489" t="inlineStr">
        <is>
          <t>United States</t>
        </is>
      </c>
      <c r="C1489" t="inlineStr">
        <is>
          <t>US</t>
        </is>
      </c>
      <c r="D1489" t="inlineStr">
        <is>
          <t>Americas</t>
        </is>
      </c>
      <c r="E1489" t="inlineStr">
        <is>
          <t>XL</t>
        </is>
      </c>
      <c r="F1489" t="inlineStr">
        <is>
          <t>FC</t>
        </is>
      </c>
      <c r="G1489" t="inlineStr">
        <is>
          <t>VH</t>
        </is>
      </c>
      <c r="H1489" t="inlineStr">
        <is>
          <t>5</t>
        </is>
      </c>
      <c r="I1489" t="inlineStr">
        <is>
          <t>Public</t>
        </is>
      </c>
      <c r="J1489" t="inlineStr">
        <is>
          <t>114</t>
        </is>
      </c>
      <c r="K1489" t="inlineStr">
        <is>
          <t>130</t>
        </is>
      </c>
      <c r="L1489">
        <f>132</f>
        <v/>
      </c>
      <c r="M1489" t="inlineStr">
        <is>
          <t>102=</t>
        </is>
      </c>
      <c r="N1489" t="inlineStr">
        <is>
          <t>66.3</t>
        </is>
      </c>
      <c r="O1489" t="inlineStr">
        <is>
          <t>53.2</t>
        </is>
      </c>
      <c r="P1489" t="n">
        <v>72.7</v>
      </c>
      <c r="Q1489" t="inlineStr">
        <is>
          <t>125</t>
        </is>
      </c>
      <c r="R1489" t="n">
        <v>70.09999999999999</v>
      </c>
      <c r="S1489" t="inlineStr">
        <is>
          <t>146</t>
        </is>
      </c>
      <c r="T1489" t="n">
        <v>28.3</v>
      </c>
      <c r="U1489" t="inlineStr">
        <is>
          <t>675</t>
        </is>
      </c>
      <c r="V1489" t="n">
        <v>66.5</v>
      </c>
      <c r="W1489" t="inlineStr">
        <is>
          <t>237</t>
        </is>
      </c>
      <c r="X1489" t="n">
        <v>86.5</v>
      </c>
      <c r="Y1489" t="inlineStr">
        <is>
          <t>250</t>
        </is>
      </c>
      <c r="Z1489" t="n">
        <v>61.9</v>
      </c>
      <c r="AA1489" t="inlineStr">
        <is>
          <t>327</t>
        </is>
      </c>
      <c r="AB1489" t="n">
        <v>65.59999999999999</v>
      </c>
      <c r="AC1489" t="inlineStr">
        <is>
          <t>298</t>
        </is>
      </c>
      <c r="AD1489" t="n">
        <v>90.8</v>
      </c>
      <c r="AE1489" t="inlineStr">
        <is>
          <t>165</t>
        </is>
      </c>
      <c r="AF1489" t="n">
        <v>38</v>
      </c>
      <c r="AG1489" t="inlineStr">
        <is>
          <t>457</t>
        </is>
      </c>
      <c r="AH1489" t="n">
        <v>79.8</v>
      </c>
      <c r="AI1489" t="inlineStr">
        <is>
          <t>174</t>
        </is>
      </c>
      <c r="AJ1489" t="inlineStr">
        <is>
          <t>63.9</t>
        </is>
      </c>
      <c r="AK1489" t="inlineStr">
        <is>
          <t>107</t>
        </is>
      </c>
      <c r="AL1489" t="inlineStr">
        <is>
          <t>44.7</t>
        </is>
      </c>
      <c r="AM1489" t="inlineStr">
        <is>
          <t>199</t>
        </is>
      </c>
      <c r="AN1489" t="inlineStr">
        <is>
          <t>30.4</t>
        </is>
      </c>
      <c r="AO1489" t="inlineStr">
        <is>
          <t>518</t>
        </is>
      </c>
      <c r="AP1489" t="inlineStr">
        <is>
          <t>40.7</t>
        </is>
      </c>
      <c r="AQ1489" t="inlineStr">
        <is>
          <t>338</t>
        </is>
      </c>
      <c r="AR1489" t="inlineStr">
        <is>
          <t>70.3</t>
        </is>
      </c>
      <c r="AS1489" t="inlineStr">
        <is>
          <t>276</t>
        </is>
      </c>
      <c r="AT1489" t="inlineStr">
        <is>
          <t>49.3</t>
        </is>
      </c>
      <c r="AU1489" t="inlineStr">
        <is>
          <t>301</t>
        </is>
      </c>
      <c r="AV1489" t="inlineStr">
        <is>
          <t>77.8</t>
        </is>
      </c>
      <c r="AW1489" t="inlineStr">
        <is>
          <t>159</t>
        </is>
      </c>
      <c r="AX1489" t="inlineStr">
        <is>
          <t>19</t>
        </is>
      </c>
      <c r="AY1489" t="inlineStr">
        <is>
          <t>439</t>
        </is>
      </c>
      <c r="AZ1489" t="inlineStr">
        <is>
          <t>98.9</t>
        </is>
      </c>
      <c r="BA1489" t="inlineStr">
        <is>
          <t>16</t>
        </is>
      </c>
    </row>
    <row r="1490">
      <c r="A1490" t="inlineStr">
        <is>
          <t>University of California, Irvine</t>
        </is>
      </c>
      <c r="B1490" t="inlineStr">
        <is>
          <t>United States</t>
        </is>
      </c>
      <c r="C1490" t="inlineStr">
        <is>
          <t>US</t>
        </is>
      </c>
      <c r="D1490" t="inlineStr">
        <is>
          <t>Americas</t>
        </is>
      </c>
      <c r="E1490" t="inlineStr">
        <is>
          <t>XL</t>
        </is>
      </c>
      <c r="F1490" t="inlineStr">
        <is>
          <t>FC</t>
        </is>
      </c>
      <c r="G1490" t="inlineStr">
        <is>
          <t>VH</t>
        </is>
      </c>
      <c r="H1490" t="inlineStr">
        <is>
          <t>4</t>
        </is>
      </c>
      <c r="I1490" t="inlineStr">
        <is>
          <t>Public</t>
        </is>
      </c>
      <c r="J1490" t="inlineStr">
        <is>
          <t>293</t>
        </is>
      </c>
      <c r="K1490" t="inlineStr">
        <is>
          <t>307</t>
        </is>
      </c>
      <c r="L1490">
        <f>268</f>
        <v/>
      </c>
      <c r="M1490" t="inlineStr">
        <is>
          <t>235=</t>
        </is>
      </c>
      <c r="N1490" t="inlineStr">
        <is>
          <t>46.1</t>
        </is>
      </c>
      <c r="O1490" t="inlineStr">
        <is>
          <t>37.5</t>
        </is>
      </c>
      <c r="P1490" t="n">
        <v>46.6</v>
      </c>
      <c r="Q1490" t="inlineStr">
        <is>
          <t>249</t>
        </is>
      </c>
      <c r="R1490" t="n">
        <v>37.1</v>
      </c>
      <c r="S1490" t="inlineStr">
        <is>
          <t>381</t>
        </is>
      </c>
      <c r="T1490" t="n">
        <v>26.8</v>
      </c>
      <c r="U1490" t="inlineStr">
        <is>
          <t>701</t>
        </is>
      </c>
      <c r="V1490" t="n">
        <v>53.1</v>
      </c>
      <c r="W1490" t="inlineStr">
        <is>
          <t>351</t>
        </is>
      </c>
      <c r="X1490" t="n">
        <v>39.5</v>
      </c>
      <c r="Y1490" t="inlineStr">
        <is>
          <t>503</t>
        </is>
      </c>
      <c r="Z1490" t="n">
        <v>64.2</v>
      </c>
      <c r="AA1490" t="inlineStr">
        <is>
          <t>310</t>
        </is>
      </c>
      <c r="AB1490" t="n">
        <v>52.3</v>
      </c>
      <c r="AC1490" t="inlineStr">
        <is>
          <t>394</t>
        </is>
      </c>
      <c r="AD1490" t="n">
        <v>81.90000000000001</v>
      </c>
      <c r="AE1490" t="inlineStr">
        <is>
          <t>313</t>
        </is>
      </c>
      <c r="AF1490" t="n">
        <v>28</v>
      </c>
      <c r="AG1490" t="inlineStr">
        <is>
          <t>596</t>
        </is>
      </c>
      <c r="AH1490" t="n">
        <v>64.90000000000001</v>
      </c>
      <c r="AI1490" t="inlineStr">
        <is>
          <t>403=</t>
        </is>
      </c>
      <c r="AJ1490" t="inlineStr">
        <is>
          <t>37.6</t>
        </is>
      </c>
      <c r="AK1490" t="inlineStr">
        <is>
          <t>230</t>
        </is>
      </c>
      <c r="AL1490" t="inlineStr">
        <is>
          <t>16.6</t>
        </is>
      </c>
      <c r="AM1490" t="inlineStr">
        <is>
          <t>517</t>
        </is>
      </c>
      <c r="AN1490" t="inlineStr">
        <is>
          <t>14.6</t>
        </is>
      </c>
      <c r="AO1490" t="inlineStr">
        <is>
          <t>701+</t>
        </is>
      </c>
      <c r="AP1490" t="inlineStr">
        <is>
          <t>50.3</t>
        </is>
      </c>
      <c r="AQ1490" t="inlineStr">
        <is>
          <t>263</t>
        </is>
      </c>
      <c r="AR1490" t="inlineStr">
        <is>
          <t>56.9</t>
        </is>
      </c>
      <c r="AS1490" t="inlineStr">
        <is>
          <t>325</t>
        </is>
      </c>
      <c r="AT1490" t="inlineStr">
        <is>
          <t>49.6</t>
        </is>
      </c>
      <c r="AU1490" t="inlineStr">
        <is>
          <t>299</t>
        </is>
      </c>
      <c r="AV1490" t="inlineStr">
        <is>
          <t>65.3</t>
        </is>
      </c>
      <c r="AW1490" t="inlineStr">
        <is>
          <t>214</t>
        </is>
      </c>
      <c r="AX1490" t="inlineStr">
        <is>
          <t>11.4</t>
        </is>
      </c>
      <c r="AY1490" t="inlineStr">
        <is>
          <t>701+</t>
        </is>
      </c>
      <c r="AZ1490" t="inlineStr">
        <is>
          <t>58.6</t>
        </is>
      </c>
      <c r="BA1490" t="inlineStr">
        <is>
          <t>255=</t>
        </is>
      </c>
    </row>
    <row r="1491">
      <c r="A1491" t="inlineStr">
        <is>
          <t>University of California, Los Angeles (UCLA)</t>
        </is>
      </c>
      <c r="B1491" t="inlineStr">
        <is>
          <t>United States</t>
        </is>
      </c>
      <c r="C1491" t="inlineStr">
        <is>
          <t>US</t>
        </is>
      </c>
      <c r="D1491" t="inlineStr">
        <is>
          <t>Americas</t>
        </is>
      </c>
      <c r="E1491" t="inlineStr">
        <is>
          <t>XL</t>
        </is>
      </c>
      <c r="F1491" t="inlineStr">
        <is>
          <t>FC</t>
        </is>
      </c>
      <c r="G1491" t="inlineStr">
        <is>
          <t>VH</t>
        </is>
      </c>
      <c r="H1491" t="inlineStr">
        <is>
          <t>5</t>
        </is>
      </c>
      <c r="I1491" t="inlineStr">
        <is>
          <t>Public</t>
        </is>
      </c>
      <c r="J1491" t="inlineStr">
        <is>
          <t>46</t>
        </is>
      </c>
      <c r="K1491" t="inlineStr">
        <is>
          <t>42</t>
        </is>
      </c>
      <c r="L1491" t="inlineStr">
        <is>
          <t>29</t>
        </is>
      </c>
      <c r="M1491" t="inlineStr">
        <is>
          <t>44</t>
        </is>
      </c>
      <c r="N1491" t="inlineStr">
        <is>
          <t>84.4</t>
        </is>
      </c>
      <c r="O1491" t="inlineStr">
        <is>
          <t>83.8</t>
        </is>
      </c>
      <c r="P1491" t="n">
        <v>100</v>
      </c>
      <c r="Q1491" t="inlineStr">
        <is>
          <t>8</t>
        </is>
      </c>
      <c r="R1491" t="n">
        <v>100</v>
      </c>
      <c r="S1491" t="inlineStr">
        <is>
          <t>8</t>
        </is>
      </c>
      <c r="T1491" t="n">
        <v>43.6</v>
      </c>
      <c r="U1491" t="inlineStr">
        <is>
          <t>456</t>
        </is>
      </c>
      <c r="V1491" t="n">
        <v>84.3</v>
      </c>
      <c r="W1491" t="inlineStr">
        <is>
          <t>127</t>
        </is>
      </c>
      <c r="X1491" t="n">
        <v>50.8</v>
      </c>
      <c r="Y1491" t="inlineStr">
        <is>
          <t>437</t>
        </is>
      </c>
      <c r="Z1491" t="n">
        <v>31.8</v>
      </c>
      <c r="AA1491" t="inlineStr">
        <is>
          <t>571</t>
        </is>
      </c>
      <c r="AB1491" t="n">
        <v>37.7</v>
      </c>
      <c r="AC1491" t="inlineStr">
        <is>
          <t>521</t>
        </is>
      </c>
      <c r="AD1491" t="n">
        <v>93.5</v>
      </c>
      <c r="AE1491" t="inlineStr">
        <is>
          <t>117</t>
        </is>
      </c>
      <c r="AF1491" t="n">
        <v>98</v>
      </c>
      <c r="AG1491" t="inlineStr">
        <is>
          <t>46</t>
        </is>
      </c>
      <c r="AH1491" t="n">
        <v>78</v>
      </c>
      <c r="AI1491" t="inlineStr">
        <is>
          <t>195=</t>
        </is>
      </c>
      <c r="AJ1491" t="inlineStr">
        <is>
          <t>100.0</t>
        </is>
      </c>
      <c r="AK1491" t="inlineStr">
        <is>
          <t>8</t>
        </is>
      </c>
      <c r="AL1491" t="inlineStr">
        <is>
          <t>99.8</t>
        </is>
      </c>
      <c r="AM1491" t="inlineStr">
        <is>
          <t>8</t>
        </is>
      </c>
      <c r="AN1491" t="inlineStr">
        <is>
          <t>36.6</t>
        </is>
      </c>
      <c r="AO1491" t="inlineStr">
        <is>
          <t>435</t>
        </is>
      </c>
      <c r="AP1491" t="inlineStr">
        <is>
          <t>84.8</t>
        </is>
      </c>
      <c r="AQ1491" t="inlineStr">
        <is>
          <t>96</t>
        </is>
      </c>
      <c r="AR1491" t="inlineStr">
        <is>
          <t>43.4</t>
        </is>
      </c>
      <c r="AS1491" t="inlineStr">
        <is>
          <t>386</t>
        </is>
      </c>
      <c r="AT1491" t="inlineStr">
        <is>
          <t>24.8</t>
        </is>
      </c>
      <c r="AU1491" t="inlineStr">
        <is>
          <t>477</t>
        </is>
      </c>
      <c r="AV1491" t="inlineStr">
        <is>
          <t>89.8</t>
        </is>
      </c>
      <c r="AW1491" t="inlineStr">
        <is>
          <t>86</t>
        </is>
      </c>
      <c r="AX1491" t="inlineStr">
        <is>
          <t>97</t>
        </is>
      </c>
      <c r="AY1491" t="inlineStr">
        <is>
          <t>20</t>
        </is>
      </c>
      <c r="AZ1491" t="inlineStr">
        <is>
          <t>91.2</t>
        </is>
      </c>
      <c r="BA1491" t="inlineStr">
        <is>
          <t>86</t>
        </is>
      </c>
    </row>
    <row r="1492">
      <c r="A1492" t="inlineStr">
        <is>
          <t>University of California, Riverside</t>
        </is>
      </c>
      <c r="B1492" t="inlineStr">
        <is>
          <t>United States</t>
        </is>
      </c>
      <c r="C1492" t="inlineStr">
        <is>
          <t>US</t>
        </is>
      </c>
      <c r="D1492" t="inlineStr">
        <is>
          <t>Americas</t>
        </is>
      </c>
      <c r="E1492" t="inlineStr">
        <is>
          <t>L</t>
        </is>
      </c>
      <c r="F1492" t="inlineStr">
        <is>
          <t>FC</t>
        </is>
      </c>
      <c r="G1492" t="inlineStr">
        <is>
          <t>VH</t>
        </is>
      </c>
      <c r="H1492" t="inlineStr">
        <is>
          <t>4</t>
        </is>
      </c>
      <c r="I1492" t="inlineStr">
        <is>
          <t>Public</t>
        </is>
      </c>
      <c r="J1492" t="inlineStr">
        <is>
          <t>440</t>
        </is>
      </c>
      <c r="K1492" t="inlineStr">
        <is>
          <t>497</t>
        </is>
      </c>
      <c r="L1492">
        <f>404</f>
        <v/>
      </c>
      <c r="M1492" t="inlineStr">
        <is>
          <t>453</t>
        </is>
      </c>
      <c r="N1492" t="inlineStr">
        <is>
          <t>34.9</t>
        </is>
      </c>
      <c r="O1492" t="inlineStr">
        <is>
          <t>27.6</t>
        </is>
      </c>
      <c r="P1492" t="n">
        <v>21.4</v>
      </c>
      <c r="Q1492" t="inlineStr">
        <is>
          <t>577</t>
        </is>
      </c>
      <c r="R1492" t="n">
        <v>21.1</v>
      </c>
      <c r="S1492" t="inlineStr">
        <is>
          <t>623</t>
        </is>
      </c>
      <c r="T1492" t="n">
        <v>10</v>
      </c>
      <c r="U1492" t="inlineStr">
        <is>
          <t>801+</t>
        </is>
      </c>
      <c r="V1492" t="n">
        <v>64.2</v>
      </c>
      <c r="W1492" t="inlineStr">
        <is>
          <t>254</t>
        </is>
      </c>
      <c r="X1492" t="n">
        <v>80.90000000000001</v>
      </c>
      <c r="Y1492" t="inlineStr">
        <is>
          <t>290</t>
        </is>
      </c>
      <c r="Z1492" t="n">
        <v>30.4</v>
      </c>
      <c r="AA1492" t="inlineStr">
        <is>
          <t>587</t>
        </is>
      </c>
      <c r="AB1492" t="n">
        <v>36.3</v>
      </c>
      <c r="AC1492" t="inlineStr">
        <is>
          <t>530</t>
        </is>
      </c>
      <c r="AD1492" t="n">
        <v>75.40000000000001</v>
      </c>
      <c r="AE1492" t="inlineStr">
        <is>
          <t>433</t>
        </is>
      </c>
      <c r="AF1492" t="n">
        <v>7</v>
      </c>
      <c r="AG1492" t="inlineStr">
        <is>
          <t>801+</t>
        </is>
      </c>
      <c r="AH1492" t="n">
        <v>55.6</v>
      </c>
      <c r="AI1492" t="inlineStr">
        <is>
          <t>589=</t>
        </is>
      </c>
      <c r="AJ1492" t="inlineStr">
        <is>
          <t>17.5</t>
        </is>
      </c>
      <c r="AK1492" t="inlineStr">
        <is>
          <t>505</t>
        </is>
      </c>
      <c r="AL1492" t="inlineStr">
        <is>
          <t>7.0</t>
        </is>
      </c>
      <c r="AM1492" t="inlineStr">
        <is>
          <t>601+</t>
        </is>
      </c>
      <c r="AN1492" t="inlineStr">
        <is>
          <t>6.7</t>
        </is>
      </c>
      <c r="AO1492" t="inlineStr">
        <is>
          <t>701+</t>
        </is>
      </c>
      <c r="AP1492" t="inlineStr">
        <is>
          <t>59.9</t>
        </is>
      </c>
      <c r="AQ1492" t="inlineStr">
        <is>
          <t>207</t>
        </is>
      </c>
      <c r="AR1492" t="inlineStr">
        <is>
          <t>63.0</t>
        </is>
      </c>
      <c r="AS1492" t="inlineStr">
        <is>
          <t>307</t>
        </is>
      </c>
      <c r="AT1492" t="inlineStr">
        <is>
          <t>9.1</t>
        </is>
      </c>
      <c r="AU1492" t="inlineStr">
        <is>
          <t>701+</t>
        </is>
      </c>
      <c r="AV1492" t="inlineStr">
        <is>
          <t>45.1</t>
        </is>
      </c>
      <c r="AW1492" t="inlineStr">
        <is>
          <t>346</t>
        </is>
      </c>
      <c r="AX1492" t="inlineStr">
        <is>
          <t>10</t>
        </is>
      </c>
      <c r="AY1492" t="inlineStr">
        <is>
          <t>701+</t>
        </is>
      </c>
      <c r="AZ1492" t="inlineStr">
        <is>
          <t>46.6</t>
        </is>
      </c>
      <c r="BA1492" t="inlineStr">
        <is>
          <t>327=</t>
        </is>
      </c>
    </row>
    <row r="1493">
      <c r="A1493" t="inlineStr">
        <is>
          <t>University of California, San Diego (UCSD)</t>
        </is>
      </c>
      <c r="B1493" t="inlineStr">
        <is>
          <t>United States</t>
        </is>
      </c>
      <c r="C1493" t="inlineStr">
        <is>
          <t>US</t>
        </is>
      </c>
      <c r="D1493" t="inlineStr">
        <is>
          <t>Americas</t>
        </is>
      </c>
      <c r="E1493" t="inlineStr">
        <is>
          <t>XL</t>
        </is>
      </c>
      <c r="F1493" t="inlineStr">
        <is>
          <t>FC</t>
        </is>
      </c>
      <c r="G1493" t="inlineStr">
        <is>
          <t>VH</t>
        </is>
      </c>
      <c r="H1493" t="inlineStr">
        <is>
          <t>4</t>
        </is>
      </c>
      <c r="I1493" t="inlineStr">
        <is>
          <t>Public</t>
        </is>
      </c>
      <c r="J1493" t="inlineStr">
        <is>
          <t>66</t>
        </is>
      </c>
      <c r="K1493" t="inlineStr">
        <is>
          <t>72</t>
        </is>
      </c>
      <c r="L1493" t="inlineStr">
        <is>
          <t>62</t>
        </is>
      </c>
      <c r="M1493" t="inlineStr">
        <is>
          <t>53</t>
        </is>
      </c>
      <c r="N1493" t="inlineStr">
        <is>
          <t>76.9</t>
        </is>
      </c>
      <c r="O1493" t="inlineStr">
        <is>
          <t>70.0</t>
        </is>
      </c>
      <c r="P1493" t="n">
        <v>94</v>
      </c>
      <c r="Q1493" t="inlineStr">
        <is>
          <t>49</t>
        </is>
      </c>
      <c r="R1493" t="n">
        <v>80.2</v>
      </c>
      <c r="S1493" t="inlineStr">
        <is>
          <t>103</t>
        </is>
      </c>
      <c r="T1493" t="n">
        <v>54.4</v>
      </c>
      <c r="U1493" t="inlineStr">
        <is>
          <t>347</t>
        </is>
      </c>
      <c r="V1493" t="n">
        <v>80.3</v>
      </c>
      <c r="W1493" t="inlineStr">
        <is>
          <t>155</t>
        </is>
      </c>
      <c r="X1493" t="n">
        <v>43.8</v>
      </c>
      <c r="Y1493" t="inlineStr">
        <is>
          <t>473</t>
        </is>
      </c>
      <c r="Z1493" t="n">
        <v>47</v>
      </c>
      <c r="AA1493" t="inlineStr">
        <is>
          <t>431</t>
        </is>
      </c>
      <c r="AB1493" t="n">
        <v>52</v>
      </c>
      <c r="AC1493" t="inlineStr">
        <is>
          <t>400</t>
        </is>
      </c>
      <c r="AD1493" t="n">
        <v>94</v>
      </c>
      <c r="AE1493" t="inlineStr">
        <is>
          <t>99</t>
        </is>
      </c>
      <c r="AF1493" t="n">
        <v>40.8</v>
      </c>
      <c r="AG1493" t="inlineStr">
        <is>
          <t>430</t>
        </is>
      </c>
      <c r="AH1493" t="n">
        <v>72.3</v>
      </c>
      <c r="AI1493" t="inlineStr">
        <is>
          <t>286=</t>
        </is>
      </c>
      <c r="AJ1493" t="inlineStr">
        <is>
          <t>89.1</t>
        </is>
      </c>
      <c r="AK1493" t="inlineStr">
        <is>
          <t>47</t>
        </is>
      </c>
      <c r="AL1493" t="inlineStr">
        <is>
          <t>50.4</t>
        </is>
      </c>
      <c r="AM1493" t="inlineStr">
        <is>
          <t>167</t>
        </is>
      </c>
      <c r="AN1493" t="inlineStr">
        <is>
          <t>49.6</t>
        </is>
      </c>
      <c r="AO1493" t="inlineStr">
        <is>
          <t>313</t>
        </is>
      </c>
      <c r="AP1493" t="inlineStr">
        <is>
          <t>74.3</t>
        </is>
      </c>
      <c r="AQ1493" t="inlineStr">
        <is>
          <t>130</t>
        </is>
      </c>
      <c r="AR1493" t="inlineStr">
        <is>
          <t>68.1</t>
        </is>
      </c>
      <c r="AS1493" t="inlineStr">
        <is>
          <t>285</t>
        </is>
      </c>
      <c r="AT1493" t="inlineStr">
        <is>
          <t>51.3</t>
        </is>
      </c>
      <c r="AU1493" t="inlineStr">
        <is>
          <t>282</t>
        </is>
      </c>
      <c r="AV1493" t="inlineStr">
        <is>
          <t>94.9</t>
        </is>
      </c>
      <c r="AW1493" t="inlineStr">
        <is>
          <t>55</t>
        </is>
      </c>
      <c r="AX1493" t="inlineStr">
        <is>
          <t>17.7</t>
        </is>
      </c>
      <c r="AY1493" t="inlineStr">
        <is>
          <t>471</t>
        </is>
      </c>
      <c r="AZ1493" t="inlineStr">
        <is>
          <t>72.5</t>
        </is>
      </c>
      <c r="BA1493" t="inlineStr">
        <is>
          <t>189=</t>
        </is>
      </c>
    </row>
    <row r="1494">
      <c r="A1494" t="inlineStr">
        <is>
          <t>University of California, Santa Barbara (UCSB)</t>
        </is>
      </c>
      <c r="B1494" t="inlineStr">
        <is>
          <t>United States</t>
        </is>
      </c>
      <c r="C1494" t="inlineStr">
        <is>
          <t>US</t>
        </is>
      </c>
      <c r="D1494" t="inlineStr">
        <is>
          <t>Americas</t>
        </is>
      </c>
      <c r="E1494" t="inlineStr">
        <is>
          <t>L</t>
        </is>
      </c>
      <c r="F1494" t="inlineStr">
        <is>
          <t>CO</t>
        </is>
      </c>
      <c r="G1494" t="inlineStr">
        <is>
          <t>VH</t>
        </is>
      </c>
      <c r="H1494" t="inlineStr">
        <is>
          <t>5</t>
        </is>
      </c>
      <c r="I1494" t="inlineStr">
        <is>
          <t>Public</t>
        </is>
      </c>
      <c r="J1494" t="inlineStr">
        <is>
          <t>179</t>
        </is>
      </c>
      <c r="K1494" t="inlineStr">
        <is>
          <t>178</t>
        </is>
      </c>
      <c r="L1494" t="inlineStr">
        <is>
          <t>163</t>
        </is>
      </c>
      <c r="M1494" t="inlineStr">
        <is>
          <t>149</t>
        </is>
      </c>
      <c r="N1494" t="inlineStr">
        <is>
          <t>58.7</t>
        </is>
      </c>
      <c r="O1494" t="inlineStr">
        <is>
          <t>50.0</t>
        </is>
      </c>
      <c r="P1494" t="n">
        <v>65.3</v>
      </c>
      <c r="Q1494" t="inlineStr">
        <is>
          <t>154</t>
        </is>
      </c>
      <c r="R1494" t="n">
        <v>32.4</v>
      </c>
      <c r="S1494" t="inlineStr">
        <is>
          <t>442</t>
        </is>
      </c>
      <c r="T1494" t="n">
        <v>9.300000000000001</v>
      </c>
      <c r="U1494" t="inlineStr">
        <is>
          <t>801+</t>
        </is>
      </c>
      <c r="V1494" t="n">
        <v>99</v>
      </c>
      <c r="W1494" t="inlineStr">
        <is>
          <t>38</t>
        </is>
      </c>
      <c r="X1494" t="n">
        <v>81.3</v>
      </c>
      <c r="Y1494" t="inlineStr">
        <is>
          <t>286</t>
        </is>
      </c>
      <c r="Z1494" t="n">
        <v>27.5</v>
      </c>
      <c r="AA1494" t="inlineStr">
        <is>
          <t>620</t>
        </is>
      </c>
      <c r="AB1494" t="n">
        <v>20.6</v>
      </c>
      <c r="AC1494" t="inlineStr">
        <is>
          <t>753</t>
        </is>
      </c>
      <c r="AD1494" t="n">
        <v>75.40000000000001</v>
      </c>
      <c r="AE1494" t="inlineStr">
        <is>
          <t>434</t>
        </is>
      </c>
      <c r="AF1494" t="n">
        <v>25.6</v>
      </c>
      <c r="AG1494" t="inlineStr">
        <is>
          <t>628</t>
        </is>
      </c>
      <c r="AH1494" t="n">
        <v>65.2</v>
      </c>
      <c r="AI1494" t="inlineStr">
        <is>
          <t>393=</t>
        </is>
      </c>
      <c r="AJ1494" t="inlineStr">
        <is>
          <t>54.8</t>
        </is>
      </c>
      <c r="AK1494" t="inlineStr">
        <is>
          <t>142</t>
        </is>
      </c>
      <c r="AL1494" t="inlineStr">
        <is>
          <t>19.0</t>
        </is>
      </c>
      <c r="AM1494" t="inlineStr">
        <is>
          <t>470</t>
        </is>
      </c>
      <c r="AN1494" t="inlineStr">
        <is>
          <t>9.5</t>
        </is>
      </c>
      <c r="AO1494" t="inlineStr">
        <is>
          <t>701+</t>
        </is>
      </c>
      <c r="AP1494" t="inlineStr">
        <is>
          <t>96.9</t>
        </is>
      </c>
      <c r="AQ1494" t="inlineStr">
        <is>
          <t>41</t>
        </is>
      </c>
      <c r="AR1494" t="inlineStr">
        <is>
          <t>70.4</t>
        </is>
      </c>
      <c r="AS1494" t="inlineStr">
        <is>
          <t>274</t>
        </is>
      </c>
      <c r="AT1494" t="inlineStr">
        <is>
          <t>21.6</t>
        </is>
      </c>
      <c r="AU1494" t="inlineStr">
        <is>
          <t>522</t>
        </is>
      </c>
      <c r="AV1494" t="inlineStr">
        <is>
          <t>43.5</t>
        </is>
      </c>
      <c r="AW1494" t="inlineStr">
        <is>
          <t>352</t>
        </is>
      </c>
      <c r="AX1494" t="inlineStr">
        <is>
          <t>10.4</t>
        </is>
      </c>
      <c r="AY1494" t="inlineStr">
        <is>
          <t>701+</t>
        </is>
      </c>
      <c r="AZ1494" t="inlineStr">
        <is>
          <t>55.8</t>
        </is>
      </c>
      <c r="BA1494" t="inlineStr">
        <is>
          <t>271=</t>
        </is>
      </c>
    </row>
    <row r="1495">
      <c r="A1495" t="inlineStr">
        <is>
          <t>University of California, Santa Cruz</t>
        </is>
      </c>
      <c r="B1495" t="inlineStr">
        <is>
          <t>United States</t>
        </is>
      </c>
      <c r="C1495" t="inlineStr">
        <is>
          <t>US</t>
        </is>
      </c>
      <c r="D1495" t="inlineStr">
        <is>
          <t>Americas</t>
        </is>
      </c>
      <c r="E1495" t="inlineStr">
        <is>
          <t>L</t>
        </is>
      </c>
      <c r="F1495" t="inlineStr">
        <is>
          <t>CO</t>
        </is>
      </c>
      <c r="G1495" t="inlineStr">
        <is>
          <t>VH</t>
        </is>
      </c>
      <c r="H1495" t="inlineStr">
        <is>
          <t>4</t>
        </is>
      </c>
      <c r="I1495" t="inlineStr">
        <is>
          <t>Public</t>
        </is>
      </c>
      <c r="J1495" t="inlineStr">
        <is>
          <t>458</t>
        </is>
      </c>
      <c r="K1495" t="inlineStr">
        <is>
          <t>393</t>
        </is>
      </c>
      <c r="L1495">
        <f>332</f>
        <v/>
      </c>
      <c r="M1495" t="inlineStr">
        <is>
          <t>375=</t>
        </is>
      </c>
      <c r="N1495" t="inlineStr">
        <is>
          <t>34</t>
        </is>
      </c>
      <c r="O1495" t="inlineStr">
        <is>
          <t>32.5</t>
        </is>
      </c>
      <c r="P1495" t="n">
        <v>24.7</v>
      </c>
      <c r="Q1495" t="inlineStr">
        <is>
          <t>517</t>
        </is>
      </c>
      <c r="R1495" t="n">
        <v>13.6</v>
      </c>
      <c r="S1495" t="inlineStr">
        <is>
          <t>701+</t>
        </is>
      </c>
      <c r="T1495" t="n">
        <v>10</v>
      </c>
      <c r="U1495" t="inlineStr">
        <is>
          <t>801+</t>
        </is>
      </c>
      <c r="V1495" t="n">
        <v>62.4</v>
      </c>
      <c r="W1495" t="inlineStr">
        <is>
          <t>268</t>
        </is>
      </c>
      <c r="X1495" t="n">
        <v>71.40000000000001</v>
      </c>
      <c r="Y1495" t="inlineStr">
        <is>
          <t>331</t>
        </is>
      </c>
      <c r="Z1495" t="n">
        <v>10</v>
      </c>
      <c r="AA1495" t="inlineStr">
        <is>
          <t>801+</t>
        </is>
      </c>
      <c r="AB1495" t="n">
        <v>15.7</v>
      </c>
      <c r="AC1495" t="inlineStr">
        <is>
          <t>801+</t>
        </is>
      </c>
      <c r="AD1495" t="n">
        <v>62.2</v>
      </c>
      <c r="AE1495" t="inlineStr">
        <is>
          <t>662</t>
        </is>
      </c>
      <c r="AF1495" t="n">
        <v>14.3</v>
      </c>
      <c r="AG1495" t="inlineStr">
        <is>
          <t>801+</t>
        </is>
      </c>
      <c r="AH1495" t="n">
        <v>84.3</v>
      </c>
      <c r="AI1495" t="inlineStr">
        <is>
          <t>122</t>
        </is>
      </c>
      <c r="AJ1495" t="inlineStr">
        <is>
          <t>18.4</t>
        </is>
      </c>
      <c r="AK1495" t="inlineStr">
        <is>
          <t>487</t>
        </is>
      </c>
      <c r="AL1495" t="inlineStr">
        <is>
          <t>4.9</t>
        </is>
      </c>
      <c r="AM1495" t="inlineStr">
        <is>
          <t>601+</t>
        </is>
      </c>
      <c r="AN1495" t="inlineStr">
        <is>
          <t>7.2</t>
        </is>
      </c>
      <c r="AO1495" t="inlineStr">
        <is>
          <t>701+</t>
        </is>
      </c>
      <c r="AP1495" t="inlineStr">
        <is>
          <t>79.6</t>
        </is>
      </c>
      <c r="AQ1495" t="inlineStr">
        <is>
          <t>111</t>
        </is>
      </c>
      <c r="AR1495" t="inlineStr">
        <is>
          <t>63.6</t>
        </is>
      </c>
      <c r="AS1495" t="inlineStr">
        <is>
          <t>304</t>
        </is>
      </c>
      <c r="AT1495" t="inlineStr">
        <is>
          <t>8.9</t>
        </is>
      </c>
      <c r="AU1495" t="inlineStr">
        <is>
          <t>701+</t>
        </is>
      </c>
      <c r="AV1495" t="inlineStr">
        <is>
          <t>19.3</t>
        </is>
      </c>
      <c r="AW1495" t="inlineStr">
        <is>
          <t>547</t>
        </is>
      </c>
      <c r="AX1495" t="inlineStr">
        <is>
          <t>10.7</t>
        </is>
      </c>
      <c r="AY1495" t="inlineStr">
        <is>
          <t>701+</t>
        </is>
      </c>
      <c r="AZ1495" t="inlineStr">
        <is>
          <t>89.1</t>
        </is>
      </c>
      <c r="BA1495" t="inlineStr">
        <is>
          <t>95=</t>
        </is>
      </c>
    </row>
    <row r="1496">
      <c r="A1496" t="inlineStr">
        <is>
          <t>University of Cambridge</t>
        </is>
      </c>
      <c r="B1496" t="inlineStr">
        <is>
          <t>United Kingdom</t>
        </is>
      </c>
      <c r="C1496" t="inlineStr">
        <is>
          <t>UK</t>
        </is>
      </c>
      <c r="D1496" t="inlineStr">
        <is>
          <t>Europe</t>
        </is>
      </c>
      <c r="E1496" t="inlineStr">
        <is>
          <t>L</t>
        </is>
      </c>
      <c r="F1496" t="inlineStr">
        <is>
          <t>FC</t>
        </is>
      </c>
      <c r="G1496" t="inlineStr">
        <is>
          <t>VH</t>
        </is>
      </c>
      <c r="H1496" t="inlineStr">
        <is>
          <t>5</t>
        </is>
      </c>
      <c r="I1496" t="inlineStr">
        <is>
          <t>Public</t>
        </is>
      </c>
      <c r="J1496" t="inlineStr">
        <is>
          <t>6</t>
        </is>
      </c>
      <c r="K1496" t="inlineStr">
        <is>
          <t>5</t>
        </is>
      </c>
      <c r="L1496" t="inlineStr">
        <is>
          <t>2</t>
        </is>
      </c>
      <c r="M1496" t="inlineStr">
        <is>
          <t>2</t>
        </is>
      </c>
      <c r="N1496" t="inlineStr">
        <is>
          <t>97.2</t>
        </is>
      </c>
      <c r="O1496" t="inlineStr">
        <is>
          <t>99.2</t>
        </is>
      </c>
      <c r="P1496" t="n">
        <v>100</v>
      </c>
      <c r="Q1496" t="inlineStr">
        <is>
          <t>3</t>
        </is>
      </c>
      <c r="R1496" t="n">
        <v>100</v>
      </c>
      <c r="S1496" t="inlineStr">
        <is>
          <t>5</t>
        </is>
      </c>
      <c r="T1496" t="n">
        <v>100</v>
      </c>
      <c r="U1496" t="inlineStr">
        <is>
          <t>23</t>
        </is>
      </c>
      <c r="V1496" t="n">
        <v>88.59999999999999</v>
      </c>
      <c r="W1496" t="inlineStr">
        <is>
          <t>107</t>
        </is>
      </c>
      <c r="X1496" t="n">
        <v>100</v>
      </c>
      <c r="Y1496" t="inlineStr">
        <is>
          <t>80</t>
        </is>
      </c>
      <c r="Z1496" t="n">
        <v>93.09999999999999</v>
      </c>
      <c r="AA1496" t="inlineStr">
        <is>
          <t>144</t>
        </is>
      </c>
      <c r="AB1496" t="n">
        <v>93.59999999999999</v>
      </c>
      <c r="AC1496" t="inlineStr">
        <is>
          <t>120</t>
        </is>
      </c>
      <c r="AD1496" t="n">
        <v>99.2</v>
      </c>
      <c r="AE1496" t="inlineStr">
        <is>
          <t>12</t>
        </is>
      </c>
      <c r="AF1496" t="n">
        <v>100</v>
      </c>
      <c r="AG1496" t="inlineStr">
        <is>
          <t>5</t>
        </is>
      </c>
      <c r="AH1496" t="n">
        <v>78.40000000000001</v>
      </c>
      <c r="AI1496" t="inlineStr">
        <is>
          <t>194</t>
        </is>
      </c>
      <c r="AJ1496" t="inlineStr">
        <is>
          <t>100.0</t>
        </is>
      </c>
      <c r="AK1496" t="inlineStr">
        <is>
          <t>3</t>
        </is>
      </c>
      <c r="AL1496" t="inlineStr">
        <is>
          <t>100.0</t>
        </is>
      </c>
      <c r="AM1496" t="inlineStr">
        <is>
          <t>4</t>
        </is>
      </c>
      <c r="AN1496" t="inlineStr">
        <is>
          <t>100.0</t>
        </is>
      </c>
      <c r="AO1496" t="inlineStr">
        <is>
          <t>14</t>
        </is>
      </c>
      <c r="AP1496" t="inlineStr">
        <is>
          <t>92.3</t>
        </is>
      </c>
      <c r="AQ1496" t="inlineStr">
        <is>
          <t>68</t>
        </is>
      </c>
      <c r="AR1496" t="inlineStr">
        <is>
          <t>100.0</t>
        </is>
      </c>
      <c r="AS1496" t="inlineStr">
        <is>
          <t>64</t>
        </is>
      </c>
      <c r="AT1496" t="inlineStr">
        <is>
          <t>95.8</t>
        </is>
      </c>
      <c r="AU1496" t="inlineStr">
        <is>
          <t>85</t>
        </is>
      </c>
      <c r="AV1496" t="inlineStr">
        <is>
          <t>99.9</t>
        </is>
      </c>
      <c r="AW1496" t="inlineStr">
        <is>
          <t>7</t>
        </is>
      </c>
      <c r="AX1496" t="inlineStr">
        <is>
          <t>100</t>
        </is>
      </c>
      <c r="AY1496" t="inlineStr">
        <is>
          <t>6</t>
        </is>
      </c>
      <c r="AZ1496" t="inlineStr">
        <is>
          <t>97.3</t>
        </is>
      </c>
      <c r="BA1496" t="inlineStr">
        <is>
          <t>33=</t>
        </is>
      </c>
    </row>
    <row r="1497">
      <c r="A1497" t="inlineStr">
        <is>
          <t>University of Canberra</t>
        </is>
      </c>
      <c r="B1497" t="inlineStr">
        <is>
          <t>Australia</t>
        </is>
      </c>
      <c r="C1497" t="inlineStr">
        <is>
          <t>AU</t>
        </is>
      </c>
      <c r="D1497" t="inlineStr">
        <is>
          <t>Oceania</t>
        </is>
      </c>
      <c r="E1497" t="inlineStr">
        <is>
          <t>M</t>
        </is>
      </c>
      <c r="F1497" t="inlineStr">
        <is>
          <t>CO</t>
        </is>
      </c>
      <c r="G1497" t="inlineStr">
        <is>
          <t>VH</t>
        </is>
      </c>
      <c r="H1497" t="inlineStr">
        <is>
          <t>3</t>
        </is>
      </c>
      <c r="I1497" t="inlineStr">
        <is>
          <t>Public</t>
        </is>
      </c>
      <c r="J1497" t="inlineStr">
        <is>
          <t>494</t>
        </is>
      </c>
      <c r="K1497" t="inlineStr">
        <is>
          <t>403</t>
        </is>
      </c>
      <c r="L1497">
        <f>421</f>
        <v/>
      </c>
      <c r="M1497" t="inlineStr">
        <is>
          <t>511-520</t>
        </is>
      </c>
      <c r="N1497" t="inlineStr">
        <is>
          <t>32.5</t>
        </is>
      </c>
      <c r="O1497" t="inlineStr">
        <is>
          <t>26.7</t>
        </is>
      </c>
      <c r="P1497" t="n">
        <v>18.2</v>
      </c>
      <c r="Q1497" t="inlineStr">
        <is>
          <t>670</t>
        </is>
      </c>
      <c r="R1497" t="n">
        <v>11.9</v>
      </c>
      <c r="S1497" t="inlineStr">
        <is>
          <t>701+</t>
        </is>
      </c>
      <c r="T1497" t="n">
        <v>3.4</v>
      </c>
      <c r="U1497" t="inlineStr">
        <is>
          <t>801+</t>
        </is>
      </c>
      <c r="V1497" t="n">
        <v>50.8</v>
      </c>
      <c r="W1497" t="inlineStr">
        <is>
          <t>370</t>
        </is>
      </c>
      <c r="X1497" t="n">
        <v>82.8</v>
      </c>
      <c r="Y1497" t="inlineStr">
        <is>
          <t>274</t>
        </is>
      </c>
      <c r="Z1497" t="n">
        <v>83.09999999999999</v>
      </c>
      <c r="AA1497" t="inlineStr">
        <is>
          <t>205</t>
        </is>
      </c>
      <c r="AB1497" t="n">
        <v>84.59999999999999</v>
      </c>
      <c r="AC1497" t="inlineStr">
        <is>
          <t>173</t>
        </is>
      </c>
      <c r="AD1497" t="n">
        <v>66.7</v>
      </c>
      <c r="AE1497" t="inlineStr">
        <is>
          <t>593</t>
        </is>
      </c>
      <c r="AF1497" t="n">
        <v>10.9</v>
      </c>
      <c r="AG1497" t="inlineStr">
        <is>
          <t>801+</t>
        </is>
      </c>
      <c r="AH1497" t="n">
        <v>73.2</v>
      </c>
      <c r="AI1497" t="inlineStr">
        <is>
          <t>271=</t>
        </is>
      </c>
      <c r="AJ1497" t="inlineStr">
        <is>
          <t>13.7</t>
        </is>
      </c>
      <c r="AK1497" t="inlineStr">
        <is>
          <t>601+</t>
        </is>
      </c>
      <c r="AL1497" t="inlineStr">
        <is>
          <t>7.3</t>
        </is>
      </c>
      <c r="AM1497" t="inlineStr">
        <is>
          <t>601+</t>
        </is>
      </c>
      <c r="AN1497" t="inlineStr">
        <is>
          <t>2.3</t>
        </is>
      </c>
      <c r="AO1497" t="inlineStr">
        <is>
          <t>701+</t>
        </is>
      </c>
      <c r="AP1497" t="inlineStr">
        <is>
          <t>51.7</t>
        </is>
      </c>
      <c r="AQ1497" t="inlineStr">
        <is>
          <t>251</t>
        </is>
      </c>
      <c r="AR1497" t="inlineStr">
        <is>
          <t>87.0</t>
        </is>
      </c>
      <c r="AS1497" t="inlineStr">
        <is>
          <t>199</t>
        </is>
      </c>
      <c r="AT1497" t="inlineStr">
        <is>
          <t>58.9</t>
        </is>
      </c>
      <c r="AU1497" t="inlineStr">
        <is>
          <t>255</t>
        </is>
      </c>
      <c r="AV1497" t="inlineStr">
        <is>
          <t>8.9</t>
        </is>
      </c>
      <c r="AW1497" t="inlineStr">
        <is>
          <t>700</t>
        </is>
      </c>
      <c r="AX1497" t="inlineStr">
        <is>
          <t>9.8</t>
        </is>
      </c>
      <c r="AY1497" t="inlineStr">
        <is>
          <t>701+</t>
        </is>
      </c>
      <c r="AZ1497" t="inlineStr">
        <is>
          <t>55.2</t>
        </is>
      </c>
      <c r="BA1497" t="inlineStr">
        <is>
          <t>275=</t>
        </is>
      </c>
    </row>
    <row r="1498">
      <c r="A1498" t="inlineStr">
        <is>
          <t>University of Canterbury</t>
        </is>
      </c>
      <c r="B1498" t="inlineStr">
        <is>
          <t>New Zealand</t>
        </is>
      </c>
      <c r="C1498" t="inlineStr"/>
      <c r="D1498" t="inlineStr">
        <is>
          <t>Oceania</t>
        </is>
      </c>
      <c r="E1498" t="inlineStr">
        <is>
          <t>L</t>
        </is>
      </c>
      <c r="F1498" t="inlineStr">
        <is>
          <t>CO</t>
        </is>
      </c>
      <c r="G1498" t="inlineStr">
        <is>
          <t>VH</t>
        </is>
      </c>
      <c r="H1498" t="inlineStr"/>
      <c r="I1498" t="inlineStr">
        <is>
          <t>Public</t>
        </is>
      </c>
      <c r="J1498" t="inlineStr">
        <is>
          <t>261</t>
        </is>
      </c>
      <c r="K1498" t="inlineStr">
        <is>
          <t>261</t>
        </is>
      </c>
      <c r="L1498" t="inlineStr"/>
      <c r="M1498" t="inlineStr"/>
      <c r="N1498" t="inlineStr">
        <is>
          <t>49.4</t>
        </is>
      </c>
      <c r="O1498" t="inlineStr"/>
      <c r="P1498" t="n">
        <v>48.8</v>
      </c>
      <c r="Q1498" t="inlineStr">
        <is>
          <t>235</t>
        </is>
      </c>
      <c r="R1498" t="n">
        <v>34.7</v>
      </c>
      <c r="S1498" t="inlineStr">
        <is>
          <t>417</t>
        </is>
      </c>
      <c r="T1498" t="n">
        <v>12.1</v>
      </c>
      <c r="U1498" t="inlineStr">
        <is>
          <t>801+</t>
        </is>
      </c>
      <c r="V1498" t="n">
        <v>48.2</v>
      </c>
      <c r="W1498" t="inlineStr">
        <is>
          <t>387</t>
        </is>
      </c>
      <c r="X1498" t="n">
        <v>100</v>
      </c>
      <c r="Y1498" t="inlineStr">
        <is>
          <t>73</t>
        </is>
      </c>
      <c r="Z1498" t="n">
        <v>48.1</v>
      </c>
      <c r="AA1498" t="inlineStr">
        <is>
          <t>420</t>
        </is>
      </c>
      <c r="AB1498" t="n">
        <v>53</v>
      </c>
      <c r="AC1498" t="inlineStr">
        <is>
          <t>389</t>
        </is>
      </c>
      <c r="AD1498" t="n">
        <v>60.9</v>
      </c>
      <c r="AE1498" t="inlineStr">
        <is>
          <t>681</t>
        </is>
      </c>
      <c r="AF1498" t="n">
        <v>87.40000000000001</v>
      </c>
      <c r="AG1498" t="inlineStr">
        <is>
          <t>123</t>
        </is>
      </c>
      <c r="AH1498" t="n">
        <v>88.2</v>
      </c>
      <c r="AI1498" t="inlineStr">
        <is>
          <t>78=</t>
        </is>
      </c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</row>
    <row r="1499">
      <c r="A1499" t="inlineStr">
        <is>
          <t>University of Canterbury | Te Whare Wānanga o Waitaha</t>
        </is>
      </c>
      <c r="B1499" t="inlineStr">
        <is>
          <t>New Zealand</t>
        </is>
      </c>
      <c r="C1499" t="inlineStr">
        <is>
          <t>NZ</t>
        </is>
      </c>
      <c r="D1499" t="inlineStr"/>
      <c r="E1499" t="inlineStr">
        <is>
          <t>L</t>
        </is>
      </c>
      <c r="F1499" t="inlineStr">
        <is>
          <t>CO</t>
        </is>
      </c>
      <c r="G1499" t="inlineStr">
        <is>
          <t>VH</t>
        </is>
      </c>
      <c r="H1499" t="inlineStr">
        <is>
          <t>4</t>
        </is>
      </c>
      <c r="I1499" t="inlineStr">
        <is>
          <t>A</t>
        </is>
      </c>
      <c r="J1499" t="inlineStr"/>
      <c r="K1499" t="inlineStr"/>
      <c r="L1499">
        <f>256</f>
        <v/>
      </c>
      <c r="M1499" t="inlineStr">
        <is>
          <t>284</t>
        </is>
      </c>
      <c r="N1499" t="inlineStr"/>
      <c r="O1499" t="inlineStr">
        <is>
          <t>38.7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>
        <is>
          <t>33.8</t>
        </is>
      </c>
      <c r="AK1499" t="inlineStr">
        <is>
          <t>257</t>
        </is>
      </c>
      <c r="AL1499" t="inlineStr">
        <is>
          <t>33.1</t>
        </is>
      </c>
      <c r="AM1499" t="inlineStr">
        <is>
          <t>299</t>
        </is>
      </c>
      <c r="AN1499" t="inlineStr">
        <is>
          <t>10.9</t>
        </is>
      </c>
      <c r="AO1499" t="inlineStr">
        <is>
          <t>701+</t>
        </is>
      </c>
      <c r="AP1499" t="inlineStr">
        <is>
          <t>32.8</t>
        </is>
      </c>
      <c r="AQ1499" t="inlineStr">
        <is>
          <t>414</t>
        </is>
      </c>
      <c r="AR1499" t="inlineStr">
        <is>
          <t>99.8</t>
        </is>
      </c>
      <c r="AS1499" t="inlineStr">
        <is>
          <t>81</t>
        </is>
      </c>
      <c r="AT1499" t="inlineStr">
        <is>
          <t>35.3</t>
        </is>
      </c>
      <c r="AU1499" t="inlineStr">
        <is>
          <t>378</t>
        </is>
      </c>
      <c r="AV1499" t="inlineStr">
        <is>
          <t>21.9</t>
        </is>
      </c>
      <c r="AW1499" t="inlineStr">
        <is>
          <t>529</t>
        </is>
      </c>
      <c r="AX1499" t="inlineStr">
        <is>
          <t>62.6</t>
        </is>
      </c>
      <c r="AY1499" t="inlineStr">
        <is>
          <t>93</t>
        </is>
      </c>
      <c r="AZ1499" t="inlineStr">
        <is>
          <t>97.1</t>
        </is>
      </c>
      <c r="BA1499" t="inlineStr">
        <is>
          <t>36=</t>
        </is>
      </c>
    </row>
    <row r="1500">
      <c r="A1500" t="inlineStr">
        <is>
          <t>University of Cape Town</t>
        </is>
      </c>
      <c r="B1500" t="inlineStr">
        <is>
          <t>South Africa</t>
        </is>
      </c>
      <c r="C1500" t="inlineStr">
        <is>
          <t>ZA</t>
        </is>
      </c>
      <c r="D1500" t="inlineStr">
        <is>
          <t>Africa</t>
        </is>
      </c>
      <c r="E1500" t="inlineStr">
        <is>
          <t>L</t>
        </is>
      </c>
      <c r="F1500" t="inlineStr">
        <is>
          <t>FC</t>
        </is>
      </c>
      <c r="G1500" t="inlineStr">
        <is>
          <t>VH</t>
        </is>
      </c>
      <c r="H1500" t="inlineStr">
        <is>
          <t>5</t>
        </is>
      </c>
      <c r="I1500" t="inlineStr">
        <is>
          <t>Public</t>
        </is>
      </c>
      <c r="J1500" t="inlineStr">
        <is>
          <t>150</t>
        </is>
      </c>
      <c r="K1500" t="inlineStr">
        <is>
          <t>171</t>
        </is>
      </c>
      <c r="L1500">
        <f>173</f>
        <v/>
      </c>
      <c r="M1500" t="inlineStr">
        <is>
          <t>237=</t>
        </is>
      </c>
      <c r="N1500" t="inlineStr">
        <is>
          <t>62.3</t>
        </is>
      </c>
      <c r="O1500" t="inlineStr">
        <is>
          <t>48.7</t>
        </is>
      </c>
      <c r="P1500" t="n">
        <v>58.2</v>
      </c>
      <c r="Q1500" t="inlineStr">
        <is>
          <t>183</t>
        </is>
      </c>
      <c r="R1500" t="n">
        <v>62.3</v>
      </c>
      <c r="S1500" t="inlineStr">
        <is>
          <t>179</t>
        </is>
      </c>
      <c r="T1500" t="n">
        <v>14.6</v>
      </c>
      <c r="U1500" t="inlineStr">
        <is>
          <t>801+</t>
        </is>
      </c>
      <c r="V1500" t="n">
        <v>75.40000000000001</v>
      </c>
      <c r="W1500" t="inlineStr">
        <is>
          <t>176</t>
        </is>
      </c>
      <c r="X1500" t="n">
        <v>66.09999999999999</v>
      </c>
      <c r="Y1500" t="inlineStr">
        <is>
          <t>353</t>
        </is>
      </c>
      <c r="Z1500" t="n">
        <v>27.9</v>
      </c>
      <c r="AA1500" t="inlineStr">
        <is>
          <t>615</t>
        </is>
      </c>
      <c r="AB1500" t="n">
        <v>33.9</v>
      </c>
      <c r="AC1500" t="inlineStr">
        <is>
          <t>562</t>
        </is>
      </c>
      <c r="AD1500" t="n">
        <v>97.7</v>
      </c>
      <c r="AE1500" t="inlineStr">
        <is>
          <t>24</t>
        </is>
      </c>
      <c r="AF1500" t="n">
        <v>97.7</v>
      </c>
      <c r="AG1500" t="inlineStr">
        <is>
          <t>49</t>
        </is>
      </c>
      <c r="AH1500" t="n">
        <v>92.09999999999999</v>
      </c>
      <c r="AI1500" t="inlineStr">
        <is>
          <t>45=</t>
        </is>
      </c>
      <c r="AJ1500" t="inlineStr">
        <is>
          <t>44.4</t>
        </is>
      </c>
      <c r="AK1500" t="inlineStr">
        <is>
          <t>190</t>
        </is>
      </c>
      <c r="AL1500" t="inlineStr">
        <is>
          <t>51.0</t>
        </is>
      </c>
      <c r="AM1500" t="inlineStr">
        <is>
          <t>164</t>
        </is>
      </c>
      <c r="AN1500" t="inlineStr">
        <is>
          <t>12.6</t>
        </is>
      </c>
      <c r="AO1500" t="inlineStr">
        <is>
          <t>701+</t>
        </is>
      </c>
      <c r="AP1500" t="inlineStr">
        <is>
          <t>45.7</t>
        </is>
      </c>
      <c r="AQ1500" t="inlineStr">
        <is>
          <t>295</t>
        </is>
      </c>
      <c r="AR1500" t="inlineStr">
        <is>
          <t>59.9</t>
        </is>
      </c>
      <c r="AS1500" t="inlineStr">
        <is>
          <t>317</t>
        </is>
      </c>
      <c r="AT1500" t="inlineStr">
        <is>
          <t>21.2</t>
        </is>
      </c>
      <c r="AU1500" t="inlineStr">
        <is>
          <t>527</t>
        </is>
      </c>
      <c r="AV1500" t="inlineStr">
        <is>
          <t>95.4</t>
        </is>
      </c>
      <c r="AW1500" t="inlineStr">
        <is>
          <t>49</t>
        </is>
      </c>
      <c r="AX1500" t="inlineStr">
        <is>
          <t>88.9</t>
        </is>
      </c>
      <c r="AY1500" t="inlineStr">
        <is>
          <t>38</t>
        </is>
      </c>
      <c r="AZ1500" t="inlineStr">
        <is>
          <t>75.1</t>
        </is>
      </c>
      <c r="BA1500" t="inlineStr">
        <is>
          <t>175=</t>
        </is>
      </c>
    </row>
    <row r="1501">
      <c r="A1501" t="inlineStr">
        <is>
          <t>University of Central Florida</t>
        </is>
      </c>
      <c r="B1501" t="inlineStr">
        <is>
          <t>United States</t>
        </is>
      </c>
      <c r="C1501" t="inlineStr">
        <is>
          <t>US</t>
        </is>
      </c>
      <c r="D1501" t="inlineStr">
        <is>
          <t>Americas</t>
        </is>
      </c>
      <c r="E1501" t="inlineStr">
        <is>
          <t>XL</t>
        </is>
      </c>
      <c r="F1501" t="inlineStr">
        <is>
          <t>FC</t>
        </is>
      </c>
      <c r="G1501" t="inlineStr">
        <is>
          <t>VH</t>
        </is>
      </c>
      <c r="H1501" t="inlineStr">
        <is>
          <t>4</t>
        </is>
      </c>
      <c r="I1501" t="inlineStr">
        <is>
          <t>Public</t>
        </is>
      </c>
      <c r="J1501" t="inlineStr">
        <is>
          <t>701-710</t>
        </is>
      </c>
      <c r="K1501" t="inlineStr">
        <is>
          <t>741-750</t>
        </is>
      </c>
      <c r="L1501">
        <f>593</f>
        <v/>
      </c>
      <c r="M1501" t="inlineStr">
        <is>
          <t>801-1000</t>
        </is>
      </c>
      <c r="N1501" t="inlineStr">
        <is>
          <t>-</t>
        </is>
      </c>
      <c r="O1501" t="inlineStr">
        <is>
          <t>20.0</t>
        </is>
      </c>
      <c r="P1501" t="n">
        <v>18.6</v>
      </c>
      <c r="Q1501" t="inlineStr">
        <is>
          <t>659</t>
        </is>
      </c>
      <c r="R1501" t="n">
        <v>37.1</v>
      </c>
      <c r="S1501" t="inlineStr">
        <is>
          <t>384</t>
        </is>
      </c>
      <c r="T1501" t="n">
        <v>4.1</v>
      </c>
      <c r="U1501" t="inlineStr">
        <is>
          <t>801+</t>
        </is>
      </c>
      <c r="V1501" t="n">
        <v>33</v>
      </c>
      <c r="W1501" t="inlineStr">
        <is>
          <t>553</t>
        </is>
      </c>
      <c r="X1501" t="n">
        <v>13.2</v>
      </c>
      <c r="Y1501" t="inlineStr">
        <is>
          <t>801+</t>
        </is>
      </c>
      <c r="Z1501" t="n">
        <v>7.7</v>
      </c>
      <c r="AA1501" t="inlineStr">
        <is>
          <t>801+</t>
        </is>
      </c>
      <c r="AB1501" t="n">
        <v>6</v>
      </c>
      <c r="AC1501" t="inlineStr">
        <is>
          <t>801+</t>
        </is>
      </c>
      <c r="AD1501" t="n">
        <v>73.7</v>
      </c>
      <c r="AE1501" t="inlineStr">
        <is>
          <t>475</t>
        </is>
      </c>
      <c r="AF1501" t="n">
        <v>17.4</v>
      </c>
      <c r="AG1501" t="inlineStr">
        <is>
          <t>775</t>
        </is>
      </c>
      <c r="AH1501" t="n">
        <v>45.9</v>
      </c>
      <c r="AI1501" t="inlineStr">
        <is>
          <t>801+</t>
        </is>
      </c>
      <c r="AJ1501" t="inlineStr">
        <is>
          <t>14.4</t>
        </is>
      </c>
      <c r="AK1501" t="inlineStr">
        <is>
          <t>601+</t>
        </is>
      </c>
      <c r="AL1501" t="inlineStr">
        <is>
          <t>37.1</t>
        </is>
      </c>
      <c r="AM1501" t="inlineStr">
        <is>
          <t>264</t>
        </is>
      </c>
      <c r="AN1501" t="inlineStr">
        <is>
          <t>2.8</t>
        </is>
      </c>
      <c r="AO1501" t="inlineStr">
        <is>
          <t>701+</t>
        </is>
      </c>
      <c r="AP1501" t="inlineStr">
        <is>
          <t>25.7</t>
        </is>
      </c>
      <c r="AQ1501" t="inlineStr">
        <is>
          <t>474</t>
        </is>
      </c>
      <c r="AR1501" t="inlineStr">
        <is>
          <t>17.1</t>
        </is>
      </c>
      <c r="AS1501" t="inlineStr">
        <is>
          <t>626</t>
        </is>
      </c>
      <c r="AT1501" t="inlineStr">
        <is>
          <t>4.5</t>
        </is>
      </c>
      <c r="AU1501" t="inlineStr">
        <is>
          <t>701+</t>
        </is>
      </c>
      <c r="AV1501" t="inlineStr">
        <is>
          <t>32.1</t>
        </is>
      </c>
      <c r="AW1501" t="inlineStr">
        <is>
          <t>445</t>
        </is>
      </c>
      <c r="AX1501" t="inlineStr">
        <is>
          <t>11.1</t>
        </is>
      </c>
      <c r="AY1501" t="inlineStr">
        <is>
          <t>701+</t>
        </is>
      </c>
      <c r="AZ1501" t="inlineStr">
        <is>
          <t>32.7</t>
        </is>
      </c>
      <c r="BA1501" t="inlineStr">
        <is>
          <t>420=</t>
        </is>
      </c>
    </row>
    <row r="1502">
      <c r="A1502" t="inlineStr">
        <is>
          <t>University of Central Lancashire</t>
        </is>
      </c>
      <c r="B1502" t="inlineStr">
        <is>
          <t>United Kingdom</t>
        </is>
      </c>
      <c r="C1502" t="inlineStr">
        <is>
          <t>UK</t>
        </is>
      </c>
      <c r="D1502" t="inlineStr">
        <is>
          <t>Europe</t>
        </is>
      </c>
      <c r="E1502" t="inlineStr">
        <is>
          <t>L</t>
        </is>
      </c>
      <c r="F1502" t="inlineStr">
        <is>
          <t>CO</t>
        </is>
      </c>
      <c r="G1502" t="inlineStr">
        <is>
          <t>HI</t>
        </is>
      </c>
      <c r="H1502" t="inlineStr">
        <is>
          <t>3</t>
        </is>
      </c>
      <c r="I1502" t="inlineStr">
        <is>
          <t>Public</t>
        </is>
      </c>
      <c r="J1502" t="inlineStr">
        <is>
          <t>1001-1200</t>
        </is>
      </c>
      <c r="K1502" t="inlineStr">
        <is>
          <t>951-1000</t>
        </is>
      </c>
      <c r="L1502" t="inlineStr">
        <is>
          <t>901-950</t>
        </is>
      </c>
      <c r="M1502" t="inlineStr">
        <is>
          <t>801-1000</t>
        </is>
      </c>
      <c r="N1502" t="inlineStr">
        <is>
          <t>-</t>
        </is>
      </c>
      <c r="O1502" t="inlineStr">
        <is>
          <t>-</t>
        </is>
      </c>
      <c r="P1502" t="n">
        <v>6.5</v>
      </c>
      <c r="Q1502" t="inlineStr">
        <is>
          <t>701+</t>
        </is>
      </c>
      <c r="R1502" t="n">
        <v>9.300000000000001</v>
      </c>
      <c r="S1502" t="inlineStr">
        <is>
          <t>701+</t>
        </is>
      </c>
      <c r="T1502" t="n">
        <v>12.4</v>
      </c>
      <c r="U1502" t="inlineStr">
        <is>
          <t>801+</t>
        </is>
      </c>
      <c r="V1502" t="n">
        <v>7.1</v>
      </c>
      <c r="W1502" t="inlineStr">
        <is>
          <t>801+</t>
        </is>
      </c>
      <c r="X1502" t="n">
        <v>43.2</v>
      </c>
      <c r="Y1502" t="inlineStr">
        <is>
          <t>476</t>
        </is>
      </c>
      <c r="Z1502" t="n">
        <v>78.40000000000001</v>
      </c>
      <c r="AA1502" t="inlineStr">
        <is>
          <t>234</t>
        </is>
      </c>
      <c r="AB1502" t="n">
        <v>80.5</v>
      </c>
      <c r="AC1502" t="inlineStr">
        <is>
          <t>203</t>
        </is>
      </c>
      <c r="AD1502" t="n">
        <v>56.9</v>
      </c>
      <c r="AE1502" t="inlineStr">
        <is>
          <t>739</t>
        </is>
      </c>
      <c r="AF1502" t="n">
        <v>3.3</v>
      </c>
      <c r="AG1502" t="inlineStr">
        <is>
          <t>801+</t>
        </is>
      </c>
      <c r="AH1502" t="n">
        <v>35.5</v>
      </c>
      <c r="AI1502" t="inlineStr">
        <is>
          <t>801+</t>
        </is>
      </c>
      <c r="AJ1502" t="inlineStr">
        <is>
          <t>5.9</t>
        </is>
      </c>
      <c r="AK1502" t="inlineStr">
        <is>
          <t>601+</t>
        </is>
      </c>
      <c r="AL1502" t="inlineStr">
        <is>
          <t>5.8</t>
        </is>
      </c>
      <c r="AM1502" t="inlineStr">
        <is>
          <t>601+</t>
        </is>
      </c>
      <c r="AN1502" t="inlineStr">
        <is>
          <t>11.5</t>
        </is>
      </c>
      <c r="AO1502" t="inlineStr">
        <is>
          <t>701+</t>
        </is>
      </c>
      <c r="AP1502" t="inlineStr">
        <is>
          <t>4.4</t>
        </is>
      </c>
      <c r="AQ1502" t="inlineStr">
        <is>
          <t>701+</t>
        </is>
      </c>
      <c r="AR1502" t="inlineStr">
        <is>
          <t>37.0</t>
        </is>
      </c>
      <c r="AS1502" t="inlineStr">
        <is>
          <t>439</t>
        </is>
      </c>
      <c r="AT1502" t="inlineStr">
        <is>
          <t>81.6</t>
        </is>
      </c>
      <c r="AU1502" t="inlineStr">
        <is>
          <t>156</t>
        </is>
      </c>
      <c r="AV1502" t="inlineStr">
        <is>
          <t>16.7</t>
        </is>
      </c>
      <c r="AW1502" t="inlineStr">
        <is>
          <t>579</t>
        </is>
      </c>
      <c r="AX1502" t="inlineStr">
        <is>
          <t>8.9</t>
        </is>
      </c>
      <c r="AY1502" t="inlineStr">
        <is>
          <t>701+</t>
        </is>
      </c>
      <c r="AZ1502" t="inlineStr">
        <is>
          <t>1.5</t>
        </is>
      </c>
      <c r="BA1502" t="inlineStr">
        <is>
          <t>701+</t>
        </is>
      </c>
    </row>
    <row r="1503">
      <c r="A1503" t="inlineStr">
        <is>
          <t>University of Central Oklahoma</t>
        </is>
      </c>
      <c r="B1503" t="inlineStr">
        <is>
          <t>United States</t>
        </is>
      </c>
      <c r="C1503" t="inlineStr">
        <is>
          <t>US</t>
        </is>
      </c>
      <c r="D1503" t="inlineStr"/>
      <c r="E1503" t="inlineStr">
        <is>
          <t>L</t>
        </is>
      </c>
      <c r="F1503" t="inlineStr">
        <is>
          <t>CO</t>
        </is>
      </c>
      <c r="G1503" t="inlineStr">
        <is>
          <t>MD</t>
        </is>
      </c>
      <c r="H1503" t="inlineStr"/>
      <c r="I1503" t="inlineStr">
        <is>
          <t>A</t>
        </is>
      </c>
      <c r="J1503" t="inlineStr"/>
      <c r="K1503" t="inlineStr"/>
      <c r="L1503" t="inlineStr">
        <is>
          <t>1201-1400</t>
        </is>
      </c>
      <c r="M1503" t="inlineStr">
        <is>
          <t>1201-1400</t>
        </is>
      </c>
      <c r="N1503" t="inlineStr"/>
      <c r="O1503" t="inlineStr">
        <is>
          <t>-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>
        <is>
          <t>3.8</t>
        </is>
      </c>
      <c r="AK1503" t="inlineStr">
        <is>
          <t>601+</t>
        </is>
      </c>
      <c r="AL1503" t="inlineStr">
        <is>
          <t>1.5</t>
        </is>
      </c>
      <c r="AM1503" t="inlineStr">
        <is>
          <t>601+</t>
        </is>
      </c>
      <c r="AN1503" t="inlineStr">
        <is>
          <t>7.9</t>
        </is>
      </c>
      <c r="AO1503" t="inlineStr">
        <is>
          <t>701+</t>
        </is>
      </c>
      <c r="AP1503" t="inlineStr">
        <is>
          <t>1.4</t>
        </is>
      </c>
      <c r="AQ1503" t="inlineStr">
        <is>
          <t>701+</t>
        </is>
      </c>
      <c r="AR1503" t="inlineStr">
        <is>
          <t>16.8</t>
        </is>
      </c>
      <c r="AS1503" t="inlineStr">
        <is>
          <t>636</t>
        </is>
      </c>
      <c r="AT1503" t="inlineStr">
        <is>
          <t>10.9</t>
        </is>
      </c>
      <c r="AU1503" t="inlineStr">
        <is>
          <t>694</t>
        </is>
      </c>
      <c r="AV1503" t="inlineStr">
        <is>
          <t>1.0</t>
        </is>
      </c>
      <c r="AW1503" t="inlineStr">
        <is>
          <t>701+</t>
        </is>
      </c>
      <c r="AX1503" t="inlineStr">
        <is>
          <t>9.4</t>
        </is>
      </c>
      <c r="AY1503" t="inlineStr">
        <is>
          <t>701+</t>
        </is>
      </c>
      <c r="AZ1503" t="inlineStr"/>
      <c r="BA1503" t="inlineStr"/>
    </row>
    <row r="1504">
      <c r="A1504" t="inlineStr">
        <is>
          <t>University of Chemistry and Technology, Prague</t>
        </is>
      </c>
      <c r="B1504" t="inlineStr">
        <is>
          <t>Czech Republic</t>
        </is>
      </c>
      <c r="C1504" t="inlineStr">
        <is>
          <t>CZ</t>
        </is>
      </c>
      <c r="D1504" t="inlineStr">
        <is>
          <t>Europe</t>
        </is>
      </c>
      <c r="E1504" t="inlineStr">
        <is>
          <t>S</t>
        </is>
      </c>
      <c r="F1504" t="inlineStr">
        <is>
          <t>FO</t>
        </is>
      </c>
      <c r="G1504" t="inlineStr">
        <is>
          <t>VH</t>
        </is>
      </c>
      <c r="H1504" t="inlineStr">
        <is>
          <t>4</t>
        </is>
      </c>
      <c r="I1504" t="inlineStr">
        <is>
          <t>Public</t>
        </is>
      </c>
      <c r="J1504" t="inlineStr">
        <is>
          <t>638</t>
        </is>
      </c>
      <c r="K1504" t="inlineStr">
        <is>
          <t>570</t>
        </is>
      </c>
      <c r="L1504">
        <f>556</f>
        <v/>
      </c>
      <c r="M1504" t="inlineStr">
        <is>
          <t>358</t>
        </is>
      </c>
      <c r="N1504" t="inlineStr">
        <is>
          <t>27.1</t>
        </is>
      </c>
      <c r="O1504" t="inlineStr">
        <is>
          <t>21.1</t>
        </is>
      </c>
      <c r="P1504" t="n">
        <v>8.199999999999999</v>
      </c>
      <c r="Q1504" t="inlineStr">
        <is>
          <t>701+</t>
        </is>
      </c>
      <c r="R1504" t="n">
        <v>12.2</v>
      </c>
      <c r="S1504" t="inlineStr">
        <is>
          <t>701+</t>
        </is>
      </c>
      <c r="T1504" t="n">
        <v>99.5</v>
      </c>
      <c r="U1504" t="inlineStr">
        <is>
          <t>38</t>
        </is>
      </c>
      <c r="V1504" t="n">
        <v>19.2</v>
      </c>
      <c r="W1504" t="inlineStr">
        <is>
          <t>727</t>
        </is>
      </c>
      <c r="X1504" t="n">
        <v>33.7</v>
      </c>
      <c r="Y1504" t="inlineStr">
        <is>
          <t>547</t>
        </is>
      </c>
      <c r="Z1504" t="n">
        <v>85.40000000000001</v>
      </c>
      <c r="AA1504" t="inlineStr">
        <is>
          <t>194</t>
        </is>
      </c>
      <c r="AB1504" t="n">
        <v>86.7</v>
      </c>
      <c r="AC1504" t="inlineStr">
        <is>
          <t>164</t>
        </is>
      </c>
      <c r="AD1504" t="n">
        <v>32</v>
      </c>
      <c r="AE1504" t="inlineStr">
        <is>
          <t>801+</t>
        </is>
      </c>
      <c r="AF1504" t="n">
        <v>9.4</v>
      </c>
      <c r="AG1504" t="inlineStr">
        <is>
          <t>801+</t>
        </is>
      </c>
      <c r="AH1504" t="n">
        <v>43.4</v>
      </c>
      <c r="AI1504" t="inlineStr">
        <is>
          <t>801+</t>
        </is>
      </c>
      <c r="AJ1504" t="inlineStr">
        <is>
          <t>6.1</t>
        </is>
      </c>
      <c r="AK1504" t="inlineStr">
        <is>
          <t>601+</t>
        </is>
      </c>
      <c r="AL1504" t="inlineStr">
        <is>
          <t>7.9</t>
        </is>
      </c>
      <c r="AM1504" t="inlineStr">
        <is>
          <t>601+</t>
        </is>
      </c>
      <c r="AN1504" t="inlineStr">
        <is>
          <t>99.0</t>
        </is>
      </c>
      <c r="AO1504" t="inlineStr">
        <is>
          <t>35</t>
        </is>
      </c>
      <c r="AP1504" t="inlineStr">
        <is>
          <t>12.9</t>
        </is>
      </c>
      <c r="AQ1504" t="inlineStr">
        <is>
          <t>680</t>
        </is>
      </c>
      <c r="AR1504" t="inlineStr">
        <is>
          <t>27.8</t>
        </is>
      </c>
      <c r="AS1504" t="inlineStr">
        <is>
          <t>502</t>
        </is>
      </c>
      <c r="AT1504" t="inlineStr">
        <is>
          <t>71.9</t>
        </is>
      </c>
      <c r="AU1504" t="inlineStr">
        <is>
          <t>201</t>
        </is>
      </c>
      <c r="AV1504" t="inlineStr">
        <is>
          <t>3.2</t>
        </is>
      </c>
      <c r="AW1504" t="inlineStr">
        <is>
          <t>701+</t>
        </is>
      </c>
      <c r="AX1504" t="inlineStr">
        <is>
          <t>10.1</t>
        </is>
      </c>
      <c r="AY1504" t="inlineStr">
        <is>
          <t>701+</t>
        </is>
      </c>
      <c r="AZ1504" t="inlineStr">
        <is>
          <t>1.3</t>
        </is>
      </c>
      <c r="BA1504" t="inlineStr">
        <is>
          <t>701+</t>
        </is>
      </c>
    </row>
    <row r="1505">
      <c r="A1505" t="inlineStr">
        <is>
          <t>University of Chicago</t>
        </is>
      </c>
      <c r="B1505" t="inlineStr">
        <is>
          <t>United States</t>
        </is>
      </c>
      <c r="C1505" t="inlineStr">
        <is>
          <t>US</t>
        </is>
      </c>
      <c r="D1505" t="inlineStr">
        <is>
          <t>Americas</t>
        </is>
      </c>
      <c r="E1505" t="inlineStr">
        <is>
          <t>L</t>
        </is>
      </c>
      <c r="F1505" t="inlineStr">
        <is>
          <t>FC</t>
        </is>
      </c>
      <c r="G1505" t="inlineStr">
        <is>
          <t>VH</t>
        </is>
      </c>
      <c r="H1505" t="inlineStr">
        <is>
          <t>5</t>
        </is>
      </c>
      <c r="I1505" t="inlineStr">
        <is>
          <t>Private not for Profit</t>
        </is>
      </c>
      <c r="J1505" t="inlineStr">
        <is>
          <t>13</t>
        </is>
      </c>
      <c r="K1505" t="inlineStr">
        <is>
          <t>21</t>
        </is>
      </c>
      <c r="L1505" t="inlineStr">
        <is>
          <t>11</t>
        </is>
      </c>
      <c r="M1505" t="inlineStr">
        <is>
          <t>10</t>
        </is>
      </c>
      <c r="N1505" t="inlineStr">
        <is>
          <t>93</t>
        </is>
      </c>
      <c r="O1505" t="inlineStr">
        <is>
          <t>90.3</t>
        </is>
      </c>
      <c r="P1505" t="n">
        <v>99.8</v>
      </c>
      <c r="Q1505" t="inlineStr">
        <is>
          <t>17</t>
        </is>
      </c>
      <c r="R1505" t="n">
        <v>99.3</v>
      </c>
      <c r="S1505" t="inlineStr">
        <is>
          <t>21</t>
        </is>
      </c>
      <c r="T1505" t="n">
        <v>97.3</v>
      </c>
      <c r="U1505" t="inlineStr">
        <is>
          <t>62</t>
        </is>
      </c>
      <c r="V1505" t="n">
        <v>78.09999999999999</v>
      </c>
      <c r="W1505" t="inlineStr">
        <is>
          <t>164</t>
        </is>
      </c>
      <c r="X1505" t="n">
        <v>86.09999999999999</v>
      </c>
      <c r="Y1505" t="inlineStr">
        <is>
          <t>254</t>
        </is>
      </c>
      <c r="Z1505" t="n">
        <v>92.8</v>
      </c>
      <c r="AA1505" t="inlineStr">
        <is>
          <t>148</t>
        </is>
      </c>
      <c r="AB1505" t="n">
        <v>69.09999999999999</v>
      </c>
      <c r="AC1505" t="inlineStr">
        <is>
          <t>275</t>
        </is>
      </c>
      <c r="AD1505" t="n">
        <v>87.7</v>
      </c>
      <c r="AE1505" t="inlineStr">
        <is>
          <t>207</t>
        </is>
      </c>
      <c r="AF1505" t="n">
        <v>99.8</v>
      </c>
      <c r="AG1505" t="inlineStr">
        <is>
          <t>16</t>
        </is>
      </c>
      <c r="AH1505" t="n">
        <v>73.3</v>
      </c>
      <c r="AI1505" t="inlineStr">
        <is>
          <t>269=</t>
        </is>
      </c>
      <c r="AJ1505" t="inlineStr">
        <is>
          <t>99.1</t>
        </is>
      </c>
      <c r="AK1505" t="inlineStr">
        <is>
          <t>17</t>
        </is>
      </c>
      <c r="AL1505" t="inlineStr">
        <is>
          <t>95.4</t>
        </is>
      </c>
      <c r="AM1505" t="inlineStr">
        <is>
          <t>38</t>
        </is>
      </c>
      <c r="AN1505" t="inlineStr">
        <is>
          <t>92.5</t>
        </is>
      </c>
      <c r="AO1505" t="inlineStr">
        <is>
          <t>72</t>
        </is>
      </c>
      <c r="AP1505" t="inlineStr">
        <is>
          <t>78.5</t>
        </is>
      </c>
      <c r="AQ1505" t="inlineStr">
        <is>
          <t>122</t>
        </is>
      </c>
      <c r="AR1505" t="inlineStr">
        <is>
          <t>81.2</t>
        </is>
      </c>
      <c r="AS1505" t="inlineStr">
        <is>
          <t>225</t>
        </is>
      </c>
      <c r="AT1505" t="inlineStr">
        <is>
          <t>84.4</t>
        </is>
      </c>
      <c r="AU1505" t="inlineStr">
        <is>
          <t>145</t>
        </is>
      </c>
      <c r="AV1505" t="inlineStr">
        <is>
          <t>61.4</t>
        </is>
      </c>
      <c r="AW1505" t="inlineStr">
        <is>
          <t>236</t>
        </is>
      </c>
      <c r="AX1505" t="inlineStr">
        <is>
          <t>98.3</t>
        </is>
      </c>
      <c r="AY1505" t="inlineStr">
        <is>
          <t>17</t>
        </is>
      </c>
      <c r="AZ1505" t="inlineStr">
        <is>
          <t>81.7</t>
        </is>
      </c>
      <c r="BA1505" t="inlineStr">
        <is>
          <t>137=</t>
        </is>
      </c>
    </row>
    <row r="1506">
      <c r="A1506" t="inlineStr">
        <is>
          <t>University of Chinese Academy of Sciences (UCAS)</t>
        </is>
      </c>
      <c r="B1506" t="inlineStr">
        <is>
          <t>China (Mainland)</t>
        </is>
      </c>
      <c r="C1506" t="inlineStr"/>
      <c r="D1506" t="inlineStr">
        <is>
          <t>Asia</t>
        </is>
      </c>
      <c r="E1506" t="inlineStr">
        <is>
          <t>XL</t>
        </is>
      </c>
      <c r="F1506" t="inlineStr">
        <is>
          <t>FC</t>
        </is>
      </c>
      <c r="G1506" t="inlineStr">
        <is>
          <t>VH</t>
        </is>
      </c>
      <c r="H1506" t="inlineStr"/>
      <c r="I1506" t="inlineStr">
        <is>
          <t>Public</t>
        </is>
      </c>
      <c r="J1506" t="inlineStr">
        <is>
          <t>362</t>
        </is>
      </c>
      <c r="K1506" t="inlineStr"/>
      <c r="L1506" t="inlineStr"/>
      <c r="M1506" t="inlineStr"/>
      <c r="N1506" t="inlineStr">
        <is>
          <t>40.9</t>
        </is>
      </c>
      <c r="O1506" t="inlineStr"/>
      <c r="P1506" t="n">
        <v>30.9</v>
      </c>
      <c r="Q1506" t="inlineStr">
        <is>
          <t>396</t>
        </is>
      </c>
      <c r="R1506" t="n">
        <v>11.9</v>
      </c>
      <c r="S1506" t="inlineStr">
        <is>
          <t>701+</t>
        </is>
      </c>
      <c r="T1506" t="n">
        <v>100</v>
      </c>
      <c r="U1506" t="inlineStr">
        <is>
          <t>11</t>
        </is>
      </c>
      <c r="V1506" t="n">
        <v>75.09999999999999</v>
      </c>
      <c r="W1506" t="inlineStr">
        <is>
          <t>179</t>
        </is>
      </c>
      <c r="X1506" t="inlineStr"/>
      <c r="Y1506" t="inlineStr"/>
      <c r="Z1506" t="n">
        <v>3.9</v>
      </c>
      <c r="AA1506" t="inlineStr">
        <is>
          <t>801+</t>
        </is>
      </c>
      <c r="AB1506" t="n">
        <v>3.1</v>
      </c>
      <c r="AC1506" t="inlineStr">
        <is>
          <t>801+</t>
        </is>
      </c>
      <c r="AD1506" t="n">
        <v>93.7</v>
      </c>
      <c r="AE1506" t="inlineStr">
        <is>
          <t>108</t>
        </is>
      </c>
      <c r="AF1506" t="n">
        <v>15.6</v>
      </c>
      <c r="AG1506" t="inlineStr">
        <is>
          <t>801+</t>
        </is>
      </c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</row>
    <row r="1507">
      <c r="A1507" t="inlineStr">
        <is>
          <t>University of Cincinnati</t>
        </is>
      </c>
      <c r="B1507" t="inlineStr">
        <is>
          <t>United States</t>
        </is>
      </c>
      <c r="C1507" t="inlineStr">
        <is>
          <t>US</t>
        </is>
      </c>
      <c r="D1507" t="inlineStr">
        <is>
          <t>Americas</t>
        </is>
      </c>
      <c r="E1507" t="inlineStr">
        <is>
          <t>XL</t>
        </is>
      </c>
      <c r="F1507" t="inlineStr">
        <is>
          <t>FC</t>
        </is>
      </c>
      <c r="G1507" t="inlineStr">
        <is>
          <t>VH</t>
        </is>
      </c>
      <c r="H1507" t="inlineStr">
        <is>
          <t>5</t>
        </is>
      </c>
      <c r="I1507" t="inlineStr">
        <is>
          <t>Public</t>
        </is>
      </c>
      <c r="J1507" t="inlineStr">
        <is>
          <t>721-730</t>
        </is>
      </c>
      <c r="K1507" t="inlineStr">
        <is>
          <t>761-770</t>
        </is>
      </c>
      <c r="L1507" t="inlineStr">
        <is>
          <t>691-700</t>
        </is>
      </c>
      <c r="M1507" t="inlineStr">
        <is>
          <t>701-750</t>
        </is>
      </c>
      <c r="N1507" t="inlineStr">
        <is>
          <t>-</t>
        </is>
      </c>
      <c r="O1507" t="inlineStr">
        <is>
          <t>-</t>
        </is>
      </c>
      <c r="P1507" t="n">
        <v>15.1</v>
      </c>
      <c r="Q1507" t="inlineStr">
        <is>
          <t>701+</t>
        </is>
      </c>
      <c r="R1507" t="n">
        <v>12.3</v>
      </c>
      <c r="S1507" t="inlineStr">
        <is>
          <t>701+</t>
        </is>
      </c>
      <c r="T1507" t="n">
        <v>24.8</v>
      </c>
      <c r="U1507" t="inlineStr">
        <is>
          <t>738</t>
        </is>
      </c>
      <c r="V1507" t="n">
        <v>31.9</v>
      </c>
      <c r="W1507" t="inlineStr">
        <is>
          <t>564</t>
        </is>
      </c>
      <c r="X1507" t="n">
        <v>6.2</v>
      </c>
      <c r="Y1507" t="inlineStr">
        <is>
          <t>801+</t>
        </is>
      </c>
      <c r="Z1507" t="n">
        <v>23.7</v>
      </c>
      <c r="AA1507" t="inlineStr">
        <is>
          <t>680</t>
        </is>
      </c>
      <c r="AB1507" t="n">
        <v>17.8</v>
      </c>
      <c r="AC1507" t="inlineStr">
        <is>
          <t>801+</t>
        </is>
      </c>
      <c r="AD1507" t="n">
        <v>66.90000000000001</v>
      </c>
      <c r="AE1507" t="inlineStr">
        <is>
          <t>589</t>
        </is>
      </c>
      <c r="AF1507" t="n">
        <v>47.9</v>
      </c>
      <c r="AG1507" t="inlineStr">
        <is>
          <t>362</t>
        </is>
      </c>
      <c r="AH1507" t="n">
        <v>63.2</v>
      </c>
      <c r="AI1507" t="inlineStr">
        <is>
          <t>436=</t>
        </is>
      </c>
      <c r="AJ1507" t="inlineStr">
        <is>
          <t>12.3</t>
        </is>
      </c>
      <c r="AK1507" t="inlineStr">
        <is>
          <t>601+</t>
        </is>
      </c>
      <c r="AL1507" t="inlineStr">
        <is>
          <t>7.6</t>
        </is>
      </c>
      <c r="AM1507" t="inlineStr">
        <is>
          <t>601+</t>
        </is>
      </c>
      <c r="AN1507" t="inlineStr">
        <is>
          <t>21.0</t>
        </is>
      </c>
      <c r="AO1507" t="inlineStr">
        <is>
          <t>647</t>
        </is>
      </c>
      <c r="AP1507" t="inlineStr">
        <is>
          <t>25.8</t>
        </is>
      </c>
      <c r="AQ1507" t="inlineStr">
        <is>
          <t>471</t>
        </is>
      </c>
      <c r="AR1507" t="inlineStr">
        <is>
          <t>6.0</t>
        </is>
      </c>
      <c r="AS1507" t="inlineStr">
        <is>
          <t>701+</t>
        </is>
      </c>
      <c r="AT1507" t="inlineStr">
        <is>
          <t>10.8</t>
        </is>
      </c>
      <c r="AU1507" t="inlineStr">
        <is>
          <t>698</t>
        </is>
      </c>
      <c r="AV1507" t="inlineStr">
        <is>
          <t>32.1</t>
        </is>
      </c>
      <c r="AW1507" t="inlineStr">
        <is>
          <t>446</t>
        </is>
      </c>
      <c r="AX1507" t="inlineStr">
        <is>
          <t>20</t>
        </is>
      </c>
      <c r="AY1507" t="inlineStr">
        <is>
          <t>417</t>
        </is>
      </c>
      <c r="AZ1507" t="inlineStr">
        <is>
          <t>31.3</t>
        </is>
      </c>
      <c r="BA1507" t="inlineStr">
        <is>
          <t>428=</t>
        </is>
      </c>
    </row>
    <row r="1508">
      <c r="A1508" t="inlineStr">
        <is>
          <t>University of Coimbra</t>
        </is>
      </c>
      <c r="B1508" t="inlineStr">
        <is>
          <t>Portugal</t>
        </is>
      </c>
      <c r="C1508" t="inlineStr">
        <is>
          <t>PT</t>
        </is>
      </c>
      <c r="D1508" t="inlineStr">
        <is>
          <t>Europe</t>
        </is>
      </c>
      <c r="E1508" t="inlineStr">
        <is>
          <t>L</t>
        </is>
      </c>
      <c r="F1508" t="inlineStr">
        <is>
          <t>FC</t>
        </is>
      </c>
      <c r="G1508" t="inlineStr">
        <is>
          <t>VH</t>
        </is>
      </c>
      <c r="H1508" t="inlineStr">
        <is>
          <t>5</t>
        </is>
      </c>
      <c r="I1508" t="inlineStr">
        <is>
          <t>Public</t>
        </is>
      </c>
      <c r="J1508" t="inlineStr">
        <is>
          <t>347</t>
        </is>
      </c>
      <c r="K1508" t="inlineStr">
        <is>
          <t>355</t>
        </is>
      </c>
      <c r="L1508">
        <f>351</f>
        <v/>
      </c>
      <c r="M1508" t="inlineStr">
        <is>
          <t>438=</t>
        </is>
      </c>
      <c r="N1508" t="inlineStr">
        <is>
          <t>41.6</t>
        </is>
      </c>
      <c r="O1508" t="inlineStr">
        <is>
          <t>31.2</t>
        </is>
      </c>
      <c r="P1508" t="n">
        <v>39.2</v>
      </c>
      <c r="Q1508" t="inlineStr">
        <is>
          <t>307</t>
        </is>
      </c>
      <c r="R1508" t="n">
        <v>24.9</v>
      </c>
      <c r="S1508" t="inlineStr">
        <is>
          <t>542</t>
        </is>
      </c>
      <c r="T1508" t="n">
        <v>14.9</v>
      </c>
      <c r="U1508" t="inlineStr">
        <is>
          <t>801+</t>
        </is>
      </c>
      <c r="V1508" t="n">
        <v>61.4</v>
      </c>
      <c r="W1508" t="inlineStr">
        <is>
          <t>279</t>
        </is>
      </c>
      <c r="X1508" t="n">
        <v>13.1</v>
      </c>
      <c r="Y1508" t="inlineStr">
        <is>
          <t>801+</t>
        </is>
      </c>
      <c r="Z1508" t="n">
        <v>33.3</v>
      </c>
      <c r="AA1508" t="inlineStr">
        <is>
          <t>554</t>
        </is>
      </c>
      <c r="AB1508" t="n">
        <v>39.1</v>
      </c>
      <c r="AC1508" t="inlineStr">
        <is>
          <t>506</t>
        </is>
      </c>
      <c r="AD1508" t="n">
        <v>92.2</v>
      </c>
      <c r="AE1508" t="inlineStr">
        <is>
          <t>142</t>
        </is>
      </c>
      <c r="AF1508" t="n">
        <v>47.6</v>
      </c>
      <c r="AG1508" t="inlineStr">
        <is>
          <t>368</t>
        </is>
      </c>
      <c r="AH1508" t="n">
        <v>75.8</v>
      </c>
      <c r="AI1508" t="inlineStr">
        <is>
          <t>226</t>
        </is>
      </c>
      <c r="AJ1508" t="inlineStr">
        <is>
          <t>28.9</t>
        </is>
      </c>
      <c r="AK1508" t="inlineStr">
        <is>
          <t>304</t>
        </is>
      </c>
      <c r="AL1508" t="inlineStr">
        <is>
          <t>13.1</t>
        </is>
      </c>
      <c r="AM1508" t="inlineStr">
        <is>
          <t>601+</t>
        </is>
      </c>
      <c r="AN1508" t="inlineStr">
        <is>
          <t>11.3</t>
        </is>
      </c>
      <c r="AO1508" t="inlineStr">
        <is>
          <t>701+</t>
        </is>
      </c>
      <c r="AP1508" t="inlineStr">
        <is>
          <t>41.6</t>
        </is>
      </c>
      <c r="AQ1508" t="inlineStr">
        <is>
          <t>329</t>
        </is>
      </c>
      <c r="AR1508" t="inlineStr">
        <is>
          <t>10.7</t>
        </is>
      </c>
      <c r="AS1508" t="inlineStr">
        <is>
          <t>701+</t>
        </is>
      </c>
      <c r="AT1508" t="inlineStr">
        <is>
          <t>37.7</t>
        </is>
      </c>
      <c r="AU1508" t="inlineStr">
        <is>
          <t>364</t>
        </is>
      </c>
      <c r="AV1508" t="inlineStr">
        <is>
          <t>78.8</t>
        </is>
      </c>
      <c r="AW1508" t="inlineStr">
        <is>
          <t>153</t>
        </is>
      </c>
      <c r="AX1508" t="inlineStr">
        <is>
          <t>15.6</t>
        </is>
      </c>
      <c r="AY1508" t="inlineStr">
        <is>
          <t>537</t>
        </is>
      </c>
      <c r="AZ1508" t="inlineStr">
        <is>
          <t>79.5</t>
        </is>
      </c>
      <c r="BA1508" t="inlineStr">
        <is>
          <t>154</t>
        </is>
      </c>
    </row>
    <row r="1509">
      <c r="A1509" t="inlineStr">
        <is>
          <t>University of Cologne</t>
        </is>
      </c>
      <c r="B1509" t="inlineStr">
        <is>
          <t>Germany</t>
        </is>
      </c>
      <c r="C1509" t="inlineStr">
        <is>
          <t>DE</t>
        </is>
      </c>
      <c r="D1509" t="inlineStr"/>
      <c r="E1509" t="inlineStr">
        <is>
          <t>L</t>
        </is>
      </c>
      <c r="F1509" t="inlineStr">
        <is>
          <t>FO</t>
        </is>
      </c>
      <c r="G1509" t="inlineStr">
        <is>
          <t>VH</t>
        </is>
      </c>
      <c r="H1509" t="inlineStr">
        <is>
          <t>5</t>
        </is>
      </c>
      <c r="I1509" t="inlineStr">
        <is>
          <t>A</t>
        </is>
      </c>
      <c r="J1509" t="inlineStr"/>
      <c r="K1509" t="inlineStr"/>
      <c r="L1509">
        <f>268</f>
        <v/>
      </c>
      <c r="M1509" t="inlineStr">
        <is>
          <t>335=</t>
        </is>
      </c>
      <c r="N1509" t="inlineStr"/>
      <c r="O1509" t="inlineStr">
        <is>
          <t>37.5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>
        <is>
          <t>36.9</t>
        </is>
      </c>
      <c r="AK1509" t="inlineStr">
        <is>
          <t>235</t>
        </is>
      </c>
      <c r="AL1509" t="inlineStr">
        <is>
          <t>38.5</t>
        </is>
      </c>
      <c r="AM1509" t="inlineStr">
        <is>
          <t>253</t>
        </is>
      </c>
      <c r="AN1509" t="inlineStr">
        <is>
          <t>19.3</t>
        </is>
      </c>
      <c r="AO1509" t="inlineStr">
        <is>
          <t>686</t>
        </is>
      </c>
      <c r="AP1509" t="inlineStr">
        <is>
          <t>31.2</t>
        </is>
      </c>
      <c r="AQ1509" t="inlineStr">
        <is>
          <t>427</t>
        </is>
      </c>
      <c r="AR1509" t="inlineStr">
        <is>
          <t>40.5</t>
        </is>
      </c>
      <c r="AS1509" t="inlineStr">
        <is>
          <t>406</t>
        </is>
      </c>
      <c r="AT1509" t="inlineStr">
        <is>
          <t>30.9</t>
        </is>
      </c>
      <c r="AU1509" t="inlineStr">
        <is>
          <t>413</t>
        </is>
      </c>
      <c r="AV1509" t="inlineStr">
        <is>
          <t>80.9</t>
        </is>
      </c>
      <c r="AW1509" t="inlineStr">
        <is>
          <t>141</t>
        </is>
      </c>
      <c r="AX1509" t="inlineStr">
        <is>
          <t>37</t>
        </is>
      </c>
      <c r="AY1509" t="inlineStr">
        <is>
          <t>199</t>
        </is>
      </c>
      <c r="AZ1509" t="inlineStr">
        <is>
          <t>57.4</t>
        </is>
      </c>
      <c r="BA1509" t="inlineStr">
        <is>
          <t>263=</t>
        </is>
      </c>
    </row>
    <row r="1510">
      <c r="A1510" t="inlineStr">
        <is>
          <t>University of Colombo</t>
        </is>
      </c>
      <c r="B1510" t="inlineStr">
        <is>
          <t>Sri Lanka</t>
        </is>
      </c>
      <c r="C1510" t="inlineStr">
        <is>
          <t>LK</t>
        </is>
      </c>
      <c r="D1510" t="inlineStr">
        <is>
          <t>Asia</t>
        </is>
      </c>
      <c r="E1510" t="inlineStr">
        <is>
          <t>L</t>
        </is>
      </c>
      <c r="F1510" t="inlineStr">
        <is>
          <t>CO</t>
        </is>
      </c>
      <c r="G1510" t="inlineStr">
        <is>
          <t>HI</t>
        </is>
      </c>
      <c r="H1510" t="inlineStr">
        <is>
          <t>5</t>
        </is>
      </c>
      <c r="I1510" t="inlineStr">
        <is>
          <t>Public</t>
        </is>
      </c>
      <c r="J1510" t="inlineStr">
        <is>
          <t>1001-1200</t>
        </is>
      </c>
      <c r="K1510" t="inlineStr">
        <is>
          <t>951-1000</t>
        </is>
      </c>
      <c r="L1510" t="inlineStr">
        <is>
          <t>1001-1200</t>
        </is>
      </c>
      <c r="M1510" t="inlineStr">
        <is>
          <t>1201-1400</t>
        </is>
      </c>
      <c r="N1510" t="inlineStr">
        <is>
          <t>-</t>
        </is>
      </c>
      <c r="O1510" t="inlineStr">
        <is>
          <t>-</t>
        </is>
      </c>
      <c r="P1510" t="n">
        <v>15.1</v>
      </c>
      <c r="Q1510" t="inlineStr">
        <is>
          <t>701+</t>
        </is>
      </c>
      <c r="R1510" t="n">
        <v>20.9</v>
      </c>
      <c r="S1510" t="inlineStr">
        <is>
          <t>626</t>
        </is>
      </c>
      <c r="T1510" t="n">
        <v>3.3</v>
      </c>
      <c r="U1510" t="inlineStr">
        <is>
          <t>801+</t>
        </is>
      </c>
      <c r="V1510" t="n">
        <v>6.1</v>
      </c>
      <c r="W1510" t="inlineStr">
        <is>
          <t>801+</t>
        </is>
      </c>
      <c r="X1510" t="n">
        <v>1.2</v>
      </c>
      <c r="Y1510" t="inlineStr">
        <is>
          <t>801+</t>
        </is>
      </c>
      <c r="Z1510" t="n">
        <v>1.5</v>
      </c>
      <c r="AA1510" t="inlineStr">
        <is>
          <t>801+</t>
        </is>
      </c>
      <c r="AB1510" t="n">
        <v>5.9</v>
      </c>
      <c r="AC1510" t="inlineStr">
        <is>
          <t>801+</t>
        </is>
      </c>
      <c r="AD1510" t="n">
        <v>20.7</v>
      </c>
      <c r="AE1510" t="inlineStr">
        <is>
          <t>801+</t>
        </is>
      </c>
      <c r="AF1510" t="n">
        <v>76</v>
      </c>
      <c r="AG1510" t="inlineStr">
        <is>
          <t>176</t>
        </is>
      </c>
      <c r="AH1510" t="n">
        <v>61.1</v>
      </c>
      <c r="AI1510" t="inlineStr">
        <is>
          <t>477=</t>
        </is>
      </c>
      <c r="AJ1510" t="inlineStr">
        <is>
          <t>11.7</t>
        </is>
      </c>
      <c r="AK1510" t="inlineStr">
        <is>
          <t>601+</t>
        </is>
      </c>
      <c r="AL1510" t="inlineStr">
        <is>
          <t>14.8</t>
        </is>
      </c>
      <c r="AM1510" t="inlineStr">
        <is>
          <t>555</t>
        </is>
      </c>
      <c r="AN1510" t="inlineStr">
        <is>
          <t>2.5</t>
        </is>
      </c>
      <c r="AO1510" t="inlineStr">
        <is>
          <t>701+</t>
        </is>
      </c>
      <c r="AP1510" t="inlineStr">
        <is>
          <t>3.1</t>
        </is>
      </c>
      <c r="AQ1510" t="inlineStr">
        <is>
          <t>701+</t>
        </is>
      </c>
      <c r="AR1510" t="inlineStr">
        <is>
          <t>1.1</t>
        </is>
      </c>
      <c r="AS1510" t="inlineStr">
        <is>
          <t>701+</t>
        </is>
      </c>
      <c r="AT1510" t="inlineStr">
        <is>
          <t>1.3</t>
        </is>
      </c>
      <c r="AU1510" t="inlineStr">
        <is>
          <t>701+</t>
        </is>
      </c>
      <c r="AV1510" t="inlineStr">
        <is>
          <t>1.1</t>
        </is>
      </c>
      <c r="AW1510" t="inlineStr">
        <is>
          <t>701+</t>
        </is>
      </c>
      <c r="AX1510" t="inlineStr">
        <is>
          <t>44.5</t>
        </is>
      </c>
      <c r="AY1510" t="inlineStr">
        <is>
          <t>161</t>
        </is>
      </c>
      <c r="AZ1510" t="inlineStr">
        <is>
          <t>19.9</t>
        </is>
      </c>
      <c r="BA1510" t="inlineStr">
        <is>
          <t>545=</t>
        </is>
      </c>
    </row>
    <row r="1511">
      <c r="A1511" t="inlineStr">
        <is>
          <t>University of Colorado Boulder</t>
        </is>
      </c>
      <c r="B1511" t="inlineStr">
        <is>
          <t>United States</t>
        </is>
      </c>
      <c r="C1511" t="inlineStr">
        <is>
          <t>US</t>
        </is>
      </c>
      <c r="D1511" t="inlineStr">
        <is>
          <t>Americas</t>
        </is>
      </c>
      <c r="E1511" t="inlineStr">
        <is>
          <t>XL</t>
        </is>
      </c>
      <c r="F1511" t="inlineStr">
        <is>
          <t>CO</t>
        </is>
      </c>
      <c r="G1511" t="inlineStr">
        <is>
          <t>VH</t>
        </is>
      </c>
      <c r="H1511" t="inlineStr">
        <is>
          <t>5</t>
        </is>
      </c>
      <c r="I1511" t="inlineStr">
        <is>
          <t>Public</t>
        </is>
      </c>
      <c r="J1511" t="inlineStr">
        <is>
          <t>299</t>
        </is>
      </c>
      <c r="K1511" t="inlineStr">
        <is>
          <t>320</t>
        </is>
      </c>
      <c r="L1511">
        <f>264</f>
        <v/>
      </c>
      <c r="M1511" t="inlineStr">
        <is>
          <t>317=</t>
        </is>
      </c>
      <c r="N1511" t="inlineStr">
        <is>
          <t>45.6</t>
        </is>
      </c>
      <c r="O1511" t="inlineStr">
        <is>
          <t>37.9</t>
        </is>
      </c>
      <c r="P1511" t="n">
        <v>49</v>
      </c>
      <c r="Q1511" t="inlineStr">
        <is>
          <t>232</t>
        </is>
      </c>
      <c r="R1511" t="n">
        <v>36.8</v>
      </c>
      <c r="S1511" t="inlineStr">
        <is>
          <t>386</t>
        </is>
      </c>
      <c r="T1511" t="n">
        <v>52.1</v>
      </c>
      <c r="U1511" t="inlineStr">
        <is>
          <t>359</t>
        </is>
      </c>
      <c r="V1511" t="n">
        <v>36</v>
      </c>
      <c r="W1511" t="inlineStr">
        <is>
          <t>516</t>
        </is>
      </c>
      <c r="X1511" t="n">
        <v>38.6</v>
      </c>
      <c r="Y1511" t="inlineStr">
        <is>
          <t>510</t>
        </is>
      </c>
      <c r="Z1511" t="n">
        <v>8.5</v>
      </c>
      <c r="AA1511" t="inlineStr">
        <is>
          <t>801+</t>
        </is>
      </c>
      <c r="AB1511" t="n">
        <v>14.2</v>
      </c>
      <c r="AC1511" t="inlineStr">
        <is>
          <t>801+</t>
        </is>
      </c>
      <c r="AD1511" t="n">
        <v>85.59999999999999</v>
      </c>
      <c r="AE1511" t="inlineStr">
        <is>
          <t>242</t>
        </is>
      </c>
      <c r="AF1511" t="n">
        <v>48.9</v>
      </c>
      <c r="AG1511" t="inlineStr">
        <is>
          <t>354</t>
        </is>
      </c>
      <c r="AH1511" t="n">
        <v>90.3</v>
      </c>
      <c r="AI1511" t="inlineStr">
        <is>
          <t>61=</t>
        </is>
      </c>
      <c r="AJ1511" t="inlineStr">
        <is>
          <t>36.9</t>
        </is>
      </c>
      <c r="AK1511" t="inlineStr">
        <is>
          <t>237</t>
        </is>
      </c>
      <c r="AL1511" t="inlineStr">
        <is>
          <t>13.5</t>
        </is>
      </c>
      <c r="AM1511" t="inlineStr">
        <is>
          <t>596</t>
        </is>
      </c>
      <c r="AN1511" t="inlineStr">
        <is>
          <t>33.2</t>
        </is>
      </c>
      <c r="AO1511" t="inlineStr">
        <is>
          <t>480</t>
        </is>
      </c>
      <c r="AP1511" t="inlineStr">
        <is>
          <t>49.4</t>
        </is>
      </c>
      <c r="AQ1511" t="inlineStr">
        <is>
          <t>269</t>
        </is>
      </c>
      <c r="AR1511" t="inlineStr">
        <is>
          <t>27.1</t>
        </is>
      </c>
      <c r="AS1511" t="inlineStr">
        <is>
          <t>508</t>
        </is>
      </c>
      <c r="AT1511" t="inlineStr">
        <is>
          <t>5.5</t>
        </is>
      </c>
      <c r="AU1511" t="inlineStr">
        <is>
          <t>701+</t>
        </is>
      </c>
      <c r="AV1511" t="inlineStr">
        <is>
          <t>68.6</t>
        </is>
      </c>
      <c r="AW1511" t="inlineStr">
        <is>
          <t>204</t>
        </is>
      </c>
      <c r="AX1511" t="inlineStr">
        <is>
          <t>30.8</t>
        </is>
      </c>
      <c r="AY1511" t="inlineStr">
        <is>
          <t>247</t>
        </is>
      </c>
      <c r="AZ1511" t="inlineStr">
        <is>
          <t>96.4</t>
        </is>
      </c>
      <c r="BA1511" t="inlineStr">
        <is>
          <t>40</t>
        </is>
      </c>
    </row>
    <row r="1512">
      <c r="A1512" t="inlineStr">
        <is>
          <t>University of Colorado, Denver</t>
        </is>
      </c>
      <c r="B1512" t="inlineStr">
        <is>
          <t>United States</t>
        </is>
      </c>
      <c r="C1512" t="inlineStr">
        <is>
          <t>US</t>
        </is>
      </c>
      <c r="D1512" t="inlineStr">
        <is>
          <t>Americas</t>
        </is>
      </c>
      <c r="E1512" t="inlineStr">
        <is>
          <t>L</t>
        </is>
      </c>
      <c r="F1512" t="inlineStr">
        <is>
          <t>FC</t>
        </is>
      </c>
      <c r="G1512" t="inlineStr">
        <is>
          <t>HI</t>
        </is>
      </c>
      <c r="H1512" t="inlineStr">
        <is>
          <t>5</t>
        </is>
      </c>
      <c r="I1512" t="inlineStr">
        <is>
          <t>Public</t>
        </is>
      </c>
      <c r="J1512" t="inlineStr">
        <is>
          <t>851-900</t>
        </is>
      </c>
      <c r="K1512" t="inlineStr">
        <is>
          <t>761-770</t>
        </is>
      </c>
      <c r="L1512" t="inlineStr">
        <is>
          <t>721-730</t>
        </is>
      </c>
      <c r="M1512" t="inlineStr">
        <is>
          <t>428=</t>
        </is>
      </c>
      <c r="N1512" t="inlineStr">
        <is>
          <t>-</t>
        </is>
      </c>
      <c r="O1512" t="inlineStr">
        <is>
          <t>-</t>
        </is>
      </c>
      <c r="P1512" t="n">
        <v>10.5</v>
      </c>
      <c r="Q1512" t="inlineStr">
        <is>
          <t>701+</t>
        </is>
      </c>
      <c r="R1512" t="n">
        <v>11.7</v>
      </c>
      <c r="S1512" t="inlineStr">
        <is>
          <t>701+</t>
        </is>
      </c>
      <c r="T1512" t="n">
        <v>100</v>
      </c>
      <c r="U1512" t="inlineStr">
        <is>
          <t>4</t>
        </is>
      </c>
      <c r="V1512" t="n">
        <v>5</v>
      </c>
      <c r="W1512" t="inlineStr">
        <is>
          <t>801+</t>
        </is>
      </c>
      <c r="X1512" t="n">
        <v>4.3</v>
      </c>
      <c r="Y1512" t="inlineStr">
        <is>
          <t>801+</t>
        </is>
      </c>
      <c r="Z1512" t="n">
        <v>20.6</v>
      </c>
      <c r="AA1512" t="inlineStr">
        <is>
          <t>719</t>
        </is>
      </c>
      <c r="AB1512" t="n">
        <v>26.8</v>
      </c>
      <c r="AC1512" t="inlineStr">
        <is>
          <t>659</t>
        </is>
      </c>
      <c r="AD1512" t="n">
        <v>39.8</v>
      </c>
      <c r="AE1512" t="inlineStr">
        <is>
          <t>801+</t>
        </is>
      </c>
      <c r="AF1512" t="n">
        <v>10.5</v>
      </c>
      <c r="AG1512" t="inlineStr">
        <is>
          <t>801+</t>
        </is>
      </c>
      <c r="AH1512" t="n">
        <v>39.7</v>
      </c>
      <c r="AI1512" t="inlineStr">
        <is>
          <t>801+</t>
        </is>
      </c>
      <c r="AJ1512" t="inlineStr">
        <is>
          <t>8.4</t>
        </is>
      </c>
      <c r="AK1512" t="inlineStr">
        <is>
          <t>601+</t>
        </is>
      </c>
      <c r="AL1512" t="inlineStr">
        <is>
          <t>6.3</t>
        </is>
      </c>
      <c r="AM1512" t="inlineStr">
        <is>
          <t>601+</t>
        </is>
      </c>
      <c r="AN1512" t="inlineStr">
        <is>
          <t>100.0</t>
        </is>
      </c>
      <c r="AO1512" t="inlineStr">
        <is>
          <t>6</t>
        </is>
      </c>
      <c r="AP1512" t="inlineStr">
        <is>
          <t>4.9</t>
        </is>
      </c>
      <c r="AQ1512" t="inlineStr">
        <is>
          <t>701+</t>
        </is>
      </c>
      <c r="AR1512" t="inlineStr">
        <is>
          <t>3.6</t>
        </is>
      </c>
      <c r="AS1512" t="inlineStr">
        <is>
          <t>701+</t>
        </is>
      </c>
      <c r="AT1512" t="inlineStr">
        <is>
          <t>9.0</t>
        </is>
      </c>
      <c r="AU1512" t="inlineStr">
        <is>
          <t>701+</t>
        </is>
      </c>
      <c r="AV1512" t="inlineStr">
        <is>
          <t>2.3</t>
        </is>
      </c>
      <c r="AW1512" t="inlineStr">
        <is>
          <t>701+</t>
        </is>
      </c>
      <c r="AX1512" t="inlineStr">
        <is>
          <t>8.4</t>
        </is>
      </c>
      <c r="AY1512" t="inlineStr">
        <is>
          <t>701+</t>
        </is>
      </c>
      <c r="AZ1512" t="inlineStr">
        <is>
          <t>15.2</t>
        </is>
      </c>
      <c r="BA1512" t="inlineStr">
        <is>
          <t>608=</t>
        </is>
      </c>
    </row>
    <row r="1513">
      <c r="A1513" t="inlineStr">
        <is>
          <t>University of Connecticut</t>
        </is>
      </c>
      <c r="B1513" t="inlineStr">
        <is>
          <t>United States</t>
        </is>
      </c>
      <c r="C1513" t="inlineStr">
        <is>
          <t>US</t>
        </is>
      </c>
      <c r="D1513" t="inlineStr">
        <is>
          <t>Americas</t>
        </is>
      </c>
      <c r="E1513" t="inlineStr">
        <is>
          <t>L</t>
        </is>
      </c>
      <c r="F1513" t="inlineStr">
        <is>
          <t>FC</t>
        </is>
      </c>
      <c r="G1513" t="inlineStr">
        <is>
          <t>VH</t>
        </is>
      </c>
      <c r="H1513" t="inlineStr">
        <is>
          <t>5</t>
        </is>
      </c>
      <c r="I1513" t="inlineStr">
        <is>
          <t>Public</t>
        </is>
      </c>
      <c r="J1513" t="inlineStr">
        <is>
          <t>534</t>
        </is>
      </c>
      <c r="K1513" t="inlineStr">
        <is>
          <t>565</t>
        </is>
      </c>
      <c r="L1513">
        <f>444</f>
        <v/>
      </c>
      <c r="M1513" t="inlineStr">
        <is>
          <t>350=</t>
        </is>
      </c>
      <c r="N1513" t="inlineStr">
        <is>
          <t>30.7</t>
        </is>
      </c>
      <c r="O1513" t="inlineStr">
        <is>
          <t>25.8</t>
        </is>
      </c>
      <c r="P1513" t="n">
        <v>20.8</v>
      </c>
      <c r="Q1513" t="inlineStr">
        <is>
          <t>597</t>
        </is>
      </c>
      <c r="R1513" t="n">
        <v>14.6</v>
      </c>
      <c r="S1513" t="inlineStr">
        <is>
          <t>701+</t>
        </is>
      </c>
      <c r="T1513" t="n">
        <v>28.1</v>
      </c>
      <c r="U1513" t="inlineStr">
        <is>
          <t>679</t>
        </is>
      </c>
      <c r="V1513" t="n">
        <v>33.5</v>
      </c>
      <c r="W1513" t="inlineStr">
        <is>
          <t>543</t>
        </is>
      </c>
      <c r="X1513" t="n">
        <v>54.6</v>
      </c>
      <c r="Y1513" t="inlineStr">
        <is>
          <t>415</t>
        </is>
      </c>
      <c r="Z1513" t="n">
        <v>34.9</v>
      </c>
      <c r="AA1513" t="inlineStr">
        <is>
          <t>543</t>
        </is>
      </c>
      <c r="AB1513" t="n">
        <v>40.6</v>
      </c>
      <c r="AC1513" t="inlineStr">
        <is>
          <t>500</t>
        </is>
      </c>
      <c r="AD1513" t="n">
        <v>85.09999999999999</v>
      </c>
      <c r="AE1513" t="inlineStr">
        <is>
          <t>253</t>
        </is>
      </c>
      <c r="AF1513" t="n">
        <v>40.1</v>
      </c>
      <c r="AG1513" t="inlineStr">
        <is>
          <t>437</t>
        </is>
      </c>
      <c r="AH1513" t="n">
        <v>63.4</v>
      </c>
      <c r="AI1513" t="inlineStr">
        <is>
          <t>433=</t>
        </is>
      </c>
      <c r="AJ1513" t="inlineStr">
        <is>
          <t>15.1</t>
        </is>
      </c>
      <c r="AK1513" t="inlineStr">
        <is>
          <t>576</t>
        </is>
      </c>
      <c r="AL1513" t="inlineStr">
        <is>
          <t>6.9</t>
        </is>
      </c>
      <c r="AM1513" t="inlineStr">
        <is>
          <t>601+</t>
        </is>
      </c>
      <c r="AN1513" t="inlineStr">
        <is>
          <t>14.5</t>
        </is>
      </c>
      <c r="AO1513" t="inlineStr">
        <is>
          <t>701+</t>
        </is>
      </c>
      <c r="AP1513" t="inlineStr">
        <is>
          <t>41.6</t>
        </is>
      </c>
      <c r="AQ1513" t="inlineStr">
        <is>
          <t>327</t>
        </is>
      </c>
      <c r="AR1513" t="inlineStr">
        <is>
          <t>47.0</t>
        </is>
      </c>
      <c r="AS1513" t="inlineStr">
        <is>
          <t>368</t>
        </is>
      </c>
      <c r="AT1513" t="inlineStr">
        <is>
          <t>19.0</t>
        </is>
      </c>
      <c r="AU1513" t="inlineStr">
        <is>
          <t>560</t>
        </is>
      </c>
      <c r="AV1513" t="inlineStr">
        <is>
          <t>61.4</t>
        </is>
      </c>
      <c r="AW1513" t="inlineStr">
        <is>
          <t>237</t>
        </is>
      </c>
      <c r="AX1513" t="inlineStr">
        <is>
          <t>21.7</t>
        </is>
      </c>
      <c r="AY1513" t="inlineStr">
        <is>
          <t>383</t>
        </is>
      </c>
      <c r="AZ1513" t="inlineStr">
        <is>
          <t>61.9</t>
        </is>
      </c>
      <c r="BA1513" t="inlineStr">
        <is>
          <t>243=</t>
        </is>
      </c>
    </row>
    <row r="1514">
      <c r="A1514" t="inlineStr">
        <is>
          <t>University of Copenhagen</t>
        </is>
      </c>
      <c r="B1514" t="inlineStr">
        <is>
          <t>Denmark</t>
        </is>
      </c>
      <c r="C1514" t="inlineStr">
        <is>
          <t>DK</t>
        </is>
      </c>
      <c r="D1514" t="inlineStr">
        <is>
          <t>Europe</t>
        </is>
      </c>
      <c r="E1514" t="inlineStr">
        <is>
          <t>XL</t>
        </is>
      </c>
      <c r="F1514" t="inlineStr">
        <is>
          <t>FC</t>
        </is>
      </c>
      <c r="G1514" t="inlineStr">
        <is>
          <t>VH</t>
        </is>
      </c>
      <c r="H1514" t="inlineStr">
        <is>
          <t>5</t>
        </is>
      </c>
      <c r="I1514" t="inlineStr">
        <is>
          <t>Public</t>
        </is>
      </c>
      <c r="J1514" t="inlineStr">
        <is>
          <t>101</t>
        </is>
      </c>
      <c r="K1514" t="inlineStr">
        <is>
          <t>100</t>
        </is>
      </c>
      <c r="L1514">
        <f>107</f>
        <v/>
      </c>
      <c r="M1514" t="inlineStr">
        <is>
          <t>82</t>
        </is>
      </c>
      <c r="N1514" t="inlineStr">
        <is>
          <t>68.4</t>
        </is>
      </c>
      <c r="O1514" t="inlineStr">
        <is>
          <t>58.8</t>
        </is>
      </c>
      <c r="P1514" t="n">
        <v>85.5</v>
      </c>
      <c r="Q1514" t="inlineStr">
        <is>
          <t>79</t>
        </is>
      </c>
      <c r="R1514" t="n">
        <v>41.7</v>
      </c>
      <c r="S1514" t="inlineStr">
        <is>
          <t>324</t>
        </is>
      </c>
      <c r="T1514" t="n">
        <v>99.59999999999999</v>
      </c>
      <c r="U1514" t="inlineStr">
        <is>
          <t>34</t>
        </is>
      </c>
      <c r="V1514" t="n">
        <v>36.6</v>
      </c>
      <c r="W1514" t="inlineStr">
        <is>
          <t>512</t>
        </is>
      </c>
      <c r="X1514" t="n">
        <v>87.3</v>
      </c>
      <c r="Y1514" t="inlineStr">
        <is>
          <t>241</t>
        </is>
      </c>
      <c r="Z1514" t="n">
        <v>26.5</v>
      </c>
      <c r="AA1514" t="inlineStr">
        <is>
          <t>640</t>
        </is>
      </c>
      <c r="AB1514" t="n">
        <v>19.9</v>
      </c>
      <c r="AC1514" t="inlineStr">
        <is>
          <t>765</t>
        </is>
      </c>
      <c r="AD1514" t="n">
        <v>98</v>
      </c>
      <c r="AE1514" t="inlineStr">
        <is>
          <t>22</t>
        </is>
      </c>
      <c r="AF1514" t="n">
        <v>94.40000000000001</v>
      </c>
      <c r="AG1514" t="inlineStr">
        <is>
          <t>77</t>
        </is>
      </c>
      <c r="AH1514" t="n">
        <v>76.3</v>
      </c>
      <c r="AI1514" t="inlineStr">
        <is>
          <t>221</t>
        </is>
      </c>
      <c r="AJ1514" t="inlineStr">
        <is>
          <t>74.1</t>
        </is>
      </c>
      <c r="AK1514" t="inlineStr">
        <is>
          <t>80</t>
        </is>
      </c>
      <c r="AL1514" t="inlineStr">
        <is>
          <t>25.8</t>
        </is>
      </c>
      <c r="AM1514" t="inlineStr">
        <is>
          <t>371</t>
        </is>
      </c>
      <c r="AN1514" t="inlineStr">
        <is>
          <t>100.0</t>
        </is>
      </c>
      <c r="AO1514" t="inlineStr">
        <is>
          <t>19</t>
        </is>
      </c>
      <c r="AP1514" t="inlineStr">
        <is>
          <t>21.2</t>
        </is>
      </c>
      <c r="AQ1514" t="inlineStr">
        <is>
          <t>543</t>
        </is>
      </c>
      <c r="AR1514" t="inlineStr">
        <is>
          <t>91.4</t>
        </is>
      </c>
      <c r="AS1514" t="inlineStr">
        <is>
          <t>175</t>
        </is>
      </c>
      <c r="AT1514" t="inlineStr">
        <is>
          <t>22.5</t>
        </is>
      </c>
      <c r="AU1514" t="inlineStr">
        <is>
          <t>506</t>
        </is>
      </c>
      <c r="AV1514" t="inlineStr">
        <is>
          <t>98.2</t>
        </is>
      </c>
      <c r="AW1514" t="inlineStr">
        <is>
          <t>19</t>
        </is>
      </c>
      <c r="AX1514" t="inlineStr">
        <is>
          <t>60.1</t>
        </is>
      </c>
      <c r="AY1514" t="inlineStr">
        <is>
          <t>98</t>
        </is>
      </c>
      <c r="AZ1514" t="inlineStr">
        <is>
          <t>87.4</t>
        </is>
      </c>
      <c r="BA1514" t="inlineStr">
        <is>
          <t>108=</t>
        </is>
      </c>
    </row>
    <row r="1515">
      <c r="A1515" t="inlineStr">
        <is>
          <t>University of Craiova</t>
        </is>
      </c>
      <c r="B1515" t="inlineStr">
        <is>
          <t>Romania</t>
        </is>
      </c>
      <c r="C1515" t="inlineStr">
        <is>
          <t>RO</t>
        </is>
      </c>
      <c r="D1515" t="inlineStr"/>
      <c r="E1515" t="inlineStr">
        <is>
          <t>L</t>
        </is>
      </c>
      <c r="F1515" t="inlineStr">
        <is>
          <t>CO</t>
        </is>
      </c>
      <c r="G1515" t="inlineStr">
        <is>
          <t>HI</t>
        </is>
      </c>
      <c r="H1515" t="inlineStr">
        <is>
          <t>4</t>
        </is>
      </c>
      <c r="I1515" t="inlineStr">
        <is>
          <t>A</t>
        </is>
      </c>
      <c r="J1515" t="inlineStr"/>
      <c r="K1515" t="inlineStr"/>
      <c r="L1515" t="inlineStr">
        <is>
          <t>1401+</t>
        </is>
      </c>
      <c r="M1515" t="inlineStr">
        <is>
          <t>1401+</t>
        </is>
      </c>
      <c r="N1515" t="inlineStr"/>
      <c r="O1515" t="inlineStr">
        <is>
          <t>-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>
        <is>
          <t>4.1</t>
        </is>
      </c>
      <c r="AK1515" t="inlineStr">
        <is>
          <t>601+</t>
        </is>
      </c>
      <c r="AL1515" t="inlineStr">
        <is>
          <t>2.0</t>
        </is>
      </c>
      <c r="AM1515" t="inlineStr">
        <is>
          <t>601+</t>
        </is>
      </c>
      <c r="AN1515" t="inlineStr">
        <is>
          <t>2.9</t>
        </is>
      </c>
      <c r="AO1515" t="inlineStr">
        <is>
          <t>701+</t>
        </is>
      </c>
      <c r="AP1515" t="inlineStr">
        <is>
          <t>2.0</t>
        </is>
      </c>
      <c r="AQ1515" t="inlineStr">
        <is>
          <t>701+</t>
        </is>
      </c>
      <c r="AR1515" t="inlineStr"/>
      <c r="AS1515" t="inlineStr"/>
      <c r="AT1515" t="inlineStr"/>
      <c r="AU1515" t="inlineStr"/>
      <c r="AV1515" t="inlineStr">
        <is>
          <t>1.1</t>
        </is>
      </c>
      <c r="AW1515" t="inlineStr">
        <is>
          <t>701+</t>
        </is>
      </c>
      <c r="AX1515" t="inlineStr">
        <is>
          <t>7.9</t>
        </is>
      </c>
      <c r="AY1515" t="inlineStr">
        <is>
          <t>701+</t>
        </is>
      </c>
      <c r="AZ1515" t="inlineStr">
        <is>
          <t>1</t>
        </is>
      </c>
      <c r="BA1515" t="inlineStr">
        <is>
          <t>701+</t>
        </is>
      </c>
    </row>
    <row r="1516">
      <c r="A1516" t="inlineStr">
        <is>
          <t>University of Crete</t>
        </is>
      </c>
      <c r="B1516" t="inlineStr">
        <is>
          <t>Greece</t>
        </is>
      </c>
      <c r="C1516" t="inlineStr">
        <is>
          <t>GR</t>
        </is>
      </c>
      <c r="D1516" t="inlineStr">
        <is>
          <t>Europe</t>
        </is>
      </c>
      <c r="E1516" t="inlineStr">
        <is>
          <t>L</t>
        </is>
      </c>
      <c r="F1516" t="inlineStr">
        <is>
          <t>FC</t>
        </is>
      </c>
      <c r="G1516" t="inlineStr">
        <is>
          <t>HI</t>
        </is>
      </c>
      <c r="H1516" t="inlineStr">
        <is>
          <t>4</t>
        </is>
      </c>
      <c r="I1516" t="inlineStr">
        <is>
          <t>Public</t>
        </is>
      </c>
      <c r="J1516" t="inlineStr">
        <is>
          <t>628</t>
        </is>
      </c>
      <c r="K1516" t="inlineStr">
        <is>
          <t>601-610</t>
        </is>
      </c>
      <c r="L1516">
        <f>534</f>
        <v/>
      </c>
      <c r="M1516" t="inlineStr">
        <is>
          <t>591-600</t>
        </is>
      </c>
      <c r="N1516" t="inlineStr">
        <is>
          <t>27.4</t>
        </is>
      </c>
      <c r="O1516" t="inlineStr">
        <is>
          <t>22.0</t>
        </is>
      </c>
      <c r="P1516" t="n">
        <v>19.3</v>
      </c>
      <c r="Q1516" t="inlineStr">
        <is>
          <t>639</t>
        </is>
      </c>
      <c r="R1516" t="n">
        <v>17.8</v>
      </c>
      <c r="S1516" t="inlineStr">
        <is>
          <t>701+</t>
        </is>
      </c>
      <c r="T1516" t="n">
        <v>3.9</v>
      </c>
      <c r="U1516" t="inlineStr">
        <is>
          <t>801+</t>
        </is>
      </c>
      <c r="V1516" t="n">
        <v>69.59999999999999</v>
      </c>
      <c r="W1516" t="inlineStr">
        <is>
          <t>219</t>
        </is>
      </c>
      <c r="X1516" t="n">
        <v>2.7</v>
      </c>
      <c r="Y1516" t="inlineStr">
        <is>
          <t>801+</t>
        </is>
      </c>
      <c r="Z1516" t="n">
        <v>7.2</v>
      </c>
      <c r="AA1516" t="inlineStr">
        <is>
          <t>801+</t>
        </is>
      </c>
      <c r="AB1516" t="n">
        <v>12</v>
      </c>
      <c r="AC1516" t="inlineStr">
        <is>
          <t>801+</t>
        </is>
      </c>
      <c r="AD1516" t="n">
        <v>61.9</v>
      </c>
      <c r="AE1516" t="inlineStr">
        <is>
          <t>664</t>
        </is>
      </c>
      <c r="AF1516" t="n">
        <v>4.5</v>
      </c>
      <c r="AG1516" t="inlineStr">
        <is>
          <t>801+</t>
        </is>
      </c>
      <c r="AH1516" t="n">
        <v>40.6</v>
      </c>
      <c r="AI1516" t="inlineStr">
        <is>
          <t>801+</t>
        </is>
      </c>
      <c r="AJ1516" t="inlineStr">
        <is>
          <t>15.1</t>
        </is>
      </c>
      <c r="AK1516" t="inlineStr">
        <is>
          <t>575</t>
        </is>
      </c>
      <c r="AL1516" t="inlineStr">
        <is>
          <t>14.3</t>
        </is>
      </c>
      <c r="AM1516" t="inlineStr">
        <is>
          <t>573</t>
        </is>
      </c>
      <c r="AN1516" t="inlineStr">
        <is>
          <t>3.0</t>
        </is>
      </c>
      <c r="AO1516" t="inlineStr">
        <is>
          <t>701+</t>
        </is>
      </c>
      <c r="AP1516" t="inlineStr">
        <is>
          <t>67.9</t>
        </is>
      </c>
      <c r="AQ1516" t="inlineStr">
        <is>
          <t>158</t>
        </is>
      </c>
      <c r="AR1516" t="inlineStr">
        <is>
          <t>1.7</t>
        </is>
      </c>
      <c r="AS1516" t="inlineStr">
        <is>
          <t>701+</t>
        </is>
      </c>
      <c r="AT1516" t="inlineStr">
        <is>
          <t>3.8</t>
        </is>
      </c>
      <c r="AU1516" t="inlineStr">
        <is>
          <t>701+</t>
        </is>
      </c>
      <c r="AV1516" t="inlineStr">
        <is>
          <t>13.4</t>
        </is>
      </c>
      <c r="AW1516" t="inlineStr">
        <is>
          <t>619</t>
        </is>
      </c>
      <c r="AX1516" t="inlineStr">
        <is>
          <t>8.9</t>
        </is>
      </c>
      <c r="AY1516" t="inlineStr">
        <is>
          <t>701+</t>
        </is>
      </c>
      <c r="AZ1516" t="inlineStr">
        <is>
          <t>3.5</t>
        </is>
      </c>
      <c r="BA1516" t="inlineStr">
        <is>
          <t>701+</t>
        </is>
      </c>
    </row>
    <row r="1517">
      <c r="A1517" t="inlineStr">
        <is>
          <t>University of Cyberjaya</t>
        </is>
      </c>
      <c r="B1517" t="inlineStr">
        <is>
          <t>Malaysia</t>
        </is>
      </c>
      <c r="C1517" t="inlineStr"/>
      <c r="D1517" t="inlineStr">
        <is>
          <t>Asia</t>
        </is>
      </c>
      <c r="E1517" t="inlineStr">
        <is>
          <t>S</t>
        </is>
      </c>
      <c r="F1517" t="inlineStr">
        <is>
          <t>FO</t>
        </is>
      </c>
      <c r="G1517" t="inlineStr">
        <is>
          <t>HI</t>
        </is>
      </c>
      <c r="H1517" t="inlineStr"/>
      <c r="I1517" t="inlineStr"/>
      <c r="J1517" t="inlineStr">
        <is>
          <t>951-1000</t>
        </is>
      </c>
      <c r="K1517" t="inlineStr"/>
      <c r="L1517" t="inlineStr"/>
      <c r="M1517" t="inlineStr"/>
      <c r="N1517" t="inlineStr">
        <is>
          <t>-</t>
        </is>
      </c>
      <c r="O1517" t="inlineStr"/>
      <c r="P1517" t="n">
        <v>22.5</v>
      </c>
      <c r="Q1517" t="inlineStr">
        <is>
          <t>557</t>
        </is>
      </c>
      <c r="R1517" t="n">
        <v>6.1</v>
      </c>
      <c r="S1517" t="inlineStr">
        <is>
          <t>701+</t>
        </is>
      </c>
      <c r="T1517" t="n">
        <v>48.9</v>
      </c>
      <c r="U1517" t="inlineStr">
        <is>
          <t>398</t>
        </is>
      </c>
      <c r="V1517" t="n">
        <v>2.1</v>
      </c>
      <c r="W1517" t="inlineStr">
        <is>
          <t>801+</t>
        </is>
      </c>
      <c r="X1517" t="n">
        <v>23.4</v>
      </c>
      <c r="Y1517" t="inlineStr">
        <is>
          <t>671</t>
        </is>
      </c>
      <c r="Z1517" t="n">
        <v>87.3</v>
      </c>
      <c r="AA1517" t="inlineStr">
        <is>
          <t>184</t>
        </is>
      </c>
      <c r="AB1517" t="n">
        <v>86.3</v>
      </c>
      <c r="AC1517" t="inlineStr">
        <is>
          <t>166</t>
        </is>
      </c>
      <c r="AD1517" t="n">
        <v>7.2</v>
      </c>
      <c r="AE1517" t="inlineStr">
        <is>
          <t>801+</t>
        </is>
      </c>
      <c r="AF1517" t="n">
        <v>4.8</v>
      </c>
      <c r="AG1517" t="inlineStr">
        <is>
          <t>801+</t>
        </is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</row>
    <row r="1518">
      <c r="A1518" t="inlineStr">
        <is>
          <t>University of Cyprus</t>
        </is>
      </c>
      <c r="B1518" t="inlineStr">
        <is>
          <t>Cyprus</t>
        </is>
      </c>
      <c r="C1518" t="inlineStr"/>
      <c r="D1518" t="inlineStr">
        <is>
          <t>Asia</t>
        </is>
      </c>
      <c r="E1518" t="inlineStr">
        <is>
          <t>M</t>
        </is>
      </c>
      <c r="F1518" t="inlineStr">
        <is>
          <t>CO</t>
        </is>
      </c>
      <c r="G1518" t="inlineStr">
        <is>
          <t>VH</t>
        </is>
      </c>
      <c r="H1518" t="inlineStr"/>
      <c r="I1518" t="inlineStr">
        <is>
          <t>Public</t>
        </is>
      </c>
      <c r="J1518" t="inlineStr">
        <is>
          <t>452</t>
        </is>
      </c>
      <c r="K1518" t="inlineStr">
        <is>
          <t>389</t>
        </is>
      </c>
      <c r="L1518" t="inlineStr"/>
      <c r="M1518" t="inlineStr"/>
      <c r="N1518" t="inlineStr">
        <is>
          <t>34.2</t>
        </is>
      </c>
      <c r="O1518" t="inlineStr"/>
      <c r="P1518" t="n">
        <v>14.6</v>
      </c>
      <c r="Q1518" t="inlineStr">
        <is>
          <t>701+</t>
        </is>
      </c>
      <c r="R1518" t="n">
        <v>10.8</v>
      </c>
      <c r="S1518" t="inlineStr">
        <is>
          <t>701+</t>
        </is>
      </c>
      <c r="T1518" t="n">
        <v>10.3</v>
      </c>
      <c r="U1518" t="inlineStr">
        <is>
          <t>801+</t>
        </is>
      </c>
      <c r="V1518" t="n">
        <v>62.3</v>
      </c>
      <c r="W1518" t="inlineStr">
        <is>
          <t>270</t>
        </is>
      </c>
      <c r="X1518" t="n">
        <v>94.3</v>
      </c>
      <c r="Y1518" t="inlineStr">
        <is>
          <t>187</t>
        </is>
      </c>
      <c r="Z1518" t="n">
        <v>42.2</v>
      </c>
      <c r="AA1518" t="inlineStr">
        <is>
          <t>471</t>
        </is>
      </c>
      <c r="AB1518" t="n">
        <v>46.1</v>
      </c>
      <c r="AC1518" t="inlineStr">
        <is>
          <t>452</t>
        </is>
      </c>
      <c r="AD1518" t="n">
        <v>69.8</v>
      </c>
      <c r="AE1518" t="inlineStr">
        <is>
          <t>534</t>
        </is>
      </c>
      <c r="AF1518" t="n">
        <v>54.6</v>
      </c>
      <c r="AG1518" t="inlineStr">
        <is>
          <t>306</t>
        </is>
      </c>
      <c r="AH1518" t="n">
        <v>52.9</v>
      </c>
      <c r="AI1518" t="inlineStr">
        <is>
          <t>650</t>
        </is>
      </c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</row>
    <row r="1519">
      <c r="A1519" t="inlineStr">
        <is>
          <t>University of Cyprus (UCY)</t>
        </is>
      </c>
      <c r="B1519" t="inlineStr">
        <is>
          <t>Cyprus</t>
        </is>
      </c>
      <c r="C1519" t="inlineStr">
        <is>
          <t>CY</t>
        </is>
      </c>
      <c r="D1519" t="inlineStr"/>
      <c r="E1519" t="inlineStr">
        <is>
          <t>M</t>
        </is>
      </c>
      <c r="F1519" t="inlineStr">
        <is>
          <t>CO</t>
        </is>
      </c>
      <c r="G1519" t="inlineStr">
        <is>
          <t>VH</t>
        </is>
      </c>
      <c r="H1519" t="inlineStr">
        <is>
          <t>3</t>
        </is>
      </c>
      <c r="I1519" t="inlineStr">
        <is>
          <t>A</t>
        </is>
      </c>
      <c r="J1519" t="inlineStr"/>
      <c r="K1519" t="inlineStr"/>
      <c r="L1519" t="inlineStr">
        <is>
          <t>368</t>
        </is>
      </c>
      <c r="M1519" t="inlineStr">
        <is>
          <t>473=</t>
        </is>
      </c>
      <c r="N1519" t="inlineStr"/>
      <c r="O1519" t="inlineStr">
        <is>
          <t>30.1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>
        <is>
          <t>8.9</t>
        </is>
      </c>
      <c r="AK1519" t="inlineStr">
        <is>
          <t>601+</t>
        </is>
      </c>
      <c r="AL1519" t="inlineStr">
        <is>
          <t>3.1</t>
        </is>
      </c>
      <c r="AM1519" t="inlineStr">
        <is>
          <t>601+</t>
        </is>
      </c>
      <c r="AN1519" t="inlineStr">
        <is>
          <t>4.9</t>
        </is>
      </c>
      <c r="AO1519" t="inlineStr">
        <is>
          <t>701+</t>
        </is>
      </c>
      <c r="AP1519" t="inlineStr">
        <is>
          <t>77.8</t>
        </is>
      </c>
      <c r="AQ1519" t="inlineStr">
        <is>
          <t>123</t>
        </is>
      </c>
      <c r="AR1519" t="inlineStr">
        <is>
          <t>92.9</t>
        </is>
      </c>
      <c r="AS1519" t="inlineStr">
        <is>
          <t>165</t>
        </is>
      </c>
      <c r="AT1519" t="inlineStr">
        <is>
          <t>25.4</t>
        </is>
      </c>
      <c r="AU1519" t="inlineStr">
        <is>
          <t>471</t>
        </is>
      </c>
      <c r="AV1519" t="inlineStr">
        <is>
          <t>55.9</t>
        </is>
      </c>
      <c r="AW1519" t="inlineStr">
        <is>
          <t>279</t>
        </is>
      </c>
      <c r="AX1519" t="inlineStr">
        <is>
          <t>18.6</t>
        </is>
      </c>
      <c r="AY1519" t="inlineStr">
        <is>
          <t>448</t>
        </is>
      </c>
      <c r="AZ1519" t="inlineStr">
        <is>
          <t>24.4</t>
        </is>
      </c>
      <c r="BA1519" t="inlineStr">
        <is>
          <t>497=</t>
        </is>
      </c>
    </row>
    <row r="1520">
      <c r="A1520" t="inlineStr">
        <is>
          <t>University of Da Nang</t>
        </is>
      </c>
      <c r="B1520" t="inlineStr">
        <is>
          <t>Viet Nam</t>
        </is>
      </c>
      <c r="C1520" t="inlineStr"/>
      <c r="D1520" t="inlineStr">
        <is>
          <t>Asia</t>
        </is>
      </c>
      <c r="E1520" t="inlineStr">
        <is>
          <t>XL</t>
        </is>
      </c>
      <c r="F1520" t="inlineStr">
        <is>
          <t>CO</t>
        </is>
      </c>
      <c r="G1520" t="inlineStr">
        <is>
          <t>HI</t>
        </is>
      </c>
      <c r="H1520" t="inlineStr"/>
      <c r="I1520" t="inlineStr">
        <is>
          <t>Public</t>
        </is>
      </c>
      <c r="J1520" t="inlineStr">
        <is>
          <t>1401+</t>
        </is>
      </c>
      <c r="K1520" t="inlineStr"/>
      <c r="L1520" t="inlineStr"/>
      <c r="M1520" t="inlineStr"/>
      <c r="N1520" t="inlineStr">
        <is>
          <t>-</t>
        </is>
      </c>
      <c r="O1520" t="inlineStr"/>
      <c r="P1520" t="n">
        <v>8.1</v>
      </c>
      <c r="Q1520" t="inlineStr">
        <is>
          <t>701+</t>
        </is>
      </c>
      <c r="R1520" t="n">
        <v>12.3</v>
      </c>
      <c r="S1520" t="inlineStr">
        <is>
          <t>701+</t>
        </is>
      </c>
      <c r="T1520" t="n">
        <v>3.5</v>
      </c>
      <c r="U1520" t="inlineStr">
        <is>
          <t>801+</t>
        </is>
      </c>
      <c r="V1520" t="n">
        <v>3.8</v>
      </c>
      <c r="W1520" t="inlineStr">
        <is>
          <t>801+</t>
        </is>
      </c>
      <c r="X1520" t="n">
        <v>3.6</v>
      </c>
      <c r="Y1520" t="inlineStr">
        <is>
          <t>801+</t>
        </is>
      </c>
      <c r="Z1520" t="n">
        <v>2.3</v>
      </c>
      <c r="AA1520" t="inlineStr">
        <is>
          <t>801+</t>
        </is>
      </c>
      <c r="AB1520" t="n">
        <v>6.7</v>
      </c>
      <c r="AC1520" t="inlineStr">
        <is>
          <t>801+</t>
        </is>
      </c>
      <c r="AD1520" t="n">
        <v>44</v>
      </c>
      <c r="AE1520" t="inlineStr">
        <is>
          <t>801+</t>
        </is>
      </c>
      <c r="AF1520" t="n">
        <v>6.7</v>
      </c>
      <c r="AG1520" t="inlineStr">
        <is>
          <t>801+</t>
        </is>
      </c>
      <c r="AH1520" t="n">
        <v>27.6</v>
      </c>
      <c r="AI1520" t="inlineStr">
        <is>
          <t>801+</t>
        </is>
      </c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</row>
    <row r="1521">
      <c r="A1521" t="inlineStr">
        <is>
          <t>University of Debrecen</t>
        </is>
      </c>
      <c r="B1521" t="inlineStr">
        <is>
          <t>Hungary</t>
        </is>
      </c>
      <c r="C1521" t="inlineStr">
        <is>
          <t>HU</t>
        </is>
      </c>
      <c r="D1521" t="inlineStr">
        <is>
          <t>Europe</t>
        </is>
      </c>
      <c r="E1521" t="inlineStr">
        <is>
          <t>L</t>
        </is>
      </c>
      <c r="F1521" t="inlineStr">
        <is>
          <t>FC</t>
        </is>
      </c>
      <c r="G1521" t="inlineStr">
        <is>
          <t>HI</t>
        </is>
      </c>
      <c r="H1521" t="inlineStr">
        <is>
          <t>5</t>
        </is>
      </c>
      <c r="I1521" t="inlineStr">
        <is>
          <t>Public</t>
        </is>
      </c>
      <c r="J1521" t="inlineStr">
        <is>
          <t>563</t>
        </is>
      </c>
      <c r="K1521" t="inlineStr">
        <is>
          <t>574</t>
        </is>
      </c>
      <c r="L1521" t="inlineStr">
        <is>
          <t>671-680</t>
        </is>
      </c>
      <c r="M1521" t="inlineStr">
        <is>
          <t>651-700</t>
        </is>
      </c>
      <c r="N1521" t="inlineStr">
        <is>
          <t>29.4</t>
        </is>
      </c>
      <c r="O1521" t="inlineStr">
        <is>
          <t>-</t>
        </is>
      </c>
      <c r="P1521" t="n">
        <v>27.3</v>
      </c>
      <c r="Q1521" t="inlineStr">
        <is>
          <t>458</t>
        </is>
      </c>
      <c r="R1521" t="n">
        <v>21.5</v>
      </c>
      <c r="S1521" t="inlineStr">
        <is>
          <t>613</t>
        </is>
      </c>
      <c r="T1521" t="n">
        <v>45.9</v>
      </c>
      <c r="U1521" t="inlineStr">
        <is>
          <t>426</t>
        </is>
      </c>
      <c r="V1521" t="n">
        <v>7.4</v>
      </c>
      <c r="W1521" t="inlineStr">
        <is>
          <t>801+</t>
        </is>
      </c>
      <c r="X1521" t="n">
        <v>14.4</v>
      </c>
      <c r="Y1521" t="inlineStr">
        <is>
          <t>801+</t>
        </is>
      </c>
      <c r="Z1521" t="n">
        <v>76.5</v>
      </c>
      <c r="AA1521" t="inlineStr">
        <is>
          <t>248</t>
        </is>
      </c>
      <c r="AB1521" t="n">
        <v>78.7</v>
      </c>
      <c r="AC1521" t="inlineStr">
        <is>
          <t>220</t>
        </is>
      </c>
      <c r="AD1521" t="n">
        <v>74.90000000000001</v>
      </c>
      <c r="AE1521" t="inlineStr">
        <is>
          <t>444</t>
        </is>
      </c>
      <c r="AF1521" t="n">
        <v>25.9</v>
      </c>
      <c r="AG1521" t="inlineStr">
        <is>
          <t>625</t>
        </is>
      </c>
      <c r="AH1521" t="n">
        <v>70.40000000000001</v>
      </c>
      <c r="AI1521" t="inlineStr">
        <is>
          <t>311=</t>
        </is>
      </c>
      <c r="AJ1521" t="inlineStr">
        <is>
          <t>17.3</t>
        </is>
      </c>
      <c r="AK1521" t="inlineStr">
        <is>
          <t>515</t>
        </is>
      </c>
      <c r="AL1521" t="inlineStr">
        <is>
          <t>10.3</t>
        </is>
      </c>
      <c r="AM1521" t="inlineStr">
        <is>
          <t>601+</t>
        </is>
      </c>
      <c r="AN1521" t="inlineStr">
        <is>
          <t>30.4</t>
        </is>
      </c>
      <c r="AO1521" t="inlineStr">
        <is>
          <t>516</t>
        </is>
      </c>
      <c r="AP1521" t="inlineStr">
        <is>
          <t>3.7</t>
        </is>
      </c>
      <c r="AQ1521" t="inlineStr">
        <is>
          <t>701+</t>
        </is>
      </c>
      <c r="AR1521" t="inlineStr">
        <is>
          <t>10.6</t>
        </is>
      </c>
      <c r="AS1521" t="inlineStr">
        <is>
          <t>701+</t>
        </is>
      </c>
      <c r="AT1521" t="inlineStr">
        <is>
          <t>68.0</t>
        </is>
      </c>
      <c r="AU1521" t="inlineStr">
        <is>
          <t>218</t>
        </is>
      </c>
      <c r="AV1521" t="inlineStr">
        <is>
          <t>39.6</t>
        </is>
      </c>
      <c r="AW1521" t="inlineStr">
        <is>
          <t>381</t>
        </is>
      </c>
      <c r="AX1521" t="inlineStr">
        <is>
          <t>16.9</t>
        </is>
      </c>
      <c r="AY1521" t="inlineStr">
        <is>
          <t>500</t>
        </is>
      </c>
      <c r="AZ1521" t="inlineStr">
        <is>
          <t>3.5</t>
        </is>
      </c>
      <c r="BA1521" t="inlineStr">
        <is>
          <t>701+</t>
        </is>
      </c>
    </row>
    <row r="1522">
      <c r="A1522" t="inlineStr">
        <is>
          <t>University of Delaware</t>
        </is>
      </c>
      <c r="B1522" t="inlineStr">
        <is>
          <t>United States</t>
        </is>
      </c>
      <c r="C1522" t="inlineStr">
        <is>
          <t>US</t>
        </is>
      </c>
      <c r="D1522" t="inlineStr">
        <is>
          <t>Americas</t>
        </is>
      </c>
      <c r="E1522" t="inlineStr">
        <is>
          <t>L</t>
        </is>
      </c>
      <c r="F1522" t="inlineStr">
        <is>
          <t>CO</t>
        </is>
      </c>
      <c r="G1522" t="inlineStr">
        <is>
          <t>VH</t>
        </is>
      </c>
      <c r="H1522" t="inlineStr">
        <is>
          <t>5</t>
        </is>
      </c>
      <c r="I1522" t="inlineStr">
        <is>
          <t>Public</t>
        </is>
      </c>
      <c r="J1522" t="inlineStr">
        <is>
          <t>553</t>
        </is>
      </c>
      <c r="K1522" t="inlineStr">
        <is>
          <t>506</t>
        </is>
      </c>
      <c r="L1522">
        <f>498</f>
        <v/>
      </c>
      <c r="M1522" t="inlineStr">
        <is>
          <t>581-590</t>
        </is>
      </c>
      <c r="N1522" t="inlineStr">
        <is>
          <t>29.8</t>
        </is>
      </c>
      <c r="O1522" t="inlineStr">
        <is>
          <t>23.2</t>
        </is>
      </c>
      <c r="P1522" t="n">
        <v>12.5</v>
      </c>
      <c r="Q1522" t="inlineStr">
        <is>
          <t>701+</t>
        </is>
      </c>
      <c r="R1522" t="n">
        <v>9.4</v>
      </c>
      <c r="S1522" t="inlineStr">
        <is>
          <t>701+</t>
        </is>
      </c>
      <c r="T1522" t="n">
        <v>9.6</v>
      </c>
      <c r="U1522" t="inlineStr">
        <is>
          <t>801+</t>
        </is>
      </c>
      <c r="V1522" t="n">
        <v>64.09999999999999</v>
      </c>
      <c r="W1522" t="inlineStr">
        <is>
          <t>255</t>
        </is>
      </c>
      <c r="X1522" t="n">
        <v>48.2</v>
      </c>
      <c r="Y1522" t="inlineStr">
        <is>
          <t>447</t>
        </is>
      </c>
      <c r="Z1522" t="n">
        <v>22.5</v>
      </c>
      <c r="AA1522" t="inlineStr">
        <is>
          <t>695</t>
        </is>
      </c>
      <c r="AB1522" t="n">
        <v>28.6</v>
      </c>
      <c r="AC1522" t="inlineStr">
        <is>
          <t>632</t>
        </is>
      </c>
      <c r="AD1522" t="n">
        <v>68.5</v>
      </c>
      <c r="AE1522" t="inlineStr">
        <is>
          <t>559</t>
        </is>
      </c>
      <c r="AF1522" t="n">
        <v>28.7</v>
      </c>
      <c r="AG1522" t="inlineStr">
        <is>
          <t>581</t>
        </is>
      </c>
      <c r="AH1522" t="n">
        <v>72.90000000000001</v>
      </c>
      <c r="AI1522" t="inlineStr">
        <is>
          <t>275=</t>
        </is>
      </c>
      <c r="AJ1522" t="inlineStr">
        <is>
          <t>10.3</t>
        </is>
      </c>
      <c r="AK1522" t="inlineStr">
        <is>
          <t>601+</t>
        </is>
      </c>
      <c r="AL1522" t="inlineStr">
        <is>
          <t>7.9</t>
        </is>
      </c>
      <c r="AM1522" t="inlineStr">
        <is>
          <t>601+</t>
        </is>
      </c>
      <c r="AN1522" t="inlineStr">
        <is>
          <t>6.9</t>
        </is>
      </c>
      <c r="AO1522" t="inlineStr">
        <is>
          <t>701+</t>
        </is>
      </c>
      <c r="AP1522" t="inlineStr">
        <is>
          <t>59.1</t>
        </is>
      </c>
      <c r="AQ1522" t="inlineStr">
        <is>
          <t>212</t>
        </is>
      </c>
      <c r="AR1522" t="inlineStr">
        <is>
          <t>36.3</t>
        </is>
      </c>
      <c r="AS1522" t="inlineStr">
        <is>
          <t>444</t>
        </is>
      </c>
      <c r="AT1522" t="inlineStr">
        <is>
          <t>13.7</t>
        </is>
      </c>
      <c r="AU1522" t="inlineStr">
        <is>
          <t>649</t>
        </is>
      </c>
      <c r="AV1522" t="inlineStr">
        <is>
          <t>28.2</t>
        </is>
      </c>
      <c r="AW1522" t="inlineStr">
        <is>
          <t>468</t>
        </is>
      </c>
      <c r="AX1522" t="inlineStr">
        <is>
          <t>19.8</t>
        </is>
      </c>
      <c r="AY1522" t="inlineStr">
        <is>
          <t>419</t>
        </is>
      </c>
      <c r="AZ1522" t="inlineStr">
        <is>
          <t>31.8</t>
        </is>
      </c>
      <c r="BA1522" t="inlineStr">
        <is>
          <t>424</t>
        </is>
      </c>
    </row>
    <row r="1523">
      <c r="A1523" t="inlineStr">
        <is>
          <t>University of Delhi</t>
        </is>
      </c>
      <c r="B1523" t="inlineStr">
        <is>
          <t>India</t>
        </is>
      </c>
      <c r="C1523" t="inlineStr">
        <is>
          <t>IN</t>
        </is>
      </c>
      <c r="D1523" t="inlineStr">
        <is>
          <t>Asia</t>
        </is>
      </c>
      <c r="E1523" t="inlineStr">
        <is>
          <t>L</t>
        </is>
      </c>
      <c r="F1523" t="inlineStr">
        <is>
          <t>FO</t>
        </is>
      </c>
      <c r="G1523" t="inlineStr">
        <is>
          <t>VH</t>
        </is>
      </c>
      <c r="H1523" t="inlineStr">
        <is>
          <t>5</t>
        </is>
      </c>
      <c r="I1523" t="inlineStr">
        <is>
          <t>Public</t>
        </is>
      </c>
      <c r="J1523" t="inlineStr">
        <is>
          <t>328</t>
        </is>
      </c>
      <c r="K1523" t="inlineStr">
        <is>
          <t>328</t>
        </is>
      </c>
      <c r="L1523">
        <f>407</f>
        <v/>
      </c>
      <c r="M1523" t="inlineStr">
        <is>
          <t>521-530</t>
        </is>
      </c>
      <c r="N1523" t="inlineStr">
        <is>
          <t>42.6</t>
        </is>
      </c>
      <c r="O1523" t="inlineStr">
        <is>
          <t>27.4</t>
        </is>
      </c>
      <c r="P1523" t="n">
        <v>46.9</v>
      </c>
      <c r="Q1523" t="inlineStr">
        <is>
          <t>248</t>
        </is>
      </c>
      <c r="R1523" t="n">
        <v>41.9</v>
      </c>
      <c r="S1523" t="inlineStr">
        <is>
          <t>319</t>
        </is>
      </c>
      <c r="T1523" t="n">
        <v>6.9</v>
      </c>
      <c r="U1523" t="inlineStr">
        <is>
          <t>801+</t>
        </is>
      </c>
      <c r="V1523" t="n">
        <v>47.1</v>
      </c>
      <c r="W1523" t="inlineStr">
        <is>
          <t>403</t>
        </is>
      </c>
      <c r="X1523" t="n">
        <v>1.8</v>
      </c>
      <c r="Y1523" t="inlineStr">
        <is>
          <t>801+</t>
        </is>
      </c>
      <c r="Z1523" t="n">
        <v>2.8</v>
      </c>
      <c r="AA1523" t="inlineStr">
        <is>
          <t>801+</t>
        </is>
      </c>
      <c r="AB1523" t="n">
        <v>7.5</v>
      </c>
      <c r="AC1523" t="inlineStr">
        <is>
          <t>801+</t>
        </is>
      </c>
      <c r="AD1523" t="n">
        <v>83</v>
      </c>
      <c r="AE1523" t="inlineStr">
        <is>
          <t>294</t>
        </is>
      </c>
      <c r="AF1523" t="n">
        <v>98.90000000000001</v>
      </c>
      <c r="AG1523" t="inlineStr">
        <is>
          <t>30</t>
        </is>
      </c>
      <c r="AH1523" t="n">
        <v>71.2</v>
      </c>
      <c r="AI1523" t="inlineStr">
        <is>
          <t>297=</t>
        </is>
      </c>
      <c r="AJ1523" t="inlineStr">
        <is>
          <t>36.1</t>
        </is>
      </c>
      <c r="AK1523" t="inlineStr">
        <is>
          <t>240</t>
        </is>
      </c>
      <c r="AL1523" t="inlineStr">
        <is>
          <t>28.2</t>
        </is>
      </c>
      <c r="AM1523" t="inlineStr">
        <is>
          <t>344</t>
        </is>
      </c>
      <c r="AN1523" t="inlineStr">
        <is>
          <t>3.9</t>
        </is>
      </c>
      <c r="AO1523" t="inlineStr">
        <is>
          <t>701+</t>
        </is>
      </c>
      <c r="AP1523" t="inlineStr">
        <is>
          <t>22.5</t>
        </is>
      </c>
      <c r="AQ1523" t="inlineStr">
        <is>
          <t>522</t>
        </is>
      </c>
      <c r="AR1523" t="inlineStr">
        <is>
          <t>1.4</t>
        </is>
      </c>
      <c r="AS1523" t="inlineStr">
        <is>
          <t>701+</t>
        </is>
      </c>
      <c r="AT1523" t="inlineStr">
        <is>
          <t>1.7</t>
        </is>
      </c>
      <c r="AU1523" t="inlineStr">
        <is>
          <t>701+</t>
        </is>
      </c>
      <c r="AV1523" t="inlineStr">
        <is>
          <t>24.7</t>
        </is>
      </c>
      <c r="AW1523" t="inlineStr">
        <is>
          <t>502</t>
        </is>
      </c>
      <c r="AX1523" t="inlineStr">
        <is>
          <t>91.4</t>
        </is>
      </c>
      <c r="AY1523" t="inlineStr">
        <is>
          <t>34</t>
        </is>
      </c>
      <c r="AZ1523" t="inlineStr">
        <is>
          <t>31</t>
        </is>
      </c>
      <c r="BA1523" t="inlineStr">
        <is>
          <t>432=</t>
        </is>
      </c>
    </row>
    <row r="1524">
      <c r="A1524" t="inlineStr">
        <is>
          <t>University of Denver</t>
        </is>
      </c>
      <c r="B1524" t="inlineStr">
        <is>
          <t>United States</t>
        </is>
      </c>
      <c r="C1524" t="inlineStr">
        <is>
          <t>US</t>
        </is>
      </c>
      <c r="D1524" t="inlineStr">
        <is>
          <t>Americas</t>
        </is>
      </c>
      <c r="E1524" t="inlineStr">
        <is>
          <t>M</t>
        </is>
      </c>
      <c r="F1524" t="inlineStr">
        <is>
          <t>CO</t>
        </is>
      </c>
      <c r="G1524" t="inlineStr">
        <is>
          <t>VH</t>
        </is>
      </c>
      <c r="H1524" t="inlineStr">
        <is>
          <t>5</t>
        </is>
      </c>
      <c r="I1524" t="inlineStr">
        <is>
          <t>Private not for Profit</t>
        </is>
      </c>
      <c r="J1524" t="inlineStr">
        <is>
          <t>1001-1200</t>
        </is>
      </c>
      <c r="K1524" t="inlineStr">
        <is>
          <t>951-1000</t>
        </is>
      </c>
      <c r="L1524" t="inlineStr">
        <is>
          <t>901-950</t>
        </is>
      </c>
      <c r="M1524" t="inlineStr">
        <is>
          <t>751-800</t>
        </is>
      </c>
      <c r="N1524" t="inlineStr">
        <is>
          <t>-</t>
        </is>
      </c>
      <c r="O1524" t="inlineStr">
        <is>
          <t>-</t>
        </is>
      </c>
      <c r="P1524" t="n">
        <v>7.8</v>
      </c>
      <c r="Q1524" t="inlineStr">
        <is>
          <t>701+</t>
        </is>
      </c>
      <c r="R1524" t="n">
        <v>12.2</v>
      </c>
      <c r="S1524" t="inlineStr">
        <is>
          <t>701+</t>
        </is>
      </c>
      <c r="T1524" t="n">
        <v>43.6</v>
      </c>
      <c r="U1524" t="inlineStr">
        <is>
          <t>458</t>
        </is>
      </c>
      <c r="V1524" t="n">
        <v>12.7</v>
      </c>
      <c r="W1524" t="inlineStr">
        <is>
          <t>801+</t>
        </is>
      </c>
      <c r="X1524" t="n">
        <v>6</v>
      </c>
      <c r="Y1524" t="inlineStr">
        <is>
          <t>801+</t>
        </is>
      </c>
      <c r="Z1524" t="n">
        <v>14.2</v>
      </c>
      <c r="AA1524" t="inlineStr">
        <is>
          <t>801+</t>
        </is>
      </c>
      <c r="AB1524" t="n">
        <v>20.2</v>
      </c>
      <c r="AC1524" t="inlineStr">
        <is>
          <t>760</t>
        </is>
      </c>
      <c r="AD1524" t="n">
        <v>31.8</v>
      </c>
      <c r="AE1524" t="inlineStr">
        <is>
          <t>801+</t>
        </is>
      </c>
      <c r="AF1524" t="n">
        <v>37.5</v>
      </c>
      <c r="AG1524" t="inlineStr">
        <is>
          <t>465</t>
        </is>
      </c>
      <c r="AH1524" t="n">
        <v>49.5</v>
      </c>
      <c r="AI1524" t="inlineStr">
        <is>
          <t>715=</t>
        </is>
      </c>
      <c r="AJ1524" t="inlineStr">
        <is>
          <t>5.3</t>
        </is>
      </c>
      <c r="AK1524" t="inlineStr">
        <is>
          <t>601+</t>
        </is>
      </c>
      <c r="AL1524" t="inlineStr">
        <is>
          <t>7.5</t>
        </is>
      </c>
      <c r="AM1524" t="inlineStr">
        <is>
          <t>601+</t>
        </is>
      </c>
      <c r="AN1524" t="inlineStr">
        <is>
          <t>45.7</t>
        </is>
      </c>
      <c r="AO1524" t="inlineStr">
        <is>
          <t>343</t>
        </is>
      </c>
      <c r="AP1524" t="inlineStr">
        <is>
          <t>11.1</t>
        </is>
      </c>
      <c r="AQ1524" t="inlineStr">
        <is>
          <t>701+</t>
        </is>
      </c>
      <c r="AR1524" t="inlineStr">
        <is>
          <t>2.4</t>
        </is>
      </c>
      <c r="AS1524" t="inlineStr">
        <is>
          <t>701+</t>
        </is>
      </c>
      <c r="AT1524" t="inlineStr">
        <is>
          <t>5.6</t>
        </is>
      </c>
      <c r="AU1524" t="inlineStr">
        <is>
          <t>701+</t>
        </is>
      </c>
      <c r="AV1524" t="inlineStr">
        <is>
          <t>3.3</t>
        </is>
      </c>
      <c r="AW1524" t="inlineStr">
        <is>
          <t>701+</t>
        </is>
      </c>
      <c r="AX1524" t="inlineStr">
        <is>
          <t>23.1</t>
        </is>
      </c>
      <c r="AY1524" t="inlineStr">
        <is>
          <t>363</t>
        </is>
      </c>
      <c r="AZ1524" t="inlineStr">
        <is>
          <t>18.8</t>
        </is>
      </c>
      <c r="BA1524" t="inlineStr">
        <is>
          <t>555=</t>
        </is>
      </c>
    </row>
    <row r="1525">
      <c r="A1525" t="inlineStr">
        <is>
          <t>University of Derby</t>
        </is>
      </c>
      <c r="B1525" t="inlineStr">
        <is>
          <t>United Kingdom</t>
        </is>
      </c>
      <c r="C1525" t="inlineStr">
        <is>
          <t>UK</t>
        </is>
      </c>
      <c r="D1525" t="inlineStr">
        <is>
          <t>Europe</t>
        </is>
      </c>
      <c r="E1525" t="inlineStr">
        <is>
          <t>L</t>
        </is>
      </c>
      <c r="F1525" t="inlineStr">
        <is>
          <t>CO</t>
        </is>
      </c>
      <c r="G1525" t="inlineStr">
        <is>
          <t>HI</t>
        </is>
      </c>
      <c r="H1525" t="inlineStr">
        <is>
          <t>3</t>
        </is>
      </c>
      <c r="I1525" t="inlineStr">
        <is>
          <t>Public</t>
        </is>
      </c>
      <c r="J1525" t="inlineStr">
        <is>
          <t>1201-1400</t>
        </is>
      </c>
      <c r="K1525" t="inlineStr">
        <is>
          <t>1001-1200</t>
        </is>
      </c>
      <c r="L1525" t="inlineStr">
        <is>
          <t>1001-1200</t>
        </is>
      </c>
      <c r="M1525" t="inlineStr">
        <is>
          <t>1001-1200</t>
        </is>
      </c>
      <c r="N1525" t="inlineStr">
        <is>
          <t>-</t>
        </is>
      </c>
      <c r="O1525" t="inlineStr">
        <is>
          <t>-</t>
        </is>
      </c>
      <c r="P1525" t="n">
        <v>5.4</v>
      </c>
      <c r="Q1525" t="inlineStr">
        <is>
          <t>701+</t>
        </is>
      </c>
      <c r="R1525" t="n">
        <v>7.5</v>
      </c>
      <c r="S1525" t="inlineStr">
        <is>
          <t>701+</t>
        </is>
      </c>
      <c r="T1525" t="n">
        <v>12</v>
      </c>
      <c r="U1525" t="inlineStr">
        <is>
          <t>801+</t>
        </is>
      </c>
      <c r="V1525" t="n">
        <v>10.9</v>
      </c>
      <c r="W1525" t="inlineStr">
        <is>
          <t>801+</t>
        </is>
      </c>
      <c r="X1525" t="n">
        <v>40.8</v>
      </c>
      <c r="Y1525" t="inlineStr">
        <is>
          <t>492</t>
        </is>
      </c>
      <c r="Z1525" t="n">
        <v>49.9</v>
      </c>
      <c r="AA1525" t="inlineStr">
        <is>
          <t>409</t>
        </is>
      </c>
      <c r="AB1525" t="n">
        <v>54.6</v>
      </c>
      <c r="AC1525" t="inlineStr">
        <is>
          <t>375</t>
        </is>
      </c>
      <c r="AD1525" t="n">
        <v>42.8</v>
      </c>
      <c r="AE1525" t="inlineStr">
        <is>
          <t>801+</t>
        </is>
      </c>
      <c r="AF1525" t="n">
        <v>2.2</v>
      </c>
      <c r="AG1525" t="inlineStr">
        <is>
          <t>801+</t>
        </is>
      </c>
      <c r="AH1525" t="n">
        <v>34</v>
      </c>
      <c r="AI1525" t="inlineStr">
        <is>
          <t>801+</t>
        </is>
      </c>
      <c r="AJ1525" t="inlineStr">
        <is>
          <t>4.8</t>
        </is>
      </c>
      <c r="AK1525" t="inlineStr">
        <is>
          <t>601+</t>
        </is>
      </c>
      <c r="AL1525" t="inlineStr">
        <is>
          <t>3.2</t>
        </is>
      </c>
      <c r="AM1525" t="inlineStr">
        <is>
          <t>601+</t>
        </is>
      </c>
      <c r="AN1525" t="inlineStr">
        <is>
          <t>11.3</t>
        </is>
      </c>
      <c r="AO1525" t="inlineStr">
        <is>
          <t>701+</t>
        </is>
      </c>
      <c r="AP1525" t="inlineStr">
        <is>
          <t>4.7</t>
        </is>
      </c>
      <c r="AQ1525" t="inlineStr">
        <is>
          <t>701+</t>
        </is>
      </c>
      <c r="AR1525" t="inlineStr">
        <is>
          <t>30.5</t>
        </is>
      </c>
      <c r="AS1525" t="inlineStr">
        <is>
          <t>486</t>
        </is>
      </c>
      <c r="AT1525" t="inlineStr">
        <is>
          <t>48.5</t>
        </is>
      </c>
      <c r="AU1525" t="inlineStr">
        <is>
          <t>305</t>
        </is>
      </c>
      <c r="AV1525" t="inlineStr">
        <is>
          <t>4.4</t>
        </is>
      </c>
      <c r="AW1525" t="inlineStr">
        <is>
          <t>701+</t>
        </is>
      </c>
      <c r="AX1525" t="inlineStr">
        <is>
          <t>9.3</t>
        </is>
      </c>
      <c r="AY1525" t="inlineStr">
        <is>
          <t>701+</t>
        </is>
      </c>
      <c r="AZ1525" t="inlineStr">
        <is>
          <t>3.8</t>
        </is>
      </c>
      <c r="BA1525" t="inlineStr">
        <is>
          <t>701+</t>
        </is>
      </c>
    </row>
    <row r="1526">
      <c r="A1526" t="inlineStr">
        <is>
          <t>University of Deusto</t>
        </is>
      </c>
      <c r="B1526" t="inlineStr">
        <is>
          <t>Spain</t>
        </is>
      </c>
      <c r="C1526" t="inlineStr">
        <is>
          <t>ES</t>
        </is>
      </c>
      <c r="D1526" t="inlineStr">
        <is>
          <t>Europe</t>
        </is>
      </c>
      <c r="E1526" t="inlineStr">
        <is>
          <t>M</t>
        </is>
      </c>
      <c r="F1526" t="inlineStr">
        <is>
          <t>FO</t>
        </is>
      </c>
      <c r="G1526" t="inlineStr">
        <is>
          <t>VH</t>
        </is>
      </c>
      <c r="H1526" t="inlineStr">
        <is>
          <t>5</t>
        </is>
      </c>
      <c r="I1526" t="inlineStr"/>
      <c r="J1526" t="inlineStr">
        <is>
          <t>1001-1200</t>
        </is>
      </c>
      <c r="K1526" t="inlineStr">
        <is>
          <t>1001-1200</t>
        </is>
      </c>
      <c r="L1526" t="inlineStr">
        <is>
          <t>1001-1200</t>
        </is>
      </c>
      <c r="M1526" t="inlineStr"/>
      <c r="N1526" t="inlineStr">
        <is>
          <t>-</t>
        </is>
      </c>
      <c r="O1526" t="inlineStr">
        <is>
          <t>-</t>
        </is>
      </c>
      <c r="P1526" t="n">
        <v>8.9</v>
      </c>
      <c r="Q1526" t="inlineStr">
        <is>
          <t>701+</t>
        </is>
      </c>
      <c r="R1526" t="n">
        <v>29.8</v>
      </c>
      <c r="S1526" t="inlineStr">
        <is>
          <t>477</t>
        </is>
      </c>
      <c r="T1526" t="n">
        <v>7.4</v>
      </c>
      <c r="U1526" t="inlineStr">
        <is>
          <t>801+</t>
        </is>
      </c>
      <c r="V1526" t="n">
        <v>14.3</v>
      </c>
      <c r="W1526" t="inlineStr">
        <is>
          <t>801+</t>
        </is>
      </c>
      <c r="X1526" t="n">
        <v>8.800000000000001</v>
      </c>
      <c r="Y1526" t="inlineStr">
        <is>
          <t>801+</t>
        </is>
      </c>
      <c r="Z1526" t="n">
        <v>29.9</v>
      </c>
      <c r="AA1526" t="inlineStr">
        <is>
          <t>592</t>
        </is>
      </c>
      <c r="AB1526" t="n">
        <v>35.8</v>
      </c>
      <c r="AC1526" t="inlineStr">
        <is>
          <t>539</t>
        </is>
      </c>
      <c r="AD1526" t="n">
        <v>29.1</v>
      </c>
      <c r="AE1526" t="inlineStr">
        <is>
          <t>801+</t>
        </is>
      </c>
      <c r="AF1526" t="n">
        <v>52.2</v>
      </c>
      <c r="AG1526" t="inlineStr">
        <is>
          <t>324</t>
        </is>
      </c>
      <c r="AH1526" t="n">
        <v>31.6</v>
      </c>
      <c r="AI1526" t="inlineStr">
        <is>
          <t>801+</t>
        </is>
      </c>
      <c r="AJ1526" t="inlineStr">
        <is>
          <t>5.8</t>
        </is>
      </c>
      <c r="AK1526" t="inlineStr">
        <is>
          <t>601+</t>
        </is>
      </c>
      <c r="AL1526" t="inlineStr">
        <is>
          <t>20.9</t>
        </is>
      </c>
      <c r="AM1526" t="inlineStr">
        <is>
          <t>445</t>
        </is>
      </c>
      <c r="AN1526" t="inlineStr">
        <is>
          <t>5.0</t>
        </is>
      </c>
      <c r="AO1526" t="inlineStr">
        <is>
          <t>701+</t>
        </is>
      </c>
      <c r="AP1526" t="inlineStr">
        <is>
          <t>6.8</t>
        </is>
      </c>
      <c r="AQ1526" t="inlineStr">
        <is>
          <t>701+</t>
        </is>
      </c>
      <c r="AR1526" t="inlineStr"/>
      <c r="AS1526" t="inlineStr"/>
      <c r="AT1526" t="inlineStr"/>
      <c r="AU1526" t="inlineStr"/>
      <c r="AV1526" t="inlineStr">
        <is>
          <t>1.3</t>
        </is>
      </c>
      <c r="AW1526" t="inlineStr">
        <is>
          <t>701+</t>
        </is>
      </c>
      <c r="AX1526" t="inlineStr">
        <is>
          <t>12.7</t>
        </is>
      </c>
      <c r="AY1526" t="inlineStr">
        <is>
          <t>677</t>
        </is>
      </c>
      <c r="AZ1526" t="inlineStr"/>
      <c r="BA1526" t="inlineStr"/>
    </row>
    <row r="1527">
      <c r="A1527" t="inlineStr">
        <is>
          <t>University of Dhaka</t>
        </is>
      </c>
      <c r="B1527" t="inlineStr">
        <is>
          <t>Bangladesh</t>
        </is>
      </c>
      <c r="C1527" t="inlineStr">
        <is>
          <t>BD</t>
        </is>
      </c>
      <c r="D1527" t="inlineStr">
        <is>
          <t>Asia</t>
        </is>
      </c>
      <c r="E1527" t="inlineStr">
        <is>
          <t>XL</t>
        </is>
      </c>
      <c r="F1527" t="inlineStr">
        <is>
          <t>FC</t>
        </is>
      </c>
      <c r="G1527" t="inlineStr">
        <is>
          <t>HI</t>
        </is>
      </c>
      <c r="H1527" t="inlineStr">
        <is>
          <t>5</t>
        </is>
      </c>
      <c r="I1527" t="inlineStr">
        <is>
          <t>Public</t>
        </is>
      </c>
      <c r="J1527" t="inlineStr">
        <is>
          <t>584</t>
        </is>
      </c>
      <c r="K1527" t="inlineStr">
        <is>
          <t>554</t>
        </is>
      </c>
      <c r="L1527" t="inlineStr">
        <is>
          <t>691-700</t>
        </is>
      </c>
      <c r="M1527" t="inlineStr">
        <is>
          <t>801-1000</t>
        </is>
      </c>
      <c r="N1527" t="inlineStr">
        <is>
          <t>28.7</t>
        </is>
      </c>
      <c r="O1527" t="inlineStr">
        <is>
          <t>-</t>
        </is>
      </c>
      <c r="P1527" t="n">
        <v>30.5</v>
      </c>
      <c r="Q1527" t="inlineStr">
        <is>
          <t>401</t>
        </is>
      </c>
      <c r="R1527" t="n">
        <v>51.3</v>
      </c>
      <c r="S1527" t="inlineStr">
        <is>
          <t>242</t>
        </is>
      </c>
      <c r="T1527" t="n">
        <v>10.5</v>
      </c>
      <c r="U1527" t="inlineStr">
        <is>
          <t>801+</t>
        </is>
      </c>
      <c r="V1527" t="n">
        <v>6.9</v>
      </c>
      <c r="W1527" t="inlineStr">
        <is>
          <t>801+</t>
        </is>
      </c>
      <c r="X1527" t="n">
        <v>2.2</v>
      </c>
      <c r="Y1527" t="inlineStr">
        <is>
          <t>801+</t>
        </is>
      </c>
      <c r="Z1527" t="n">
        <v>1.4</v>
      </c>
      <c r="AA1527" t="inlineStr">
        <is>
          <t>801+</t>
        </is>
      </c>
      <c r="AB1527" t="n">
        <v>1.3</v>
      </c>
      <c r="AC1527" t="inlineStr">
        <is>
          <t>801+</t>
        </is>
      </c>
      <c r="AD1527" t="n">
        <v>57.8</v>
      </c>
      <c r="AE1527" t="inlineStr">
        <is>
          <t>720</t>
        </is>
      </c>
      <c r="AF1527" t="n">
        <v>97</v>
      </c>
      <c r="AG1527" t="inlineStr">
        <is>
          <t>59</t>
        </is>
      </c>
      <c r="AH1527" t="n">
        <v>54.2</v>
      </c>
      <c r="AI1527" t="inlineStr">
        <is>
          <t>619=</t>
        </is>
      </c>
      <c r="AJ1527" t="inlineStr">
        <is>
          <t>21.3</t>
        </is>
      </c>
      <c r="AK1527" t="inlineStr">
        <is>
          <t>409</t>
        </is>
      </c>
      <c r="AL1527" t="inlineStr">
        <is>
          <t>44.9</t>
        </is>
      </c>
      <c r="AM1527" t="inlineStr">
        <is>
          <t>195</t>
        </is>
      </c>
      <c r="AN1527" t="inlineStr">
        <is>
          <t>11.7</t>
        </is>
      </c>
      <c r="AO1527" t="inlineStr">
        <is>
          <t>701+</t>
        </is>
      </c>
      <c r="AP1527" t="inlineStr">
        <is>
          <t>2.6</t>
        </is>
      </c>
      <c r="AQ1527" t="inlineStr">
        <is>
          <t>701+</t>
        </is>
      </c>
      <c r="AR1527" t="inlineStr">
        <is>
          <t>1.7</t>
        </is>
      </c>
      <c r="AS1527" t="inlineStr">
        <is>
          <t>701+</t>
        </is>
      </c>
      <c r="AT1527" t="inlineStr">
        <is>
          <t>1.0</t>
        </is>
      </c>
      <c r="AU1527" t="inlineStr">
        <is>
          <t>701+</t>
        </is>
      </c>
      <c r="AV1527" t="inlineStr">
        <is>
          <t>2.1</t>
        </is>
      </c>
      <c r="AW1527" t="inlineStr">
        <is>
          <t>701+</t>
        </is>
      </c>
      <c r="AX1527" t="inlineStr">
        <is>
          <t>30.3</t>
        </is>
      </c>
      <c r="AY1527" t="inlineStr">
        <is>
          <t>253</t>
        </is>
      </c>
      <c r="AZ1527" t="inlineStr">
        <is>
          <t>11.6</t>
        </is>
      </c>
      <c r="BA1527" t="inlineStr">
        <is>
          <t>652=</t>
        </is>
      </c>
    </row>
    <row r="1528">
      <c r="A1528" t="inlineStr">
        <is>
          <t>University of Dubai</t>
        </is>
      </c>
      <c r="B1528" t="inlineStr">
        <is>
          <t>United Arab Emirates</t>
        </is>
      </c>
      <c r="C1528" t="inlineStr">
        <is>
          <t>AE</t>
        </is>
      </c>
      <c r="D1528" t="inlineStr">
        <is>
          <t>Asia</t>
        </is>
      </c>
      <c r="E1528" t="inlineStr">
        <is>
          <t>S</t>
        </is>
      </c>
      <c r="F1528" t="inlineStr">
        <is>
          <t>SP</t>
        </is>
      </c>
      <c r="G1528" t="inlineStr">
        <is>
          <t>MD</t>
        </is>
      </c>
      <c r="H1528" t="inlineStr">
        <is>
          <t>3</t>
        </is>
      </c>
      <c r="I1528" t="inlineStr">
        <is>
          <t>Private not for Profit</t>
        </is>
      </c>
      <c r="J1528" t="inlineStr">
        <is>
          <t>851-900</t>
        </is>
      </c>
      <c r="K1528" t="inlineStr">
        <is>
          <t>851-900</t>
        </is>
      </c>
      <c r="L1528" t="inlineStr">
        <is>
          <t>801-850</t>
        </is>
      </c>
      <c r="M1528" t="inlineStr">
        <is>
          <t>801-1000</t>
        </is>
      </c>
      <c r="N1528" t="inlineStr">
        <is>
          <t>-</t>
        </is>
      </c>
      <c r="O1528" t="inlineStr">
        <is>
          <t>-</t>
        </is>
      </c>
      <c r="P1528" t="n">
        <v>6</v>
      </c>
      <c r="Q1528" t="inlineStr">
        <is>
          <t>701+</t>
        </is>
      </c>
      <c r="R1528" t="n">
        <v>11.5</v>
      </c>
      <c r="S1528" t="inlineStr">
        <is>
          <t>701+</t>
        </is>
      </c>
      <c r="T1528" t="n">
        <v>12.6</v>
      </c>
      <c r="U1528" t="inlineStr">
        <is>
          <t>801+</t>
        </is>
      </c>
      <c r="V1528" t="n">
        <v>24.2</v>
      </c>
      <c r="W1528" t="inlineStr">
        <is>
          <t>652</t>
        </is>
      </c>
      <c r="X1528" t="n">
        <v>100</v>
      </c>
      <c r="Y1528" t="inlineStr">
        <is>
          <t>6</t>
        </is>
      </c>
      <c r="Z1528" t="n">
        <v>88.7</v>
      </c>
      <c r="AA1528" t="inlineStr">
        <is>
          <t>180</t>
        </is>
      </c>
      <c r="AB1528" t="n">
        <v>82.2</v>
      </c>
      <c r="AC1528" t="inlineStr">
        <is>
          <t>188</t>
        </is>
      </c>
      <c r="AD1528" t="n">
        <v>14.4</v>
      </c>
      <c r="AE1528" t="inlineStr">
        <is>
          <t>801+</t>
        </is>
      </c>
      <c r="AF1528" t="n">
        <v>11.2</v>
      </c>
      <c r="AG1528" t="inlineStr">
        <is>
          <t>801+</t>
        </is>
      </c>
      <c r="AH1528" t="n">
        <v>19.1</v>
      </c>
      <c r="AI1528" t="inlineStr">
        <is>
          <t>801+</t>
        </is>
      </c>
      <c r="AJ1528" t="inlineStr">
        <is>
          <t>4.2</t>
        </is>
      </c>
      <c r="AK1528" t="inlineStr">
        <is>
          <t>601+</t>
        </is>
      </c>
      <c r="AL1528" t="inlineStr">
        <is>
          <t>4.5</t>
        </is>
      </c>
      <c r="AM1528" t="inlineStr">
        <is>
          <t>601+</t>
        </is>
      </c>
      <c r="AN1528" t="inlineStr">
        <is>
          <t>13.0</t>
        </is>
      </c>
      <c r="AO1528" t="inlineStr">
        <is>
          <t>701+</t>
        </is>
      </c>
      <c r="AP1528" t="inlineStr">
        <is>
          <t>10.0</t>
        </is>
      </c>
      <c r="AQ1528" t="inlineStr">
        <is>
          <t>701+</t>
        </is>
      </c>
      <c r="AR1528" t="inlineStr">
        <is>
          <t>100.0</t>
        </is>
      </c>
      <c r="AS1528" t="inlineStr">
        <is>
          <t>7</t>
        </is>
      </c>
      <c r="AT1528" t="inlineStr">
        <is>
          <t>64.5</t>
        </is>
      </c>
      <c r="AU1528" t="inlineStr">
        <is>
          <t>232</t>
        </is>
      </c>
      <c r="AV1528" t="inlineStr">
        <is>
          <t>1.0</t>
        </is>
      </c>
      <c r="AW1528" t="inlineStr">
        <is>
          <t>701+</t>
        </is>
      </c>
      <c r="AX1528" t="inlineStr">
        <is>
          <t>17.3</t>
        </is>
      </c>
      <c r="AY1528" t="inlineStr">
        <is>
          <t>484</t>
        </is>
      </c>
      <c r="AZ1528" t="inlineStr">
        <is>
          <t>1</t>
        </is>
      </c>
      <c r="BA1528" t="inlineStr">
        <is>
          <t>701+</t>
        </is>
      </c>
    </row>
    <row r="1529">
      <c r="A1529" t="inlineStr">
        <is>
          <t>University of Dundee</t>
        </is>
      </c>
      <c r="B1529" t="inlineStr">
        <is>
          <t>United Kingdom</t>
        </is>
      </c>
      <c r="C1529" t="inlineStr">
        <is>
          <t>UK</t>
        </is>
      </c>
      <c r="D1529" t="inlineStr">
        <is>
          <t>Europe</t>
        </is>
      </c>
      <c r="E1529" t="inlineStr">
        <is>
          <t>M</t>
        </is>
      </c>
      <c r="F1529" t="inlineStr">
        <is>
          <t>FC</t>
        </is>
      </c>
      <c r="G1529" t="inlineStr">
        <is>
          <t>VH</t>
        </is>
      </c>
      <c r="H1529" t="inlineStr">
        <is>
          <t>4</t>
        </is>
      </c>
      <c r="I1529" t="inlineStr">
        <is>
          <t>Public</t>
        </is>
      </c>
      <c r="J1529" t="inlineStr">
        <is>
          <t>428</t>
        </is>
      </c>
      <c r="K1529" t="inlineStr">
        <is>
          <t>418</t>
        </is>
      </c>
      <c r="L1529">
        <f>441</f>
        <v/>
      </c>
      <c r="M1529" t="inlineStr">
        <is>
          <t>354</t>
        </is>
      </c>
      <c r="N1529" t="inlineStr">
        <is>
          <t>35.9</t>
        </is>
      </c>
      <c r="O1529" t="inlineStr">
        <is>
          <t>25.9</t>
        </is>
      </c>
      <c r="P1529" t="n">
        <v>25.5</v>
      </c>
      <c r="Q1529" t="inlineStr">
        <is>
          <t>497</t>
        </is>
      </c>
      <c r="R1529" t="n">
        <v>21.3</v>
      </c>
      <c r="S1529" t="inlineStr">
        <is>
          <t>618</t>
        </is>
      </c>
      <c r="T1529" t="n">
        <v>44.8</v>
      </c>
      <c r="U1529" t="inlineStr">
        <is>
          <t>438</t>
        </is>
      </c>
      <c r="V1529" t="n">
        <v>20.6</v>
      </c>
      <c r="W1529" t="inlineStr">
        <is>
          <t>704</t>
        </is>
      </c>
      <c r="X1529" t="n">
        <v>92</v>
      </c>
      <c r="Y1529" t="inlineStr">
        <is>
          <t>209</t>
        </is>
      </c>
      <c r="Z1529" t="n">
        <v>84.40000000000001</v>
      </c>
      <c r="AA1529" t="inlineStr">
        <is>
          <t>198</t>
        </is>
      </c>
      <c r="AB1529" t="n">
        <v>85.8</v>
      </c>
      <c r="AC1529" t="inlineStr">
        <is>
          <t>169</t>
        </is>
      </c>
      <c r="AD1529" t="n">
        <v>78.7</v>
      </c>
      <c r="AE1529" t="inlineStr">
        <is>
          <t>374</t>
        </is>
      </c>
      <c r="AF1529" t="n">
        <v>13.9</v>
      </c>
      <c r="AG1529" t="inlineStr">
        <is>
          <t>801+</t>
        </is>
      </c>
      <c r="AH1529" t="n">
        <v>78.59999999999999</v>
      </c>
      <c r="AI1529" t="inlineStr">
        <is>
          <t>190=</t>
        </is>
      </c>
      <c r="AJ1529" t="inlineStr">
        <is>
          <t>18.3</t>
        </is>
      </c>
      <c r="AK1529" t="inlineStr">
        <is>
          <t>488</t>
        </is>
      </c>
      <c r="AL1529" t="inlineStr">
        <is>
          <t>13.6</t>
        </is>
      </c>
      <c r="AM1529" t="inlineStr">
        <is>
          <t>595</t>
        </is>
      </c>
      <c r="AN1529" t="inlineStr">
        <is>
          <t>37.5</t>
        </is>
      </c>
      <c r="AO1529" t="inlineStr">
        <is>
          <t>418</t>
        </is>
      </c>
      <c r="AP1529" t="inlineStr">
        <is>
          <t>14.2</t>
        </is>
      </c>
      <c r="AQ1529" t="inlineStr">
        <is>
          <t>654</t>
        </is>
      </c>
      <c r="AR1529" t="inlineStr">
        <is>
          <t>96.0</t>
        </is>
      </c>
      <c r="AS1529" t="inlineStr">
        <is>
          <t>142</t>
        </is>
      </c>
      <c r="AT1529" t="inlineStr">
        <is>
          <t>79.9</t>
        </is>
      </c>
      <c r="AU1529" t="inlineStr">
        <is>
          <t>162</t>
        </is>
      </c>
      <c r="AV1529" t="inlineStr">
        <is>
          <t>27.4</t>
        </is>
      </c>
      <c r="AW1529" t="inlineStr">
        <is>
          <t>475</t>
        </is>
      </c>
      <c r="AX1529" t="inlineStr">
        <is>
          <t>10.5</t>
        </is>
      </c>
      <c r="AY1529" t="inlineStr">
        <is>
          <t>701+</t>
        </is>
      </c>
      <c r="AZ1529" t="inlineStr">
        <is>
          <t>21.8</t>
        </is>
      </c>
      <c r="BA1529" t="inlineStr">
        <is>
          <t>524=</t>
        </is>
      </c>
    </row>
    <row r="1530">
      <c r="A1530" t="inlineStr">
        <is>
          <t>University of East Anglia (UEA)</t>
        </is>
      </c>
      <c r="B1530" t="inlineStr">
        <is>
          <t>United Kingdom</t>
        </is>
      </c>
      <c r="C1530" t="inlineStr">
        <is>
          <t>UK</t>
        </is>
      </c>
      <c r="D1530" t="inlineStr">
        <is>
          <t>Europe</t>
        </is>
      </c>
      <c r="E1530" t="inlineStr">
        <is>
          <t>L</t>
        </is>
      </c>
      <c r="F1530" t="inlineStr">
        <is>
          <t>FC</t>
        </is>
      </c>
      <c r="G1530" t="inlineStr">
        <is>
          <t>VH</t>
        </is>
      </c>
      <c r="H1530" t="inlineStr">
        <is>
          <t>4</t>
        </is>
      </c>
      <c r="I1530" t="inlineStr">
        <is>
          <t>Public</t>
        </is>
      </c>
      <c r="J1530" t="inlineStr">
        <is>
          <t>381</t>
        </is>
      </c>
      <c r="K1530" t="inlineStr">
        <is>
          <t>332</t>
        </is>
      </c>
      <c r="L1530">
        <f>295</f>
        <v/>
      </c>
      <c r="M1530" t="inlineStr">
        <is>
          <t>342</t>
        </is>
      </c>
      <c r="N1530" t="inlineStr">
        <is>
          <t>39.4</t>
        </is>
      </c>
      <c r="O1530" t="inlineStr">
        <is>
          <t>35.4</t>
        </is>
      </c>
      <c r="P1530" t="n">
        <v>24.7</v>
      </c>
      <c r="Q1530" t="inlineStr">
        <is>
          <t>514</t>
        </is>
      </c>
      <c r="R1530" t="n">
        <v>15</v>
      </c>
      <c r="S1530" t="inlineStr">
        <is>
          <t>701+</t>
        </is>
      </c>
      <c r="T1530" t="n">
        <v>24</v>
      </c>
      <c r="U1530" t="inlineStr">
        <is>
          <t>753</t>
        </is>
      </c>
      <c r="V1530" t="n">
        <v>55.5</v>
      </c>
      <c r="W1530" t="inlineStr">
        <is>
          <t>324</t>
        </is>
      </c>
      <c r="X1530" t="n">
        <v>81.90000000000001</v>
      </c>
      <c r="Y1530" t="inlineStr">
        <is>
          <t>278</t>
        </is>
      </c>
      <c r="Z1530" t="n">
        <v>49.3</v>
      </c>
      <c r="AA1530" t="inlineStr">
        <is>
          <t>413</t>
        </is>
      </c>
      <c r="AB1530" t="n">
        <v>54</v>
      </c>
      <c r="AC1530" t="inlineStr">
        <is>
          <t>380</t>
        </is>
      </c>
      <c r="AD1530" t="n">
        <v>86.8</v>
      </c>
      <c r="AE1530" t="inlineStr">
        <is>
          <t>224</t>
        </is>
      </c>
      <c r="AF1530" t="n">
        <v>31.8</v>
      </c>
      <c r="AG1530" t="inlineStr">
        <is>
          <t>528</t>
        </is>
      </c>
      <c r="AH1530" t="n">
        <v>91.09999999999999</v>
      </c>
      <c r="AI1530" t="inlineStr">
        <is>
          <t>54=</t>
        </is>
      </c>
      <c r="AJ1530" t="inlineStr">
        <is>
          <t>19.2</t>
        </is>
      </c>
      <c r="AK1530" t="inlineStr">
        <is>
          <t>466</t>
        </is>
      </c>
      <c r="AL1530" t="inlineStr">
        <is>
          <t>8.5</t>
        </is>
      </c>
      <c r="AM1530" t="inlineStr">
        <is>
          <t>601+</t>
        </is>
      </c>
      <c r="AN1530" t="inlineStr">
        <is>
          <t>16.8</t>
        </is>
      </c>
      <c r="AO1530" t="inlineStr">
        <is>
          <t>701+</t>
        </is>
      </c>
      <c r="AP1530" t="inlineStr">
        <is>
          <t>66.0</t>
        </is>
      </c>
      <c r="AQ1530" t="inlineStr">
        <is>
          <t>164</t>
        </is>
      </c>
      <c r="AR1530" t="inlineStr">
        <is>
          <t>68.0</t>
        </is>
      </c>
      <c r="AS1530" t="inlineStr">
        <is>
          <t>287</t>
        </is>
      </c>
      <c r="AT1530" t="inlineStr">
        <is>
          <t>38.2</t>
        </is>
      </c>
      <c r="AU1530" t="inlineStr">
        <is>
          <t>360</t>
        </is>
      </c>
      <c r="AV1530" t="inlineStr">
        <is>
          <t>64.8</t>
        </is>
      </c>
      <c r="AW1530" t="inlineStr">
        <is>
          <t>218</t>
        </is>
      </c>
      <c r="AX1530" t="inlineStr">
        <is>
          <t>12.7</t>
        </is>
      </c>
      <c r="AY1530" t="inlineStr">
        <is>
          <t>678</t>
        </is>
      </c>
      <c r="AZ1530" t="inlineStr">
        <is>
          <t>84.3</t>
        </is>
      </c>
      <c r="BA1530" t="inlineStr">
        <is>
          <t>123=</t>
        </is>
      </c>
    </row>
    <row r="1531">
      <c r="A1531" t="inlineStr">
        <is>
          <t>University of East London</t>
        </is>
      </c>
      <c r="B1531" t="inlineStr">
        <is>
          <t>United Kingdom</t>
        </is>
      </c>
      <c r="C1531" t="inlineStr">
        <is>
          <t>UK</t>
        </is>
      </c>
      <c r="D1531" t="inlineStr">
        <is>
          <t>Europe</t>
        </is>
      </c>
      <c r="E1531" t="inlineStr">
        <is>
          <t>L</t>
        </is>
      </c>
      <c r="F1531" t="inlineStr">
        <is>
          <t>FO</t>
        </is>
      </c>
      <c r="G1531" t="inlineStr">
        <is>
          <t>HI</t>
        </is>
      </c>
      <c r="H1531" t="inlineStr">
        <is>
          <t>3</t>
        </is>
      </c>
      <c r="I1531" t="inlineStr">
        <is>
          <t>Public</t>
        </is>
      </c>
      <c r="J1531" t="inlineStr">
        <is>
          <t>1001-1200</t>
        </is>
      </c>
      <c r="K1531" t="inlineStr">
        <is>
          <t>901-950</t>
        </is>
      </c>
      <c r="L1531" t="inlineStr">
        <is>
          <t>851-900</t>
        </is>
      </c>
      <c r="M1531" t="inlineStr">
        <is>
          <t>801-1000</t>
        </is>
      </c>
      <c r="N1531" t="inlineStr">
        <is>
          <t>-</t>
        </is>
      </c>
      <c r="O1531" t="inlineStr">
        <is>
          <t>-</t>
        </is>
      </c>
      <c r="P1531" t="n">
        <v>3.9</v>
      </c>
      <c r="Q1531" t="inlineStr">
        <is>
          <t>701+</t>
        </is>
      </c>
      <c r="R1531" t="n">
        <v>6.5</v>
      </c>
      <c r="S1531" t="inlineStr">
        <is>
          <t>701+</t>
        </is>
      </c>
      <c r="T1531" t="n">
        <v>2.6</v>
      </c>
      <c r="U1531" t="inlineStr">
        <is>
          <t>801+</t>
        </is>
      </c>
      <c r="V1531" t="n">
        <v>9.5</v>
      </c>
      <c r="W1531" t="inlineStr">
        <is>
          <t>801+</t>
        </is>
      </c>
      <c r="X1531" t="n">
        <v>83.3</v>
      </c>
      <c r="Y1531" t="inlineStr">
        <is>
          <t>268</t>
        </is>
      </c>
      <c r="Z1531" t="n">
        <v>99.8</v>
      </c>
      <c r="AA1531" t="inlineStr">
        <is>
          <t>46</t>
        </is>
      </c>
      <c r="AB1531" t="n">
        <v>99.8</v>
      </c>
      <c r="AC1531" t="inlineStr">
        <is>
          <t>35</t>
        </is>
      </c>
      <c r="AD1531" t="n">
        <v>34.5</v>
      </c>
      <c r="AE1531" t="inlineStr">
        <is>
          <t>801+</t>
        </is>
      </c>
      <c r="AF1531" t="n">
        <v>14.1</v>
      </c>
      <c r="AG1531" t="inlineStr">
        <is>
          <t>801+</t>
        </is>
      </c>
      <c r="AH1531" t="n">
        <v>29.5</v>
      </c>
      <c r="AI1531" t="inlineStr">
        <is>
          <t>801+</t>
        </is>
      </c>
      <c r="AJ1531" t="inlineStr">
        <is>
          <t>3.6</t>
        </is>
      </c>
      <c r="AK1531" t="inlineStr">
        <is>
          <t>601+</t>
        </is>
      </c>
      <c r="AL1531" t="inlineStr">
        <is>
          <t>3.5</t>
        </is>
      </c>
      <c r="AM1531" t="inlineStr">
        <is>
          <t>601+</t>
        </is>
      </c>
      <c r="AN1531" t="inlineStr">
        <is>
          <t>3.5</t>
        </is>
      </c>
      <c r="AO1531" t="inlineStr">
        <is>
          <t>701+</t>
        </is>
      </c>
      <c r="AP1531" t="inlineStr">
        <is>
          <t>6.7</t>
        </is>
      </c>
      <c r="AQ1531" t="inlineStr">
        <is>
          <t>701+</t>
        </is>
      </c>
      <c r="AR1531" t="inlineStr">
        <is>
          <t>74.2</t>
        </is>
      </c>
      <c r="AS1531" t="inlineStr">
        <is>
          <t>258</t>
        </is>
      </c>
      <c r="AT1531" t="inlineStr">
        <is>
          <t>100.0</t>
        </is>
      </c>
      <c r="AU1531" t="inlineStr">
        <is>
          <t>31</t>
        </is>
      </c>
      <c r="AV1531" t="inlineStr">
        <is>
          <t>2.1</t>
        </is>
      </c>
      <c r="AW1531" t="inlineStr">
        <is>
          <t>701+</t>
        </is>
      </c>
      <c r="AX1531" t="inlineStr">
        <is>
          <t>12</t>
        </is>
      </c>
      <c r="AY1531" t="inlineStr">
        <is>
          <t>701+</t>
        </is>
      </c>
      <c r="AZ1531" t="inlineStr">
        <is>
          <t>1.1</t>
        </is>
      </c>
      <c r="BA1531" t="inlineStr">
        <is>
          <t>701+</t>
        </is>
      </c>
    </row>
    <row r="1532">
      <c r="A1532" t="inlineStr">
        <is>
          <t>University of Eastern Finland</t>
        </is>
      </c>
      <c r="B1532" t="inlineStr">
        <is>
          <t>Finland</t>
        </is>
      </c>
      <c r="C1532" t="inlineStr">
        <is>
          <t>FI</t>
        </is>
      </c>
      <c r="D1532" t="inlineStr">
        <is>
          <t>Europe</t>
        </is>
      </c>
      <c r="E1532" t="inlineStr">
        <is>
          <t>L</t>
        </is>
      </c>
      <c r="F1532" t="inlineStr">
        <is>
          <t>CO</t>
        </is>
      </c>
      <c r="G1532" t="inlineStr">
        <is>
          <t>VH</t>
        </is>
      </c>
      <c r="H1532" t="inlineStr">
        <is>
          <t>4</t>
        </is>
      </c>
      <c r="I1532" t="inlineStr">
        <is>
          <t>Public</t>
        </is>
      </c>
      <c r="J1532" t="inlineStr">
        <is>
          <t>604</t>
        </is>
      </c>
      <c r="K1532" t="inlineStr">
        <is>
          <t>535</t>
        </is>
      </c>
      <c r="L1532">
        <f>548</f>
        <v/>
      </c>
      <c r="M1532" t="inlineStr">
        <is>
          <t>551-560</t>
        </is>
      </c>
      <c r="N1532" t="inlineStr">
        <is>
          <t>28.2</t>
        </is>
      </c>
      <c r="O1532" t="inlineStr">
        <is>
          <t>21.4</t>
        </is>
      </c>
      <c r="P1532" t="n">
        <v>18.9</v>
      </c>
      <c r="Q1532" t="inlineStr">
        <is>
          <t>649</t>
        </is>
      </c>
      <c r="R1532" t="n">
        <v>10.3</v>
      </c>
      <c r="S1532" t="inlineStr">
        <is>
          <t>701+</t>
        </is>
      </c>
      <c r="T1532" t="n">
        <v>45</v>
      </c>
      <c r="U1532" t="inlineStr">
        <is>
          <t>435</t>
        </is>
      </c>
      <c r="V1532" t="n">
        <v>35.3</v>
      </c>
      <c r="W1532" t="inlineStr">
        <is>
          <t>520</t>
        </is>
      </c>
      <c r="X1532" t="n">
        <v>39.2</v>
      </c>
      <c r="Y1532" t="inlineStr">
        <is>
          <t>507</t>
        </is>
      </c>
      <c r="Z1532" t="n">
        <v>12</v>
      </c>
      <c r="AA1532" t="inlineStr">
        <is>
          <t>801+</t>
        </is>
      </c>
      <c r="AB1532" t="n">
        <v>17.9</v>
      </c>
      <c r="AC1532" t="inlineStr">
        <is>
          <t>797</t>
        </is>
      </c>
      <c r="AD1532" t="n">
        <v>84</v>
      </c>
      <c r="AE1532" t="inlineStr">
        <is>
          <t>275</t>
        </is>
      </c>
      <c r="AF1532" t="n">
        <v>5.6</v>
      </c>
      <c r="AG1532" t="inlineStr">
        <is>
          <t>801+</t>
        </is>
      </c>
      <c r="AH1532" t="n">
        <v>71.2</v>
      </c>
      <c r="AI1532" t="inlineStr">
        <is>
          <t>297=</t>
        </is>
      </c>
      <c r="AJ1532" t="inlineStr">
        <is>
          <t>14.8</t>
        </is>
      </c>
      <c r="AK1532" t="inlineStr">
        <is>
          <t>588</t>
        </is>
      </c>
      <c r="AL1532" t="inlineStr">
        <is>
          <t>9.7</t>
        </is>
      </c>
      <c r="AM1532" t="inlineStr">
        <is>
          <t>601+</t>
        </is>
      </c>
      <c r="AN1532" t="inlineStr">
        <is>
          <t>39.4</t>
        </is>
      </c>
      <c r="AO1532" t="inlineStr">
        <is>
          <t>403</t>
        </is>
      </c>
      <c r="AP1532" t="inlineStr">
        <is>
          <t>24.6</t>
        </is>
      </c>
      <c r="AQ1532" t="inlineStr">
        <is>
          <t>494</t>
        </is>
      </c>
      <c r="AR1532" t="inlineStr">
        <is>
          <t>30.9</t>
        </is>
      </c>
      <c r="AS1532" t="inlineStr">
        <is>
          <t>482</t>
        </is>
      </c>
      <c r="AT1532" t="inlineStr">
        <is>
          <t>4.8</t>
        </is>
      </c>
      <c r="AU1532" t="inlineStr">
        <is>
          <t>701+</t>
        </is>
      </c>
      <c r="AV1532" t="inlineStr">
        <is>
          <t>62.4</t>
        </is>
      </c>
      <c r="AW1532" t="inlineStr">
        <is>
          <t>230</t>
        </is>
      </c>
      <c r="AX1532" t="inlineStr">
        <is>
          <t>8.1</t>
        </is>
      </c>
      <c r="AY1532" t="inlineStr">
        <is>
          <t>701+</t>
        </is>
      </c>
      <c r="AZ1532" t="inlineStr">
        <is>
          <t>28.4</t>
        </is>
      </c>
      <c r="BA1532" t="inlineStr">
        <is>
          <t>463=</t>
        </is>
      </c>
    </row>
    <row r="1533">
      <c r="A1533" t="inlineStr">
        <is>
          <t>University of Edinburgh</t>
        </is>
      </c>
      <c r="B1533" t="inlineStr">
        <is>
          <t>United Kingdom</t>
        </is>
      </c>
      <c r="C1533" t="inlineStr"/>
      <c r="D1533" t="inlineStr">
        <is>
          <t>Europe</t>
        </is>
      </c>
      <c r="E1533" t="inlineStr">
        <is>
          <t>XL</t>
        </is>
      </c>
      <c r="F1533" t="inlineStr">
        <is>
          <t>FC</t>
        </is>
      </c>
      <c r="G1533" t="inlineStr">
        <is>
          <t>VH</t>
        </is>
      </c>
      <c r="H1533" t="inlineStr"/>
      <c r="I1533" t="inlineStr">
        <is>
          <t>Public</t>
        </is>
      </c>
      <c r="J1533" t="inlineStr">
        <is>
          <t>34</t>
        </is>
      </c>
      <c r="K1533" t="inlineStr">
        <is>
          <t>27</t>
        </is>
      </c>
      <c r="L1533" t="inlineStr"/>
      <c r="M1533" t="inlineStr"/>
      <c r="N1533" t="inlineStr">
        <is>
          <t>87.2</t>
        </is>
      </c>
      <c r="O1533" t="inlineStr"/>
      <c r="P1533" t="n">
        <v>99.59999999999999</v>
      </c>
      <c r="Q1533" t="inlineStr">
        <is>
          <t>24</t>
        </is>
      </c>
      <c r="R1533" t="n">
        <v>98.2</v>
      </c>
      <c r="S1533" t="inlineStr">
        <is>
          <t>33</t>
        </is>
      </c>
      <c r="T1533" t="n">
        <v>77.3</v>
      </c>
      <c r="U1533" t="inlineStr">
        <is>
          <t>179</t>
        </is>
      </c>
      <c r="V1533" t="n">
        <v>54.3</v>
      </c>
      <c r="W1533" t="inlineStr">
        <is>
          <t>338</t>
        </is>
      </c>
      <c r="X1533" t="n">
        <v>99.7</v>
      </c>
      <c r="Y1533" t="inlineStr">
        <is>
          <t>105</t>
        </is>
      </c>
      <c r="Z1533" t="n">
        <v>99.90000000000001</v>
      </c>
      <c r="AA1533" t="inlineStr">
        <is>
          <t>42</t>
        </is>
      </c>
      <c r="AB1533" t="n">
        <v>99.90000000000001</v>
      </c>
      <c r="AC1533" t="inlineStr">
        <is>
          <t>31</t>
        </is>
      </c>
      <c r="AD1533" t="n">
        <v>99.5</v>
      </c>
      <c r="AE1533" t="inlineStr">
        <is>
          <t>5</t>
        </is>
      </c>
      <c r="AF1533" t="n">
        <v>69.7</v>
      </c>
      <c r="AG1533" t="inlineStr">
        <is>
          <t>213</t>
        </is>
      </c>
      <c r="AH1533" t="n">
        <v>98.3</v>
      </c>
      <c r="AI1533" t="inlineStr">
        <is>
          <t>7=</t>
        </is>
      </c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</row>
    <row r="1534">
      <c r="A1534" t="inlineStr">
        <is>
          <t>University of Electronic Science and Technology of China</t>
        </is>
      </c>
      <c r="B1534" t="inlineStr">
        <is>
          <t>China (Mainland)</t>
        </is>
      </c>
      <c r="C1534" t="inlineStr">
        <is>
          <t>CN</t>
        </is>
      </c>
      <c r="D1534" t="inlineStr">
        <is>
          <t>Asia</t>
        </is>
      </c>
      <c r="E1534" t="inlineStr">
        <is>
          <t>XL</t>
        </is>
      </c>
      <c r="F1534" t="inlineStr">
        <is>
          <t>FO</t>
        </is>
      </c>
      <c r="G1534" t="inlineStr">
        <is>
          <t>VH</t>
        </is>
      </c>
      <c r="H1534" t="inlineStr">
        <is>
          <t>4</t>
        </is>
      </c>
      <c r="I1534" t="inlineStr">
        <is>
          <t>Public</t>
        </is>
      </c>
      <c r="J1534" t="inlineStr">
        <is>
          <t>519</t>
        </is>
      </c>
      <c r="K1534" t="inlineStr">
        <is>
          <t>451</t>
        </is>
      </c>
      <c r="L1534">
        <f>486</f>
        <v/>
      </c>
      <c r="M1534" t="inlineStr">
        <is>
          <t>561-570</t>
        </is>
      </c>
      <c r="N1534" t="inlineStr">
        <is>
          <t>31.3</t>
        </is>
      </c>
      <c r="O1534" t="inlineStr">
        <is>
          <t>23.7</t>
        </is>
      </c>
      <c r="P1534" t="n">
        <v>5.8</v>
      </c>
      <c r="Q1534" t="inlineStr">
        <is>
          <t>701+</t>
        </is>
      </c>
      <c r="R1534" t="n">
        <v>16.3</v>
      </c>
      <c r="S1534" t="inlineStr">
        <is>
          <t>701+</t>
        </is>
      </c>
      <c r="T1534" t="n">
        <v>11.3</v>
      </c>
      <c r="U1534" t="inlineStr">
        <is>
          <t>801+</t>
        </is>
      </c>
      <c r="V1534" t="n">
        <v>99.90000000000001</v>
      </c>
      <c r="W1534" t="inlineStr">
        <is>
          <t>17</t>
        </is>
      </c>
      <c r="X1534" t="n">
        <v>4.2</v>
      </c>
      <c r="Y1534" t="inlineStr">
        <is>
          <t>801+</t>
        </is>
      </c>
      <c r="Z1534" t="n">
        <v>4.4</v>
      </c>
      <c r="AA1534" t="inlineStr">
        <is>
          <t>801+</t>
        </is>
      </c>
      <c r="AB1534" t="n">
        <v>3.5</v>
      </c>
      <c r="AC1534" t="inlineStr">
        <is>
          <t>801+</t>
        </is>
      </c>
      <c r="AD1534" t="n">
        <v>83.2</v>
      </c>
      <c r="AE1534" t="inlineStr">
        <is>
          <t>289</t>
        </is>
      </c>
      <c r="AF1534" t="n">
        <v>11.5</v>
      </c>
      <c r="AG1534" t="inlineStr">
        <is>
          <t>801+</t>
        </is>
      </c>
      <c r="AH1534" t="n">
        <v>37.6</v>
      </c>
      <c r="AI1534" t="inlineStr">
        <is>
          <t>801+</t>
        </is>
      </c>
      <c r="AJ1534" t="inlineStr">
        <is>
          <t>4.3</t>
        </is>
      </c>
      <c r="AK1534" t="inlineStr">
        <is>
          <t>601+</t>
        </is>
      </c>
      <c r="AL1534" t="inlineStr">
        <is>
          <t>3.0</t>
        </is>
      </c>
      <c r="AM1534" t="inlineStr">
        <is>
          <t>601+</t>
        </is>
      </c>
      <c r="AN1534" t="inlineStr">
        <is>
          <t>8.6</t>
        </is>
      </c>
      <c r="AO1534" t="inlineStr">
        <is>
          <t>701+</t>
        </is>
      </c>
      <c r="AP1534" t="inlineStr">
        <is>
          <t>96.4</t>
        </is>
      </c>
      <c r="AQ1534" t="inlineStr">
        <is>
          <t>46</t>
        </is>
      </c>
      <c r="AR1534" t="inlineStr">
        <is>
          <t>3.4</t>
        </is>
      </c>
      <c r="AS1534" t="inlineStr">
        <is>
          <t>701+</t>
        </is>
      </c>
      <c r="AT1534" t="inlineStr">
        <is>
          <t>2.6</t>
        </is>
      </c>
      <c r="AU1534" t="inlineStr">
        <is>
          <t>701+</t>
        </is>
      </c>
      <c r="AV1534" t="inlineStr">
        <is>
          <t>21.7</t>
        </is>
      </c>
      <c r="AW1534" t="inlineStr">
        <is>
          <t>530</t>
        </is>
      </c>
      <c r="AX1534" t="inlineStr">
        <is>
          <t>7.6</t>
        </is>
      </c>
      <c r="AY1534" t="inlineStr">
        <is>
          <t>701+</t>
        </is>
      </c>
      <c r="AZ1534" t="inlineStr">
        <is>
          <t>3.5</t>
        </is>
      </c>
      <c r="BA1534" t="inlineStr">
        <is>
          <t>701+</t>
        </is>
      </c>
    </row>
    <row r="1535">
      <c r="A1535" t="inlineStr">
        <is>
          <t>University of Engineering &amp; Technology (UET) Lahore</t>
        </is>
      </c>
      <c r="B1535" t="inlineStr">
        <is>
          <t>Pakistan</t>
        </is>
      </c>
      <c r="C1535" t="inlineStr">
        <is>
          <t>PK</t>
        </is>
      </c>
      <c r="D1535" t="inlineStr">
        <is>
          <t>Asia</t>
        </is>
      </c>
      <c r="E1535" t="inlineStr">
        <is>
          <t>L</t>
        </is>
      </c>
      <c r="F1535" t="inlineStr">
        <is>
          <t>SP</t>
        </is>
      </c>
      <c r="G1535" t="inlineStr">
        <is>
          <t>VH</t>
        </is>
      </c>
      <c r="H1535" t="inlineStr">
        <is>
          <t>4</t>
        </is>
      </c>
      <c r="I1535" t="inlineStr">
        <is>
          <t>Public</t>
        </is>
      </c>
      <c r="J1535" t="inlineStr">
        <is>
          <t>801-850</t>
        </is>
      </c>
      <c r="K1535" t="inlineStr">
        <is>
          <t>751-760</t>
        </is>
      </c>
      <c r="L1535" t="inlineStr">
        <is>
          <t>791-800</t>
        </is>
      </c>
      <c r="M1535" t="inlineStr">
        <is>
          <t>801-1000</t>
        </is>
      </c>
      <c r="N1535" t="inlineStr">
        <is>
          <t>-</t>
        </is>
      </c>
      <c r="O1535" t="inlineStr">
        <is>
          <t>-</t>
        </is>
      </c>
      <c r="P1535" t="n">
        <v>11.1</v>
      </c>
      <c r="Q1535" t="inlineStr">
        <is>
          <t>701+</t>
        </is>
      </c>
      <c r="R1535" t="n">
        <v>49.1</v>
      </c>
      <c r="S1535" t="inlineStr">
        <is>
          <t>260</t>
        </is>
      </c>
      <c r="T1535" t="n">
        <v>20.4</v>
      </c>
      <c r="U1535" t="inlineStr">
        <is>
          <t>801+</t>
        </is>
      </c>
      <c r="V1535" t="n">
        <v>15.1</v>
      </c>
      <c r="W1535" t="inlineStr">
        <is>
          <t>801+</t>
        </is>
      </c>
      <c r="X1535" t="inlineStr"/>
      <c r="Y1535" t="inlineStr"/>
      <c r="Z1535" t="n">
        <v>2.3</v>
      </c>
      <c r="AA1535" t="inlineStr">
        <is>
          <t>801+</t>
        </is>
      </c>
      <c r="AB1535" t="n">
        <v>6.5</v>
      </c>
      <c r="AC1535" t="inlineStr">
        <is>
          <t>801+</t>
        </is>
      </c>
      <c r="AD1535" t="n">
        <v>56.5</v>
      </c>
      <c r="AE1535" t="inlineStr">
        <is>
          <t>746</t>
        </is>
      </c>
      <c r="AF1535" t="n">
        <v>54.1</v>
      </c>
      <c r="AG1535" t="inlineStr">
        <is>
          <t>310</t>
        </is>
      </c>
      <c r="AH1535" t="n">
        <v>40.7</v>
      </c>
      <c r="AI1535" t="inlineStr">
        <is>
          <t>801+</t>
        </is>
      </c>
      <c r="AJ1535" t="inlineStr">
        <is>
          <t>8.9</t>
        </is>
      </c>
      <c r="AK1535" t="inlineStr">
        <is>
          <t>601+</t>
        </is>
      </c>
      <c r="AL1535" t="inlineStr">
        <is>
          <t>44.8</t>
        </is>
      </c>
      <c r="AM1535" t="inlineStr">
        <is>
          <t>197</t>
        </is>
      </c>
      <c r="AN1535" t="inlineStr">
        <is>
          <t>16.4</t>
        </is>
      </c>
      <c r="AO1535" t="inlineStr">
        <is>
          <t>701+</t>
        </is>
      </c>
      <c r="AP1535" t="inlineStr">
        <is>
          <t>5.7</t>
        </is>
      </c>
      <c r="AQ1535" t="inlineStr">
        <is>
          <t>701+</t>
        </is>
      </c>
      <c r="AR1535" t="inlineStr">
        <is>
          <t>1.1</t>
        </is>
      </c>
      <c r="AS1535" t="inlineStr">
        <is>
          <t>701+</t>
        </is>
      </c>
      <c r="AT1535" t="inlineStr">
        <is>
          <t>3.6</t>
        </is>
      </c>
      <c r="AU1535" t="inlineStr">
        <is>
          <t>701+</t>
        </is>
      </c>
      <c r="AV1535" t="inlineStr">
        <is>
          <t>2.1</t>
        </is>
      </c>
      <c r="AW1535" t="inlineStr">
        <is>
          <t>701+</t>
        </is>
      </c>
      <c r="AX1535" t="inlineStr">
        <is>
          <t>16.8</t>
        </is>
      </c>
      <c r="AY1535" t="inlineStr">
        <is>
          <t>501</t>
        </is>
      </c>
      <c r="AZ1535" t="inlineStr">
        <is>
          <t>27.3</t>
        </is>
      </c>
      <c r="BA1535" t="inlineStr">
        <is>
          <t>478=</t>
        </is>
      </c>
    </row>
    <row r="1536">
      <c r="A1536" t="inlineStr">
        <is>
          <t>University of Essex</t>
        </is>
      </c>
      <c r="B1536" t="inlineStr">
        <is>
          <t>United Kingdom</t>
        </is>
      </c>
      <c r="C1536" t="inlineStr"/>
      <c r="D1536" t="inlineStr">
        <is>
          <t>Europe</t>
        </is>
      </c>
      <c r="E1536" t="inlineStr">
        <is>
          <t>L</t>
        </is>
      </c>
      <c r="F1536" t="inlineStr">
        <is>
          <t>CO</t>
        </is>
      </c>
      <c r="G1536" t="inlineStr">
        <is>
          <t>VH</t>
        </is>
      </c>
      <c r="H1536" t="inlineStr"/>
      <c r="I1536" t="inlineStr">
        <is>
          <t>Public</t>
        </is>
      </c>
      <c r="J1536" t="inlineStr">
        <is>
          <t>456</t>
        </is>
      </c>
      <c r="K1536" t="inlineStr">
        <is>
          <t>472</t>
        </is>
      </c>
      <c r="L1536" t="inlineStr"/>
      <c r="M1536" t="inlineStr"/>
      <c r="N1536" t="inlineStr">
        <is>
          <t>34.1</t>
        </is>
      </c>
      <c r="O1536" t="inlineStr"/>
      <c r="P1536" t="n">
        <v>23.7</v>
      </c>
      <c r="Q1536" t="inlineStr">
        <is>
          <t>535</t>
        </is>
      </c>
      <c r="R1536" t="n">
        <v>9.9</v>
      </c>
      <c r="S1536" t="inlineStr">
        <is>
          <t>701+</t>
        </is>
      </c>
      <c r="T1536" t="n">
        <v>17.1</v>
      </c>
      <c r="U1536" t="inlineStr">
        <is>
          <t>801+</t>
        </is>
      </c>
      <c r="V1536" t="n">
        <v>35.1</v>
      </c>
      <c r="W1536" t="inlineStr">
        <is>
          <t>525</t>
        </is>
      </c>
      <c r="X1536" t="n">
        <v>99.90000000000001</v>
      </c>
      <c r="Y1536" t="inlineStr">
        <is>
          <t>102</t>
        </is>
      </c>
      <c r="Z1536" t="n">
        <v>99.2</v>
      </c>
      <c r="AA1536" t="inlineStr">
        <is>
          <t>64</t>
        </is>
      </c>
      <c r="AB1536" t="n">
        <v>99.2</v>
      </c>
      <c r="AC1536" t="inlineStr">
        <is>
          <t>53</t>
        </is>
      </c>
      <c r="AD1536" t="n">
        <v>77</v>
      </c>
      <c r="AE1536" t="inlineStr">
        <is>
          <t>404</t>
        </is>
      </c>
      <c r="AF1536" t="n">
        <v>24.7</v>
      </c>
      <c r="AG1536" t="inlineStr">
        <is>
          <t>645</t>
        </is>
      </c>
      <c r="AH1536" t="n">
        <v>54.5</v>
      </c>
      <c r="AI1536" t="inlineStr">
        <is>
          <t>610=</t>
        </is>
      </c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</row>
    <row r="1537">
      <c r="A1537" t="inlineStr">
        <is>
          <t>University of Exeter</t>
        </is>
      </c>
      <c r="B1537" t="inlineStr">
        <is>
          <t>United Kingdom</t>
        </is>
      </c>
      <c r="C1537" t="inlineStr"/>
      <c r="D1537" t="inlineStr">
        <is>
          <t>Europe</t>
        </is>
      </c>
      <c r="E1537" t="inlineStr">
        <is>
          <t>L</t>
        </is>
      </c>
      <c r="F1537" t="inlineStr">
        <is>
          <t>FC</t>
        </is>
      </c>
      <c r="G1537" t="inlineStr">
        <is>
          <t>VH</t>
        </is>
      </c>
      <c r="H1537" t="inlineStr"/>
      <c r="I1537" t="inlineStr">
        <is>
          <t>Public</t>
        </is>
      </c>
      <c r="J1537" t="inlineStr">
        <is>
          <t>155</t>
        </is>
      </c>
      <c r="K1537" t="inlineStr">
        <is>
          <t>169</t>
        </is>
      </c>
      <c r="L1537" t="inlineStr"/>
      <c r="M1537" t="inlineStr"/>
      <c r="N1537" t="inlineStr">
        <is>
          <t>61.5</t>
        </is>
      </c>
      <c r="O1537" t="inlineStr"/>
      <c r="P1537" t="n">
        <v>57.9</v>
      </c>
      <c r="Q1537" t="inlineStr">
        <is>
          <t>186</t>
        </is>
      </c>
      <c r="R1537" t="n">
        <v>58.5</v>
      </c>
      <c r="S1537" t="inlineStr">
        <is>
          <t>198</t>
        </is>
      </c>
      <c r="T1537" t="n">
        <v>42</v>
      </c>
      <c r="U1537" t="inlineStr">
        <is>
          <t>480</t>
        </is>
      </c>
      <c r="V1537" t="n">
        <v>55.8</v>
      </c>
      <c r="W1537" t="inlineStr">
        <is>
          <t>320</t>
        </is>
      </c>
      <c r="X1537" t="n">
        <v>94.8</v>
      </c>
      <c r="Y1537" t="inlineStr">
        <is>
          <t>181</t>
        </is>
      </c>
      <c r="Z1537" t="n">
        <v>77.8</v>
      </c>
      <c r="AA1537" t="inlineStr">
        <is>
          <t>235</t>
        </is>
      </c>
      <c r="AB1537" t="n">
        <v>79.90000000000001</v>
      </c>
      <c r="AC1537" t="inlineStr">
        <is>
          <t>206</t>
        </is>
      </c>
      <c r="AD1537" t="n">
        <v>95.8</v>
      </c>
      <c r="AE1537" t="inlineStr">
        <is>
          <t>66</t>
        </is>
      </c>
      <c r="AF1537" t="n">
        <v>40.9</v>
      </c>
      <c r="AG1537" t="inlineStr">
        <is>
          <t>428</t>
        </is>
      </c>
      <c r="AH1537" t="n">
        <v>93.90000000000001</v>
      </c>
      <c r="AI1537" t="inlineStr">
        <is>
          <t>32</t>
        </is>
      </c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</row>
    <row r="1538">
      <c r="A1538" t="inlineStr">
        <is>
          <t>University of Florence</t>
        </is>
      </c>
      <c r="B1538" t="inlineStr">
        <is>
          <t>Italy</t>
        </is>
      </c>
      <c r="C1538" t="inlineStr">
        <is>
          <t>IT</t>
        </is>
      </c>
      <c r="D1538" t="inlineStr">
        <is>
          <t>Europe</t>
        </is>
      </c>
      <c r="E1538" t="inlineStr">
        <is>
          <t>XL</t>
        </is>
      </c>
      <c r="F1538" t="inlineStr">
        <is>
          <t>FC</t>
        </is>
      </c>
      <c r="G1538" t="inlineStr">
        <is>
          <t>VH</t>
        </is>
      </c>
      <c r="H1538" t="inlineStr">
        <is>
          <t>5</t>
        </is>
      </c>
      <c r="I1538" t="inlineStr">
        <is>
          <t>Public</t>
        </is>
      </c>
      <c r="J1538" t="inlineStr">
        <is>
          <t>404</t>
        </is>
      </c>
      <c r="K1538" t="inlineStr">
        <is>
          <t>375</t>
        </is>
      </c>
      <c r="L1538">
        <f>358</f>
        <v/>
      </c>
      <c r="M1538" t="inlineStr">
        <is>
          <t>460</t>
        </is>
      </c>
      <c r="N1538" t="inlineStr">
        <is>
          <t>37.2</t>
        </is>
      </c>
      <c r="O1538" t="inlineStr">
        <is>
          <t>30.8</t>
        </is>
      </c>
      <c r="P1538" t="n">
        <v>45.1</v>
      </c>
      <c r="Q1538" t="inlineStr">
        <is>
          <t>262</t>
        </is>
      </c>
      <c r="R1538" t="n">
        <v>16.9</v>
      </c>
      <c r="S1538" t="inlineStr">
        <is>
          <t>701+</t>
        </is>
      </c>
      <c r="T1538" t="n">
        <v>7</v>
      </c>
      <c r="U1538" t="inlineStr">
        <is>
          <t>801+</t>
        </is>
      </c>
      <c r="V1538" t="n">
        <v>49.7</v>
      </c>
      <c r="W1538" t="inlineStr">
        <is>
          <t>376</t>
        </is>
      </c>
      <c r="X1538" t="n">
        <v>11.2</v>
      </c>
      <c r="Y1538" t="inlineStr">
        <is>
          <t>801+</t>
        </is>
      </c>
      <c r="Z1538" t="n">
        <v>20.8</v>
      </c>
      <c r="AA1538" t="inlineStr">
        <is>
          <t>713</t>
        </is>
      </c>
      <c r="AB1538" t="n">
        <v>26.9</v>
      </c>
      <c r="AC1538" t="inlineStr">
        <is>
          <t>655</t>
        </is>
      </c>
      <c r="AD1538" t="n">
        <v>86.09999999999999</v>
      </c>
      <c r="AE1538" t="inlineStr">
        <is>
          <t>234</t>
        </is>
      </c>
      <c r="AF1538" t="n">
        <v>36.9</v>
      </c>
      <c r="AG1538" t="inlineStr">
        <is>
          <t>468</t>
        </is>
      </c>
      <c r="AH1538" t="n">
        <v>72.90000000000001</v>
      </c>
      <c r="AI1538" t="inlineStr">
        <is>
          <t>275=</t>
        </is>
      </c>
      <c r="AJ1538" t="inlineStr">
        <is>
          <t>33.6</t>
        </is>
      </c>
      <c r="AK1538" t="inlineStr">
        <is>
          <t>259</t>
        </is>
      </c>
      <c r="AL1538" t="inlineStr">
        <is>
          <t>5.7</t>
        </is>
      </c>
      <c r="AM1538" t="inlineStr">
        <is>
          <t>601+</t>
        </is>
      </c>
      <c r="AN1538" t="inlineStr">
        <is>
          <t>4.1</t>
        </is>
      </c>
      <c r="AO1538" t="inlineStr">
        <is>
          <t>701+</t>
        </is>
      </c>
      <c r="AP1538" t="inlineStr">
        <is>
          <t>49.6</t>
        </is>
      </c>
      <c r="AQ1538" t="inlineStr">
        <is>
          <t>266</t>
        </is>
      </c>
      <c r="AR1538" t="inlineStr">
        <is>
          <t>8.1</t>
        </is>
      </c>
      <c r="AS1538" t="inlineStr">
        <is>
          <t>701+</t>
        </is>
      </c>
      <c r="AT1538" t="inlineStr">
        <is>
          <t>10.7</t>
        </is>
      </c>
      <c r="AU1538" t="inlineStr">
        <is>
          <t>701+</t>
        </is>
      </c>
      <c r="AV1538" t="inlineStr">
        <is>
          <t>73.0</t>
        </is>
      </c>
      <c r="AW1538" t="inlineStr">
        <is>
          <t>181</t>
        </is>
      </c>
      <c r="AX1538" t="inlineStr">
        <is>
          <t>17.4</t>
        </is>
      </c>
      <c r="AY1538" t="inlineStr">
        <is>
          <t>476</t>
        </is>
      </c>
      <c r="AZ1538" t="inlineStr">
        <is>
          <t>81.1</t>
        </is>
      </c>
      <c r="BA1538" t="inlineStr">
        <is>
          <t>142=</t>
        </is>
      </c>
    </row>
    <row r="1539">
      <c r="A1539" t="inlineStr">
        <is>
          <t>University of Florida</t>
        </is>
      </c>
      <c r="B1539" t="inlineStr">
        <is>
          <t>United States</t>
        </is>
      </c>
      <c r="C1539" t="inlineStr">
        <is>
          <t>US</t>
        </is>
      </c>
      <c r="D1539" t="inlineStr">
        <is>
          <t>Americas</t>
        </is>
      </c>
      <c r="E1539" t="inlineStr">
        <is>
          <t>XL</t>
        </is>
      </c>
      <c r="F1539" t="inlineStr">
        <is>
          <t>FC</t>
        </is>
      </c>
      <c r="G1539" t="inlineStr">
        <is>
          <t>VH</t>
        </is>
      </c>
      <c r="H1539" t="inlineStr">
        <is>
          <t>5</t>
        </is>
      </c>
      <c r="I1539" t="inlineStr">
        <is>
          <t>Public</t>
        </is>
      </c>
      <c r="J1539" t="inlineStr">
        <is>
          <t>212</t>
        </is>
      </c>
      <c r="K1539" t="inlineStr">
        <is>
          <t>215</t>
        </is>
      </c>
      <c r="L1539" t="inlineStr">
        <is>
          <t>168</t>
        </is>
      </c>
      <c r="M1539" t="inlineStr">
        <is>
          <t>188</t>
        </is>
      </c>
      <c r="N1539" t="inlineStr">
        <is>
          <t>54.6</t>
        </is>
      </c>
      <c r="O1539" t="inlineStr">
        <is>
          <t>49.1</t>
        </is>
      </c>
      <c r="P1539" t="n">
        <v>58.9</v>
      </c>
      <c r="Q1539" t="inlineStr">
        <is>
          <t>179</t>
        </is>
      </c>
      <c r="R1539" t="n">
        <v>55.8</v>
      </c>
      <c r="S1539" t="inlineStr">
        <is>
          <t>215</t>
        </is>
      </c>
      <c r="T1539" t="n">
        <v>75.09999999999999</v>
      </c>
      <c r="U1539" t="inlineStr">
        <is>
          <t>194</t>
        </is>
      </c>
      <c r="V1539" t="n">
        <v>34.7</v>
      </c>
      <c r="W1539" t="inlineStr">
        <is>
          <t>526</t>
        </is>
      </c>
      <c r="X1539" t="n">
        <v>31.4</v>
      </c>
      <c r="Y1539" t="inlineStr">
        <is>
          <t>570</t>
        </is>
      </c>
      <c r="Z1539" t="n">
        <v>18.1</v>
      </c>
      <c r="AA1539" t="inlineStr">
        <is>
          <t>762</t>
        </is>
      </c>
      <c r="AB1539" t="n">
        <v>24.2</v>
      </c>
      <c r="AC1539" t="inlineStr">
        <is>
          <t>701</t>
        </is>
      </c>
      <c r="AD1539" t="n">
        <v>98.2</v>
      </c>
      <c r="AE1539" t="inlineStr">
        <is>
          <t>20</t>
        </is>
      </c>
      <c r="AF1539" t="n">
        <v>67.90000000000001</v>
      </c>
      <c r="AG1539" t="inlineStr">
        <is>
          <t>225</t>
        </is>
      </c>
      <c r="AH1539" t="n">
        <v>74.90000000000001</v>
      </c>
      <c r="AI1539" t="inlineStr">
        <is>
          <t>237=</t>
        </is>
      </c>
      <c r="AJ1539" t="inlineStr">
        <is>
          <t>48.0</t>
        </is>
      </c>
      <c r="AK1539" t="inlineStr">
        <is>
          <t>171</t>
        </is>
      </c>
      <c r="AL1539" t="inlineStr">
        <is>
          <t>58.7</t>
        </is>
      </c>
      <c r="AM1539" t="inlineStr">
        <is>
          <t>137</t>
        </is>
      </c>
      <c r="AN1539" t="inlineStr">
        <is>
          <t>71.3</t>
        </is>
      </c>
      <c r="AO1539" t="inlineStr">
        <is>
          <t>180</t>
        </is>
      </c>
      <c r="AP1539" t="inlineStr">
        <is>
          <t>26.6</t>
        </is>
      </c>
      <c r="AQ1539" t="inlineStr">
        <is>
          <t>467</t>
        </is>
      </c>
      <c r="AR1539" t="inlineStr">
        <is>
          <t>18.8</t>
        </is>
      </c>
      <c r="AS1539" t="inlineStr">
        <is>
          <t>604</t>
        </is>
      </c>
      <c r="AT1539" t="inlineStr">
        <is>
          <t>10.8</t>
        </is>
      </c>
      <c r="AU1539" t="inlineStr">
        <is>
          <t>699</t>
        </is>
      </c>
      <c r="AV1539" t="inlineStr">
        <is>
          <t>97.7</t>
        </is>
      </c>
      <c r="AW1539" t="inlineStr">
        <is>
          <t>24</t>
        </is>
      </c>
      <c r="AX1539" t="inlineStr">
        <is>
          <t>39</t>
        </is>
      </c>
      <c r="AY1539" t="inlineStr">
        <is>
          <t>184</t>
        </is>
      </c>
      <c r="AZ1539" t="inlineStr">
        <is>
          <t>95.7</t>
        </is>
      </c>
      <c r="BA1539" t="inlineStr">
        <is>
          <t>48</t>
        </is>
      </c>
    </row>
    <row r="1540">
      <c r="A1540" t="inlineStr">
        <is>
          <t>University of Fribourg</t>
        </is>
      </c>
      <c r="B1540" t="inlineStr">
        <is>
          <t>Switzerland</t>
        </is>
      </c>
      <c r="C1540" t="inlineStr"/>
      <c r="D1540" t="inlineStr">
        <is>
          <t>Europe</t>
        </is>
      </c>
      <c r="E1540" t="inlineStr">
        <is>
          <t>M</t>
        </is>
      </c>
      <c r="F1540" t="inlineStr">
        <is>
          <t>CO</t>
        </is>
      </c>
      <c r="G1540" t="inlineStr">
        <is>
          <t>VH</t>
        </is>
      </c>
      <c r="H1540" t="inlineStr"/>
      <c r="I1540" t="inlineStr">
        <is>
          <t>Public</t>
        </is>
      </c>
      <c r="J1540" t="inlineStr">
        <is>
          <t>642</t>
        </is>
      </c>
      <c r="K1540" t="inlineStr">
        <is>
          <t>539</t>
        </is>
      </c>
      <c r="L1540" t="inlineStr"/>
      <c r="M1540" t="inlineStr"/>
      <c r="N1540" t="inlineStr">
        <is>
          <t>27</t>
        </is>
      </c>
      <c r="O1540" t="inlineStr"/>
      <c r="P1540" t="n">
        <v>13.6</v>
      </c>
      <c r="Q1540" t="inlineStr">
        <is>
          <t>701+</t>
        </is>
      </c>
      <c r="R1540" t="n">
        <v>5.5</v>
      </c>
      <c r="S1540" t="inlineStr">
        <is>
          <t>701+</t>
        </is>
      </c>
      <c r="T1540" t="n">
        <v>14.1</v>
      </c>
      <c r="U1540" t="inlineStr">
        <is>
          <t>801+</t>
        </is>
      </c>
      <c r="V1540" t="n">
        <v>27.3</v>
      </c>
      <c r="W1540" t="inlineStr">
        <is>
          <t>615</t>
        </is>
      </c>
      <c r="X1540" t="n">
        <v>99.90000000000001</v>
      </c>
      <c r="Y1540" t="inlineStr">
        <is>
          <t>98</t>
        </is>
      </c>
      <c r="Z1540" t="n">
        <v>52.5</v>
      </c>
      <c r="AA1540" t="inlineStr">
        <is>
          <t>392</t>
        </is>
      </c>
      <c r="AB1540" t="n">
        <v>51.2</v>
      </c>
      <c r="AC1540" t="inlineStr">
        <is>
          <t>405</t>
        </is>
      </c>
      <c r="AD1540" t="n">
        <v>60.4</v>
      </c>
      <c r="AE1540" t="inlineStr">
        <is>
          <t>687</t>
        </is>
      </c>
      <c r="AF1540" t="n">
        <v>49.6</v>
      </c>
      <c r="AG1540" t="inlineStr">
        <is>
          <t>349</t>
        </is>
      </c>
      <c r="AH1540" t="n">
        <v>66.8</v>
      </c>
      <c r="AI1540" t="inlineStr">
        <is>
          <t>367</t>
        </is>
      </c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</row>
    <row r="1541">
      <c r="A1541" t="inlineStr">
        <is>
          <t>University of Galway</t>
        </is>
      </c>
      <c r="B1541" t="inlineStr">
        <is>
          <t>Ireland</t>
        </is>
      </c>
      <c r="C1541" t="inlineStr">
        <is>
          <t>IE</t>
        </is>
      </c>
      <c r="D1541" t="inlineStr"/>
      <c r="E1541" t="inlineStr">
        <is>
          <t>L</t>
        </is>
      </c>
      <c r="F1541" t="inlineStr">
        <is>
          <t>FC</t>
        </is>
      </c>
      <c r="G1541" t="inlineStr">
        <is>
          <t>HI</t>
        </is>
      </c>
      <c r="H1541" t="inlineStr">
        <is>
          <t>5</t>
        </is>
      </c>
      <c r="I1541" t="inlineStr">
        <is>
          <t>A</t>
        </is>
      </c>
      <c r="J1541" t="inlineStr"/>
      <c r="K1541" t="inlineStr"/>
      <c r="L1541" t="inlineStr">
        <is>
          <t>289</t>
        </is>
      </c>
      <c r="M1541" t="inlineStr">
        <is>
          <t>270=</t>
        </is>
      </c>
      <c r="N1541" t="inlineStr"/>
      <c r="O1541" t="inlineStr">
        <is>
          <t>36.0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>
        <is>
          <t>26.3</t>
        </is>
      </c>
      <c r="AK1541" t="inlineStr">
        <is>
          <t>335</t>
        </is>
      </c>
      <c r="AL1541" t="inlineStr">
        <is>
          <t>28.2</t>
        </is>
      </c>
      <c r="AM1541" t="inlineStr">
        <is>
          <t>341</t>
        </is>
      </c>
      <c r="AN1541" t="inlineStr">
        <is>
          <t>61.2</t>
        </is>
      </c>
      <c r="AO1541" t="inlineStr">
        <is>
          <t>230</t>
        </is>
      </c>
      <c r="AP1541" t="inlineStr">
        <is>
          <t>13.5</t>
        </is>
      </c>
      <c r="AQ1541" t="inlineStr">
        <is>
          <t>666</t>
        </is>
      </c>
      <c r="AR1541" t="inlineStr">
        <is>
          <t>92.3</t>
        </is>
      </c>
      <c r="AS1541" t="inlineStr">
        <is>
          <t>170</t>
        </is>
      </c>
      <c r="AT1541" t="inlineStr">
        <is>
          <t>39.3</t>
        </is>
      </c>
      <c r="AU1541" t="inlineStr">
        <is>
          <t>348</t>
        </is>
      </c>
      <c r="AV1541" t="inlineStr">
        <is>
          <t>45.7</t>
        </is>
      </c>
      <c r="AW1541" t="inlineStr">
        <is>
          <t>338</t>
        </is>
      </c>
      <c r="AX1541" t="inlineStr">
        <is>
          <t>30.7</t>
        </is>
      </c>
      <c r="AY1541" t="inlineStr">
        <is>
          <t>249</t>
        </is>
      </c>
      <c r="AZ1541" t="inlineStr">
        <is>
          <t>90.6</t>
        </is>
      </c>
      <c r="BA1541" t="inlineStr">
        <is>
          <t>89=</t>
        </is>
      </c>
    </row>
    <row r="1542">
      <c r="A1542" t="inlineStr">
        <is>
          <t>University of Galway / Ollscoil na Gaillimhe</t>
        </is>
      </c>
      <c r="B1542" t="inlineStr">
        <is>
          <t>Ireland</t>
        </is>
      </c>
      <c r="C1542" t="inlineStr"/>
      <c r="D1542" t="inlineStr">
        <is>
          <t>Europe</t>
        </is>
      </c>
      <c r="E1542" t="inlineStr">
        <is>
          <t>L</t>
        </is>
      </c>
      <c r="F1542" t="inlineStr">
        <is>
          <t>FC</t>
        </is>
      </c>
      <c r="G1542" t="inlineStr">
        <is>
          <t>VH</t>
        </is>
      </c>
      <c r="H1542" t="inlineStr"/>
      <c r="I1542" t="inlineStr">
        <is>
          <t>Public</t>
        </is>
      </c>
      <c r="J1542" t="inlineStr">
        <is>
          <t>284</t>
        </is>
      </c>
      <c r="K1542" t="inlineStr">
        <is>
          <t>273</t>
        </is>
      </c>
      <c r="L1542" t="inlineStr"/>
      <c r="M1542" t="inlineStr"/>
      <c r="N1542" t="inlineStr">
        <is>
          <t>47.1</t>
        </is>
      </c>
      <c r="O1542" t="inlineStr"/>
      <c r="P1542" t="n">
        <v>37.3</v>
      </c>
      <c r="Q1542" t="inlineStr">
        <is>
          <t>321</t>
        </is>
      </c>
      <c r="R1542" t="n">
        <v>40.2</v>
      </c>
      <c r="S1542" t="inlineStr">
        <is>
          <t>339</t>
        </is>
      </c>
      <c r="T1542" t="n">
        <v>68.59999999999999</v>
      </c>
      <c r="U1542" t="inlineStr">
        <is>
          <t>241</t>
        </is>
      </c>
      <c r="V1542" t="n">
        <v>24</v>
      </c>
      <c r="W1542" t="inlineStr">
        <is>
          <t>655</t>
        </is>
      </c>
      <c r="X1542" t="n">
        <v>96.7</v>
      </c>
      <c r="Y1542" t="inlineStr">
        <is>
          <t>155</t>
        </is>
      </c>
      <c r="Z1542" t="n">
        <v>62.7</v>
      </c>
      <c r="AA1542" t="inlineStr">
        <is>
          <t>321</t>
        </is>
      </c>
      <c r="AB1542" t="n">
        <v>66.40000000000001</v>
      </c>
      <c r="AC1542" t="inlineStr">
        <is>
          <t>294</t>
        </is>
      </c>
      <c r="AD1542" t="n">
        <v>72.90000000000001</v>
      </c>
      <c r="AE1542" t="inlineStr">
        <is>
          <t>488</t>
        </is>
      </c>
      <c r="AF1542" t="n">
        <v>61.2</v>
      </c>
      <c r="AG1542" t="inlineStr">
        <is>
          <t>260</t>
        </is>
      </c>
      <c r="AH1542" t="n">
        <v>82.5</v>
      </c>
      <c r="AI1542" t="inlineStr">
        <is>
          <t>141=</t>
        </is>
      </c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</row>
    <row r="1543">
      <c r="A1543" t="inlineStr">
        <is>
          <t>University of Gdansk</t>
        </is>
      </c>
      <c r="B1543" t="inlineStr">
        <is>
          <t>Poland</t>
        </is>
      </c>
      <c r="C1543" t="inlineStr">
        <is>
          <t>PL</t>
        </is>
      </c>
      <c r="D1543" t="inlineStr">
        <is>
          <t>Europe</t>
        </is>
      </c>
      <c r="E1543" t="inlineStr">
        <is>
          <t>L</t>
        </is>
      </c>
      <c r="F1543" t="inlineStr">
        <is>
          <t>CO</t>
        </is>
      </c>
      <c r="G1543" t="inlineStr">
        <is>
          <t>VH</t>
        </is>
      </c>
      <c r="H1543" t="inlineStr">
        <is>
          <t>4</t>
        </is>
      </c>
      <c r="I1543" t="inlineStr">
        <is>
          <t>Public</t>
        </is>
      </c>
      <c r="J1543" t="inlineStr">
        <is>
          <t>851-900</t>
        </is>
      </c>
      <c r="K1543" t="inlineStr">
        <is>
          <t>851-900</t>
        </is>
      </c>
      <c r="L1543" t="inlineStr">
        <is>
          <t>951-1000</t>
        </is>
      </c>
      <c r="M1543" t="inlineStr">
        <is>
          <t>801-1000</t>
        </is>
      </c>
      <c r="N1543" t="inlineStr">
        <is>
          <t>-</t>
        </is>
      </c>
      <c r="O1543" t="inlineStr">
        <is>
          <t>-</t>
        </is>
      </c>
      <c r="P1543" t="n">
        <v>17.4</v>
      </c>
      <c r="Q1543" t="inlineStr">
        <is>
          <t>701+</t>
        </is>
      </c>
      <c r="R1543" t="n">
        <v>13.4</v>
      </c>
      <c r="S1543" t="inlineStr">
        <is>
          <t>701+</t>
        </is>
      </c>
      <c r="T1543" t="n">
        <v>41.4</v>
      </c>
      <c r="U1543" t="inlineStr">
        <is>
          <t>488</t>
        </is>
      </c>
      <c r="V1543" t="n">
        <v>7.4</v>
      </c>
      <c r="W1543" t="inlineStr">
        <is>
          <t>801+</t>
        </is>
      </c>
      <c r="X1543" t="n">
        <v>4.5</v>
      </c>
      <c r="Y1543" t="inlineStr">
        <is>
          <t>801+</t>
        </is>
      </c>
      <c r="Z1543" t="n">
        <v>5.1</v>
      </c>
      <c r="AA1543" t="inlineStr">
        <is>
          <t>801+</t>
        </is>
      </c>
      <c r="AB1543" t="n">
        <v>9.6</v>
      </c>
      <c r="AC1543" t="inlineStr">
        <is>
          <t>801+</t>
        </is>
      </c>
      <c r="AD1543" t="n">
        <v>73.90000000000001</v>
      </c>
      <c r="AE1543" t="inlineStr">
        <is>
          <t>469</t>
        </is>
      </c>
      <c r="AF1543" t="n">
        <v>23.6</v>
      </c>
      <c r="AG1543" t="inlineStr">
        <is>
          <t>662</t>
        </is>
      </c>
      <c r="AH1543" t="n">
        <v>71</v>
      </c>
      <c r="AI1543" t="inlineStr">
        <is>
          <t>300</t>
        </is>
      </c>
      <c r="AJ1543" t="inlineStr">
        <is>
          <t>11.5</t>
        </is>
      </c>
      <c r="AK1543" t="inlineStr">
        <is>
          <t>601+</t>
        </is>
      </c>
      <c r="AL1543" t="inlineStr">
        <is>
          <t>7.0</t>
        </is>
      </c>
      <c r="AM1543" t="inlineStr">
        <is>
          <t>601+</t>
        </is>
      </c>
      <c r="AN1543" t="inlineStr">
        <is>
          <t>32.1</t>
        </is>
      </c>
      <c r="AO1543" t="inlineStr">
        <is>
          <t>493</t>
        </is>
      </c>
      <c r="AP1543" t="inlineStr">
        <is>
          <t>3.8</t>
        </is>
      </c>
      <c r="AQ1543" t="inlineStr">
        <is>
          <t>701+</t>
        </is>
      </c>
      <c r="AR1543" t="inlineStr">
        <is>
          <t>4.6</t>
        </is>
      </c>
      <c r="AS1543" t="inlineStr">
        <is>
          <t>701+</t>
        </is>
      </c>
      <c r="AT1543" t="inlineStr">
        <is>
          <t>2.3</t>
        </is>
      </c>
      <c r="AU1543" t="inlineStr">
        <is>
          <t>701+</t>
        </is>
      </c>
      <c r="AV1543" t="inlineStr">
        <is>
          <t>28.0</t>
        </is>
      </c>
      <c r="AW1543" t="inlineStr">
        <is>
          <t>472</t>
        </is>
      </c>
      <c r="AX1543" t="inlineStr">
        <is>
          <t>10</t>
        </is>
      </c>
      <c r="AY1543" t="inlineStr">
        <is>
          <t>701+</t>
        </is>
      </c>
      <c r="AZ1543" t="inlineStr">
        <is>
          <t>2.6</t>
        </is>
      </c>
      <c r="BA1543" t="inlineStr">
        <is>
          <t>701+</t>
        </is>
      </c>
    </row>
    <row r="1544">
      <c r="A1544" t="inlineStr">
        <is>
          <t>University of Geneva</t>
        </is>
      </c>
      <c r="B1544" t="inlineStr">
        <is>
          <t>Switzerland</t>
        </is>
      </c>
      <c r="C1544" t="inlineStr">
        <is>
          <t>CH</t>
        </is>
      </c>
      <c r="D1544" t="inlineStr">
        <is>
          <t>Europe</t>
        </is>
      </c>
      <c r="E1544" t="inlineStr">
        <is>
          <t>L</t>
        </is>
      </c>
      <c r="F1544" t="inlineStr">
        <is>
          <t>FC</t>
        </is>
      </c>
      <c r="G1544" t="inlineStr">
        <is>
          <t>VH</t>
        </is>
      </c>
      <c r="H1544" t="inlineStr">
        <is>
          <t>5</t>
        </is>
      </c>
      <c r="I1544" t="inlineStr">
        <is>
          <t>Public</t>
        </is>
      </c>
      <c r="J1544" t="inlineStr">
        <is>
          <t>155</t>
        </is>
      </c>
      <c r="K1544" t="inlineStr">
        <is>
          <t>155</t>
        </is>
      </c>
      <c r="L1544" t="inlineStr">
        <is>
          <t>128</t>
        </is>
      </c>
      <c r="M1544" t="inlineStr">
        <is>
          <t>125=</t>
        </is>
      </c>
      <c r="N1544" t="inlineStr">
        <is>
          <t>61.5</t>
        </is>
      </c>
      <c r="O1544" t="inlineStr">
        <is>
          <t>54.2</t>
        </is>
      </c>
      <c r="P1544" t="n">
        <v>55.3</v>
      </c>
      <c r="Q1544" t="inlineStr">
        <is>
          <t>201</t>
        </is>
      </c>
      <c r="R1544" t="n">
        <v>34.8</v>
      </c>
      <c r="S1544" t="inlineStr">
        <is>
          <t>414</t>
        </is>
      </c>
      <c r="T1544" t="n">
        <v>47.4</v>
      </c>
      <c r="U1544" t="inlineStr">
        <is>
          <t>414</t>
        </is>
      </c>
      <c r="V1544" t="n">
        <v>70.3</v>
      </c>
      <c r="W1544" t="inlineStr">
        <is>
          <t>214</t>
        </is>
      </c>
      <c r="X1544" t="n">
        <v>100</v>
      </c>
      <c r="Y1544" t="inlineStr">
        <is>
          <t>54</t>
        </is>
      </c>
      <c r="Z1544" t="n">
        <v>98.59999999999999</v>
      </c>
      <c r="AA1544" t="inlineStr">
        <is>
          <t>81</t>
        </is>
      </c>
      <c r="AB1544" t="n">
        <v>98.59999999999999</v>
      </c>
      <c r="AC1544" t="inlineStr">
        <is>
          <t>68</t>
        </is>
      </c>
      <c r="AD1544" t="n">
        <v>92.09999999999999</v>
      </c>
      <c r="AE1544" t="inlineStr">
        <is>
          <t>144</t>
        </is>
      </c>
      <c r="AF1544" t="n">
        <v>63.1</v>
      </c>
      <c r="AG1544" t="inlineStr">
        <is>
          <t>249</t>
        </is>
      </c>
      <c r="AH1544" t="n">
        <v>66.5</v>
      </c>
      <c r="AI1544" t="inlineStr">
        <is>
          <t>370</t>
        </is>
      </c>
      <c r="AJ1544" t="inlineStr">
        <is>
          <t>45.1</t>
        </is>
      </c>
      <c r="AK1544" t="inlineStr">
        <is>
          <t>184</t>
        </is>
      </c>
      <c r="AL1544" t="inlineStr">
        <is>
          <t>14.1</t>
        </is>
      </c>
      <c r="AM1544" t="inlineStr">
        <is>
          <t>579</t>
        </is>
      </c>
      <c r="AN1544" t="inlineStr">
        <is>
          <t>42.0</t>
        </is>
      </c>
      <c r="AO1544" t="inlineStr">
        <is>
          <t>374</t>
        </is>
      </c>
      <c r="AP1544" t="inlineStr">
        <is>
          <t>75.4</t>
        </is>
      </c>
      <c r="AQ1544" t="inlineStr">
        <is>
          <t>127</t>
        </is>
      </c>
      <c r="AR1544" t="inlineStr">
        <is>
          <t>100.0</t>
        </is>
      </c>
      <c r="AS1544" t="inlineStr">
        <is>
          <t>45</t>
        </is>
      </c>
      <c r="AT1544" t="inlineStr">
        <is>
          <t>96.3</t>
        </is>
      </c>
      <c r="AU1544" t="inlineStr">
        <is>
          <t>81</t>
        </is>
      </c>
      <c r="AV1544" t="inlineStr">
        <is>
          <t>87.3</t>
        </is>
      </c>
      <c r="AW1544" t="inlineStr">
        <is>
          <t>99</t>
        </is>
      </c>
      <c r="AX1544" t="inlineStr">
        <is>
          <t>31</t>
        </is>
      </c>
      <c r="AY1544" t="inlineStr">
        <is>
          <t>246</t>
        </is>
      </c>
      <c r="AZ1544" t="inlineStr">
        <is>
          <t>63.1</t>
        </is>
      </c>
      <c r="BA1544" t="inlineStr">
        <is>
          <t>232=</t>
        </is>
      </c>
    </row>
    <row r="1545">
      <c r="A1545" t="inlineStr">
        <is>
          <t>University of Genoa</t>
        </is>
      </c>
      <c r="B1545" t="inlineStr">
        <is>
          <t>Italy</t>
        </is>
      </c>
      <c r="C1545" t="inlineStr">
        <is>
          <t>IT</t>
        </is>
      </c>
      <c r="D1545" t="inlineStr">
        <is>
          <t>Europe</t>
        </is>
      </c>
      <c r="E1545" t="inlineStr">
        <is>
          <t>L</t>
        </is>
      </c>
      <c r="F1545" t="inlineStr">
        <is>
          <t>FC</t>
        </is>
      </c>
      <c r="G1545" t="inlineStr">
        <is>
          <t>VH</t>
        </is>
      </c>
      <c r="H1545" t="inlineStr">
        <is>
          <t>5</t>
        </is>
      </c>
      <c r="I1545" t="inlineStr">
        <is>
          <t>Public</t>
        </is>
      </c>
      <c r="J1545" t="inlineStr">
        <is>
          <t>530</t>
        </is>
      </c>
      <c r="K1545" t="inlineStr">
        <is>
          <t>547</t>
        </is>
      </c>
      <c r="L1545">
        <f>530</f>
        <v/>
      </c>
      <c r="M1545" t="inlineStr">
        <is>
          <t>651-700</t>
        </is>
      </c>
      <c r="N1545" t="inlineStr">
        <is>
          <t>30.8</t>
        </is>
      </c>
      <c r="O1545" t="inlineStr">
        <is>
          <t>22.1</t>
        </is>
      </c>
      <c r="P1545" t="n">
        <v>28</v>
      </c>
      <c r="Q1545" t="inlineStr">
        <is>
          <t>451</t>
        </is>
      </c>
      <c r="R1545" t="n">
        <v>10.6</v>
      </c>
      <c r="S1545" t="inlineStr">
        <is>
          <t>701+</t>
        </is>
      </c>
      <c r="T1545" t="n">
        <v>19.8</v>
      </c>
      <c r="U1545" t="inlineStr">
        <is>
          <t>801+</t>
        </is>
      </c>
      <c r="V1545" t="n">
        <v>52.6</v>
      </c>
      <c r="W1545" t="inlineStr">
        <is>
          <t>358</t>
        </is>
      </c>
      <c r="X1545" t="n">
        <v>9.199999999999999</v>
      </c>
      <c r="Y1545" t="inlineStr">
        <is>
          <t>801+</t>
        </is>
      </c>
      <c r="Z1545" t="n">
        <v>17.5</v>
      </c>
      <c r="AA1545" t="inlineStr">
        <is>
          <t>773</t>
        </is>
      </c>
      <c r="AB1545" t="n">
        <v>23.6</v>
      </c>
      <c r="AC1545" t="inlineStr">
        <is>
          <t>711</t>
        </is>
      </c>
      <c r="AD1545" t="n">
        <v>83.09999999999999</v>
      </c>
      <c r="AE1545" t="inlineStr">
        <is>
          <t>291</t>
        </is>
      </c>
      <c r="AF1545" t="n">
        <v>16.6</v>
      </c>
      <c r="AG1545" t="inlineStr">
        <is>
          <t>795</t>
        </is>
      </c>
      <c r="AH1545" t="n">
        <v>62.3</v>
      </c>
      <c r="AI1545" t="inlineStr">
        <is>
          <t>452=</t>
        </is>
      </c>
      <c r="AJ1545" t="inlineStr">
        <is>
          <t>17.4</t>
        </is>
      </c>
      <c r="AK1545" t="inlineStr">
        <is>
          <t>511</t>
        </is>
      </c>
      <c r="AL1545" t="inlineStr">
        <is>
          <t>3.8</t>
        </is>
      </c>
      <c r="AM1545" t="inlineStr">
        <is>
          <t>601+</t>
        </is>
      </c>
      <c r="AN1545" t="inlineStr">
        <is>
          <t>11.3</t>
        </is>
      </c>
      <c r="AO1545" t="inlineStr">
        <is>
          <t>701+</t>
        </is>
      </c>
      <c r="AP1545" t="inlineStr">
        <is>
          <t>40.6</t>
        </is>
      </c>
      <c r="AQ1545" t="inlineStr">
        <is>
          <t>340</t>
        </is>
      </c>
      <c r="AR1545" t="inlineStr">
        <is>
          <t>4.8</t>
        </is>
      </c>
      <c r="AS1545" t="inlineStr">
        <is>
          <t>701+</t>
        </is>
      </c>
      <c r="AT1545" t="inlineStr">
        <is>
          <t>8.8</t>
        </is>
      </c>
      <c r="AU1545" t="inlineStr">
        <is>
          <t>701+</t>
        </is>
      </c>
      <c r="AV1545" t="inlineStr">
        <is>
          <t>54.3</t>
        </is>
      </c>
      <c r="AW1545" t="inlineStr">
        <is>
          <t>291</t>
        </is>
      </c>
      <c r="AX1545" t="inlineStr">
        <is>
          <t>12.7</t>
        </is>
      </c>
      <c r="AY1545" t="inlineStr">
        <is>
          <t>679</t>
        </is>
      </c>
      <c r="AZ1545" t="inlineStr">
        <is>
          <t>61.9</t>
        </is>
      </c>
      <c r="BA1545" t="inlineStr">
        <is>
          <t>243=</t>
        </is>
      </c>
    </row>
    <row r="1546">
      <c r="A1546" t="inlineStr">
        <is>
          <t>University of Ghana</t>
        </is>
      </c>
      <c r="B1546" t="inlineStr">
        <is>
          <t>Ghana</t>
        </is>
      </c>
      <c r="C1546" t="inlineStr">
        <is>
          <t>GH</t>
        </is>
      </c>
      <c r="D1546" t="inlineStr">
        <is>
          <t>Africa</t>
        </is>
      </c>
      <c r="E1546" t="inlineStr">
        <is>
          <t>XL</t>
        </is>
      </c>
      <c r="F1546" t="inlineStr">
        <is>
          <t>FC</t>
        </is>
      </c>
      <c r="G1546" t="inlineStr">
        <is>
          <t>HI</t>
        </is>
      </c>
      <c r="H1546" t="inlineStr">
        <is>
          <t>4</t>
        </is>
      </c>
      <c r="I1546" t="inlineStr">
        <is>
          <t>Public</t>
        </is>
      </c>
      <c r="J1546" t="inlineStr">
        <is>
          <t>851-900</t>
        </is>
      </c>
      <c r="K1546" t="inlineStr">
        <is>
          <t>851-900</t>
        </is>
      </c>
      <c r="L1546" t="inlineStr">
        <is>
          <t>951-1000</t>
        </is>
      </c>
      <c r="M1546" t="inlineStr">
        <is>
          <t>1201-1400</t>
        </is>
      </c>
      <c r="N1546" t="inlineStr">
        <is>
          <t>-</t>
        </is>
      </c>
      <c r="O1546" t="inlineStr">
        <is>
          <t>-</t>
        </is>
      </c>
      <c r="P1546" t="n">
        <v>17.8</v>
      </c>
      <c r="Q1546" t="inlineStr">
        <is>
          <t>687</t>
        </is>
      </c>
      <c r="R1546" t="n">
        <v>12.4</v>
      </c>
      <c r="S1546" t="inlineStr">
        <is>
          <t>701+</t>
        </is>
      </c>
      <c r="T1546" t="n">
        <v>2.1</v>
      </c>
      <c r="U1546" t="inlineStr">
        <is>
          <t>801+</t>
        </is>
      </c>
      <c r="V1546" t="n">
        <v>10.8</v>
      </c>
      <c r="W1546" t="inlineStr">
        <is>
          <t>801+</t>
        </is>
      </c>
      <c r="X1546" t="n">
        <v>8.1</v>
      </c>
      <c r="Y1546" t="inlineStr">
        <is>
          <t>801+</t>
        </is>
      </c>
      <c r="Z1546" t="n">
        <v>1.8</v>
      </c>
      <c r="AA1546" t="inlineStr">
        <is>
          <t>801+</t>
        </is>
      </c>
      <c r="AB1546" t="n">
        <v>1.6</v>
      </c>
      <c r="AC1546" t="inlineStr">
        <is>
          <t>801+</t>
        </is>
      </c>
      <c r="AD1546" t="n">
        <v>80.8</v>
      </c>
      <c r="AE1546" t="inlineStr">
        <is>
          <t>337</t>
        </is>
      </c>
      <c r="AF1546" t="n">
        <v>96.8</v>
      </c>
      <c r="AG1546" t="inlineStr">
        <is>
          <t>63</t>
        </is>
      </c>
      <c r="AH1546" t="n">
        <v>52.8</v>
      </c>
      <c r="AI1546" t="inlineStr">
        <is>
          <t>651</t>
        </is>
      </c>
      <c r="AJ1546" t="inlineStr">
        <is>
          <t>10.5</t>
        </is>
      </c>
      <c r="AK1546" t="inlineStr">
        <is>
          <t>601+</t>
        </is>
      </c>
      <c r="AL1546" t="inlineStr">
        <is>
          <t>9.4</t>
        </is>
      </c>
      <c r="AM1546" t="inlineStr">
        <is>
          <t>601+</t>
        </is>
      </c>
      <c r="AN1546" t="inlineStr">
        <is>
          <t>1.8</t>
        </is>
      </c>
      <c r="AO1546" t="inlineStr">
        <is>
          <t>701+</t>
        </is>
      </c>
      <c r="AP1546" t="inlineStr">
        <is>
          <t>5.1</t>
        </is>
      </c>
      <c r="AQ1546" t="inlineStr">
        <is>
          <t>701+</t>
        </is>
      </c>
      <c r="AR1546" t="inlineStr">
        <is>
          <t>4.9</t>
        </is>
      </c>
      <c r="AS1546" t="inlineStr">
        <is>
          <t>701+</t>
        </is>
      </c>
      <c r="AT1546" t="inlineStr">
        <is>
          <t>1.8</t>
        </is>
      </c>
      <c r="AU1546" t="inlineStr">
        <is>
          <t>701+</t>
        </is>
      </c>
      <c r="AV1546" t="inlineStr">
        <is>
          <t>28.9</t>
        </is>
      </c>
      <c r="AW1546" t="inlineStr">
        <is>
          <t>463</t>
        </is>
      </c>
      <c r="AX1546" t="inlineStr">
        <is>
          <t>64.1</t>
        </is>
      </c>
      <c r="AY1546" t="inlineStr">
        <is>
          <t>89</t>
        </is>
      </c>
      <c r="AZ1546" t="inlineStr">
        <is>
          <t>9.7</t>
        </is>
      </c>
      <c r="BA1546" t="inlineStr">
        <is>
          <t>673=</t>
        </is>
      </c>
    </row>
    <row r="1547">
      <c r="A1547" t="inlineStr">
        <is>
          <t>University of Glasgow</t>
        </is>
      </c>
      <c r="B1547" t="inlineStr">
        <is>
          <t>United Kingdom</t>
        </is>
      </c>
      <c r="C1547" t="inlineStr">
        <is>
          <t>UK</t>
        </is>
      </c>
      <c r="D1547" t="inlineStr">
        <is>
          <t>Europe</t>
        </is>
      </c>
      <c r="E1547" t="inlineStr">
        <is>
          <t>XL</t>
        </is>
      </c>
      <c r="F1547" t="inlineStr">
        <is>
          <t>FC</t>
        </is>
      </c>
      <c r="G1547" t="inlineStr">
        <is>
          <t>VH</t>
        </is>
      </c>
      <c r="H1547" t="inlineStr">
        <is>
          <t>5</t>
        </is>
      </c>
      <c r="I1547" t="inlineStr">
        <is>
          <t>Public</t>
        </is>
      </c>
      <c r="J1547" t="inlineStr">
        <is>
          <t>79</t>
        </is>
      </c>
      <c r="K1547" t="inlineStr">
        <is>
          <t>78</t>
        </is>
      </c>
      <c r="L1547">
        <f>76</f>
        <v/>
      </c>
      <c r="M1547" t="inlineStr">
        <is>
          <t>81</t>
        </is>
      </c>
      <c r="N1547" t="inlineStr">
        <is>
          <t>73.4</t>
        </is>
      </c>
      <c r="O1547" t="inlineStr">
        <is>
          <t>65.2</t>
        </is>
      </c>
      <c r="P1547" t="n">
        <v>88.3</v>
      </c>
      <c r="Q1547" t="inlineStr">
        <is>
          <t>72</t>
        </is>
      </c>
      <c r="R1547" t="n">
        <v>73.5</v>
      </c>
      <c r="S1547" t="inlineStr">
        <is>
          <t>132</t>
        </is>
      </c>
      <c r="T1547" t="n">
        <v>50.3</v>
      </c>
      <c r="U1547" t="inlineStr">
        <is>
          <t>377</t>
        </is>
      </c>
      <c r="V1547" t="n">
        <v>44.8</v>
      </c>
      <c r="W1547" t="inlineStr">
        <is>
          <t>416</t>
        </is>
      </c>
      <c r="X1547" t="n">
        <v>98</v>
      </c>
      <c r="Y1547" t="inlineStr">
        <is>
          <t>140</t>
        </is>
      </c>
      <c r="Z1547" t="n">
        <v>99.09999999999999</v>
      </c>
      <c r="AA1547" t="inlineStr">
        <is>
          <t>67</t>
        </is>
      </c>
      <c r="AB1547" t="n">
        <v>99.09999999999999</v>
      </c>
      <c r="AC1547" t="inlineStr">
        <is>
          <t>57</t>
        </is>
      </c>
      <c r="AD1547" t="n">
        <v>97</v>
      </c>
      <c r="AE1547" t="inlineStr">
        <is>
          <t>38</t>
        </is>
      </c>
      <c r="AF1547" t="n">
        <v>44.5</v>
      </c>
      <c r="AG1547" t="inlineStr">
        <is>
          <t>395</t>
        </is>
      </c>
      <c r="AH1547" t="n">
        <v>95.40000000000001</v>
      </c>
      <c r="AI1547" t="inlineStr">
        <is>
          <t>19=</t>
        </is>
      </c>
      <c r="AJ1547" t="inlineStr">
        <is>
          <t>76.3</t>
        </is>
      </c>
      <c r="AK1547" t="inlineStr">
        <is>
          <t>77</t>
        </is>
      </c>
      <c r="AL1547" t="inlineStr">
        <is>
          <t>70.7</t>
        </is>
      </c>
      <c r="AM1547" t="inlineStr">
        <is>
          <t>101</t>
        </is>
      </c>
      <c r="AN1547" t="inlineStr">
        <is>
          <t>41.7</t>
        </is>
      </c>
      <c r="AO1547" t="inlineStr">
        <is>
          <t>377</t>
        </is>
      </c>
      <c r="AP1547" t="inlineStr">
        <is>
          <t>31.8</t>
        </is>
      </c>
      <c r="AQ1547" t="inlineStr">
        <is>
          <t>423</t>
        </is>
      </c>
      <c r="AR1547" t="inlineStr">
        <is>
          <t>96.0</t>
        </is>
      </c>
      <c r="AS1547" t="inlineStr">
        <is>
          <t>143</t>
        </is>
      </c>
      <c r="AT1547" t="inlineStr">
        <is>
          <t>99.5</t>
        </is>
      </c>
      <c r="AU1547" t="inlineStr">
        <is>
          <t>41</t>
        </is>
      </c>
      <c r="AV1547" t="inlineStr">
        <is>
          <t>90.0</t>
        </is>
      </c>
      <c r="AW1547" t="inlineStr">
        <is>
          <t>80</t>
        </is>
      </c>
      <c r="AX1547" t="inlineStr">
        <is>
          <t>26.7</t>
        </is>
      </c>
      <c r="AY1547" t="inlineStr">
        <is>
          <t>306</t>
        </is>
      </c>
      <c r="AZ1547" t="inlineStr">
        <is>
          <t>99.5</t>
        </is>
      </c>
      <c r="BA1547" t="inlineStr">
        <is>
          <t>11</t>
        </is>
      </c>
    </row>
    <row r="1548">
      <c r="A1548" t="inlineStr">
        <is>
          <t>University of Gothenburg</t>
        </is>
      </c>
      <c r="B1548" t="inlineStr">
        <is>
          <t>Sweden</t>
        </is>
      </c>
      <c r="C1548" t="inlineStr">
        <is>
          <t>SE</t>
        </is>
      </c>
      <c r="D1548" t="inlineStr">
        <is>
          <t>Europe</t>
        </is>
      </c>
      <c r="E1548" t="inlineStr">
        <is>
          <t>L</t>
        </is>
      </c>
      <c r="F1548" t="inlineStr">
        <is>
          <t>FC</t>
        </is>
      </c>
      <c r="G1548" t="inlineStr">
        <is>
          <t>VH</t>
        </is>
      </c>
      <c r="H1548" t="inlineStr">
        <is>
          <t>4</t>
        </is>
      </c>
      <c r="I1548" t="inlineStr">
        <is>
          <t>Public</t>
        </is>
      </c>
      <c r="J1548" t="inlineStr">
        <is>
          <t>202</t>
        </is>
      </c>
      <c r="K1548" t="inlineStr">
        <is>
          <t>194</t>
        </is>
      </c>
      <c r="L1548" t="inlineStr">
        <is>
          <t>187</t>
        </is>
      </c>
      <c r="M1548" t="inlineStr">
        <is>
          <t>185=</t>
        </is>
      </c>
      <c r="N1548" t="inlineStr">
        <is>
          <t>55.5</t>
        </is>
      </c>
      <c r="O1548" t="inlineStr">
        <is>
          <t>47.3</t>
        </is>
      </c>
      <c r="P1548" t="n">
        <v>46.4</v>
      </c>
      <c r="Q1548" t="inlineStr">
        <is>
          <t>252</t>
        </is>
      </c>
      <c r="R1548" t="n">
        <v>24.6</v>
      </c>
      <c r="S1548" t="inlineStr">
        <is>
          <t>546</t>
        </is>
      </c>
      <c r="T1548" t="n">
        <v>73</v>
      </c>
      <c r="U1548" t="inlineStr">
        <is>
          <t>211</t>
        </is>
      </c>
      <c r="V1548" t="n">
        <v>45.4</v>
      </c>
      <c r="W1548" t="inlineStr">
        <is>
          <t>408</t>
        </is>
      </c>
      <c r="X1548" t="n">
        <v>94.09999999999999</v>
      </c>
      <c r="Y1548" t="inlineStr">
        <is>
          <t>190</t>
        </is>
      </c>
      <c r="Z1548" t="n">
        <v>85.8</v>
      </c>
      <c r="AA1548" t="inlineStr">
        <is>
          <t>191</t>
        </is>
      </c>
      <c r="AB1548" t="n">
        <v>87.09999999999999</v>
      </c>
      <c r="AC1548" t="inlineStr">
        <is>
          <t>161</t>
        </is>
      </c>
      <c r="AD1548" t="n">
        <v>93.7</v>
      </c>
      <c r="AE1548" t="inlineStr">
        <is>
          <t>104</t>
        </is>
      </c>
      <c r="AF1548" t="n">
        <v>71</v>
      </c>
      <c r="AG1548" t="inlineStr">
        <is>
          <t>205</t>
        </is>
      </c>
      <c r="AH1548" t="n">
        <v>92.90000000000001</v>
      </c>
      <c r="AI1548" t="inlineStr">
        <is>
          <t>36=</t>
        </is>
      </c>
      <c r="AJ1548" t="inlineStr">
        <is>
          <t>36.2</t>
        </is>
      </c>
      <c r="AK1548" t="inlineStr">
        <is>
          <t>239</t>
        </is>
      </c>
      <c r="AL1548" t="inlineStr">
        <is>
          <t>16.9</t>
        </is>
      </c>
      <c r="AM1548" t="inlineStr">
        <is>
          <t>511</t>
        </is>
      </c>
      <c r="AN1548" t="inlineStr">
        <is>
          <t>56.3</t>
        </is>
      </c>
      <c r="AO1548" t="inlineStr">
        <is>
          <t>261</t>
        </is>
      </c>
      <c r="AP1548" t="inlineStr">
        <is>
          <t>39.4</t>
        </is>
      </c>
      <c r="AQ1548" t="inlineStr">
        <is>
          <t>349</t>
        </is>
      </c>
      <c r="AR1548" t="inlineStr">
        <is>
          <t>90.6</t>
        </is>
      </c>
      <c r="AS1548" t="inlineStr">
        <is>
          <t>179</t>
        </is>
      </c>
      <c r="AT1548" t="inlineStr">
        <is>
          <t>80.8</t>
        </is>
      </c>
      <c r="AU1548" t="inlineStr">
        <is>
          <t>160</t>
        </is>
      </c>
      <c r="AV1548" t="inlineStr">
        <is>
          <t>86.4</t>
        </is>
      </c>
      <c r="AW1548" t="inlineStr">
        <is>
          <t>104</t>
        </is>
      </c>
      <c r="AX1548" t="inlineStr">
        <is>
          <t>46.3</t>
        </is>
      </c>
      <c r="AY1548" t="inlineStr">
        <is>
          <t>151</t>
        </is>
      </c>
      <c r="AZ1548" t="inlineStr">
        <is>
          <t>97.6</t>
        </is>
      </c>
      <c r="BA1548" t="inlineStr">
        <is>
          <t>30=</t>
        </is>
      </c>
    </row>
    <row r="1549">
      <c r="A1549" t="inlineStr">
        <is>
          <t>University of Granada</t>
        </is>
      </c>
      <c r="B1549" t="inlineStr">
        <is>
          <t>Spain</t>
        </is>
      </c>
      <c r="C1549" t="inlineStr">
        <is>
          <t>ES</t>
        </is>
      </c>
      <c r="D1549" t="inlineStr">
        <is>
          <t>Europe</t>
        </is>
      </c>
      <c r="E1549" t="inlineStr">
        <is>
          <t>XL</t>
        </is>
      </c>
      <c r="F1549" t="inlineStr">
        <is>
          <t>FC</t>
        </is>
      </c>
      <c r="G1549" t="inlineStr">
        <is>
          <t>VH</t>
        </is>
      </c>
      <c r="H1549" t="inlineStr">
        <is>
          <t>5</t>
        </is>
      </c>
      <c r="I1549" t="inlineStr">
        <is>
          <t>Public</t>
        </is>
      </c>
      <c r="J1549" t="inlineStr">
        <is>
          <t>401</t>
        </is>
      </c>
      <c r="K1549" t="inlineStr">
        <is>
          <t>431</t>
        </is>
      </c>
      <c r="L1549" t="inlineStr">
        <is>
          <t>403</t>
        </is>
      </c>
      <c r="M1549" t="inlineStr">
        <is>
          <t>494=</t>
        </is>
      </c>
      <c r="N1549" t="inlineStr">
        <is>
          <t>37.4</t>
        </is>
      </c>
      <c r="O1549" t="inlineStr">
        <is>
          <t>27.8</t>
        </is>
      </c>
      <c r="P1549" t="n">
        <v>59.3</v>
      </c>
      <c r="Q1549" t="inlineStr">
        <is>
          <t>178</t>
        </is>
      </c>
      <c r="R1549" t="n">
        <v>24.3</v>
      </c>
      <c r="S1549" t="inlineStr">
        <is>
          <t>554</t>
        </is>
      </c>
      <c r="T1549" t="n">
        <v>11.2</v>
      </c>
      <c r="U1549" t="inlineStr">
        <is>
          <t>801+</t>
        </is>
      </c>
      <c r="V1549" t="n">
        <v>26.3</v>
      </c>
      <c r="W1549" t="inlineStr">
        <is>
          <t>622</t>
        </is>
      </c>
      <c r="X1549" t="n">
        <v>9.9</v>
      </c>
      <c r="Y1549" t="inlineStr">
        <is>
          <t>801+</t>
        </is>
      </c>
      <c r="Z1549" t="n">
        <v>31.7</v>
      </c>
      <c r="AA1549" t="inlineStr">
        <is>
          <t>572</t>
        </is>
      </c>
      <c r="AB1549" t="n">
        <v>37.6</v>
      </c>
      <c r="AC1549" t="inlineStr">
        <is>
          <t>522</t>
        </is>
      </c>
      <c r="AD1549" t="n">
        <v>96.40000000000001</v>
      </c>
      <c r="AE1549" t="inlineStr">
        <is>
          <t>51</t>
        </is>
      </c>
      <c r="AF1549" t="n">
        <v>13.1</v>
      </c>
      <c r="AG1549" t="inlineStr">
        <is>
          <t>801+</t>
        </is>
      </c>
      <c r="AH1549" t="n">
        <v>58.4</v>
      </c>
      <c r="AI1549" t="inlineStr">
        <is>
          <t>536=</t>
        </is>
      </c>
      <c r="AJ1549" t="inlineStr">
        <is>
          <t>44.0</t>
        </is>
      </c>
      <c r="AK1549" t="inlineStr">
        <is>
          <t>192</t>
        </is>
      </c>
      <c r="AL1549" t="inlineStr">
        <is>
          <t>9.8</t>
        </is>
      </c>
      <c r="AM1549" t="inlineStr">
        <is>
          <t>601+</t>
        </is>
      </c>
      <c r="AN1549" t="inlineStr">
        <is>
          <t>5.6</t>
        </is>
      </c>
      <c r="AO1549" t="inlineStr">
        <is>
          <t>701+</t>
        </is>
      </c>
      <c r="AP1549" t="inlineStr">
        <is>
          <t>23.3</t>
        </is>
      </c>
      <c r="AQ1549" t="inlineStr">
        <is>
          <t>509</t>
        </is>
      </c>
      <c r="AR1549" t="inlineStr">
        <is>
          <t>3.4</t>
        </is>
      </c>
      <c r="AS1549" t="inlineStr">
        <is>
          <t>701+</t>
        </is>
      </c>
      <c r="AT1549" t="inlineStr">
        <is>
          <t>16.1</t>
        </is>
      </c>
      <c r="AU1549" t="inlineStr">
        <is>
          <t>598</t>
        </is>
      </c>
      <c r="AV1549" t="inlineStr">
        <is>
          <t>96.8</t>
        </is>
      </c>
      <c r="AW1549" t="inlineStr">
        <is>
          <t>34</t>
        </is>
      </c>
      <c r="AX1549" t="inlineStr">
        <is>
          <t>5.1</t>
        </is>
      </c>
      <c r="AY1549" t="inlineStr">
        <is>
          <t>701+</t>
        </is>
      </c>
      <c r="AZ1549" t="inlineStr">
        <is>
          <t>36.1</t>
        </is>
      </c>
      <c r="BA1549" t="inlineStr">
        <is>
          <t>391=</t>
        </is>
      </c>
    </row>
    <row r="1550">
      <c r="A1550" t="inlineStr">
        <is>
          <t>University of Greenwich</t>
        </is>
      </c>
      <c r="B1550" t="inlineStr">
        <is>
          <t>United Kingdom</t>
        </is>
      </c>
      <c r="C1550" t="inlineStr">
        <is>
          <t>UK</t>
        </is>
      </c>
      <c r="D1550" t="inlineStr">
        <is>
          <t>Europe</t>
        </is>
      </c>
      <c r="E1550" t="inlineStr">
        <is>
          <t>L</t>
        </is>
      </c>
      <c r="F1550" t="inlineStr">
        <is>
          <t>CO</t>
        </is>
      </c>
      <c r="G1550" t="inlineStr">
        <is>
          <t>HI</t>
        </is>
      </c>
      <c r="H1550" t="inlineStr">
        <is>
          <t>3</t>
        </is>
      </c>
      <c r="I1550" t="inlineStr">
        <is>
          <t>Public</t>
        </is>
      </c>
      <c r="J1550" t="inlineStr">
        <is>
          <t>801-850</t>
        </is>
      </c>
      <c r="K1550" t="inlineStr">
        <is>
          <t>691-700</t>
        </is>
      </c>
      <c r="L1550" t="inlineStr">
        <is>
          <t>671-680</t>
        </is>
      </c>
      <c r="M1550" t="inlineStr">
        <is>
          <t>801-1000</t>
        </is>
      </c>
      <c r="N1550" t="inlineStr">
        <is>
          <t>-</t>
        </is>
      </c>
      <c r="O1550" t="inlineStr">
        <is>
          <t>-</t>
        </is>
      </c>
      <c r="P1550" t="n">
        <v>6.2</v>
      </c>
      <c r="Q1550" t="inlineStr">
        <is>
          <t>701+</t>
        </is>
      </c>
      <c r="R1550" t="n">
        <v>7</v>
      </c>
      <c r="S1550" t="inlineStr">
        <is>
          <t>701+</t>
        </is>
      </c>
      <c r="T1550" t="n">
        <v>5.2</v>
      </c>
      <c r="U1550" t="inlineStr">
        <is>
          <t>801+</t>
        </is>
      </c>
      <c r="V1550" t="n">
        <v>15.2</v>
      </c>
      <c r="W1550" t="inlineStr">
        <is>
          <t>801+</t>
        </is>
      </c>
      <c r="X1550" t="n">
        <v>94</v>
      </c>
      <c r="Y1550" t="inlineStr">
        <is>
          <t>193</t>
        </is>
      </c>
      <c r="Z1550" t="n">
        <v>99.59999999999999</v>
      </c>
      <c r="AA1550" t="inlineStr">
        <is>
          <t>54</t>
        </is>
      </c>
      <c r="AB1550" t="n">
        <v>99.59999999999999</v>
      </c>
      <c r="AC1550" t="inlineStr">
        <is>
          <t>43</t>
        </is>
      </c>
      <c r="AD1550" t="n">
        <v>75.8</v>
      </c>
      <c r="AE1550" t="inlineStr">
        <is>
          <t>421</t>
        </is>
      </c>
      <c r="AF1550" t="n">
        <v>19.7</v>
      </c>
      <c r="AG1550" t="inlineStr">
        <is>
          <t>731</t>
        </is>
      </c>
      <c r="AH1550" t="n">
        <v>44.9</v>
      </c>
      <c r="AI1550" t="inlineStr">
        <is>
          <t>801+</t>
        </is>
      </c>
      <c r="AJ1550" t="inlineStr">
        <is>
          <t>4.5</t>
        </is>
      </c>
      <c r="AK1550" t="inlineStr">
        <is>
          <t>601+</t>
        </is>
      </c>
      <c r="AL1550" t="inlineStr">
        <is>
          <t>4.2</t>
        </is>
      </c>
      <c r="AM1550" t="inlineStr">
        <is>
          <t>601+</t>
        </is>
      </c>
      <c r="AN1550" t="inlineStr">
        <is>
          <t>4.6</t>
        </is>
      </c>
      <c r="AO1550" t="inlineStr">
        <is>
          <t>701+</t>
        </is>
      </c>
      <c r="AP1550" t="inlineStr">
        <is>
          <t>10.6</t>
        </is>
      </c>
      <c r="AQ1550" t="inlineStr">
        <is>
          <t>701+</t>
        </is>
      </c>
      <c r="AR1550" t="inlineStr">
        <is>
          <t>91.9</t>
        </is>
      </c>
      <c r="AS1550" t="inlineStr">
        <is>
          <t>173</t>
        </is>
      </c>
      <c r="AT1550" t="inlineStr">
        <is>
          <t>100.0</t>
        </is>
      </c>
      <c r="AU1550" t="inlineStr">
        <is>
          <t>30</t>
        </is>
      </c>
      <c r="AV1550" t="inlineStr">
        <is>
          <t>41.1</t>
        </is>
      </c>
      <c r="AW1550" t="inlineStr">
        <is>
          <t>368</t>
        </is>
      </c>
      <c r="AX1550" t="inlineStr">
        <is>
          <t>12.8</t>
        </is>
      </c>
      <c r="AY1550" t="inlineStr">
        <is>
          <t>671</t>
        </is>
      </c>
      <c r="AZ1550" t="inlineStr">
        <is>
          <t>12.7</t>
        </is>
      </c>
      <c r="BA1550" t="inlineStr">
        <is>
          <t>636=</t>
        </is>
      </c>
    </row>
    <row r="1551">
      <c r="A1551" t="inlineStr">
        <is>
          <t>University of Groningen</t>
        </is>
      </c>
      <c r="B1551" t="inlineStr">
        <is>
          <t>Netherlands</t>
        </is>
      </c>
      <c r="C1551" t="inlineStr">
        <is>
          <t>NL</t>
        </is>
      </c>
      <c r="D1551" t="inlineStr">
        <is>
          <t>Europe</t>
        </is>
      </c>
      <c r="E1551" t="inlineStr">
        <is>
          <t>XL</t>
        </is>
      </c>
      <c r="F1551" t="inlineStr">
        <is>
          <t>FC</t>
        </is>
      </c>
      <c r="G1551" t="inlineStr">
        <is>
          <t>VH</t>
        </is>
      </c>
      <c r="H1551" t="inlineStr">
        <is>
          <t>5</t>
        </is>
      </c>
      <c r="I1551" t="inlineStr">
        <is>
          <t>Public</t>
        </is>
      </c>
      <c r="J1551" t="inlineStr">
        <is>
          <t>147</t>
        </is>
      </c>
      <c r="K1551" t="inlineStr">
        <is>
          <t>159</t>
        </is>
      </c>
      <c r="L1551" t="inlineStr">
        <is>
          <t>139</t>
        </is>
      </c>
      <c r="M1551" t="inlineStr">
        <is>
          <t>145</t>
        </is>
      </c>
      <c r="N1551" t="inlineStr">
        <is>
          <t>62.5</t>
        </is>
      </c>
      <c r="O1551" t="inlineStr">
        <is>
          <t>52.5</t>
        </is>
      </c>
      <c r="P1551" t="n">
        <v>67.2</v>
      </c>
      <c r="Q1551" t="inlineStr">
        <is>
          <t>147</t>
        </is>
      </c>
      <c r="R1551" t="n">
        <v>41.6</v>
      </c>
      <c r="S1551" t="inlineStr">
        <is>
          <t>326</t>
        </is>
      </c>
      <c r="T1551" t="n">
        <v>56.2</v>
      </c>
      <c r="U1551" t="inlineStr">
        <is>
          <t>331</t>
        </is>
      </c>
      <c r="V1551" t="n">
        <v>53</v>
      </c>
      <c r="W1551" t="inlineStr">
        <is>
          <t>353</t>
        </is>
      </c>
      <c r="X1551" t="n">
        <v>95.40000000000001</v>
      </c>
      <c r="Y1551" t="inlineStr">
        <is>
          <t>174</t>
        </is>
      </c>
      <c r="Z1551" t="n">
        <v>89.40000000000001</v>
      </c>
      <c r="AA1551" t="inlineStr">
        <is>
          <t>173</t>
        </is>
      </c>
      <c r="AB1551" t="n">
        <v>66.59999999999999</v>
      </c>
      <c r="AC1551" t="inlineStr">
        <is>
          <t>293</t>
        </is>
      </c>
      <c r="AD1551" t="n">
        <v>93.40000000000001</v>
      </c>
      <c r="AE1551" t="inlineStr">
        <is>
          <t>118</t>
        </is>
      </c>
      <c r="AF1551" t="n">
        <v>53.5</v>
      </c>
      <c r="AG1551" t="inlineStr">
        <is>
          <t>317</t>
        </is>
      </c>
      <c r="AH1551" t="n">
        <v>67.59999999999999</v>
      </c>
      <c r="AI1551" t="inlineStr">
        <is>
          <t>355=</t>
        </is>
      </c>
      <c r="AJ1551" t="inlineStr">
        <is>
          <t>52.9</t>
        </is>
      </c>
      <c r="AK1551" t="inlineStr">
        <is>
          <t>148</t>
        </is>
      </c>
      <c r="AL1551" t="inlineStr">
        <is>
          <t>29.9</t>
        </is>
      </c>
      <c r="AM1551" t="inlineStr">
        <is>
          <t>326</t>
        </is>
      </c>
      <c r="AN1551" t="inlineStr">
        <is>
          <t>51.4</t>
        </is>
      </c>
      <c r="AO1551" t="inlineStr">
        <is>
          <t>304</t>
        </is>
      </c>
      <c r="AP1551" t="inlineStr">
        <is>
          <t>42.9</t>
        </is>
      </c>
      <c r="AQ1551" t="inlineStr">
        <is>
          <t>311</t>
        </is>
      </c>
      <c r="AR1551" t="inlineStr">
        <is>
          <t>93.5</t>
        </is>
      </c>
      <c r="AS1551" t="inlineStr">
        <is>
          <t>159</t>
        </is>
      </c>
      <c r="AT1551" t="inlineStr">
        <is>
          <t>85.6</t>
        </is>
      </c>
      <c r="AU1551" t="inlineStr">
        <is>
          <t>140</t>
        </is>
      </c>
      <c r="AV1551" t="inlineStr">
        <is>
          <t>92.1</t>
        </is>
      </c>
      <c r="AW1551" t="inlineStr">
        <is>
          <t>67</t>
        </is>
      </c>
      <c r="AX1551" t="inlineStr">
        <is>
          <t>22.3</t>
        </is>
      </c>
      <c r="AY1551" t="inlineStr">
        <is>
          <t>372</t>
        </is>
      </c>
      <c r="AZ1551" t="inlineStr">
        <is>
          <t>67.7</t>
        </is>
      </c>
      <c r="BA1551" t="inlineStr">
        <is>
          <t>214</t>
        </is>
      </c>
    </row>
    <row r="1552">
      <c r="A1552" t="inlineStr">
        <is>
          <t>University of Guelph</t>
        </is>
      </c>
      <c r="B1552" t="inlineStr">
        <is>
          <t>Canada</t>
        </is>
      </c>
      <c r="C1552" t="inlineStr">
        <is>
          <t>CA</t>
        </is>
      </c>
      <c r="D1552" t="inlineStr">
        <is>
          <t>Americas</t>
        </is>
      </c>
      <c r="E1552" t="inlineStr">
        <is>
          <t>L</t>
        </is>
      </c>
      <c r="F1552" t="inlineStr">
        <is>
          <t>CO</t>
        </is>
      </c>
      <c r="G1552" t="inlineStr">
        <is>
          <t>VH</t>
        </is>
      </c>
      <c r="H1552" t="inlineStr">
        <is>
          <t>4</t>
        </is>
      </c>
      <c r="I1552" t="inlineStr">
        <is>
          <t>Public</t>
        </is>
      </c>
      <c r="J1552" t="inlineStr">
        <is>
          <t>504</t>
        </is>
      </c>
      <c r="K1552" t="inlineStr">
        <is>
          <t>456</t>
        </is>
      </c>
      <c r="L1552">
        <f>486</f>
        <v/>
      </c>
      <c r="M1552" t="inlineStr">
        <is>
          <t>591-600</t>
        </is>
      </c>
      <c r="N1552" t="inlineStr">
        <is>
          <t>32</t>
        </is>
      </c>
      <c r="O1552" t="inlineStr">
        <is>
          <t>23.7</t>
        </is>
      </c>
      <c r="P1552" t="n">
        <v>19.9</v>
      </c>
      <c r="Q1552" t="inlineStr">
        <is>
          <t>621</t>
        </is>
      </c>
      <c r="R1552" t="n">
        <v>19.2</v>
      </c>
      <c r="S1552" t="inlineStr">
        <is>
          <t>680</t>
        </is>
      </c>
      <c r="T1552" t="n">
        <v>7.9</v>
      </c>
      <c r="U1552" t="inlineStr">
        <is>
          <t>801+</t>
        </is>
      </c>
      <c r="V1552" t="n">
        <v>55.2</v>
      </c>
      <c r="W1552" t="inlineStr">
        <is>
          <t>327</t>
        </is>
      </c>
      <c r="X1552" t="n">
        <v>49.6</v>
      </c>
      <c r="Y1552" t="inlineStr">
        <is>
          <t>443</t>
        </is>
      </c>
      <c r="Z1552" t="n">
        <v>24</v>
      </c>
      <c r="AA1552" t="inlineStr">
        <is>
          <t>672</t>
        </is>
      </c>
      <c r="AB1552" t="n">
        <v>30.1</v>
      </c>
      <c r="AC1552" t="inlineStr">
        <is>
          <t>613</t>
        </is>
      </c>
      <c r="AD1552" t="n">
        <v>74.8</v>
      </c>
      <c r="AE1552" t="inlineStr">
        <is>
          <t>446</t>
        </is>
      </c>
      <c r="AF1552" t="n">
        <v>18.2</v>
      </c>
      <c r="AG1552" t="inlineStr">
        <is>
          <t>755</t>
        </is>
      </c>
      <c r="AH1552" t="n">
        <v>80.7</v>
      </c>
      <c r="AI1552" t="inlineStr">
        <is>
          <t>161</t>
        </is>
      </c>
      <c r="AJ1552" t="inlineStr">
        <is>
          <t>13.5</t>
        </is>
      </c>
      <c r="AK1552" t="inlineStr">
        <is>
          <t>601+</t>
        </is>
      </c>
      <c r="AL1552" t="inlineStr">
        <is>
          <t>20.9</t>
        </is>
      </c>
      <c r="AM1552" t="inlineStr">
        <is>
          <t>444</t>
        </is>
      </c>
      <c r="AN1552" t="inlineStr">
        <is>
          <t>5.8</t>
        </is>
      </c>
      <c r="AO1552" t="inlineStr">
        <is>
          <t>701+</t>
        </is>
      </c>
      <c r="AP1552" t="inlineStr">
        <is>
          <t>47.5</t>
        </is>
      </c>
      <c r="AQ1552" t="inlineStr">
        <is>
          <t>286</t>
        </is>
      </c>
      <c r="AR1552" t="inlineStr">
        <is>
          <t>43.5</t>
        </is>
      </c>
      <c r="AS1552" t="inlineStr">
        <is>
          <t>384</t>
        </is>
      </c>
      <c r="AT1552" t="inlineStr">
        <is>
          <t>15.1</t>
        </is>
      </c>
      <c r="AU1552" t="inlineStr">
        <is>
          <t>618</t>
        </is>
      </c>
      <c r="AV1552" t="inlineStr">
        <is>
          <t>22.3</t>
        </is>
      </c>
      <c r="AW1552" t="inlineStr">
        <is>
          <t>525</t>
        </is>
      </c>
      <c r="AX1552" t="inlineStr">
        <is>
          <t>13.1</t>
        </is>
      </c>
      <c r="AY1552" t="inlineStr">
        <is>
          <t>658</t>
        </is>
      </c>
      <c r="AZ1552" t="inlineStr">
        <is>
          <t>36.3</t>
        </is>
      </c>
      <c r="BA1552" t="inlineStr">
        <is>
          <t>389=</t>
        </is>
      </c>
    </row>
    <row r="1553">
      <c r="A1553" t="inlineStr">
        <is>
          <t>University of Göttingen</t>
        </is>
      </c>
      <c r="B1553" t="inlineStr">
        <is>
          <t>Germany</t>
        </is>
      </c>
      <c r="C1553" t="inlineStr">
        <is>
          <t>DE</t>
        </is>
      </c>
      <c r="D1553" t="inlineStr"/>
      <c r="E1553" t="inlineStr">
        <is>
          <t>L</t>
        </is>
      </c>
      <c r="F1553" t="inlineStr">
        <is>
          <t>FC</t>
        </is>
      </c>
      <c r="G1553" t="inlineStr">
        <is>
          <t>VH</t>
        </is>
      </c>
      <c r="H1553" t="inlineStr">
        <is>
          <t>5</t>
        </is>
      </c>
      <c r="I1553" t="inlineStr">
        <is>
          <t>A</t>
        </is>
      </c>
      <c r="J1553" t="inlineStr"/>
      <c r="K1553" t="inlineStr"/>
      <c r="L1553" t="inlineStr">
        <is>
          <t>232</t>
        </is>
      </c>
      <c r="M1553" t="inlineStr">
        <is>
          <t>215=</t>
        </is>
      </c>
      <c r="N1553" t="inlineStr"/>
      <c r="O1553" t="inlineStr">
        <is>
          <t>41.4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>
        <is>
          <t>47.4</t>
        </is>
      </c>
      <c r="AK1553" t="inlineStr">
        <is>
          <t>172</t>
        </is>
      </c>
      <c r="AL1553" t="inlineStr">
        <is>
          <t>29.0</t>
        </is>
      </c>
      <c r="AM1553" t="inlineStr">
        <is>
          <t>338</t>
        </is>
      </c>
      <c r="AN1553" t="inlineStr">
        <is>
          <t>70.1</t>
        </is>
      </c>
      <c r="AO1553" t="inlineStr">
        <is>
          <t>183</t>
        </is>
      </c>
      <c r="AP1553" t="inlineStr">
        <is>
          <t>17.7</t>
        </is>
      </c>
      <c r="AQ1553" t="inlineStr">
        <is>
          <t>587</t>
        </is>
      </c>
      <c r="AR1553" t="inlineStr">
        <is>
          <t>49.5</t>
        </is>
      </c>
      <c r="AS1553" t="inlineStr">
        <is>
          <t>361</t>
        </is>
      </c>
      <c r="AT1553" t="inlineStr">
        <is>
          <t>22.5</t>
        </is>
      </c>
      <c r="AU1553" t="inlineStr">
        <is>
          <t>505</t>
        </is>
      </c>
      <c r="AV1553" t="inlineStr">
        <is>
          <t>91.8</t>
        </is>
      </c>
      <c r="AW1553" t="inlineStr">
        <is>
          <t>71</t>
        </is>
      </c>
      <c r="AX1553" t="inlineStr">
        <is>
          <t>21.9</t>
        </is>
      </c>
      <c r="AY1553" t="inlineStr">
        <is>
          <t>379</t>
        </is>
      </c>
      <c r="AZ1553" t="inlineStr">
        <is>
          <t>55.5</t>
        </is>
      </c>
      <c r="BA1553" t="inlineStr">
        <is>
          <t>274</t>
        </is>
      </c>
    </row>
    <row r="1554">
      <c r="A1554" t="inlineStr">
        <is>
          <t>University of Ha'il</t>
        </is>
      </c>
      <c r="B1554" t="inlineStr">
        <is>
          <t>Saudi Arabia</t>
        </is>
      </c>
      <c r="C1554" t="inlineStr"/>
      <c r="D1554" t="inlineStr">
        <is>
          <t>Asia</t>
        </is>
      </c>
      <c r="E1554" t="inlineStr">
        <is>
          <t>L</t>
        </is>
      </c>
      <c r="F1554" t="inlineStr">
        <is>
          <t>FC</t>
        </is>
      </c>
      <c r="G1554" t="inlineStr">
        <is>
          <t>HI</t>
        </is>
      </c>
      <c r="H1554" t="inlineStr"/>
      <c r="I1554" t="inlineStr">
        <is>
          <t>Public</t>
        </is>
      </c>
      <c r="J1554" t="inlineStr">
        <is>
          <t>951-1000</t>
        </is>
      </c>
      <c r="K1554" t="inlineStr">
        <is>
          <t>901-950</t>
        </is>
      </c>
      <c r="L1554" t="inlineStr"/>
      <c r="M1554" t="inlineStr"/>
      <c r="N1554" t="inlineStr">
        <is>
          <t>-</t>
        </is>
      </c>
      <c r="O1554" t="inlineStr"/>
      <c r="P1554" t="n">
        <v>8.699999999999999</v>
      </c>
      <c r="Q1554" t="inlineStr">
        <is>
          <t>701+</t>
        </is>
      </c>
      <c r="R1554" t="n">
        <v>4.3</v>
      </c>
      <c r="S1554" t="inlineStr">
        <is>
          <t>701+</t>
        </is>
      </c>
      <c r="T1554" t="n">
        <v>41.1</v>
      </c>
      <c r="U1554" t="inlineStr">
        <is>
          <t>492</t>
        </is>
      </c>
      <c r="V1554" t="n">
        <v>5</v>
      </c>
      <c r="W1554" t="inlineStr">
        <is>
          <t>801+</t>
        </is>
      </c>
      <c r="X1554" t="n">
        <v>100</v>
      </c>
      <c r="Y1554" t="inlineStr">
        <is>
          <t>46</t>
        </is>
      </c>
      <c r="Z1554" t="n">
        <v>5.4</v>
      </c>
      <c r="AA1554" t="inlineStr">
        <is>
          <t>801+</t>
        </is>
      </c>
      <c r="AB1554" t="n">
        <v>9.800000000000001</v>
      </c>
      <c r="AC1554" t="inlineStr">
        <is>
          <t>801+</t>
        </is>
      </c>
      <c r="AD1554" t="n">
        <v>62.3</v>
      </c>
      <c r="AE1554" t="inlineStr">
        <is>
          <t>660</t>
        </is>
      </c>
      <c r="AF1554" t="n">
        <v>2.9</v>
      </c>
      <c r="AG1554" t="inlineStr">
        <is>
          <t>801+</t>
        </is>
      </c>
      <c r="AH1554" t="n">
        <v>45.6</v>
      </c>
      <c r="AI1554" t="inlineStr">
        <is>
          <t>801+</t>
        </is>
      </c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</row>
    <row r="1555">
      <c r="A1555" t="inlineStr">
        <is>
          <t>University of Haifa</t>
        </is>
      </c>
      <c r="B1555" t="inlineStr">
        <is>
          <t>Israel</t>
        </is>
      </c>
      <c r="C1555" t="inlineStr">
        <is>
          <t>IL</t>
        </is>
      </c>
      <c r="D1555" t="inlineStr">
        <is>
          <t>Asia</t>
        </is>
      </c>
      <c r="E1555" t="inlineStr">
        <is>
          <t>L</t>
        </is>
      </c>
      <c r="F1555" t="inlineStr">
        <is>
          <t>CO</t>
        </is>
      </c>
      <c r="G1555" t="inlineStr">
        <is>
          <t>VH</t>
        </is>
      </c>
      <c r="H1555" t="inlineStr">
        <is>
          <t>4</t>
        </is>
      </c>
      <c r="I1555" t="inlineStr">
        <is>
          <t>Public</t>
        </is>
      </c>
      <c r="J1555" t="inlineStr">
        <is>
          <t>678</t>
        </is>
      </c>
      <c r="K1555" t="inlineStr">
        <is>
          <t>671-680</t>
        </is>
      </c>
      <c r="L1555" t="inlineStr">
        <is>
          <t>651-660</t>
        </is>
      </c>
      <c r="M1555" t="inlineStr">
        <is>
          <t>701-750</t>
        </is>
      </c>
      <c r="N1555" t="inlineStr">
        <is>
          <t>26</t>
        </is>
      </c>
      <c r="O1555" t="inlineStr">
        <is>
          <t>-</t>
        </is>
      </c>
      <c r="P1555" t="n">
        <v>17.4</v>
      </c>
      <c r="Q1555" t="inlineStr">
        <is>
          <t>701+</t>
        </is>
      </c>
      <c r="R1555" t="n">
        <v>13</v>
      </c>
      <c r="S1555" t="inlineStr">
        <is>
          <t>701+</t>
        </is>
      </c>
      <c r="T1555" t="n">
        <v>15.8</v>
      </c>
      <c r="U1555" t="inlineStr">
        <is>
          <t>801+</t>
        </is>
      </c>
      <c r="V1555" t="n">
        <v>44.8</v>
      </c>
      <c r="W1555" t="inlineStr">
        <is>
          <t>417</t>
        </is>
      </c>
      <c r="X1555" t="n">
        <v>17.8</v>
      </c>
      <c r="Y1555" t="inlineStr">
        <is>
          <t>751</t>
        </is>
      </c>
      <c r="Z1555" t="n">
        <v>6.7</v>
      </c>
      <c r="AA1555" t="inlineStr">
        <is>
          <t>801+</t>
        </is>
      </c>
      <c r="AB1555" t="n">
        <v>5.2</v>
      </c>
      <c r="AC1555" t="inlineStr">
        <is>
          <t>801+</t>
        </is>
      </c>
      <c r="AD1555" t="n">
        <v>69.59999999999999</v>
      </c>
      <c r="AE1555" t="inlineStr">
        <is>
          <t>539</t>
        </is>
      </c>
      <c r="AF1555" t="n">
        <v>29.6</v>
      </c>
      <c r="AG1555" t="inlineStr">
        <is>
          <t>554</t>
        </is>
      </c>
      <c r="AH1555" t="n">
        <v>67.40000000000001</v>
      </c>
      <c r="AI1555" t="inlineStr">
        <is>
          <t>360</t>
        </is>
      </c>
      <c r="AJ1555" t="inlineStr">
        <is>
          <t>13.1</t>
        </is>
      </c>
      <c r="AK1555" t="inlineStr">
        <is>
          <t>601+</t>
        </is>
      </c>
      <c r="AL1555" t="inlineStr">
        <is>
          <t>7.4</t>
        </is>
      </c>
      <c r="AM1555" t="inlineStr">
        <is>
          <t>601+</t>
        </is>
      </c>
      <c r="AN1555" t="inlineStr">
        <is>
          <t>19.6</t>
        </is>
      </c>
      <c r="AO1555" t="inlineStr">
        <is>
          <t>678</t>
        </is>
      </c>
      <c r="AP1555" t="inlineStr">
        <is>
          <t>30.1</t>
        </is>
      </c>
      <c r="AQ1555" t="inlineStr">
        <is>
          <t>433</t>
        </is>
      </c>
      <c r="AR1555" t="inlineStr">
        <is>
          <t>14.2</t>
        </is>
      </c>
      <c r="AS1555" t="inlineStr">
        <is>
          <t>681</t>
        </is>
      </c>
      <c r="AT1555" t="inlineStr">
        <is>
          <t>3.9</t>
        </is>
      </c>
      <c r="AU1555" t="inlineStr">
        <is>
          <t>701+</t>
        </is>
      </c>
      <c r="AV1555" t="inlineStr">
        <is>
          <t>13.5</t>
        </is>
      </c>
      <c r="AW1555" t="inlineStr">
        <is>
          <t>617</t>
        </is>
      </c>
      <c r="AX1555" t="inlineStr">
        <is>
          <t>14.1</t>
        </is>
      </c>
      <c r="AY1555" t="inlineStr">
        <is>
          <t>601</t>
        </is>
      </c>
      <c r="AZ1555" t="inlineStr">
        <is>
          <t>51.8</t>
        </is>
      </c>
      <c r="BA1555" t="inlineStr">
        <is>
          <t>295=</t>
        </is>
      </c>
    </row>
    <row r="1556">
      <c r="A1556" t="inlineStr">
        <is>
          <t>University of Hawaii at Hilo</t>
        </is>
      </c>
      <c r="B1556" t="inlineStr">
        <is>
          <t>United States</t>
        </is>
      </c>
      <c r="C1556" t="inlineStr"/>
      <c r="D1556" t="inlineStr">
        <is>
          <t>Americas</t>
        </is>
      </c>
      <c r="E1556" t="inlineStr">
        <is>
          <t>S</t>
        </is>
      </c>
      <c r="F1556" t="inlineStr">
        <is>
          <t>CO</t>
        </is>
      </c>
      <c r="G1556" t="inlineStr">
        <is>
          <t>HI</t>
        </is>
      </c>
      <c r="H1556" t="inlineStr"/>
      <c r="I1556" t="inlineStr"/>
      <c r="J1556" t="inlineStr">
        <is>
          <t>1401+</t>
        </is>
      </c>
      <c r="K1556" t="inlineStr"/>
      <c r="L1556" t="inlineStr"/>
      <c r="M1556" t="inlineStr"/>
      <c r="N1556" t="inlineStr">
        <is>
          <t>-</t>
        </is>
      </c>
      <c r="O1556" t="inlineStr"/>
      <c r="P1556" t="n">
        <v>2.8</v>
      </c>
      <c r="Q1556" t="inlineStr">
        <is>
          <t>701+</t>
        </is>
      </c>
      <c r="R1556" t="n">
        <v>3.8</v>
      </c>
      <c r="S1556" t="inlineStr">
        <is>
          <t>701+</t>
        </is>
      </c>
      <c r="T1556" t="n">
        <v>32.4</v>
      </c>
      <c r="U1556" t="inlineStr">
        <is>
          <t>598</t>
        </is>
      </c>
      <c r="V1556" t="n">
        <v>13.5</v>
      </c>
      <c r="W1556" t="inlineStr">
        <is>
          <t>801+</t>
        </is>
      </c>
      <c r="X1556" t="n">
        <v>3.3</v>
      </c>
      <c r="Y1556" t="inlineStr">
        <is>
          <t>801+</t>
        </is>
      </c>
      <c r="Z1556" t="n">
        <v>7.8</v>
      </c>
      <c r="AA1556" t="inlineStr">
        <is>
          <t>801+</t>
        </is>
      </c>
      <c r="AB1556" t="n">
        <v>6</v>
      </c>
      <c r="AC1556" t="inlineStr">
        <is>
          <t>801+</t>
        </is>
      </c>
      <c r="AD1556" t="n">
        <v>17.2</v>
      </c>
      <c r="AE1556" t="inlineStr">
        <is>
          <t>801+</t>
        </is>
      </c>
      <c r="AF1556" t="n">
        <v>5.5</v>
      </c>
      <c r="AG1556" t="inlineStr">
        <is>
          <t>801+</t>
        </is>
      </c>
      <c r="AH1556" t="n">
        <v>19.6</v>
      </c>
      <c r="AI1556" t="inlineStr">
        <is>
          <t>801+</t>
        </is>
      </c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</row>
    <row r="1557">
      <c r="A1557" t="inlineStr">
        <is>
          <t>University of Hawaii at Mañoa</t>
        </is>
      </c>
      <c r="B1557" t="inlineStr">
        <is>
          <t>United States</t>
        </is>
      </c>
      <c r="C1557" t="inlineStr"/>
      <c r="D1557" t="inlineStr">
        <is>
          <t>Americas</t>
        </is>
      </c>
      <c r="E1557" t="inlineStr">
        <is>
          <t>L</t>
        </is>
      </c>
      <c r="F1557" t="inlineStr">
        <is>
          <t>FC</t>
        </is>
      </c>
      <c r="G1557" t="inlineStr">
        <is>
          <t>VH</t>
        </is>
      </c>
      <c r="H1557" t="inlineStr"/>
      <c r="I1557" t="inlineStr">
        <is>
          <t>Public</t>
        </is>
      </c>
      <c r="J1557" t="inlineStr">
        <is>
          <t>546</t>
        </is>
      </c>
      <c r="K1557" t="inlineStr">
        <is>
          <t>488</t>
        </is>
      </c>
      <c r="L1557" t="inlineStr"/>
      <c r="M1557" t="inlineStr"/>
      <c r="N1557" t="inlineStr">
        <is>
          <t>30.2</t>
        </is>
      </c>
      <c r="O1557" t="inlineStr"/>
      <c r="P1557" t="n">
        <v>21.3</v>
      </c>
      <c r="Q1557" t="inlineStr">
        <is>
          <t>583</t>
        </is>
      </c>
      <c r="R1557" t="n">
        <v>10.5</v>
      </c>
      <c r="S1557" t="inlineStr">
        <is>
          <t>701+</t>
        </is>
      </c>
      <c r="T1557" t="n">
        <v>32.4</v>
      </c>
      <c r="U1557" t="inlineStr">
        <is>
          <t>594</t>
        </is>
      </c>
      <c r="V1557" t="n">
        <v>51.8</v>
      </c>
      <c r="W1557" t="inlineStr">
        <is>
          <t>366</t>
        </is>
      </c>
      <c r="X1557" t="n">
        <v>25.2</v>
      </c>
      <c r="Y1557" t="inlineStr">
        <is>
          <t>650</t>
        </is>
      </c>
      <c r="Z1557" t="n">
        <v>11.1</v>
      </c>
      <c r="AA1557" t="inlineStr">
        <is>
          <t>801+</t>
        </is>
      </c>
      <c r="AB1557" t="n">
        <v>17</v>
      </c>
      <c r="AC1557" t="inlineStr">
        <is>
          <t>801+</t>
        </is>
      </c>
      <c r="AD1557" t="n">
        <v>84.5</v>
      </c>
      <c r="AE1557" t="inlineStr">
        <is>
          <t>264</t>
        </is>
      </c>
      <c r="AF1557" t="n">
        <v>13.3</v>
      </c>
      <c r="AG1557" t="inlineStr">
        <is>
          <t>801+</t>
        </is>
      </c>
      <c r="AH1557" t="n">
        <v>60.9</v>
      </c>
      <c r="AI1557" t="inlineStr">
        <is>
          <t>486=</t>
        </is>
      </c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</row>
    <row r="1558">
      <c r="A1558" t="inlineStr">
        <is>
          <t>University of Hawaiʻi at Mānoa</t>
        </is>
      </c>
      <c r="B1558" t="inlineStr">
        <is>
          <t>United States</t>
        </is>
      </c>
      <c r="C1558" t="inlineStr">
        <is>
          <t>US</t>
        </is>
      </c>
      <c r="D1558" t="inlineStr"/>
      <c r="E1558" t="inlineStr">
        <is>
          <t>L</t>
        </is>
      </c>
      <c r="F1558" t="inlineStr">
        <is>
          <t>FC</t>
        </is>
      </c>
      <c r="G1558" t="inlineStr">
        <is>
          <t>VH</t>
        </is>
      </c>
      <c r="H1558" t="inlineStr">
        <is>
          <t>5</t>
        </is>
      </c>
      <c r="I1558" t="inlineStr">
        <is>
          <t>A</t>
        </is>
      </c>
      <c r="J1558" t="inlineStr"/>
      <c r="K1558" t="inlineStr"/>
      <c r="L1558" t="inlineStr">
        <is>
          <t>386</t>
        </is>
      </c>
      <c r="M1558" t="inlineStr">
        <is>
          <t>380=</t>
        </is>
      </c>
      <c r="N1558" t="inlineStr"/>
      <c r="O1558" t="inlineStr">
        <is>
          <t>28.4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>
        <is>
          <t>16.1</t>
        </is>
      </c>
      <c r="AK1558" t="inlineStr">
        <is>
          <t>543</t>
        </is>
      </c>
      <c r="AL1558" t="inlineStr">
        <is>
          <t>8.5</t>
        </is>
      </c>
      <c r="AM1558" t="inlineStr">
        <is>
          <t>601+</t>
        </is>
      </c>
      <c r="AN1558" t="inlineStr">
        <is>
          <t>36.8</t>
        </is>
      </c>
      <c r="AO1558" t="inlineStr">
        <is>
          <t>429</t>
        </is>
      </c>
      <c r="AP1558" t="inlineStr">
        <is>
          <t>48.6</t>
        </is>
      </c>
      <c r="AQ1558" t="inlineStr">
        <is>
          <t>279</t>
        </is>
      </c>
      <c r="AR1558" t="inlineStr">
        <is>
          <t>53.0</t>
        </is>
      </c>
      <c r="AS1558" t="inlineStr">
        <is>
          <t>345</t>
        </is>
      </c>
      <c r="AT1558" t="inlineStr">
        <is>
          <t>12.9</t>
        </is>
      </c>
      <c r="AU1558" t="inlineStr">
        <is>
          <t>664</t>
        </is>
      </c>
      <c r="AV1558" t="inlineStr">
        <is>
          <t>53.7</t>
        </is>
      </c>
      <c r="AW1558" t="inlineStr">
        <is>
          <t>293</t>
        </is>
      </c>
      <c r="AX1558" t="inlineStr">
        <is>
          <t>10.7</t>
        </is>
      </c>
      <c r="AY1558" t="inlineStr">
        <is>
          <t>701+</t>
        </is>
      </c>
      <c r="AZ1558" t="inlineStr">
        <is>
          <t>47.5</t>
        </is>
      </c>
      <c r="BA1558" t="inlineStr">
        <is>
          <t>320=</t>
        </is>
      </c>
    </row>
    <row r="1559">
      <c r="A1559" t="inlineStr">
        <is>
          <t>University of Helsinki</t>
        </is>
      </c>
      <c r="B1559" t="inlineStr">
        <is>
          <t>Finland</t>
        </is>
      </c>
      <c r="C1559" t="inlineStr">
        <is>
          <t>FI</t>
        </is>
      </c>
      <c r="D1559" t="inlineStr">
        <is>
          <t>Europe</t>
        </is>
      </c>
      <c r="E1559" t="inlineStr">
        <is>
          <t>L</t>
        </is>
      </c>
      <c r="F1559" t="inlineStr">
        <is>
          <t>CO</t>
        </is>
      </c>
      <c r="G1559" t="inlineStr">
        <is>
          <t>VH</t>
        </is>
      </c>
      <c r="H1559" t="inlineStr">
        <is>
          <t>5</t>
        </is>
      </c>
      <c r="I1559" t="inlineStr">
        <is>
          <t>Public</t>
        </is>
      </c>
      <c r="J1559" t="inlineStr">
        <is>
          <t>116</t>
        </is>
      </c>
      <c r="K1559" t="inlineStr">
        <is>
          <t>117</t>
        </is>
      </c>
      <c r="L1559" t="inlineStr">
        <is>
          <t>115</t>
        </is>
      </c>
      <c r="M1559" t="inlineStr">
        <is>
          <t>106=</t>
        </is>
      </c>
      <c r="N1559" t="inlineStr">
        <is>
          <t>66.1</t>
        </is>
      </c>
      <c r="O1559" t="inlineStr">
        <is>
          <t>57.2</t>
        </is>
      </c>
      <c r="P1559" t="n">
        <v>74.5</v>
      </c>
      <c r="Q1559" t="inlineStr">
        <is>
          <t>114</t>
        </is>
      </c>
      <c r="R1559" t="n">
        <v>37.7</v>
      </c>
      <c r="S1559" t="inlineStr">
        <is>
          <t>370</t>
        </is>
      </c>
      <c r="T1559" t="n">
        <v>66.90000000000001</v>
      </c>
      <c r="U1559" t="inlineStr">
        <is>
          <t>256</t>
        </is>
      </c>
      <c r="V1559" t="n">
        <v>62.7</v>
      </c>
      <c r="W1559" t="inlineStr">
        <is>
          <t>262</t>
        </is>
      </c>
      <c r="X1559" t="n">
        <v>78.5</v>
      </c>
      <c r="Y1559" t="inlineStr">
        <is>
          <t>305</t>
        </is>
      </c>
      <c r="Z1559" t="n">
        <v>13.1</v>
      </c>
      <c r="AA1559" t="inlineStr">
        <is>
          <t>801+</t>
        </is>
      </c>
      <c r="AB1559" t="n">
        <v>19.1</v>
      </c>
      <c r="AC1559" t="inlineStr">
        <is>
          <t>779</t>
        </is>
      </c>
      <c r="AD1559" t="n">
        <v>96.09999999999999</v>
      </c>
      <c r="AE1559" t="inlineStr">
        <is>
          <t>57</t>
        </is>
      </c>
      <c r="AF1559" t="n">
        <v>94.2</v>
      </c>
      <c r="AG1559" t="inlineStr">
        <is>
          <t>80</t>
        </is>
      </c>
      <c r="AH1559" t="n">
        <v>95.59999999999999</v>
      </c>
      <c r="AI1559" t="inlineStr">
        <is>
          <t>18</t>
        </is>
      </c>
      <c r="AJ1559" t="inlineStr">
        <is>
          <t>65.1</t>
        </is>
      </c>
      <c r="AK1559" t="inlineStr">
        <is>
          <t>105</t>
        </is>
      </c>
      <c r="AL1559" t="inlineStr">
        <is>
          <t>32.3</t>
        </is>
      </c>
      <c r="AM1559" t="inlineStr">
        <is>
          <t>304</t>
        </is>
      </c>
      <c r="AN1559" t="inlineStr">
        <is>
          <t>63.4</t>
        </is>
      </c>
      <c r="AO1559" t="inlineStr">
        <is>
          <t>223</t>
        </is>
      </c>
      <c r="AP1559" t="inlineStr">
        <is>
          <t>49.8</t>
        </is>
      </c>
      <c r="AQ1559" t="inlineStr">
        <is>
          <t>265</t>
        </is>
      </c>
      <c r="AR1559" t="inlineStr">
        <is>
          <t>71.5</t>
        </is>
      </c>
      <c r="AS1559" t="inlineStr">
        <is>
          <t>268</t>
        </is>
      </c>
      <c r="AT1559" t="inlineStr">
        <is>
          <t>5.4</t>
        </is>
      </c>
      <c r="AU1559" t="inlineStr">
        <is>
          <t>701+</t>
        </is>
      </c>
      <c r="AV1559" t="inlineStr">
        <is>
          <t>96.0</t>
        </is>
      </c>
      <c r="AW1559" t="inlineStr">
        <is>
          <t>40</t>
        </is>
      </c>
      <c r="AX1559" t="inlineStr">
        <is>
          <t>65.7</t>
        </is>
      </c>
      <c r="AY1559" t="inlineStr">
        <is>
          <t>86</t>
        </is>
      </c>
      <c r="AZ1559" t="inlineStr">
        <is>
          <t>82.7</t>
        </is>
      </c>
      <c r="BA1559" t="inlineStr">
        <is>
          <t>133=</t>
        </is>
      </c>
    </row>
    <row r="1560">
      <c r="A1560" t="inlineStr">
        <is>
          <t>University of Hertfordshire</t>
        </is>
      </c>
      <c r="B1560" t="inlineStr">
        <is>
          <t>United Kingdom</t>
        </is>
      </c>
      <c r="C1560" t="inlineStr">
        <is>
          <t>UK</t>
        </is>
      </c>
      <c r="D1560" t="inlineStr">
        <is>
          <t>Europe</t>
        </is>
      </c>
      <c r="E1560" t="inlineStr">
        <is>
          <t>L</t>
        </is>
      </c>
      <c r="F1560" t="inlineStr">
        <is>
          <t>CO</t>
        </is>
      </c>
      <c r="G1560" t="inlineStr">
        <is>
          <t>HI</t>
        </is>
      </c>
      <c r="H1560" t="inlineStr">
        <is>
          <t>3</t>
        </is>
      </c>
      <c r="I1560" t="inlineStr">
        <is>
          <t>Public</t>
        </is>
      </c>
      <c r="J1560" t="inlineStr">
        <is>
          <t>901-950</t>
        </is>
      </c>
      <c r="K1560" t="inlineStr">
        <is>
          <t>851-900</t>
        </is>
      </c>
      <c r="L1560" t="inlineStr">
        <is>
          <t>851-900</t>
        </is>
      </c>
      <c r="M1560" t="inlineStr">
        <is>
          <t>801-1000</t>
        </is>
      </c>
      <c r="N1560" t="inlineStr">
        <is>
          <t>-</t>
        </is>
      </c>
      <c r="O1560" t="inlineStr">
        <is>
          <t>-</t>
        </is>
      </c>
      <c r="P1560" t="n">
        <v>5.8</v>
      </c>
      <c r="Q1560" t="inlineStr">
        <is>
          <t>701+</t>
        </is>
      </c>
      <c r="R1560" t="n">
        <v>6.7</v>
      </c>
      <c r="S1560" t="inlineStr">
        <is>
          <t>701+</t>
        </is>
      </c>
      <c r="T1560" t="n">
        <v>6.8</v>
      </c>
      <c r="U1560" t="inlineStr">
        <is>
          <t>801+</t>
        </is>
      </c>
      <c r="V1560" t="n">
        <v>12.1</v>
      </c>
      <c r="W1560" t="inlineStr">
        <is>
          <t>801+</t>
        </is>
      </c>
      <c r="X1560" t="n">
        <v>81.40000000000001</v>
      </c>
      <c r="Y1560" t="inlineStr">
        <is>
          <t>285</t>
        </is>
      </c>
      <c r="Z1560" t="n">
        <v>100</v>
      </c>
      <c r="AA1560" t="inlineStr">
        <is>
          <t>12</t>
        </is>
      </c>
      <c r="AB1560" t="n">
        <v>100</v>
      </c>
      <c r="AC1560" t="inlineStr">
        <is>
          <t>7</t>
        </is>
      </c>
      <c r="AD1560" t="n">
        <v>57.7</v>
      </c>
      <c r="AE1560" t="inlineStr">
        <is>
          <t>723</t>
        </is>
      </c>
      <c r="AF1560" t="n">
        <v>17</v>
      </c>
      <c r="AG1560" t="inlineStr">
        <is>
          <t>780</t>
        </is>
      </c>
      <c r="AH1560" t="n">
        <v>39</v>
      </c>
      <c r="AI1560" t="inlineStr">
        <is>
          <t>801+</t>
        </is>
      </c>
      <c r="AJ1560" t="inlineStr">
        <is>
          <t>4.7</t>
        </is>
      </c>
      <c r="AK1560" t="inlineStr">
        <is>
          <t>601+</t>
        </is>
      </c>
      <c r="AL1560" t="inlineStr">
        <is>
          <t>4.8</t>
        </is>
      </c>
      <c r="AM1560" t="inlineStr">
        <is>
          <t>601+</t>
        </is>
      </c>
      <c r="AN1560" t="inlineStr">
        <is>
          <t>6.4</t>
        </is>
      </c>
      <c r="AO1560" t="inlineStr">
        <is>
          <t>701+</t>
        </is>
      </c>
      <c r="AP1560" t="inlineStr">
        <is>
          <t>5.6</t>
        </is>
      </c>
      <c r="AQ1560" t="inlineStr">
        <is>
          <t>701+</t>
        </is>
      </c>
      <c r="AR1560" t="inlineStr">
        <is>
          <t>63.4</t>
        </is>
      </c>
      <c r="AS1560" t="inlineStr">
        <is>
          <t>305</t>
        </is>
      </c>
      <c r="AT1560" t="inlineStr">
        <is>
          <t>99.5</t>
        </is>
      </c>
      <c r="AU1560" t="inlineStr">
        <is>
          <t>42</t>
        </is>
      </c>
      <c r="AV1560" t="inlineStr">
        <is>
          <t>11.2</t>
        </is>
      </c>
      <c r="AW1560" t="inlineStr">
        <is>
          <t>647</t>
        </is>
      </c>
      <c r="AX1560" t="inlineStr">
        <is>
          <t>12</t>
        </is>
      </c>
      <c r="AY1560" t="inlineStr">
        <is>
          <t>701+</t>
        </is>
      </c>
      <c r="AZ1560" t="inlineStr">
        <is>
          <t>2.7</t>
        </is>
      </c>
      <c r="BA1560" t="inlineStr">
        <is>
          <t>701+</t>
        </is>
      </c>
    </row>
    <row r="1561">
      <c r="A1561" t="inlineStr">
        <is>
          <t>University of Hohenheim</t>
        </is>
      </c>
      <c r="B1561" t="inlineStr">
        <is>
          <t>Germany</t>
        </is>
      </c>
      <c r="C1561" t="inlineStr">
        <is>
          <t>DE</t>
        </is>
      </c>
      <c r="D1561" t="inlineStr"/>
      <c r="E1561" t="inlineStr">
        <is>
          <t>M</t>
        </is>
      </c>
      <c r="F1561" t="inlineStr">
        <is>
          <t>SP</t>
        </is>
      </c>
      <c r="G1561" t="inlineStr"/>
      <c r="H1561" t="inlineStr">
        <is>
          <t>5</t>
        </is>
      </c>
      <c r="I1561" t="inlineStr">
        <is>
          <t>A</t>
        </is>
      </c>
      <c r="J1561" t="inlineStr"/>
      <c r="K1561" t="inlineStr"/>
      <c r="L1561" t="inlineStr">
        <is>
          <t>651-660</t>
        </is>
      </c>
      <c r="M1561" t="inlineStr">
        <is>
          <t>801-1000</t>
        </is>
      </c>
      <c r="N1561" t="inlineStr"/>
      <c r="O1561" t="inlineStr">
        <is>
          <t>-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>
        <is>
          <t>9.8</t>
        </is>
      </c>
      <c r="AK1561" t="inlineStr">
        <is>
          <t>601+</t>
        </is>
      </c>
      <c r="AL1561" t="inlineStr">
        <is>
          <t>5.3</t>
        </is>
      </c>
      <c r="AM1561" t="inlineStr">
        <is>
          <t>601+</t>
        </is>
      </c>
      <c r="AN1561" t="inlineStr">
        <is>
          <t>10.0</t>
        </is>
      </c>
      <c r="AO1561" t="inlineStr">
        <is>
          <t>701+</t>
        </is>
      </c>
      <c r="AP1561" t="inlineStr">
        <is>
          <t>39.4</t>
        </is>
      </c>
      <c r="AQ1561" t="inlineStr">
        <is>
          <t>348</t>
        </is>
      </c>
      <c r="AR1561" t="inlineStr">
        <is>
          <t>26.4</t>
        </is>
      </c>
      <c r="AS1561" t="inlineStr">
        <is>
          <t>515</t>
        </is>
      </c>
      <c r="AT1561" t="inlineStr">
        <is>
          <t>24.2</t>
        </is>
      </c>
      <c r="AU1561" t="inlineStr">
        <is>
          <t>484</t>
        </is>
      </c>
      <c r="AV1561" t="inlineStr">
        <is>
          <t>36.3</t>
        </is>
      </c>
      <c r="AW1561" t="inlineStr">
        <is>
          <t>410</t>
        </is>
      </c>
      <c r="AX1561" t="inlineStr">
        <is>
          <t>8.8</t>
        </is>
      </c>
      <c r="AY1561" t="inlineStr">
        <is>
          <t>701+</t>
        </is>
      </c>
      <c r="AZ1561" t="inlineStr">
        <is>
          <t>15</t>
        </is>
      </c>
      <c r="BA1561" t="inlineStr">
        <is>
          <t>612=</t>
        </is>
      </c>
    </row>
    <row r="1562">
      <c r="A1562" t="inlineStr">
        <is>
          <t>University of Houston</t>
        </is>
      </c>
      <c r="B1562" t="inlineStr">
        <is>
          <t>United States</t>
        </is>
      </c>
      <c r="C1562" t="inlineStr">
        <is>
          <t>US</t>
        </is>
      </c>
      <c r="D1562" t="inlineStr">
        <is>
          <t>Americas</t>
        </is>
      </c>
      <c r="E1562" t="inlineStr">
        <is>
          <t>XL</t>
        </is>
      </c>
      <c r="F1562" t="inlineStr">
        <is>
          <t>CO</t>
        </is>
      </c>
      <c r="G1562" t="inlineStr">
        <is>
          <t>VH</t>
        </is>
      </c>
      <c r="H1562" t="inlineStr">
        <is>
          <t>4</t>
        </is>
      </c>
      <c r="I1562" t="inlineStr">
        <is>
          <t>Public</t>
        </is>
      </c>
      <c r="J1562" t="inlineStr">
        <is>
          <t>556</t>
        </is>
      </c>
      <c r="K1562" t="inlineStr">
        <is>
          <t>651-660</t>
        </is>
      </c>
      <c r="L1562" t="inlineStr">
        <is>
          <t>641-650</t>
        </is>
      </c>
      <c r="M1562" t="inlineStr">
        <is>
          <t>751-800</t>
        </is>
      </c>
      <c r="N1562" t="inlineStr">
        <is>
          <t>29.6</t>
        </is>
      </c>
      <c r="O1562" t="inlineStr">
        <is>
          <t>-</t>
        </is>
      </c>
      <c r="P1562" t="n">
        <v>18.7</v>
      </c>
      <c r="Q1562" t="inlineStr">
        <is>
          <t>656</t>
        </is>
      </c>
      <c r="R1562" t="n">
        <v>24.9</v>
      </c>
      <c r="S1562" t="inlineStr">
        <is>
          <t>541</t>
        </is>
      </c>
      <c r="T1562" t="n">
        <v>8.1</v>
      </c>
      <c r="U1562" t="inlineStr">
        <is>
          <t>801+</t>
        </is>
      </c>
      <c r="V1562" t="n">
        <v>30.2</v>
      </c>
      <c r="W1562" t="inlineStr">
        <is>
          <t>585</t>
        </is>
      </c>
      <c r="X1562" t="n">
        <v>48</v>
      </c>
      <c r="Y1562" t="inlineStr">
        <is>
          <t>448</t>
        </is>
      </c>
      <c r="Z1562" t="n">
        <v>43.9</v>
      </c>
      <c r="AA1562" t="inlineStr">
        <is>
          <t>459</t>
        </is>
      </c>
      <c r="AB1562" t="n">
        <v>32.8</v>
      </c>
      <c r="AC1562" t="inlineStr">
        <is>
          <t>579</t>
        </is>
      </c>
      <c r="AD1562" t="n">
        <v>74.09999999999999</v>
      </c>
      <c r="AE1562" t="inlineStr">
        <is>
          <t>465</t>
        </is>
      </c>
      <c r="AF1562" t="n">
        <v>67.3</v>
      </c>
      <c r="AG1562" t="inlineStr">
        <is>
          <t>230</t>
        </is>
      </c>
      <c r="AH1562" t="n">
        <v>57.1</v>
      </c>
      <c r="AI1562" t="inlineStr">
        <is>
          <t>558</t>
        </is>
      </c>
      <c r="AJ1562" t="inlineStr">
        <is>
          <t>13.9</t>
        </is>
      </c>
      <c r="AK1562" t="inlineStr">
        <is>
          <t>601+</t>
        </is>
      </c>
      <c r="AL1562" t="inlineStr">
        <is>
          <t>10.9</t>
        </is>
      </c>
      <c r="AM1562" t="inlineStr">
        <is>
          <t>601+</t>
        </is>
      </c>
      <c r="AN1562" t="inlineStr">
        <is>
          <t>4.5</t>
        </is>
      </c>
      <c r="AO1562" t="inlineStr">
        <is>
          <t>701+</t>
        </is>
      </c>
      <c r="AP1562" t="inlineStr">
        <is>
          <t>34.0</t>
        </is>
      </c>
      <c r="AQ1562" t="inlineStr">
        <is>
          <t>402</t>
        </is>
      </c>
      <c r="AR1562" t="inlineStr">
        <is>
          <t>8.5</t>
        </is>
      </c>
      <c r="AS1562" t="inlineStr">
        <is>
          <t>701+</t>
        </is>
      </c>
      <c r="AT1562" t="inlineStr">
        <is>
          <t>9.3</t>
        </is>
      </c>
      <c r="AU1562" t="inlineStr">
        <is>
          <t>701+</t>
        </is>
      </c>
      <c r="AV1562" t="inlineStr">
        <is>
          <t>34.0</t>
        </is>
      </c>
      <c r="AW1562" t="inlineStr">
        <is>
          <t>426</t>
        </is>
      </c>
      <c r="AX1562" t="inlineStr">
        <is>
          <t>29.2</t>
        </is>
      </c>
      <c r="AY1562" t="inlineStr">
        <is>
          <t>273</t>
        </is>
      </c>
      <c r="AZ1562" t="inlineStr">
        <is>
          <t>27.8</t>
        </is>
      </c>
      <c r="BA1562" t="inlineStr">
        <is>
          <t>469=</t>
        </is>
      </c>
    </row>
    <row r="1563">
      <c r="A1563" t="inlineStr">
        <is>
          <t>University of Hradec Kralove</t>
        </is>
      </c>
      <c r="B1563" t="inlineStr">
        <is>
          <t>Czech Republic</t>
        </is>
      </c>
      <c r="C1563" t="inlineStr">
        <is>
          <t>CZ</t>
        </is>
      </c>
      <c r="D1563" t="inlineStr">
        <is>
          <t>Europe</t>
        </is>
      </c>
      <c r="E1563" t="inlineStr">
        <is>
          <t>M</t>
        </is>
      </c>
      <c r="F1563" t="inlineStr">
        <is>
          <t>FO</t>
        </is>
      </c>
      <c r="G1563" t="inlineStr">
        <is>
          <t>VH</t>
        </is>
      </c>
      <c r="H1563" t="inlineStr">
        <is>
          <t>4</t>
        </is>
      </c>
      <c r="I1563" t="inlineStr">
        <is>
          <t>Public</t>
        </is>
      </c>
      <c r="J1563" t="inlineStr">
        <is>
          <t>1001-1200</t>
        </is>
      </c>
      <c r="K1563" t="inlineStr">
        <is>
          <t>1001-1200</t>
        </is>
      </c>
      <c r="L1563" t="inlineStr">
        <is>
          <t>1001-1200</t>
        </is>
      </c>
      <c r="M1563" t="inlineStr">
        <is>
          <t>801-1000</t>
        </is>
      </c>
      <c r="N1563" t="inlineStr">
        <is>
          <t>-</t>
        </is>
      </c>
      <c r="O1563" t="inlineStr">
        <is>
          <t>-</t>
        </is>
      </c>
      <c r="P1563" t="n">
        <v>5.8</v>
      </c>
      <c r="Q1563" t="inlineStr">
        <is>
          <t>701+</t>
        </is>
      </c>
      <c r="R1563" t="n">
        <v>6.9</v>
      </c>
      <c r="S1563" t="inlineStr">
        <is>
          <t>701+</t>
        </is>
      </c>
      <c r="T1563" t="n">
        <v>24.8</v>
      </c>
      <c r="U1563" t="inlineStr">
        <is>
          <t>739</t>
        </is>
      </c>
      <c r="V1563" t="n">
        <v>13.3</v>
      </c>
      <c r="W1563" t="inlineStr">
        <is>
          <t>801+</t>
        </is>
      </c>
      <c r="X1563" t="n">
        <v>60.2</v>
      </c>
      <c r="Y1563" t="inlineStr">
        <is>
          <t>388</t>
        </is>
      </c>
      <c r="Z1563" t="n">
        <v>6.2</v>
      </c>
      <c r="AA1563" t="inlineStr">
        <is>
          <t>801+</t>
        </is>
      </c>
      <c r="AB1563" t="n">
        <v>10.5</v>
      </c>
      <c r="AC1563" t="inlineStr">
        <is>
          <t>801+</t>
        </is>
      </c>
      <c r="AD1563" t="n">
        <v>49.4</v>
      </c>
      <c r="AE1563" t="inlineStr">
        <is>
          <t>801+</t>
        </is>
      </c>
      <c r="AF1563" t="n">
        <v>5.2</v>
      </c>
      <c r="AG1563" t="inlineStr">
        <is>
          <t>801+</t>
        </is>
      </c>
      <c r="AH1563" t="n">
        <v>23</v>
      </c>
      <c r="AI1563" t="inlineStr">
        <is>
          <t>801+</t>
        </is>
      </c>
      <c r="AJ1563" t="inlineStr">
        <is>
          <t>5.0</t>
        </is>
      </c>
      <c r="AK1563" t="inlineStr">
        <is>
          <t>601+</t>
        </is>
      </c>
      <c r="AL1563" t="inlineStr">
        <is>
          <t>1.9</t>
        </is>
      </c>
      <c r="AM1563" t="inlineStr">
        <is>
          <t>601+</t>
        </is>
      </c>
      <c r="AN1563" t="inlineStr">
        <is>
          <t>27.9</t>
        </is>
      </c>
      <c r="AO1563" t="inlineStr">
        <is>
          <t>547</t>
        </is>
      </c>
      <c r="AP1563" t="inlineStr">
        <is>
          <t>4.5</t>
        </is>
      </c>
      <c r="AQ1563" t="inlineStr">
        <is>
          <t>701+</t>
        </is>
      </c>
      <c r="AR1563" t="inlineStr">
        <is>
          <t>41.4</t>
        </is>
      </c>
      <c r="AS1563" t="inlineStr">
        <is>
          <t>400</t>
        </is>
      </c>
      <c r="AT1563" t="inlineStr">
        <is>
          <t>3.0</t>
        </is>
      </c>
      <c r="AU1563" t="inlineStr">
        <is>
          <t>701+</t>
        </is>
      </c>
      <c r="AV1563" t="inlineStr">
        <is>
          <t>3.4</t>
        </is>
      </c>
      <c r="AW1563" t="inlineStr">
        <is>
          <t>701+</t>
        </is>
      </c>
      <c r="AX1563" t="inlineStr">
        <is>
          <t>10</t>
        </is>
      </c>
      <c r="AY1563" t="inlineStr">
        <is>
          <t>701+</t>
        </is>
      </c>
      <c r="AZ1563" t="inlineStr">
        <is>
          <t>1</t>
        </is>
      </c>
      <c r="BA1563" t="inlineStr">
        <is>
          <t>701+</t>
        </is>
      </c>
    </row>
    <row r="1564">
      <c r="A1564" t="inlineStr">
        <is>
          <t>University of Huddersfield</t>
        </is>
      </c>
      <c r="B1564" t="inlineStr">
        <is>
          <t>United Kingdom</t>
        </is>
      </c>
      <c r="C1564" t="inlineStr">
        <is>
          <t>UK</t>
        </is>
      </c>
      <c r="D1564" t="inlineStr">
        <is>
          <t>Europe</t>
        </is>
      </c>
      <c r="E1564" t="inlineStr">
        <is>
          <t>L</t>
        </is>
      </c>
      <c r="F1564" t="inlineStr">
        <is>
          <t>CO</t>
        </is>
      </c>
      <c r="G1564" t="inlineStr">
        <is>
          <t>VH</t>
        </is>
      </c>
      <c r="H1564" t="inlineStr">
        <is>
          <t>3</t>
        </is>
      </c>
      <c r="I1564" t="inlineStr">
        <is>
          <t>Public</t>
        </is>
      </c>
      <c r="J1564" t="inlineStr">
        <is>
          <t>524</t>
        </is>
      </c>
      <c r="K1564" t="inlineStr">
        <is>
          <t>501</t>
        </is>
      </c>
      <c r="L1564">
        <f>567</f>
        <v/>
      </c>
      <c r="M1564" t="inlineStr">
        <is>
          <t>651-700</t>
        </is>
      </c>
      <c r="N1564" t="inlineStr">
        <is>
          <t>31.2</t>
        </is>
      </c>
      <c r="O1564" t="inlineStr">
        <is>
          <t>20.8</t>
        </is>
      </c>
      <c r="P1564" t="n">
        <v>17.9</v>
      </c>
      <c r="Q1564" t="inlineStr">
        <is>
          <t>683</t>
        </is>
      </c>
      <c r="R1564" t="n">
        <v>19</v>
      </c>
      <c r="S1564" t="inlineStr">
        <is>
          <t>684</t>
        </is>
      </c>
      <c r="T1564" t="n">
        <v>9.1</v>
      </c>
      <c r="U1564" t="inlineStr">
        <is>
          <t>801+</t>
        </is>
      </c>
      <c r="V1564" t="n">
        <v>36.3</v>
      </c>
      <c r="W1564" t="inlineStr">
        <is>
          <t>515</t>
        </is>
      </c>
      <c r="X1564" t="n">
        <v>79.7</v>
      </c>
      <c r="Y1564" t="inlineStr">
        <is>
          <t>298</t>
        </is>
      </c>
      <c r="Z1564" t="n">
        <v>91.59999999999999</v>
      </c>
      <c r="AA1564" t="inlineStr">
        <is>
          <t>154</t>
        </is>
      </c>
      <c r="AB1564" t="n">
        <v>92.2</v>
      </c>
      <c r="AC1564" t="inlineStr">
        <is>
          <t>131</t>
        </is>
      </c>
      <c r="AD1564" t="n">
        <v>74.59999999999999</v>
      </c>
      <c r="AE1564" t="inlineStr">
        <is>
          <t>450</t>
        </is>
      </c>
      <c r="AF1564" t="n">
        <v>2.2</v>
      </c>
      <c r="AG1564" t="inlineStr">
        <is>
          <t>801+</t>
        </is>
      </c>
      <c r="AH1564" t="n">
        <v>69.09999999999999</v>
      </c>
      <c r="AI1564" t="inlineStr">
        <is>
          <t>329=</t>
        </is>
      </c>
      <c r="AJ1564" t="inlineStr">
        <is>
          <t>12.5</t>
        </is>
      </c>
      <c r="AK1564" t="inlineStr">
        <is>
          <t>601+</t>
        </is>
      </c>
      <c r="AL1564" t="inlineStr">
        <is>
          <t>15.0</t>
        </is>
      </c>
      <c r="AM1564" t="inlineStr">
        <is>
          <t>548</t>
        </is>
      </c>
      <c r="AN1564" t="inlineStr">
        <is>
          <t>6.7</t>
        </is>
      </c>
      <c r="AO1564" t="inlineStr">
        <is>
          <t>701+</t>
        </is>
      </c>
      <c r="AP1564" t="inlineStr">
        <is>
          <t>20.9</t>
        </is>
      </c>
      <c r="AQ1564" t="inlineStr">
        <is>
          <t>547</t>
        </is>
      </c>
      <c r="AR1564" t="inlineStr">
        <is>
          <t>65.1</t>
        </is>
      </c>
      <c r="AS1564" t="inlineStr">
        <is>
          <t>295</t>
        </is>
      </c>
      <c r="AT1564" t="inlineStr">
        <is>
          <t>79.4</t>
        </is>
      </c>
      <c r="AU1564" t="inlineStr">
        <is>
          <t>165</t>
        </is>
      </c>
      <c r="AV1564" t="inlineStr">
        <is>
          <t>41.2</t>
        </is>
      </c>
      <c r="AW1564" t="inlineStr">
        <is>
          <t>367</t>
        </is>
      </c>
      <c r="AX1564" t="inlineStr">
        <is>
          <t>9</t>
        </is>
      </c>
      <c r="AY1564" t="inlineStr">
        <is>
          <t>701+</t>
        </is>
      </c>
      <c r="AZ1564" t="inlineStr">
        <is>
          <t>7.3</t>
        </is>
      </c>
      <c r="BA1564" t="inlineStr">
        <is>
          <t>701+</t>
        </is>
      </c>
    </row>
    <row r="1565">
      <c r="A1565" t="inlineStr">
        <is>
          <t>University of Hull</t>
        </is>
      </c>
      <c r="B1565" t="inlineStr">
        <is>
          <t>United Kingdom</t>
        </is>
      </c>
      <c r="C1565" t="inlineStr">
        <is>
          <t>UK</t>
        </is>
      </c>
      <c r="D1565" t="inlineStr">
        <is>
          <t>Europe</t>
        </is>
      </c>
      <c r="E1565" t="inlineStr">
        <is>
          <t>L</t>
        </is>
      </c>
      <c r="F1565" t="inlineStr">
        <is>
          <t>FC</t>
        </is>
      </c>
      <c r="G1565" t="inlineStr">
        <is>
          <t>HI</t>
        </is>
      </c>
      <c r="H1565" t="inlineStr">
        <is>
          <t>4</t>
        </is>
      </c>
      <c r="I1565" t="inlineStr">
        <is>
          <t>Public</t>
        </is>
      </c>
      <c r="J1565" t="inlineStr">
        <is>
          <t>526</t>
        </is>
      </c>
      <c r="K1565" t="inlineStr">
        <is>
          <t>516</t>
        </is>
      </c>
      <c r="L1565">
        <f>523</f>
        <v/>
      </c>
      <c r="M1565" t="inlineStr">
        <is>
          <t>651-700</t>
        </is>
      </c>
      <c r="N1565" t="inlineStr">
        <is>
          <t>30.9</t>
        </is>
      </c>
      <c r="O1565" t="inlineStr">
        <is>
          <t>22.5</t>
        </is>
      </c>
      <c r="P1565" t="n">
        <v>13.2</v>
      </c>
      <c r="Q1565" t="inlineStr">
        <is>
          <t>701+</t>
        </is>
      </c>
      <c r="R1565" t="n">
        <v>14.3</v>
      </c>
      <c r="S1565" t="inlineStr">
        <is>
          <t>701+</t>
        </is>
      </c>
      <c r="T1565" t="n">
        <v>15.9</v>
      </c>
      <c r="U1565" t="inlineStr">
        <is>
          <t>801+</t>
        </is>
      </c>
      <c r="V1565" t="n">
        <v>36.9</v>
      </c>
      <c r="W1565" t="inlineStr">
        <is>
          <t>505</t>
        </is>
      </c>
      <c r="X1565" t="n">
        <v>68.3</v>
      </c>
      <c r="Y1565" t="inlineStr">
        <is>
          <t>342</t>
        </is>
      </c>
      <c r="Z1565" t="n">
        <v>95.59999999999999</v>
      </c>
      <c r="AA1565" t="inlineStr">
        <is>
          <t>121</t>
        </is>
      </c>
      <c r="AB1565" t="n">
        <v>95.90000000000001</v>
      </c>
      <c r="AC1565" t="inlineStr">
        <is>
          <t>103</t>
        </is>
      </c>
      <c r="AD1565" t="n">
        <v>70.3</v>
      </c>
      <c r="AE1565" t="inlineStr">
        <is>
          <t>526</t>
        </is>
      </c>
      <c r="AF1565" t="n">
        <v>29.5</v>
      </c>
      <c r="AG1565" t="inlineStr">
        <is>
          <t>556</t>
        </is>
      </c>
      <c r="AH1565" t="n">
        <v>75.40000000000001</v>
      </c>
      <c r="AI1565" t="inlineStr">
        <is>
          <t>228=</t>
        </is>
      </c>
      <c r="AJ1565" t="inlineStr">
        <is>
          <t>8.5</t>
        </is>
      </c>
      <c r="AK1565" t="inlineStr">
        <is>
          <t>601+</t>
        </is>
      </c>
      <c r="AL1565" t="inlineStr">
        <is>
          <t>3.5</t>
        </is>
      </c>
      <c r="AM1565" t="inlineStr">
        <is>
          <t>601+</t>
        </is>
      </c>
      <c r="AN1565" t="inlineStr">
        <is>
          <t>13.0</t>
        </is>
      </c>
      <c r="AO1565" t="inlineStr">
        <is>
          <t>701+</t>
        </is>
      </c>
      <c r="AP1565" t="inlineStr">
        <is>
          <t>25.4</t>
        </is>
      </c>
      <c r="AQ1565" t="inlineStr">
        <is>
          <t>477</t>
        </is>
      </c>
      <c r="AR1565" t="inlineStr">
        <is>
          <t>57.4</t>
        </is>
      </c>
      <c r="AS1565" t="inlineStr">
        <is>
          <t>322</t>
        </is>
      </c>
      <c r="AT1565" t="inlineStr">
        <is>
          <t>67.4</t>
        </is>
      </c>
      <c r="AU1565" t="inlineStr">
        <is>
          <t>221</t>
        </is>
      </c>
      <c r="AV1565" t="inlineStr">
        <is>
          <t>36.4</t>
        </is>
      </c>
      <c r="AW1565" t="inlineStr">
        <is>
          <t>407</t>
        </is>
      </c>
      <c r="AX1565" t="inlineStr">
        <is>
          <t>16.8</t>
        </is>
      </c>
      <c r="AY1565" t="inlineStr">
        <is>
          <t>507</t>
        </is>
      </c>
      <c r="AZ1565" t="inlineStr">
        <is>
          <t>85.2</t>
        </is>
      </c>
      <c r="BA1565" t="inlineStr">
        <is>
          <t>118=</t>
        </is>
      </c>
    </row>
    <row r="1566">
      <c r="A1566" t="inlineStr">
        <is>
          <t>University of Hyderabad</t>
        </is>
      </c>
      <c r="B1566" t="inlineStr">
        <is>
          <t>India</t>
        </is>
      </c>
      <c r="C1566" t="inlineStr">
        <is>
          <t>IN</t>
        </is>
      </c>
      <c r="D1566" t="inlineStr">
        <is>
          <t>Asia</t>
        </is>
      </c>
      <c r="E1566" t="inlineStr">
        <is>
          <t>M</t>
        </is>
      </c>
      <c r="F1566" t="inlineStr">
        <is>
          <t>FC</t>
        </is>
      </c>
      <c r="G1566" t="inlineStr">
        <is>
          <t>VH</t>
        </is>
      </c>
      <c r="H1566" t="inlineStr">
        <is>
          <t>3</t>
        </is>
      </c>
      <c r="I1566" t="inlineStr">
        <is>
          <t>Public</t>
        </is>
      </c>
      <c r="J1566" t="inlineStr">
        <is>
          <t>801-850</t>
        </is>
      </c>
      <c r="K1566" t="inlineStr">
        <is>
          <t>801-850</t>
        </is>
      </c>
      <c r="L1566" t="inlineStr">
        <is>
          <t>801-850</t>
        </is>
      </c>
      <c r="M1566" t="inlineStr">
        <is>
          <t>751-800</t>
        </is>
      </c>
      <c r="N1566" t="inlineStr">
        <is>
          <t>-</t>
        </is>
      </c>
      <c r="O1566" t="inlineStr">
        <is>
          <t>-</t>
        </is>
      </c>
      <c r="P1566" t="n">
        <v>17.7</v>
      </c>
      <c r="Q1566" t="inlineStr">
        <is>
          <t>692</t>
        </is>
      </c>
      <c r="R1566" t="n">
        <v>4.6</v>
      </c>
      <c r="S1566" t="inlineStr">
        <is>
          <t>701+</t>
        </is>
      </c>
      <c r="T1566" t="n">
        <v>20.7</v>
      </c>
      <c r="U1566" t="inlineStr">
        <is>
          <t>801+</t>
        </is>
      </c>
      <c r="V1566" t="n">
        <v>54.5</v>
      </c>
      <c r="W1566" t="inlineStr">
        <is>
          <t>335</t>
        </is>
      </c>
      <c r="X1566" t="inlineStr"/>
      <c r="Y1566" t="inlineStr"/>
      <c r="Z1566" t="n">
        <v>2.6</v>
      </c>
      <c r="AA1566" t="inlineStr">
        <is>
          <t>801+</t>
        </is>
      </c>
      <c r="AB1566" t="n">
        <v>6.9</v>
      </c>
      <c r="AC1566" t="inlineStr">
        <is>
          <t>801+</t>
        </is>
      </c>
      <c r="AD1566" t="n">
        <v>34</v>
      </c>
      <c r="AE1566" t="inlineStr">
        <is>
          <t>801+</t>
        </is>
      </c>
      <c r="AF1566" t="n">
        <v>3.4</v>
      </c>
      <c r="AG1566" t="inlineStr">
        <is>
          <t>801+</t>
        </is>
      </c>
      <c r="AH1566" t="n">
        <v>42.1</v>
      </c>
      <c r="AI1566" t="inlineStr">
        <is>
          <t>801+</t>
        </is>
      </c>
      <c r="AJ1566" t="inlineStr">
        <is>
          <t>11.9</t>
        </is>
      </c>
      <c r="AK1566" t="inlineStr">
        <is>
          <t>601+</t>
        </is>
      </c>
      <c r="AL1566" t="inlineStr">
        <is>
          <t>2.8</t>
        </is>
      </c>
      <c r="AM1566" t="inlineStr">
        <is>
          <t>601+</t>
        </is>
      </c>
      <c r="AN1566" t="inlineStr">
        <is>
          <t>16.3</t>
        </is>
      </c>
      <c r="AO1566" t="inlineStr">
        <is>
          <t>701+</t>
        </is>
      </c>
      <c r="AP1566" t="inlineStr">
        <is>
          <t>37.9</t>
        </is>
      </c>
      <c r="AQ1566" t="inlineStr">
        <is>
          <t>372</t>
        </is>
      </c>
      <c r="AR1566" t="inlineStr">
        <is>
          <t>2.0</t>
        </is>
      </c>
      <c r="AS1566" t="inlineStr">
        <is>
          <t>701+</t>
        </is>
      </c>
      <c r="AT1566" t="inlineStr">
        <is>
          <t>2.0</t>
        </is>
      </c>
      <c r="AU1566" t="inlineStr">
        <is>
          <t>701+</t>
        </is>
      </c>
      <c r="AV1566" t="inlineStr">
        <is>
          <t>1.4</t>
        </is>
      </c>
      <c r="AW1566" t="inlineStr">
        <is>
          <t>701+</t>
        </is>
      </c>
      <c r="AX1566" t="inlineStr">
        <is>
          <t>7.8</t>
        </is>
      </c>
      <c r="AY1566" t="inlineStr">
        <is>
          <t>701+</t>
        </is>
      </c>
      <c r="AZ1566" t="inlineStr">
        <is>
          <t>1.3</t>
        </is>
      </c>
      <c r="BA1566" t="inlineStr">
        <is>
          <t>701+</t>
        </is>
      </c>
    </row>
    <row r="1567">
      <c r="A1567" t="inlineStr">
        <is>
          <t>University of Ibadan</t>
        </is>
      </c>
      <c r="B1567" t="inlineStr">
        <is>
          <t>Nigeria</t>
        </is>
      </c>
      <c r="C1567" t="inlineStr">
        <is>
          <t>NG</t>
        </is>
      </c>
      <c r="D1567" t="inlineStr">
        <is>
          <t>Africa</t>
        </is>
      </c>
      <c r="E1567" t="inlineStr">
        <is>
          <t>XL</t>
        </is>
      </c>
      <c r="F1567" t="inlineStr">
        <is>
          <t>CO</t>
        </is>
      </c>
      <c r="G1567" t="inlineStr">
        <is>
          <t>VH</t>
        </is>
      </c>
      <c r="H1567" t="inlineStr">
        <is>
          <t>4</t>
        </is>
      </c>
      <c r="I1567" t="inlineStr"/>
      <c r="J1567" t="inlineStr">
        <is>
          <t>1001-1200</t>
        </is>
      </c>
      <c r="K1567" t="inlineStr">
        <is>
          <t>1001-1200</t>
        </is>
      </c>
      <c r="L1567" t="inlineStr">
        <is>
          <t>1401+</t>
        </is>
      </c>
      <c r="M1567" t="inlineStr"/>
      <c r="N1567" t="inlineStr">
        <is>
          <t>-</t>
        </is>
      </c>
      <c r="O1567" t="inlineStr">
        <is>
          <t>-</t>
        </is>
      </c>
      <c r="P1567" t="n">
        <v>11.6</v>
      </c>
      <c r="Q1567" t="inlineStr">
        <is>
          <t>701+</t>
        </is>
      </c>
      <c r="R1567" t="n">
        <v>16.6</v>
      </c>
      <c r="S1567" t="inlineStr">
        <is>
          <t>701+</t>
        </is>
      </c>
      <c r="T1567" t="n">
        <v>6.4</v>
      </c>
      <c r="U1567" t="inlineStr">
        <is>
          <t>801+</t>
        </is>
      </c>
      <c r="V1567" t="n">
        <v>7.3</v>
      </c>
      <c r="W1567" t="inlineStr">
        <is>
          <t>801+</t>
        </is>
      </c>
      <c r="X1567" t="inlineStr"/>
      <c r="Y1567" t="inlineStr"/>
      <c r="Z1567" t="inlineStr"/>
      <c r="AA1567" t="inlineStr"/>
      <c r="AB1567" t="inlineStr"/>
      <c r="AC1567" t="inlineStr"/>
      <c r="AD1567" t="n">
        <v>64.8</v>
      </c>
      <c r="AE1567" t="inlineStr">
        <is>
          <t>624</t>
        </is>
      </c>
      <c r="AF1567" t="n">
        <v>76.2</v>
      </c>
      <c r="AG1567" t="inlineStr">
        <is>
          <t>175</t>
        </is>
      </c>
      <c r="AH1567" t="n">
        <v>41.9</v>
      </c>
      <c r="AI1567" t="inlineStr">
        <is>
          <t>801+</t>
        </is>
      </c>
      <c r="AJ1567" t="inlineStr">
        <is>
          <t>9.0</t>
        </is>
      </c>
      <c r="AK1567" t="inlineStr">
        <is>
          <t>601+</t>
        </is>
      </c>
      <c r="AL1567" t="inlineStr">
        <is>
          <t>6.6</t>
        </is>
      </c>
      <c r="AM1567" t="inlineStr">
        <is>
          <t>601+</t>
        </is>
      </c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>
        <is>
          <t>8.2</t>
        </is>
      </c>
      <c r="AW1567" t="inlineStr">
        <is>
          <t>701+</t>
        </is>
      </c>
      <c r="AX1567" t="inlineStr"/>
      <c r="AY1567" t="inlineStr"/>
      <c r="AZ1567" t="inlineStr"/>
      <c r="BA1567" t="inlineStr"/>
    </row>
    <row r="1568">
      <c r="A1568" t="inlineStr">
        <is>
          <t>University of Iceland</t>
        </is>
      </c>
      <c r="B1568" t="inlineStr">
        <is>
          <t>Iceland</t>
        </is>
      </c>
      <c r="C1568" t="inlineStr">
        <is>
          <t>IS</t>
        </is>
      </c>
      <c r="D1568" t="inlineStr">
        <is>
          <t>Europe</t>
        </is>
      </c>
      <c r="E1568" t="inlineStr">
        <is>
          <t>M</t>
        </is>
      </c>
      <c r="F1568" t="inlineStr">
        <is>
          <t>CO</t>
        </is>
      </c>
      <c r="G1568" t="inlineStr">
        <is>
          <t>VH</t>
        </is>
      </c>
      <c r="H1568" t="inlineStr">
        <is>
          <t>5</t>
        </is>
      </c>
      <c r="I1568" t="inlineStr"/>
      <c r="J1568" t="inlineStr">
        <is>
          <t>582</t>
        </is>
      </c>
      <c r="K1568" t="inlineStr">
        <is>
          <t>547</t>
        </is>
      </c>
      <c r="L1568" t="inlineStr">
        <is>
          <t>1201-1400</t>
        </is>
      </c>
      <c r="M1568" t="inlineStr"/>
      <c r="N1568" t="inlineStr">
        <is>
          <t>28.8</t>
        </is>
      </c>
      <c r="O1568" t="inlineStr">
        <is>
          <t>-</t>
        </is>
      </c>
      <c r="P1568" t="n">
        <v>9.6</v>
      </c>
      <c r="Q1568" t="inlineStr">
        <is>
          <t>701+</t>
        </is>
      </c>
      <c r="R1568" t="n">
        <v>2</v>
      </c>
      <c r="S1568" t="inlineStr">
        <is>
          <t>701+</t>
        </is>
      </c>
      <c r="T1568" t="n">
        <v>99.59999999999999</v>
      </c>
      <c r="U1568" t="inlineStr">
        <is>
          <t>35</t>
        </is>
      </c>
      <c r="V1568" t="n">
        <v>18</v>
      </c>
      <c r="W1568" t="inlineStr">
        <is>
          <t>751</t>
        </is>
      </c>
      <c r="X1568" t="n">
        <v>32.4</v>
      </c>
      <c r="Y1568" t="inlineStr">
        <is>
          <t>557</t>
        </is>
      </c>
      <c r="Z1568" t="n">
        <v>18.1</v>
      </c>
      <c r="AA1568" t="inlineStr">
        <is>
          <t>761</t>
        </is>
      </c>
      <c r="AB1568" t="n">
        <v>24.2</v>
      </c>
      <c r="AC1568" t="inlineStr">
        <is>
          <t>700</t>
        </is>
      </c>
      <c r="AD1568" t="n">
        <v>75.5</v>
      </c>
      <c r="AE1568" t="inlineStr">
        <is>
          <t>432</t>
        </is>
      </c>
      <c r="AF1568" t="n">
        <v>89.3</v>
      </c>
      <c r="AG1568" t="inlineStr">
        <is>
          <t>110</t>
        </is>
      </c>
      <c r="AH1568" t="n">
        <v>49.4</v>
      </c>
      <c r="AI1568" t="inlineStr">
        <is>
          <t>719=</t>
        </is>
      </c>
      <c r="AJ1568" t="inlineStr">
        <is>
          <t>7.8</t>
        </is>
      </c>
      <c r="AK1568" t="inlineStr">
        <is>
          <t>601+</t>
        </is>
      </c>
      <c r="AL1568" t="inlineStr">
        <is>
          <t>5.5</t>
        </is>
      </c>
      <c r="AM1568" t="inlineStr">
        <is>
          <t>601+</t>
        </is>
      </c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>
        <is>
          <t>37.9</t>
        </is>
      </c>
      <c r="AW1568" t="inlineStr">
        <is>
          <t>396</t>
        </is>
      </c>
      <c r="AX1568" t="inlineStr"/>
      <c r="AY1568" t="inlineStr"/>
      <c r="AZ1568" t="inlineStr"/>
      <c r="BA1568" t="inlineStr"/>
    </row>
    <row r="1569">
      <c r="A1569" t="inlineStr">
        <is>
          <t>University of Idaho</t>
        </is>
      </c>
      <c r="B1569" t="inlineStr">
        <is>
          <t>United States</t>
        </is>
      </c>
      <c r="C1569" t="inlineStr">
        <is>
          <t>US</t>
        </is>
      </c>
      <c r="D1569" t="inlineStr">
        <is>
          <t>Americas</t>
        </is>
      </c>
      <c r="E1569" t="inlineStr">
        <is>
          <t>M</t>
        </is>
      </c>
      <c r="F1569" t="inlineStr">
        <is>
          <t>CO</t>
        </is>
      </c>
      <c r="G1569" t="inlineStr">
        <is>
          <t>VH</t>
        </is>
      </c>
      <c r="H1569" t="inlineStr"/>
      <c r="I1569" t="inlineStr">
        <is>
          <t>Public</t>
        </is>
      </c>
      <c r="J1569" t="inlineStr">
        <is>
          <t>1001-1200</t>
        </is>
      </c>
      <c r="K1569" t="inlineStr">
        <is>
          <t>1001-1200</t>
        </is>
      </c>
      <c r="L1569" t="inlineStr">
        <is>
          <t>1001-1200</t>
        </is>
      </c>
      <c r="M1569" t="inlineStr">
        <is>
          <t>801-1000</t>
        </is>
      </c>
      <c r="N1569" t="inlineStr">
        <is>
          <t>-</t>
        </is>
      </c>
      <c r="O1569" t="inlineStr">
        <is>
          <t>-</t>
        </is>
      </c>
      <c r="P1569" t="n">
        <v>3.5</v>
      </c>
      <c r="Q1569" t="inlineStr">
        <is>
          <t>701+</t>
        </is>
      </c>
      <c r="R1569" t="n">
        <v>1.6</v>
      </c>
      <c r="S1569" t="inlineStr">
        <is>
          <t>701+</t>
        </is>
      </c>
      <c r="T1569" t="n">
        <v>15.4</v>
      </c>
      <c r="U1569" t="inlineStr">
        <is>
          <t>801+</t>
        </is>
      </c>
      <c r="V1569" t="n">
        <v>36.9</v>
      </c>
      <c r="W1569" t="inlineStr">
        <is>
          <t>504</t>
        </is>
      </c>
      <c r="X1569" t="n">
        <v>8.6</v>
      </c>
      <c r="Y1569" t="inlineStr">
        <is>
          <t>801+</t>
        </is>
      </c>
      <c r="Z1569" t="n">
        <v>12.2</v>
      </c>
      <c r="AA1569" t="inlineStr">
        <is>
          <t>801+</t>
        </is>
      </c>
      <c r="AB1569" t="n">
        <v>9.300000000000001</v>
      </c>
      <c r="AC1569" t="inlineStr">
        <is>
          <t>801+</t>
        </is>
      </c>
      <c r="AD1569" t="n">
        <v>32</v>
      </c>
      <c r="AE1569" t="inlineStr">
        <is>
          <t>801+</t>
        </is>
      </c>
      <c r="AF1569" t="n">
        <v>7.5</v>
      </c>
      <c r="AG1569" t="inlineStr">
        <is>
          <t>801+</t>
        </is>
      </c>
      <c r="AH1569" t="n">
        <v>41.7</v>
      </c>
      <c r="AI1569" t="inlineStr">
        <is>
          <t>801+</t>
        </is>
      </c>
      <c r="AJ1569" t="inlineStr">
        <is>
          <t>3.7</t>
        </is>
      </c>
      <c r="AK1569" t="inlineStr">
        <is>
          <t>601+</t>
        </is>
      </c>
      <c r="AL1569" t="inlineStr">
        <is>
          <t>1.4</t>
        </is>
      </c>
      <c r="AM1569" t="inlineStr">
        <is>
          <t>601+</t>
        </is>
      </c>
      <c r="AN1569" t="inlineStr">
        <is>
          <t>12.2</t>
        </is>
      </c>
      <c r="AO1569" t="inlineStr">
        <is>
          <t>701+</t>
        </is>
      </c>
      <c r="AP1569" t="inlineStr">
        <is>
          <t>34.7</t>
        </is>
      </c>
      <c r="AQ1569" t="inlineStr">
        <is>
          <t>390</t>
        </is>
      </c>
      <c r="AR1569" t="inlineStr">
        <is>
          <t>5.4</t>
        </is>
      </c>
      <c r="AS1569" t="inlineStr">
        <is>
          <t>701+</t>
        </is>
      </c>
      <c r="AT1569" t="inlineStr">
        <is>
          <t>5.0</t>
        </is>
      </c>
      <c r="AU1569" t="inlineStr">
        <is>
          <t>701+</t>
        </is>
      </c>
      <c r="AV1569" t="inlineStr">
        <is>
          <t>2.5</t>
        </is>
      </c>
      <c r="AW1569" t="inlineStr">
        <is>
          <t>701+</t>
        </is>
      </c>
      <c r="AX1569" t="inlineStr">
        <is>
          <t>8.3</t>
        </is>
      </c>
      <c r="AY1569" t="inlineStr">
        <is>
          <t>701+</t>
        </is>
      </c>
      <c r="AZ1569" t="inlineStr"/>
      <c r="BA1569" t="inlineStr"/>
    </row>
    <row r="1570">
      <c r="A1570" t="inlineStr">
        <is>
          <t>University of Illinois at Chicago (UIC)</t>
        </is>
      </c>
      <c r="B1570" t="inlineStr">
        <is>
          <t>United States</t>
        </is>
      </c>
      <c r="C1570" t="inlineStr">
        <is>
          <t>US</t>
        </is>
      </c>
      <c r="D1570" t="inlineStr"/>
      <c r="E1570" t="inlineStr">
        <is>
          <t>XL</t>
        </is>
      </c>
      <c r="F1570" t="inlineStr">
        <is>
          <t>FC</t>
        </is>
      </c>
      <c r="G1570" t="inlineStr">
        <is>
          <t>VH</t>
        </is>
      </c>
      <c r="H1570" t="inlineStr">
        <is>
          <t>5</t>
        </is>
      </c>
      <c r="I1570" t="inlineStr">
        <is>
          <t>A</t>
        </is>
      </c>
      <c r="J1570" t="inlineStr"/>
      <c r="K1570" t="inlineStr"/>
      <c r="L1570">
        <f>323</f>
        <v/>
      </c>
      <c r="M1570" t="inlineStr">
        <is>
          <t>317=</t>
        </is>
      </c>
      <c r="N1570" t="inlineStr"/>
      <c r="O1570" t="inlineStr">
        <is>
          <t>32.8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>
        <is>
          <t>40.9</t>
        </is>
      </c>
      <c r="AK1570" t="inlineStr">
        <is>
          <t>206</t>
        </is>
      </c>
      <c r="AL1570" t="inlineStr">
        <is>
          <t>23.5</t>
        </is>
      </c>
      <c r="AM1570" t="inlineStr">
        <is>
          <t>408</t>
        </is>
      </c>
      <c r="AN1570" t="inlineStr">
        <is>
          <t>31.6</t>
        </is>
      </c>
      <c r="AO1570" t="inlineStr">
        <is>
          <t>497</t>
        </is>
      </c>
      <c r="AP1570" t="inlineStr">
        <is>
          <t>26.2</t>
        </is>
      </c>
      <c r="AQ1570" t="inlineStr">
        <is>
          <t>469</t>
        </is>
      </c>
      <c r="AR1570" t="inlineStr">
        <is>
          <t>8.5</t>
        </is>
      </c>
      <c r="AS1570" t="inlineStr">
        <is>
          <t>701+</t>
        </is>
      </c>
      <c r="AT1570" t="inlineStr">
        <is>
          <t>17.0</t>
        </is>
      </c>
      <c r="AU1570" t="inlineStr">
        <is>
          <t>586</t>
        </is>
      </c>
      <c r="AV1570" t="inlineStr">
        <is>
          <t>50.1</t>
        </is>
      </c>
      <c r="AW1570" t="inlineStr">
        <is>
          <t>312</t>
        </is>
      </c>
      <c r="AX1570" t="inlineStr">
        <is>
          <t>31.5</t>
        </is>
      </c>
      <c r="AY1570" t="inlineStr">
        <is>
          <t>242</t>
        </is>
      </c>
      <c r="AZ1570" t="inlineStr">
        <is>
          <t>62.8</t>
        </is>
      </c>
      <c r="BA1570" t="inlineStr">
        <is>
          <t>235=</t>
        </is>
      </c>
    </row>
    <row r="1571">
      <c r="A1571" t="inlineStr">
        <is>
          <t>University of Illinois at Urbana-Champaign</t>
        </is>
      </c>
      <c r="B1571" t="inlineStr">
        <is>
          <t>United States</t>
        </is>
      </c>
      <c r="C1571" t="inlineStr">
        <is>
          <t>US</t>
        </is>
      </c>
      <c r="D1571" t="inlineStr">
        <is>
          <t>Americas</t>
        </is>
      </c>
      <c r="E1571" t="inlineStr">
        <is>
          <t>XL</t>
        </is>
      </c>
      <c r="F1571" t="inlineStr">
        <is>
          <t>FC</t>
        </is>
      </c>
      <c r="G1571" t="inlineStr">
        <is>
          <t>VH</t>
        </is>
      </c>
      <c r="H1571" t="inlineStr">
        <is>
          <t>5</t>
        </is>
      </c>
      <c r="I1571" t="inlineStr">
        <is>
          <t>Public</t>
        </is>
      </c>
      <c r="J1571" t="inlineStr">
        <is>
          <t>70</t>
        </is>
      </c>
      <c r="K1571" t="inlineStr">
        <is>
          <t>69</t>
        </is>
      </c>
      <c r="L1571" t="inlineStr">
        <is>
          <t>64</t>
        </is>
      </c>
      <c r="M1571" t="inlineStr">
        <is>
          <t>85</t>
        </is>
      </c>
      <c r="N1571" t="inlineStr">
        <is>
          <t>75.9</t>
        </is>
      </c>
      <c r="O1571" t="inlineStr">
        <is>
          <t>69.1</t>
        </is>
      </c>
      <c r="P1571" t="n">
        <v>91.7</v>
      </c>
      <c r="Q1571" t="inlineStr">
        <is>
          <t>62</t>
        </is>
      </c>
      <c r="R1571" t="n">
        <v>91.5</v>
      </c>
      <c r="S1571" t="inlineStr">
        <is>
          <t>66</t>
        </is>
      </c>
      <c r="T1571" t="n">
        <v>8.6</v>
      </c>
      <c r="U1571" t="inlineStr">
        <is>
          <t>801+</t>
        </is>
      </c>
      <c r="V1571" t="n">
        <v>81.59999999999999</v>
      </c>
      <c r="W1571" t="inlineStr">
        <is>
          <t>147</t>
        </is>
      </c>
      <c r="X1571" t="n">
        <v>14.2</v>
      </c>
      <c r="Y1571" t="inlineStr">
        <is>
          <t>801+</t>
        </is>
      </c>
      <c r="Z1571" t="n">
        <v>70.09999999999999</v>
      </c>
      <c r="AA1571" t="inlineStr">
        <is>
          <t>277</t>
        </is>
      </c>
      <c r="AB1571" t="n">
        <v>52.2</v>
      </c>
      <c r="AC1571" t="inlineStr">
        <is>
          <t>395</t>
        </is>
      </c>
      <c r="AD1571" t="n">
        <v>91.3</v>
      </c>
      <c r="AE1571" t="inlineStr">
        <is>
          <t>152</t>
        </is>
      </c>
      <c r="AF1571" t="n">
        <v>92.5</v>
      </c>
      <c r="AG1571" t="inlineStr">
        <is>
          <t>86</t>
        </is>
      </c>
      <c r="AH1571" t="n">
        <v>75.90000000000001</v>
      </c>
      <c r="AI1571" t="inlineStr">
        <is>
          <t>223=</t>
        </is>
      </c>
      <c r="AJ1571" t="inlineStr">
        <is>
          <t>85.0</t>
        </is>
      </c>
      <c r="AK1571" t="inlineStr">
        <is>
          <t>54</t>
        </is>
      </c>
      <c r="AL1571" t="inlineStr">
        <is>
          <t>70.8</t>
        </is>
      </c>
      <c r="AM1571" t="inlineStr">
        <is>
          <t>100</t>
        </is>
      </c>
      <c r="AN1571" t="inlineStr">
        <is>
          <t>7.5</t>
        </is>
      </c>
      <c r="AO1571" t="inlineStr">
        <is>
          <t>701+</t>
        </is>
      </c>
      <c r="AP1571" t="inlineStr">
        <is>
          <t>86.5</t>
        </is>
      </c>
      <c r="AQ1571" t="inlineStr">
        <is>
          <t>86</t>
        </is>
      </c>
      <c r="AR1571" t="inlineStr">
        <is>
          <t>11.1</t>
        </is>
      </c>
      <c r="AS1571" t="inlineStr">
        <is>
          <t>701+</t>
        </is>
      </c>
      <c r="AT1571" t="inlineStr">
        <is>
          <t>49.2</t>
        </is>
      </c>
      <c r="AU1571" t="inlineStr">
        <is>
          <t>303</t>
        </is>
      </c>
      <c r="AV1571" t="inlineStr">
        <is>
          <t>76.4</t>
        </is>
      </c>
      <c r="AW1571" t="inlineStr">
        <is>
          <t>164</t>
        </is>
      </c>
      <c r="AX1571" t="inlineStr">
        <is>
          <t>66</t>
        </is>
      </c>
      <c r="AY1571" t="inlineStr">
        <is>
          <t>84</t>
        </is>
      </c>
      <c r="AZ1571" t="inlineStr">
        <is>
          <t>83.5</t>
        </is>
      </c>
      <c r="BA1571" t="inlineStr">
        <is>
          <t>128=</t>
        </is>
      </c>
    </row>
    <row r="1572">
      <c r="A1572" t="inlineStr">
        <is>
          <t>University of Illinois Chicago (UIC)</t>
        </is>
      </c>
      <c r="B1572" t="inlineStr">
        <is>
          <t>United States</t>
        </is>
      </c>
      <c r="C1572" t="inlineStr"/>
      <c r="D1572" t="inlineStr">
        <is>
          <t>Americas</t>
        </is>
      </c>
      <c r="E1572" t="inlineStr">
        <is>
          <t>L</t>
        </is>
      </c>
      <c r="F1572" t="inlineStr">
        <is>
          <t>FC</t>
        </is>
      </c>
      <c r="G1572" t="inlineStr">
        <is>
          <t>VH</t>
        </is>
      </c>
      <c r="H1572" t="inlineStr"/>
      <c r="I1572" t="inlineStr">
        <is>
          <t>Public</t>
        </is>
      </c>
      <c r="J1572" t="inlineStr">
        <is>
          <t>334</t>
        </is>
      </c>
      <c r="K1572" t="inlineStr">
        <is>
          <t>365</t>
        </is>
      </c>
      <c r="L1572" t="inlineStr"/>
      <c r="M1572" t="inlineStr"/>
      <c r="N1572" t="inlineStr">
        <is>
          <t>42.3</t>
        </is>
      </c>
      <c r="O1572" t="inlineStr"/>
      <c r="P1572" t="n">
        <v>48.8</v>
      </c>
      <c r="Q1572" t="inlineStr">
        <is>
          <t>234</t>
        </is>
      </c>
      <c r="R1572" t="n">
        <v>40.3</v>
      </c>
      <c r="S1572" t="inlineStr">
        <is>
          <t>337</t>
        </is>
      </c>
      <c r="T1572" t="n">
        <v>33.1</v>
      </c>
      <c r="U1572" t="inlineStr">
        <is>
          <t>587</t>
        </is>
      </c>
      <c r="V1572" t="n">
        <v>39.2</v>
      </c>
      <c r="W1572" t="inlineStr">
        <is>
          <t>482</t>
        </is>
      </c>
      <c r="X1572" t="n">
        <v>11</v>
      </c>
      <c r="Y1572" t="inlineStr">
        <is>
          <t>801+</t>
        </is>
      </c>
      <c r="Z1572" t="n">
        <v>28.4</v>
      </c>
      <c r="AA1572" t="inlineStr">
        <is>
          <t>611</t>
        </is>
      </c>
      <c r="AB1572" t="n">
        <v>21.3</v>
      </c>
      <c r="AC1572" t="inlineStr">
        <is>
          <t>744</t>
        </is>
      </c>
      <c r="AD1572" t="n">
        <v>82.3</v>
      </c>
      <c r="AE1572" t="inlineStr">
        <is>
          <t>304</t>
        </is>
      </c>
      <c r="AF1572" t="n">
        <v>36.4</v>
      </c>
      <c r="AG1572" t="inlineStr">
        <is>
          <t>475</t>
        </is>
      </c>
      <c r="AH1572" t="n">
        <v>66.90000000000001</v>
      </c>
      <c r="AI1572" t="inlineStr">
        <is>
          <t>363=</t>
        </is>
      </c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</row>
    <row r="1573">
      <c r="A1573" t="inlineStr">
        <is>
          <t>University of International Business and Economics</t>
        </is>
      </c>
      <c r="B1573" t="inlineStr">
        <is>
          <t>China (Mainland)</t>
        </is>
      </c>
      <c r="C1573" t="inlineStr">
        <is>
          <t>CN</t>
        </is>
      </c>
      <c r="D1573" t="inlineStr">
        <is>
          <t>Asia</t>
        </is>
      </c>
      <c r="E1573" t="inlineStr">
        <is>
          <t>L</t>
        </is>
      </c>
      <c r="F1573" t="inlineStr">
        <is>
          <t>SP</t>
        </is>
      </c>
      <c r="G1573" t="inlineStr">
        <is>
          <t>VH</t>
        </is>
      </c>
      <c r="H1573" t="inlineStr">
        <is>
          <t>4</t>
        </is>
      </c>
      <c r="I1573" t="inlineStr">
        <is>
          <t>Public</t>
        </is>
      </c>
      <c r="J1573" t="inlineStr">
        <is>
          <t>1201-1400</t>
        </is>
      </c>
      <c r="K1573" t="inlineStr">
        <is>
          <t>1201-1400</t>
        </is>
      </c>
      <c r="L1573" t="inlineStr">
        <is>
          <t>1201-1400</t>
        </is>
      </c>
      <c r="M1573" t="inlineStr">
        <is>
          <t>1201-1400</t>
        </is>
      </c>
      <c r="N1573" t="inlineStr">
        <is>
          <t>-</t>
        </is>
      </c>
      <c r="O1573" t="inlineStr">
        <is>
          <t>-</t>
        </is>
      </c>
      <c r="P1573" t="n">
        <v>3.3</v>
      </c>
      <c r="Q1573" t="inlineStr">
        <is>
          <t>701+</t>
        </is>
      </c>
      <c r="R1573" t="n">
        <v>5.1</v>
      </c>
      <c r="S1573" t="inlineStr">
        <is>
          <t>701+</t>
        </is>
      </c>
      <c r="T1573" t="n">
        <v>16.5</v>
      </c>
      <c r="U1573" t="inlineStr">
        <is>
          <t>801+</t>
        </is>
      </c>
      <c r="V1573" t="n">
        <v>8.4</v>
      </c>
      <c r="W1573" t="inlineStr">
        <is>
          <t>801+</t>
        </is>
      </c>
      <c r="X1573" t="n">
        <v>8.6</v>
      </c>
      <c r="Y1573" t="inlineStr">
        <is>
          <t>801+</t>
        </is>
      </c>
      <c r="Z1573" t="n">
        <v>43.3</v>
      </c>
      <c r="AA1573" t="inlineStr">
        <is>
          <t>465</t>
        </is>
      </c>
      <c r="AB1573" t="n">
        <v>32.4</v>
      </c>
      <c r="AC1573" t="inlineStr">
        <is>
          <t>586</t>
        </is>
      </c>
      <c r="AD1573" t="n">
        <v>8.199999999999999</v>
      </c>
      <c r="AE1573" t="inlineStr">
        <is>
          <t>801+</t>
        </is>
      </c>
      <c r="AF1573" t="n">
        <v>21.2</v>
      </c>
      <c r="AG1573" t="inlineStr">
        <is>
          <t>704</t>
        </is>
      </c>
      <c r="AH1573" t="n">
        <v>29.8</v>
      </c>
      <c r="AI1573" t="inlineStr">
        <is>
          <t>801+</t>
        </is>
      </c>
      <c r="AJ1573" t="inlineStr">
        <is>
          <t>3.8</t>
        </is>
      </c>
      <c r="AK1573" t="inlineStr">
        <is>
          <t>601+</t>
        </is>
      </c>
      <c r="AL1573" t="inlineStr">
        <is>
          <t>1.8</t>
        </is>
      </c>
      <c r="AM1573" t="inlineStr">
        <is>
          <t>601+</t>
        </is>
      </c>
      <c r="AN1573" t="inlineStr">
        <is>
          <t>10.2</t>
        </is>
      </c>
      <c r="AO1573" t="inlineStr">
        <is>
          <t>701+</t>
        </is>
      </c>
      <c r="AP1573" t="inlineStr">
        <is>
          <t>2.7</t>
        </is>
      </c>
      <c r="AQ1573" t="inlineStr">
        <is>
          <t>701+</t>
        </is>
      </c>
      <c r="AR1573" t="inlineStr">
        <is>
          <t>7.4</t>
        </is>
      </c>
      <c r="AS1573" t="inlineStr">
        <is>
          <t>701+</t>
        </is>
      </c>
      <c r="AT1573" t="inlineStr">
        <is>
          <t>32.8</t>
        </is>
      </c>
      <c r="AU1573" t="inlineStr">
        <is>
          <t>394</t>
        </is>
      </c>
      <c r="AV1573" t="inlineStr">
        <is>
          <t>1.0</t>
        </is>
      </c>
      <c r="AW1573" t="inlineStr">
        <is>
          <t>701+</t>
        </is>
      </c>
      <c r="AX1573" t="inlineStr">
        <is>
          <t>14.8</t>
        </is>
      </c>
      <c r="AY1573" t="inlineStr">
        <is>
          <t>568</t>
        </is>
      </c>
      <c r="AZ1573" t="inlineStr">
        <is>
          <t>1.1</t>
        </is>
      </c>
      <c r="BA1573" t="inlineStr">
        <is>
          <t>701+</t>
        </is>
      </c>
    </row>
    <row r="1574">
      <c r="A1574" t="inlineStr">
        <is>
          <t>University of Ioannina</t>
        </is>
      </c>
      <c r="B1574" t="inlineStr">
        <is>
          <t>Greece</t>
        </is>
      </c>
      <c r="C1574" t="inlineStr">
        <is>
          <t>GR</t>
        </is>
      </c>
      <c r="D1574" t="inlineStr">
        <is>
          <t>Europe</t>
        </is>
      </c>
      <c r="E1574" t="inlineStr">
        <is>
          <t>XL</t>
        </is>
      </c>
      <c r="F1574" t="inlineStr">
        <is>
          <t>FC</t>
        </is>
      </c>
      <c r="G1574" t="inlineStr">
        <is>
          <t>HI</t>
        </is>
      </c>
      <c r="H1574" t="inlineStr"/>
      <c r="I1574" t="inlineStr"/>
      <c r="J1574" t="inlineStr">
        <is>
          <t>1001-1200</t>
        </is>
      </c>
      <c r="K1574" t="inlineStr">
        <is>
          <t>1001-1200</t>
        </is>
      </c>
      <c r="L1574" t="inlineStr">
        <is>
          <t>1001-1200</t>
        </is>
      </c>
      <c r="M1574" t="inlineStr"/>
      <c r="N1574" t="inlineStr">
        <is>
          <t>-</t>
        </is>
      </c>
      <c r="O1574" t="inlineStr">
        <is>
          <t>-</t>
        </is>
      </c>
      <c r="P1574" t="n">
        <v>9.4</v>
      </c>
      <c r="Q1574" t="inlineStr">
        <is>
          <t>701+</t>
        </is>
      </c>
      <c r="R1574" t="n">
        <v>5.6</v>
      </c>
      <c r="S1574" t="inlineStr">
        <is>
          <t>701+</t>
        </is>
      </c>
      <c r="T1574" t="n">
        <v>1.9</v>
      </c>
      <c r="U1574" t="inlineStr">
        <is>
          <t>801+</t>
        </is>
      </c>
      <c r="V1574" t="n">
        <v>32</v>
      </c>
      <c r="W1574" t="inlineStr">
        <is>
          <t>562</t>
        </is>
      </c>
      <c r="X1574" t="n">
        <v>2</v>
      </c>
      <c r="Y1574" t="inlineStr">
        <is>
          <t>801+</t>
        </is>
      </c>
      <c r="Z1574" t="n">
        <v>7.5</v>
      </c>
      <c r="AA1574" t="inlineStr">
        <is>
          <t>801+</t>
        </is>
      </c>
      <c r="AB1574" t="n">
        <v>11.9</v>
      </c>
      <c r="AC1574" t="inlineStr">
        <is>
          <t>801+</t>
        </is>
      </c>
      <c r="AD1574" t="n">
        <v>55.7</v>
      </c>
      <c r="AE1574" t="inlineStr">
        <is>
          <t>757</t>
        </is>
      </c>
      <c r="AF1574" t="n">
        <v>3.6</v>
      </c>
      <c r="AG1574" t="inlineStr">
        <is>
          <t>801+</t>
        </is>
      </c>
      <c r="AH1574" t="n">
        <v>36.5</v>
      </c>
      <c r="AI1574" t="inlineStr">
        <is>
          <t>801+</t>
        </is>
      </c>
      <c r="AJ1574" t="inlineStr">
        <is>
          <t>6.9</t>
        </is>
      </c>
      <c r="AK1574" t="inlineStr">
        <is>
          <t>601+</t>
        </is>
      </c>
      <c r="AL1574" t="inlineStr">
        <is>
          <t>3.7</t>
        </is>
      </c>
      <c r="AM1574" t="inlineStr">
        <is>
          <t>601+</t>
        </is>
      </c>
      <c r="AN1574" t="inlineStr">
        <is>
          <t>1.4</t>
        </is>
      </c>
      <c r="AO1574" t="inlineStr">
        <is>
          <t>701+</t>
        </is>
      </c>
      <c r="AP1574" t="inlineStr">
        <is>
          <t>24.6</t>
        </is>
      </c>
      <c r="AQ1574" t="inlineStr">
        <is>
          <t>494</t>
        </is>
      </c>
      <c r="AR1574" t="inlineStr">
        <is>
          <t>1.7</t>
        </is>
      </c>
      <c r="AS1574" t="inlineStr">
        <is>
          <t>701+</t>
        </is>
      </c>
      <c r="AT1574" t="inlineStr">
        <is>
          <t>2.7</t>
        </is>
      </c>
      <c r="AU1574" t="inlineStr">
        <is>
          <t>701+</t>
        </is>
      </c>
      <c r="AV1574" t="inlineStr">
        <is>
          <t>15.2</t>
        </is>
      </c>
      <c r="AW1574" t="inlineStr">
        <is>
          <t>596</t>
        </is>
      </c>
      <c r="AX1574" t="inlineStr">
        <is>
          <t>8.4</t>
        </is>
      </c>
      <c r="AY1574" t="inlineStr">
        <is>
          <t>701+</t>
        </is>
      </c>
      <c r="AZ1574" t="inlineStr"/>
      <c r="BA1574" t="inlineStr"/>
    </row>
    <row r="1575">
      <c r="A1575" t="inlineStr">
        <is>
          <t>University of Iowa</t>
        </is>
      </c>
      <c r="B1575" t="inlineStr">
        <is>
          <t>United States</t>
        </is>
      </c>
      <c r="C1575" t="inlineStr">
        <is>
          <t>US</t>
        </is>
      </c>
      <c r="D1575" t="inlineStr">
        <is>
          <t>Americas</t>
        </is>
      </c>
      <c r="E1575" t="inlineStr">
        <is>
          <t>L</t>
        </is>
      </c>
      <c r="F1575" t="inlineStr">
        <is>
          <t>FC</t>
        </is>
      </c>
      <c r="G1575" t="inlineStr">
        <is>
          <t>VH</t>
        </is>
      </c>
      <c r="H1575" t="inlineStr">
        <is>
          <t>5</t>
        </is>
      </c>
      <c r="I1575" t="inlineStr">
        <is>
          <t>Public</t>
        </is>
      </c>
      <c r="J1575" t="inlineStr">
        <is>
          <t>530</t>
        </is>
      </c>
      <c r="K1575" t="inlineStr">
        <is>
          <t>596</t>
        </is>
      </c>
      <c r="L1575">
        <f>491</f>
        <v/>
      </c>
      <c r="M1575" t="inlineStr">
        <is>
          <t>467=</t>
        </is>
      </c>
      <c r="N1575" t="inlineStr">
        <is>
          <t>30.8</t>
        </is>
      </c>
      <c r="O1575" t="inlineStr">
        <is>
          <t>23.5</t>
        </is>
      </c>
      <c r="P1575" t="n">
        <v>25.5</v>
      </c>
      <c r="Q1575" t="inlineStr">
        <is>
          <t>498</t>
        </is>
      </c>
      <c r="R1575" t="n">
        <v>16.2</v>
      </c>
      <c r="S1575" t="inlineStr">
        <is>
          <t>701+</t>
        </is>
      </c>
      <c r="T1575" t="n">
        <v>50.1</v>
      </c>
      <c r="U1575" t="inlineStr">
        <is>
          <t>383</t>
        </is>
      </c>
      <c r="V1575" t="n">
        <v>27.4</v>
      </c>
      <c r="W1575" t="inlineStr">
        <is>
          <t>614</t>
        </is>
      </c>
      <c r="X1575" t="n">
        <v>40.4</v>
      </c>
      <c r="Y1575" t="inlineStr">
        <is>
          <t>496</t>
        </is>
      </c>
      <c r="Z1575" t="n">
        <v>8.5</v>
      </c>
      <c r="AA1575" t="inlineStr">
        <is>
          <t>801+</t>
        </is>
      </c>
      <c r="AB1575" t="n">
        <v>14.2</v>
      </c>
      <c r="AC1575" t="inlineStr">
        <is>
          <t>801+</t>
        </is>
      </c>
      <c r="AD1575" t="n">
        <v>68.7</v>
      </c>
      <c r="AE1575" t="inlineStr">
        <is>
          <t>555</t>
        </is>
      </c>
      <c r="AF1575" t="n">
        <v>47.1</v>
      </c>
      <c r="AG1575" t="inlineStr">
        <is>
          <t>373</t>
        </is>
      </c>
      <c r="AH1575" t="n">
        <v>61</v>
      </c>
      <c r="AI1575" t="inlineStr">
        <is>
          <t>480=</t>
        </is>
      </c>
      <c r="AJ1575" t="inlineStr">
        <is>
          <t>19.9</t>
        </is>
      </c>
      <c r="AK1575" t="inlineStr">
        <is>
          <t>444</t>
        </is>
      </c>
      <c r="AL1575" t="inlineStr">
        <is>
          <t>11.2</t>
        </is>
      </c>
      <c r="AM1575" t="inlineStr">
        <is>
          <t>601+</t>
        </is>
      </c>
      <c r="AN1575" t="inlineStr">
        <is>
          <t>48.2</t>
        </is>
      </c>
      <c r="AO1575" t="inlineStr">
        <is>
          <t>325</t>
        </is>
      </c>
      <c r="AP1575" t="inlineStr">
        <is>
          <t>20.9</t>
        </is>
      </c>
      <c r="AQ1575" t="inlineStr">
        <is>
          <t>548</t>
        </is>
      </c>
      <c r="AR1575" t="inlineStr">
        <is>
          <t>22.3</t>
        </is>
      </c>
      <c r="AS1575" t="inlineStr">
        <is>
          <t>569</t>
        </is>
      </c>
      <c r="AT1575" t="inlineStr">
        <is>
          <t>4.6</t>
        </is>
      </c>
      <c r="AU1575" t="inlineStr">
        <is>
          <t>701+</t>
        </is>
      </c>
      <c r="AV1575" t="inlineStr">
        <is>
          <t>51.3</t>
        </is>
      </c>
      <c r="AW1575" t="inlineStr">
        <is>
          <t>304</t>
        </is>
      </c>
      <c r="AX1575" t="inlineStr">
        <is>
          <t>22.1</t>
        </is>
      </c>
      <c r="AY1575" t="inlineStr">
        <is>
          <t>374</t>
        </is>
      </c>
      <c r="AZ1575" t="inlineStr">
        <is>
          <t>38.4</t>
        </is>
      </c>
      <c r="BA1575" t="inlineStr">
        <is>
          <t>373=</t>
        </is>
      </c>
    </row>
    <row r="1576">
      <c r="A1576" t="inlineStr">
        <is>
          <t>University of Isfahan</t>
        </is>
      </c>
      <c r="B1576" t="inlineStr">
        <is>
          <t>Iran (Islamic Republic of)</t>
        </is>
      </c>
      <c r="C1576" t="inlineStr"/>
      <c r="D1576" t="inlineStr">
        <is>
          <t>Asia</t>
        </is>
      </c>
      <c r="E1576" t="inlineStr">
        <is>
          <t>L</t>
        </is>
      </c>
      <c r="F1576" t="inlineStr">
        <is>
          <t>CO</t>
        </is>
      </c>
      <c r="G1576" t="inlineStr">
        <is>
          <t>VH</t>
        </is>
      </c>
      <c r="H1576" t="inlineStr"/>
      <c r="I1576" t="inlineStr">
        <is>
          <t>Public</t>
        </is>
      </c>
      <c r="J1576" t="inlineStr">
        <is>
          <t>1001-1200</t>
        </is>
      </c>
      <c r="K1576" t="inlineStr"/>
      <c r="L1576" t="inlineStr"/>
      <c r="M1576" t="inlineStr"/>
      <c r="N1576" t="inlineStr">
        <is>
          <t>-</t>
        </is>
      </c>
      <c r="O1576" t="inlineStr"/>
      <c r="P1576" t="n">
        <v>7.7</v>
      </c>
      <c r="Q1576" t="inlineStr">
        <is>
          <t>701+</t>
        </is>
      </c>
      <c r="R1576" t="n">
        <v>10.7</v>
      </c>
      <c r="S1576" t="inlineStr">
        <is>
          <t>701+</t>
        </is>
      </c>
      <c r="T1576" t="n">
        <v>4.9</v>
      </c>
      <c r="U1576" t="inlineStr">
        <is>
          <t>801+</t>
        </is>
      </c>
      <c r="V1576" t="n">
        <v>30.7</v>
      </c>
      <c r="W1576" t="inlineStr">
        <is>
          <t>579</t>
        </is>
      </c>
      <c r="X1576" t="inlineStr"/>
      <c r="Y1576" t="inlineStr"/>
      <c r="Z1576" t="n">
        <v>2.5</v>
      </c>
      <c r="AA1576" t="inlineStr">
        <is>
          <t>801+</t>
        </is>
      </c>
      <c r="AB1576" t="n">
        <v>2.1</v>
      </c>
      <c r="AC1576" t="inlineStr">
        <is>
          <t>801+</t>
        </is>
      </c>
      <c r="AD1576" t="n">
        <v>52.8</v>
      </c>
      <c r="AE1576" t="inlineStr">
        <is>
          <t>798</t>
        </is>
      </c>
      <c r="AF1576" t="n">
        <v>4.7</v>
      </c>
      <c r="AG1576" t="inlineStr">
        <is>
          <t>801+</t>
        </is>
      </c>
      <c r="AH1576" t="n">
        <v>27.7</v>
      </c>
      <c r="AI1576" t="inlineStr">
        <is>
          <t>801+</t>
        </is>
      </c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</row>
    <row r="1577">
      <c r="A1577" t="inlineStr">
        <is>
          <t>University of Johannesburg</t>
        </is>
      </c>
      <c r="B1577" t="inlineStr">
        <is>
          <t>South Africa</t>
        </is>
      </c>
      <c r="C1577" t="inlineStr">
        <is>
          <t>ZA</t>
        </is>
      </c>
      <c r="D1577" t="inlineStr">
        <is>
          <t>Africa</t>
        </is>
      </c>
      <c r="E1577" t="inlineStr">
        <is>
          <t>L</t>
        </is>
      </c>
      <c r="F1577" t="inlineStr">
        <is>
          <t>CO</t>
        </is>
      </c>
      <c r="G1577" t="inlineStr">
        <is>
          <t>VH</t>
        </is>
      </c>
      <c r="H1577" t="inlineStr">
        <is>
          <t>2</t>
        </is>
      </c>
      <c r="I1577" t="inlineStr">
        <is>
          <t>Public</t>
        </is>
      </c>
      <c r="J1577" t="inlineStr">
        <is>
          <t>308</t>
        </is>
      </c>
      <c r="K1577" t="inlineStr">
        <is>
          <t>312</t>
        </is>
      </c>
      <c r="L1577" t="inlineStr">
        <is>
          <t>306</t>
        </is>
      </c>
      <c r="M1577" t="inlineStr">
        <is>
          <t>412=</t>
        </is>
      </c>
      <c r="N1577" t="inlineStr">
        <is>
          <t>44.7</t>
        </is>
      </c>
      <c r="O1577" t="inlineStr">
        <is>
          <t>34.0</t>
        </is>
      </c>
      <c r="P1577" t="n">
        <v>25.5</v>
      </c>
      <c r="Q1577" t="inlineStr">
        <is>
          <t>496</t>
        </is>
      </c>
      <c r="R1577" t="n">
        <v>25.9</v>
      </c>
      <c r="S1577" t="inlineStr">
        <is>
          <t>523</t>
        </is>
      </c>
      <c r="T1577" t="n">
        <v>46.5</v>
      </c>
      <c r="U1577" t="inlineStr">
        <is>
          <t>424</t>
        </is>
      </c>
      <c r="V1577" t="n">
        <v>45.2</v>
      </c>
      <c r="W1577" t="inlineStr">
        <is>
          <t>410</t>
        </is>
      </c>
      <c r="X1577" t="n">
        <v>98.5</v>
      </c>
      <c r="Y1577" t="inlineStr">
        <is>
          <t>136</t>
        </is>
      </c>
      <c r="Z1577" t="n">
        <v>60.1</v>
      </c>
      <c r="AA1577" t="inlineStr">
        <is>
          <t>342</t>
        </is>
      </c>
      <c r="AB1577" t="n">
        <v>63.9</v>
      </c>
      <c r="AC1577" t="inlineStr">
        <is>
          <t>310</t>
        </is>
      </c>
      <c r="AD1577" t="n">
        <v>99.09999999999999</v>
      </c>
      <c r="AE1577" t="inlineStr">
        <is>
          <t>14</t>
        </is>
      </c>
      <c r="AF1577" t="n">
        <v>69.59999999999999</v>
      </c>
      <c r="AG1577" t="inlineStr">
        <is>
          <t>215</t>
        </is>
      </c>
      <c r="AH1577" t="n">
        <v>74.8</v>
      </c>
      <c r="AI1577" t="inlineStr">
        <is>
          <t>241=</t>
        </is>
      </c>
      <c r="AJ1577" t="inlineStr">
        <is>
          <t>16.2</t>
        </is>
      </c>
      <c r="AK1577" t="inlineStr">
        <is>
          <t>540</t>
        </is>
      </c>
      <c r="AL1577" t="inlineStr">
        <is>
          <t>21.4</t>
        </is>
      </c>
      <c r="AM1577" t="inlineStr">
        <is>
          <t>434</t>
        </is>
      </c>
      <c r="AN1577" t="inlineStr">
        <is>
          <t>36.8</t>
        </is>
      </c>
      <c r="AO1577" t="inlineStr">
        <is>
          <t>430</t>
        </is>
      </c>
      <c r="AP1577" t="inlineStr">
        <is>
          <t>20.7</t>
        </is>
      </c>
      <c r="AQ1577" t="inlineStr">
        <is>
          <t>549</t>
        </is>
      </c>
      <c r="AR1577" t="inlineStr">
        <is>
          <t>96.3</t>
        </is>
      </c>
      <c r="AS1577" t="inlineStr">
        <is>
          <t>135</t>
        </is>
      </c>
      <c r="AT1577" t="inlineStr">
        <is>
          <t>50.6</t>
        </is>
      </c>
      <c r="AU1577" t="inlineStr">
        <is>
          <t>286</t>
        </is>
      </c>
      <c r="AV1577" t="inlineStr">
        <is>
          <t>96.9</t>
        </is>
      </c>
      <c r="AW1577" t="inlineStr">
        <is>
          <t>32</t>
        </is>
      </c>
      <c r="AX1577" t="inlineStr">
        <is>
          <t>43.6</t>
        </is>
      </c>
      <c r="AY1577" t="inlineStr">
        <is>
          <t>165</t>
        </is>
      </c>
      <c r="AZ1577" t="inlineStr">
        <is>
          <t>73.6</t>
        </is>
      </c>
      <c r="BA1577" t="inlineStr">
        <is>
          <t>182=</t>
        </is>
      </c>
    </row>
    <row r="1578">
      <c r="A1578" t="inlineStr">
        <is>
          <t>University of Jordan</t>
        </is>
      </c>
      <c r="B1578" t="inlineStr">
        <is>
          <t>Jordan</t>
        </is>
      </c>
      <c r="C1578" t="inlineStr">
        <is>
          <t>JO</t>
        </is>
      </c>
      <c r="D1578" t="inlineStr">
        <is>
          <t>Asia</t>
        </is>
      </c>
      <c r="E1578" t="inlineStr">
        <is>
          <t>XL</t>
        </is>
      </c>
      <c r="F1578" t="inlineStr">
        <is>
          <t>FC</t>
        </is>
      </c>
      <c r="G1578" t="inlineStr">
        <is>
          <t>HI</t>
        </is>
      </c>
      <c r="H1578" t="inlineStr">
        <is>
          <t>4</t>
        </is>
      </c>
      <c r="I1578" t="inlineStr">
        <is>
          <t>Public</t>
        </is>
      </c>
      <c r="J1578" t="inlineStr">
        <is>
          <t>324</t>
        </is>
      </c>
      <c r="K1578" t="inlineStr">
        <is>
          <t>368</t>
        </is>
      </c>
      <c r="L1578">
        <f>498</f>
        <v/>
      </c>
      <c r="M1578" t="inlineStr">
        <is>
          <t>591-600</t>
        </is>
      </c>
      <c r="N1578" t="inlineStr">
        <is>
          <t>43</t>
        </is>
      </c>
      <c r="O1578" t="inlineStr">
        <is>
          <t>23.2</t>
        </is>
      </c>
      <c r="P1578" t="n">
        <v>47.9</v>
      </c>
      <c r="Q1578" t="inlineStr">
        <is>
          <t>239</t>
        </is>
      </c>
      <c r="R1578" t="n">
        <v>59.8</v>
      </c>
      <c r="S1578" t="inlineStr">
        <is>
          <t>194</t>
        </is>
      </c>
      <c r="T1578" t="n">
        <v>28.9</v>
      </c>
      <c r="U1578" t="inlineStr">
        <is>
          <t>656</t>
        </is>
      </c>
      <c r="V1578" t="n">
        <v>7.3</v>
      </c>
      <c r="W1578" t="inlineStr">
        <is>
          <t>801+</t>
        </is>
      </c>
      <c r="X1578" t="n">
        <v>33.8</v>
      </c>
      <c r="Y1578" t="inlineStr">
        <is>
          <t>545</t>
        </is>
      </c>
      <c r="Z1578" t="n">
        <v>64.5</v>
      </c>
      <c r="AA1578" t="inlineStr">
        <is>
          <t>309</t>
        </is>
      </c>
      <c r="AB1578" t="n">
        <v>68</v>
      </c>
      <c r="AC1578" t="inlineStr">
        <is>
          <t>285</t>
        </is>
      </c>
      <c r="AD1578" t="n">
        <v>69.2</v>
      </c>
      <c r="AE1578" t="inlineStr">
        <is>
          <t>543</t>
        </is>
      </c>
      <c r="AF1578" t="n">
        <v>90.09999999999999</v>
      </c>
      <c r="AG1578" t="inlineStr">
        <is>
          <t>105</t>
        </is>
      </c>
      <c r="AH1578" t="n">
        <v>64.09999999999999</v>
      </c>
      <c r="AI1578" t="inlineStr">
        <is>
          <t>420=</t>
        </is>
      </c>
      <c r="AJ1578" t="inlineStr">
        <is>
          <t>29.1</t>
        </is>
      </c>
      <c r="AK1578" t="inlineStr">
        <is>
          <t>297</t>
        </is>
      </c>
      <c r="AL1578" t="inlineStr">
        <is>
          <t>38.8</t>
        </is>
      </c>
      <c r="AM1578" t="inlineStr">
        <is>
          <t>250</t>
        </is>
      </c>
      <c r="AN1578" t="inlineStr">
        <is>
          <t>17.4</t>
        </is>
      </c>
      <c r="AO1578" t="inlineStr">
        <is>
          <t>701+</t>
        </is>
      </c>
      <c r="AP1578" t="inlineStr">
        <is>
          <t>3.3</t>
        </is>
      </c>
      <c r="AQ1578" t="inlineStr">
        <is>
          <t>701+</t>
        </is>
      </c>
      <c r="AR1578" t="inlineStr">
        <is>
          <t>20.6</t>
        </is>
      </c>
      <c r="AS1578" t="inlineStr">
        <is>
          <t>586</t>
        </is>
      </c>
      <c r="AT1578" t="inlineStr">
        <is>
          <t>34.1</t>
        </is>
      </c>
      <c r="AU1578" t="inlineStr">
        <is>
          <t>385</t>
        </is>
      </c>
      <c r="AV1578" t="inlineStr">
        <is>
          <t>13.8</t>
        </is>
      </c>
      <c r="AW1578" t="inlineStr">
        <is>
          <t>613</t>
        </is>
      </c>
      <c r="AX1578" t="inlineStr">
        <is>
          <t>29.8</t>
        </is>
      </c>
      <c r="AY1578" t="inlineStr">
        <is>
          <t>264</t>
        </is>
      </c>
      <c r="AZ1578" t="inlineStr">
        <is>
          <t>28.9</t>
        </is>
      </c>
      <c r="BA1578" t="inlineStr">
        <is>
          <t>460=</t>
        </is>
      </c>
    </row>
    <row r="1579">
      <c r="A1579" t="inlineStr">
        <is>
          <t>University of Jyväskylä</t>
        </is>
      </c>
      <c r="B1579" t="inlineStr">
        <is>
          <t>Finland</t>
        </is>
      </c>
      <c r="C1579" t="inlineStr">
        <is>
          <t>FI</t>
        </is>
      </c>
      <c r="D1579" t="inlineStr">
        <is>
          <t>Europe</t>
        </is>
      </c>
      <c r="E1579" t="inlineStr">
        <is>
          <t>M</t>
        </is>
      </c>
      <c r="F1579" t="inlineStr">
        <is>
          <t>FO</t>
        </is>
      </c>
      <c r="G1579" t="inlineStr">
        <is>
          <t>VH</t>
        </is>
      </c>
      <c r="H1579" t="inlineStr">
        <is>
          <t>4</t>
        </is>
      </c>
      <c r="I1579" t="inlineStr">
        <is>
          <t>Public</t>
        </is>
      </c>
      <c r="J1579" t="inlineStr">
        <is>
          <t>498</t>
        </is>
      </c>
      <c r="K1579" t="inlineStr">
        <is>
          <t>489</t>
        </is>
      </c>
      <c r="L1579">
        <f>446</f>
        <v/>
      </c>
      <c r="M1579" t="inlineStr">
        <is>
          <t>347=</t>
        </is>
      </c>
      <c r="N1579" t="inlineStr">
        <is>
          <t>32.3</t>
        </is>
      </c>
      <c r="O1579" t="inlineStr">
        <is>
          <t>25.7</t>
        </is>
      </c>
      <c r="P1579" t="n">
        <v>23.4</v>
      </c>
      <c r="Q1579" t="inlineStr">
        <is>
          <t>539</t>
        </is>
      </c>
      <c r="R1579" t="n">
        <v>13.7</v>
      </c>
      <c r="S1579" t="inlineStr">
        <is>
          <t>701+</t>
        </is>
      </c>
      <c r="T1579" t="n">
        <v>87.8</v>
      </c>
      <c r="U1579" t="inlineStr">
        <is>
          <t>112</t>
        </is>
      </c>
      <c r="V1579" t="n">
        <v>20.8</v>
      </c>
      <c r="W1579" t="inlineStr">
        <is>
          <t>702</t>
        </is>
      </c>
      <c r="X1579" t="n">
        <v>51.1</v>
      </c>
      <c r="Y1579" t="inlineStr">
        <is>
          <t>435</t>
        </is>
      </c>
      <c r="Z1579" t="n">
        <v>6.3</v>
      </c>
      <c r="AA1579" t="inlineStr">
        <is>
          <t>801+</t>
        </is>
      </c>
      <c r="AB1579" t="n">
        <v>11.8</v>
      </c>
      <c r="AC1579" t="inlineStr">
        <is>
          <t>801+</t>
        </is>
      </c>
      <c r="AD1579" t="n">
        <v>84.3</v>
      </c>
      <c r="AE1579" t="inlineStr">
        <is>
          <t>269</t>
        </is>
      </c>
      <c r="AF1579" t="n">
        <v>13.9</v>
      </c>
      <c r="AG1579" t="inlineStr">
        <is>
          <t>801+</t>
        </is>
      </c>
      <c r="AH1579" t="n">
        <v>70.59999999999999</v>
      </c>
      <c r="AI1579" t="inlineStr">
        <is>
          <t>308=</t>
        </is>
      </c>
      <c r="AJ1579" t="inlineStr">
        <is>
          <t>17.2</t>
        </is>
      </c>
      <c r="AK1579" t="inlineStr">
        <is>
          <t>518</t>
        </is>
      </c>
      <c r="AL1579" t="inlineStr">
        <is>
          <t>12.5</t>
        </is>
      </c>
      <c r="AM1579" t="inlineStr">
        <is>
          <t>601+</t>
        </is>
      </c>
      <c r="AN1579" t="inlineStr">
        <is>
          <t>86.2</t>
        </is>
      </c>
      <c r="AO1579" t="inlineStr">
        <is>
          <t>100</t>
        </is>
      </c>
      <c r="AP1579" t="inlineStr">
        <is>
          <t>15.3</t>
        </is>
      </c>
      <c r="AQ1579" t="inlineStr">
        <is>
          <t>626</t>
        </is>
      </c>
      <c r="AR1579" t="inlineStr">
        <is>
          <t>40.9</t>
        </is>
      </c>
      <c r="AS1579" t="inlineStr">
        <is>
          <t>404</t>
        </is>
      </c>
      <c r="AT1579" t="inlineStr">
        <is>
          <t>2.8</t>
        </is>
      </c>
      <c r="AU1579" t="inlineStr">
        <is>
          <t>701+</t>
        </is>
      </c>
      <c r="AV1579" t="inlineStr">
        <is>
          <t>54.7</t>
        </is>
      </c>
      <c r="AW1579" t="inlineStr">
        <is>
          <t>287</t>
        </is>
      </c>
      <c r="AX1579" t="inlineStr">
        <is>
          <t>11.4</t>
        </is>
      </c>
      <c r="AY1579" t="inlineStr">
        <is>
          <t>701+</t>
        </is>
      </c>
      <c r="AZ1579" t="inlineStr">
        <is>
          <t>30.2</t>
        </is>
      </c>
      <c r="BA1579" t="inlineStr">
        <is>
          <t>447=</t>
        </is>
      </c>
    </row>
    <row r="1580">
      <c r="A1580" t="inlineStr">
        <is>
          <t>University of Kansas</t>
        </is>
      </c>
      <c r="B1580" t="inlineStr">
        <is>
          <t>United States</t>
        </is>
      </c>
      <c r="C1580" t="inlineStr">
        <is>
          <t>US</t>
        </is>
      </c>
      <c r="D1580" t="inlineStr">
        <is>
          <t>Americas</t>
        </is>
      </c>
      <c r="E1580" t="inlineStr">
        <is>
          <t>L</t>
        </is>
      </c>
      <c r="F1580" t="inlineStr">
        <is>
          <t>FC</t>
        </is>
      </c>
      <c r="G1580" t="inlineStr">
        <is>
          <t>VH</t>
        </is>
      </c>
      <c r="H1580" t="inlineStr">
        <is>
          <t>5</t>
        </is>
      </c>
      <c r="I1580" t="inlineStr">
        <is>
          <t>Public</t>
        </is>
      </c>
      <c r="J1580" t="inlineStr">
        <is>
          <t>465</t>
        </is>
      </c>
      <c r="K1580" t="inlineStr">
        <is>
          <t>452</t>
        </is>
      </c>
      <c r="L1580">
        <f>410</f>
        <v/>
      </c>
      <c r="M1580" t="inlineStr">
        <is>
          <t>369=</t>
        </is>
      </c>
      <c r="N1580" t="inlineStr">
        <is>
          <t>33.8</t>
        </is>
      </c>
      <c r="O1580" t="inlineStr">
        <is>
          <t>27.2</t>
        </is>
      </c>
      <c r="P1580" t="n">
        <v>17.6</v>
      </c>
      <c r="Q1580" t="inlineStr">
        <is>
          <t>697</t>
        </is>
      </c>
      <c r="R1580" t="n">
        <v>22.8</v>
      </c>
      <c r="S1580" t="inlineStr">
        <is>
          <t>582</t>
        </is>
      </c>
      <c r="T1580" t="n">
        <v>91.90000000000001</v>
      </c>
      <c r="U1580" t="inlineStr">
        <is>
          <t>97</t>
        </is>
      </c>
      <c r="V1580" t="n">
        <v>13.6</v>
      </c>
      <c r="W1580" t="inlineStr">
        <is>
          <t>801+</t>
        </is>
      </c>
      <c r="X1580" t="n">
        <v>79</v>
      </c>
      <c r="Y1580" t="inlineStr">
        <is>
          <t>301</t>
        </is>
      </c>
      <c r="Z1580" t="n">
        <v>12.6</v>
      </c>
      <c r="AA1580" t="inlineStr">
        <is>
          <t>801+</t>
        </is>
      </c>
      <c r="AB1580" t="n">
        <v>18.6</v>
      </c>
      <c r="AC1580" t="inlineStr">
        <is>
          <t>786</t>
        </is>
      </c>
      <c r="AD1580" t="n">
        <v>87.5</v>
      </c>
      <c r="AE1580" t="inlineStr">
        <is>
          <t>210</t>
        </is>
      </c>
      <c r="AF1580" t="n">
        <v>42.8</v>
      </c>
      <c r="AG1580" t="inlineStr">
        <is>
          <t>409</t>
        </is>
      </c>
      <c r="AH1580" t="n">
        <v>62.2</v>
      </c>
      <c r="AI1580" t="inlineStr">
        <is>
          <t>454=</t>
        </is>
      </c>
      <c r="AJ1580" t="inlineStr">
        <is>
          <t>15.1</t>
        </is>
      </c>
      <c r="AK1580" t="inlineStr">
        <is>
          <t>577</t>
        </is>
      </c>
      <c r="AL1580" t="inlineStr">
        <is>
          <t>13.3</t>
        </is>
      </c>
      <c r="AM1580" t="inlineStr">
        <is>
          <t>601+</t>
        </is>
      </c>
      <c r="AN1580" t="inlineStr">
        <is>
          <t>83.6</t>
        </is>
      </c>
      <c r="AO1580" t="inlineStr">
        <is>
          <t>116</t>
        </is>
      </c>
      <c r="AP1580" t="inlineStr">
        <is>
          <t>9.0</t>
        </is>
      </c>
      <c r="AQ1580" t="inlineStr">
        <is>
          <t>701+</t>
        </is>
      </c>
      <c r="AR1580" t="inlineStr">
        <is>
          <t>72.6</t>
        </is>
      </c>
      <c r="AS1580" t="inlineStr">
        <is>
          <t>263</t>
        </is>
      </c>
      <c r="AT1580" t="inlineStr">
        <is>
          <t>7.8</t>
        </is>
      </c>
      <c r="AU1580" t="inlineStr">
        <is>
          <t>701+</t>
        </is>
      </c>
      <c r="AV1580" t="inlineStr">
        <is>
          <t>35.7</t>
        </is>
      </c>
      <c r="AW1580" t="inlineStr">
        <is>
          <t>414</t>
        </is>
      </c>
      <c r="AX1580" t="inlineStr">
        <is>
          <t>23.5</t>
        </is>
      </c>
      <c r="AY1580" t="inlineStr">
        <is>
          <t>359</t>
        </is>
      </c>
      <c r="AZ1580" t="inlineStr">
        <is>
          <t>71.8</t>
        </is>
      </c>
      <c r="BA1580" t="inlineStr">
        <is>
          <t>194=</t>
        </is>
      </c>
    </row>
    <row r="1581">
      <c r="A1581" t="inlineStr">
        <is>
          <t>University of Karachi</t>
        </is>
      </c>
      <c r="B1581" t="inlineStr">
        <is>
          <t>Pakistan</t>
        </is>
      </c>
      <c r="C1581" t="inlineStr">
        <is>
          <t>PK</t>
        </is>
      </c>
      <c r="D1581" t="inlineStr">
        <is>
          <t>Asia</t>
        </is>
      </c>
      <c r="E1581" t="inlineStr">
        <is>
          <t>XL</t>
        </is>
      </c>
      <c r="F1581" t="inlineStr">
        <is>
          <t>CO</t>
        </is>
      </c>
      <c r="G1581" t="inlineStr">
        <is>
          <t>HI</t>
        </is>
      </c>
      <c r="H1581" t="inlineStr">
        <is>
          <t>4</t>
        </is>
      </c>
      <c r="I1581" t="inlineStr">
        <is>
          <t>Public</t>
        </is>
      </c>
      <c r="J1581" t="inlineStr">
        <is>
          <t>1001-1200</t>
        </is>
      </c>
      <c r="K1581" t="inlineStr">
        <is>
          <t>1001-1200</t>
        </is>
      </c>
      <c r="L1581" t="inlineStr">
        <is>
          <t>1001-1200</t>
        </is>
      </c>
      <c r="M1581" t="inlineStr">
        <is>
          <t>1201-1400</t>
        </is>
      </c>
      <c r="N1581" t="inlineStr">
        <is>
          <t>-</t>
        </is>
      </c>
      <c r="O1581" t="inlineStr">
        <is>
          <t>-</t>
        </is>
      </c>
      <c r="P1581" t="n">
        <v>14.5</v>
      </c>
      <c r="Q1581" t="inlineStr">
        <is>
          <t>701+</t>
        </is>
      </c>
      <c r="R1581" t="n">
        <v>19.2</v>
      </c>
      <c r="S1581" t="inlineStr">
        <is>
          <t>676</t>
        </is>
      </c>
      <c r="T1581" t="n">
        <v>2</v>
      </c>
      <c r="U1581" t="inlineStr">
        <is>
          <t>801+</t>
        </is>
      </c>
      <c r="V1581" t="n">
        <v>10.4</v>
      </c>
      <c r="W1581" t="inlineStr">
        <is>
          <t>801+</t>
        </is>
      </c>
      <c r="X1581" t="n">
        <v>4.7</v>
      </c>
      <c r="Y1581" t="inlineStr">
        <is>
          <t>801+</t>
        </is>
      </c>
      <c r="Z1581" t="n">
        <v>1.2</v>
      </c>
      <c r="AA1581" t="inlineStr">
        <is>
          <t>801+</t>
        </is>
      </c>
      <c r="AB1581" t="n">
        <v>1.1</v>
      </c>
      <c r="AC1581" t="inlineStr">
        <is>
          <t>801+</t>
        </is>
      </c>
      <c r="AD1581" t="n">
        <v>48.4</v>
      </c>
      <c r="AE1581" t="inlineStr">
        <is>
          <t>801+</t>
        </is>
      </c>
      <c r="AF1581" t="n">
        <v>51.2</v>
      </c>
      <c r="AG1581" t="inlineStr">
        <is>
          <t>332</t>
        </is>
      </c>
      <c r="AH1581" t="n">
        <v>31.3</v>
      </c>
      <c r="AI1581" t="inlineStr">
        <is>
          <t>801+</t>
        </is>
      </c>
      <c r="AJ1581" t="inlineStr">
        <is>
          <t>10.4</t>
        </is>
      </c>
      <c r="AK1581" t="inlineStr">
        <is>
          <t>601+</t>
        </is>
      </c>
      <c r="AL1581" t="inlineStr">
        <is>
          <t>15.3</t>
        </is>
      </c>
      <c r="AM1581" t="inlineStr">
        <is>
          <t>540</t>
        </is>
      </c>
      <c r="AN1581" t="inlineStr">
        <is>
          <t>1.6</t>
        </is>
      </c>
      <c r="AO1581" t="inlineStr">
        <is>
          <t>701+</t>
        </is>
      </c>
      <c r="AP1581" t="inlineStr">
        <is>
          <t>4.6</t>
        </is>
      </c>
      <c r="AQ1581" t="inlineStr">
        <is>
          <t>701+</t>
        </is>
      </c>
      <c r="AR1581" t="inlineStr">
        <is>
          <t>3.8</t>
        </is>
      </c>
      <c r="AS1581" t="inlineStr">
        <is>
          <t>701+</t>
        </is>
      </c>
      <c r="AT1581" t="inlineStr">
        <is>
          <t>1.1</t>
        </is>
      </c>
      <c r="AU1581" t="inlineStr">
        <is>
          <t>701+</t>
        </is>
      </c>
      <c r="AV1581" t="inlineStr">
        <is>
          <t>2.6</t>
        </is>
      </c>
      <c r="AW1581" t="inlineStr">
        <is>
          <t>701+</t>
        </is>
      </c>
      <c r="AX1581" t="inlineStr">
        <is>
          <t>6.9</t>
        </is>
      </c>
      <c r="AY1581" t="inlineStr">
        <is>
          <t>701+</t>
        </is>
      </c>
      <c r="AZ1581" t="inlineStr">
        <is>
          <t>12.3</t>
        </is>
      </c>
      <c r="BA1581" t="inlineStr">
        <is>
          <t>640=</t>
        </is>
      </c>
    </row>
    <row r="1582">
      <c r="A1582" t="inlineStr">
        <is>
          <t>University of Kent</t>
        </is>
      </c>
      <c r="B1582" t="inlineStr">
        <is>
          <t>United Kingdom</t>
        </is>
      </c>
      <c r="C1582" t="inlineStr">
        <is>
          <t>UK</t>
        </is>
      </c>
      <c r="D1582" t="inlineStr">
        <is>
          <t>Europe</t>
        </is>
      </c>
      <c r="E1582" t="inlineStr">
        <is>
          <t>L</t>
        </is>
      </c>
      <c r="F1582" t="inlineStr">
        <is>
          <t>CO</t>
        </is>
      </c>
      <c r="G1582" t="inlineStr">
        <is>
          <t>VH</t>
        </is>
      </c>
      <c r="H1582" t="inlineStr">
        <is>
          <t>4</t>
        </is>
      </c>
      <c r="I1582" t="inlineStr">
        <is>
          <t>Public</t>
        </is>
      </c>
      <c r="J1582" t="inlineStr">
        <is>
          <t>397</t>
        </is>
      </c>
      <c r="K1582" t="inlineStr">
        <is>
          <t>380</t>
        </is>
      </c>
      <c r="L1582">
        <f>336</f>
        <v/>
      </c>
      <c r="M1582" t="inlineStr">
        <is>
          <t>375=</t>
        </is>
      </c>
      <c r="N1582" t="inlineStr">
        <is>
          <t>37.7</t>
        </is>
      </c>
      <c r="O1582" t="inlineStr">
        <is>
          <t>32.2</t>
        </is>
      </c>
      <c r="P1582" t="n">
        <v>20.2</v>
      </c>
      <c r="Q1582" t="inlineStr">
        <is>
          <t>607</t>
        </is>
      </c>
      <c r="R1582" t="n">
        <v>13.8</v>
      </c>
      <c r="S1582" t="inlineStr">
        <is>
          <t>701+</t>
        </is>
      </c>
      <c r="T1582" t="n">
        <v>16.2</v>
      </c>
      <c r="U1582" t="inlineStr">
        <is>
          <t>801+</t>
        </is>
      </c>
      <c r="V1582" t="n">
        <v>58.3</v>
      </c>
      <c r="W1582" t="inlineStr">
        <is>
          <t>297</t>
        </is>
      </c>
      <c r="X1582" t="n">
        <v>96.40000000000001</v>
      </c>
      <c r="Y1582" t="inlineStr">
        <is>
          <t>163</t>
        </is>
      </c>
      <c r="Z1582" t="n">
        <v>49.2</v>
      </c>
      <c r="AA1582" t="inlineStr">
        <is>
          <t>414</t>
        </is>
      </c>
      <c r="AB1582" t="n">
        <v>54</v>
      </c>
      <c r="AC1582" t="inlineStr">
        <is>
          <t>381</t>
        </is>
      </c>
      <c r="AD1582" t="n">
        <v>88</v>
      </c>
      <c r="AE1582" t="inlineStr">
        <is>
          <t>202</t>
        </is>
      </c>
      <c r="AF1582" t="n">
        <v>44</v>
      </c>
      <c r="AG1582" t="inlineStr">
        <is>
          <t>404</t>
        </is>
      </c>
      <c r="AH1582" t="n">
        <v>65.5</v>
      </c>
      <c r="AI1582" t="inlineStr">
        <is>
          <t>387=</t>
        </is>
      </c>
      <c r="AJ1582" t="inlineStr">
        <is>
          <t>17.0</t>
        </is>
      </c>
      <c r="AK1582" t="inlineStr">
        <is>
          <t>522</t>
        </is>
      </c>
      <c r="AL1582" t="inlineStr">
        <is>
          <t>6.7</t>
        </is>
      </c>
      <c r="AM1582" t="inlineStr">
        <is>
          <t>601+</t>
        </is>
      </c>
      <c r="AN1582" t="inlineStr">
        <is>
          <t>13.3</t>
        </is>
      </c>
      <c r="AO1582" t="inlineStr">
        <is>
          <t>701+</t>
        </is>
      </c>
      <c r="AP1582" t="inlineStr">
        <is>
          <t>43.9</t>
        </is>
      </c>
      <c r="AQ1582" t="inlineStr">
        <is>
          <t>306</t>
        </is>
      </c>
      <c r="AR1582" t="inlineStr">
        <is>
          <t>96.6</t>
        </is>
      </c>
      <c r="AS1582" t="inlineStr">
        <is>
          <t>133</t>
        </is>
      </c>
      <c r="AT1582" t="inlineStr">
        <is>
          <t>72.8</t>
        </is>
      </c>
      <c r="AU1582" t="inlineStr">
        <is>
          <t>195</t>
        </is>
      </c>
      <c r="AV1582" t="inlineStr">
        <is>
          <t>43.0</t>
        </is>
      </c>
      <c r="AW1582" t="inlineStr">
        <is>
          <t>354</t>
        </is>
      </c>
      <c r="AX1582" t="inlineStr">
        <is>
          <t>20.2</t>
        </is>
      </c>
      <c r="AY1582" t="inlineStr">
        <is>
          <t>413</t>
        </is>
      </c>
      <c r="AZ1582" t="inlineStr">
        <is>
          <t>85.2</t>
        </is>
      </c>
      <c r="BA1582" t="inlineStr">
        <is>
          <t>118=</t>
        </is>
      </c>
    </row>
    <row r="1583">
      <c r="A1583" t="inlineStr">
        <is>
          <t>University of Kentucky</t>
        </is>
      </c>
      <c r="B1583" t="inlineStr">
        <is>
          <t>United States</t>
        </is>
      </c>
      <c r="C1583" t="inlineStr">
        <is>
          <t>US</t>
        </is>
      </c>
      <c r="D1583" t="inlineStr">
        <is>
          <t>Americas</t>
        </is>
      </c>
      <c r="E1583" t="inlineStr">
        <is>
          <t>L</t>
        </is>
      </c>
      <c r="F1583" t="inlineStr">
        <is>
          <t>FC</t>
        </is>
      </c>
      <c r="G1583" t="inlineStr">
        <is>
          <t>VH</t>
        </is>
      </c>
      <c r="H1583" t="inlineStr">
        <is>
          <t>5</t>
        </is>
      </c>
      <c r="I1583" t="inlineStr">
        <is>
          <t>Public</t>
        </is>
      </c>
      <c r="J1583" t="inlineStr">
        <is>
          <t>781-790</t>
        </is>
      </c>
      <c r="K1583" t="inlineStr">
        <is>
          <t>791-800</t>
        </is>
      </c>
      <c r="L1583" t="inlineStr">
        <is>
          <t>681-690</t>
        </is>
      </c>
      <c r="M1583" t="inlineStr">
        <is>
          <t>701-750</t>
        </is>
      </c>
      <c r="N1583" t="inlineStr">
        <is>
          <t>-</t>
        </is>
      </c>
      <c r="O1583" t="inlineStr">
        <is>
          <t>-</t>
        </is>
      </c>
      <c r="P1583" t="n">
        <v>15</v>
      </c>
      <c r="Q1583" t="inlineStr">
        <is>
          <t>701+</t>
        </is>
      </c>
      <c r="R1583" t="n">
        <v>15</v>
      </c>
      <c r="S1583" t="inlineStr">
        <is>
          <t>701+</t>
        </is>
      </c>
      <c r="T1583" t="n">
        <v>19.2</v>
      </c>
      <c r="U1583" t="inlineStr">
        <is>
          <t>801+</t>
        </is>
      </c>
      <c r="V1583" t="n">
        <v>32.1</v>
      </c>
      <c r="W1583" t="inlineStr">
        <is>
          <t>561</t>
        </is>
      </c>
      <c r="X1583" t="n">
        <v>18.2</v>
      </c>
      <c r="Y1583" t="inlineStr">
        <is>
          <t>739</t>
        </is>
      </c>
      <c r="Z1583" t="n">
        <v>5.7</v>
      </c>
      <c r="AA1583" t="inlineStr">
        <is>
          <t>801+</t>
        </is>
      </c>
      <c r="AB1583" t="n">
        <v>4.5</v>
      </c>
      <c r="AC1583" t="inlineStr">
        <is>
          <t>801+</t>
        </is>
      </c>
      <c r="AD1583" t="n">
        <v>77.3</v>
      </c>
      <c r="AE1583" t="inlineStr">
        <is>
          <t>401</t>
        </is>
      </c>
      <c r="AF1583" t="n">
        <v>24.4</v>
      </c>
      <c r="AG1583" t="inlineStr">
        <is>
          <t>651</t>
        </is>
      </c>
      <c r="AH1583" t="n">
        <v>59.6</v>
      </c>
      <c r="AI1583" t="inlineStr">
        <is>
          <t>509=</t>
        </is>
      </c>
      <c r="AJ1583" t="inlineStr">
        <is>
          <t>10.9</t>
        </is>
      </c>
      <c r="AK1583" t="inlineStr">
        <is>
          <t>601+</t>
        </is>
      </c>
      <c r="AL1583" t="inlineStr">
        <is>
          <t>11.5</t>
        </is>
      </c>
      <c r="AM1583" t="inlineStr">
        <is>
          <t>601+</t>
        </is>
      </c>
      <c r="AN1583" t="inlineStr">
        <is>
          <t>18.9</t>
        </is>
      </c>
      <c r="AO1583" t="inlineStr">
        <is>
          <t>696</t>
        </is>
      </c>
      <c r="AP1583" t="inlineStr">
        <is>
          <t>26.1</t>
        </is>
      </c>
      <c r="AQ1583" t="inlineStr">
        <is>
          <t>470</t>
        </is>
      </c>
      <c r="AR1583" t="inlineStr">
        <is>
          <t>20.9</t>
        </is>
      </c>
      <c r="AS1583" t="inlineStr">
        <is>
          <t>584</t>
        </is>
      </c>
      <c r="AT1583" t="inlineStr">
        <is>
          <t>3.7</t>
        </is>
      </c>
      <c r="AU1583" t="inlineStr">
        <is>
          <t>701+</t>
        </is>
      </c>
      <c r="AV1583" t="inlineStr">
        <is>
          <t>40.6</t>
        </is>
      </c>
      <c r="AW1583" t="inlineStr">
        <is>
          <t>371</t>
        </is>
      </c>
      <c r="AX1583" t="inlineStr">
        <is>
          <t>13.6</t>
        </is>
      </c>
      <c r="AY1583" t="inlineStr">
        <is>
          <t>634</t>
        </is>
      </c>
      <c r="AZ1583" t="inlineStr">
        <is>
          <t>24.1</t>
        </is>
      </c>
      <c r="BA1583" t="inlineStr">
        <is>
          <t>502=</t>
        </is>
      </c>
    </row>
    <row r="1584">
      <c r="A1584" t="inlineStr">
        <is>
          <t>University of Kerbala</t>
        </is>
      </c>
      <c r="B1584" t="inlineStr">
        <is>
          <t>Iraq</t>
        </is>
      </c>
      <c r="C1584" t="inlineStr"/>
      <c r="D1584" t="inlineStr">
        <is>
          <t>Asia</t>
        </is>
      </c>
      <c r="E1584" t="inlineStr">
        <is>
          <t>L</t>
        </is>
      </c>
      <c r="F1584" t="inlineStr">
        <is>
          <t>FC</t>
        </is>
      </c>
      <c r="G1584" t="inlineStr">
        <is>
          <t>HI</t>
        </is>
      </c>
      <c r="H1584" t="inlineStr"/>
      <c r="I1584" t="inlineStr">
        <is>
          <t>Public</t>
        </is>
      </c>
      <c r="J1584" t="inlineStr">
        <is>
          <t>1201-1400</t>
        </is>
      </c>
      <c r="K1584" t="inlineStr"/>
      <c r="L1584" t="inlineStr"/>
      <c r="M1584" t="inlineStr"/>
      <c r="N1584" t="inlineStr">
        <is>
          <t>-</t>
        </is>
      </c>
      <c r="O1584" t="inlineStr"/>
      <c r="P1584" t="n">
        <v>12.8</v>
      </c>
      <c r="Q1584" t="inlineStr">
        <is>
          <t>701+</t>
        </is>
      </c>
      <c r="R1584" t="n">
        <v>14.8</v>
      </c>
      <c r="S1584" t="inlineStr">
        <is>
          <t>701+</t>
        </is>
      </c>
      <c r="T1584" t="n">
        <v>35.3</v>
      </c>
      <c r="U1584" t="inlineStr">
        <is>
          <t>560</t>
        </is>
      </c>
      <c r="V1584" t="n">
        <v>2</v>
      </c>
      <c r="W1584" t="inlineStr">
        <is>
          <t>801+</t>
        </is>
      </c>
      <c r="X1584" t="n">
        <v>2.1</v>
      </c>
      <c r="Y1584" t="inlineStr">
        <is>
          <t>801+</t>
        </is>
      </c>
      <c r="Z1584" t="n">
        <v>1.9</v>
      </c>
      <c r="AA1584" t="inlineStr">
        <is>
          <t>801+</t>
        </is>
      </c>
      <c r="AB1584" t="n">
        <v>1.7</v>
      </c>
      <c r="AC1584" t="inlineStr">
        <is>
          <t>801+</t>
        </is>
      </c>
      <c r="AD1584" t="n">
        <v>13.9</v>
      </c>
      <c r="AE1584" t="inlineStr">
        <is>
          <t>801+</t>
        </is>
      </c>
      <c r="AF1584" t="n">
        <v>5.6</v>
      </c>
      <c r="AG1584" t="inlineStr">
        <is>
          <t>801+</t>
        </is>
      </c>
      <c r="AH1584" t="n">
        <v>21.3</v>
      </c>
      <c r="AI1584" t="inlineStr">
        <is>
          <t>801+</t>
        </is>
      </c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</row>
    <row r="1585">
      <c r="A1585" t="inlineStr">
        <is>
          <t>University of Khartoum</t>
        </is>
      </c>
      <c r="B1585" t="inlineStr">
        <is>
          <t>Sudan</t>
        </is>
      </c>
      <c r="C1585" t="inlineStr">
        <is>
          <t>SD</t>
        </is>
      </c>
      <c r="D1585" t="inlineStr">
        <is>
          <t>Africa</t>
        </is>
      </c>
      <c r="E1585" t="inlineStr">
        <is>
          <t>L</t>
        </is>
      </c>
      <c r="F1585" t="inlineStr">
        <is>
          <t>FO</t>
        </is>
      </c>
      <c r="G1585" t="inlineStr">
        <is>
          <t>HI</t>
        </is>
      </c>
      <c r="H1585" t="inlineStr">
        <is>
          <t>4</t>
        </is>
      </c>
      <c r="I1585" t="inlineStr">
        <is>
          <t>Public</t>
        </is>
      </c>
      <c r="J1585" t="inlineStr">
        <is>
          <t>1201-1400</t>
        </is>
      </c>
      <c r="K1585" t="inlineStr">
        <is>
          <t>1001-1200</t>
        </is>
      </c>
      <c r="L1585" t="inlineStr">
        <is>
          <t>1201-1400</t>
        </is>
      </c>
      <c r="M1585" t="inlineStr">
        <is>
          <t>1201-1400</t>
        </is>
      </c>
      <c r="N1585" t="inlineStr">
        <is>
          <t>-</t>
        </is>
      </c>
      <c r="O1585" t="inlineStr">
        <is>
          <t>-</t>
        </is>
      </c>
      <c r="P1585" t="n">
        <v>8.9</v>
      </c>
      <c r="Q1585" t="inlineStr">
        <is>
          <t>701+</t>
        </is>
      </c>
      <c r="R1585" t="n">
        <v>6.9</v>
      </c>
      <c r="S1585" t="inlineStr">
        <is>
          <t>701+</t>
        </is>
      </c>
      <c r="T1585" t="n">
        <v>8.199999999999999</v>
      </c>
      <c r="U1585" t="inlineStr">
        <is>
          <t>801+</t>
        </is>
      </c>
      <c r="V1585" t="n">
        <v>5.1</v>
      </c>
      <c r="W1585" t="inlineStr">
        <is>
          <t>801+</t>
        </is>
      </c>
      <c r="X1585" t="inlineStr"/>
      <c r="Y1585" t="inlineStr"/>
      <c r="Z1585" t="n">
        <v>2.1</v>
      </c>
      <c r="AA1585" t="inlineStr">
        <is>
          <t>801+</t>
        </is>
      </c>
      <c r="AB1585" t="n">
        <v>1.8</v>
      </c>
      <c r="AC1585" t="inlineStr">
        <is>
          <t>801+</t>
        </is>
      </c>
      <c r="AD1585" t="n">
        <v>53.5</v>
      </c>
      <c r="AE1585" t="inlineStr">
        <is>
          <t>788</t>
        </is>
      </c>
      <c r="AF1585" t="n">
        <v>84.90000000000001</v>
      </c>
      <c r="AG1585" t="inlineStr">
        <is>
          <t>137</t>
        </is>
      </c>
      <c r="AH1585" t="n">
        <v>23.3</v>
      </c>
      <c r="AI1585" t="inlineStr">
        <is>
          <t>801+</t>
        </is>
      </c>
      <c r="AJ1585" t="inlineStr">
        <is>
          <t>6.2</t>
        </is>
      </c>
      <c r="AK1585" t="inlineStr">
        <is>
          <t>601+</t>
        </is>
      </c>
      <c r="AL1585" t="inlineStr">
        <is>
          <t>4.5</t>
        </is>
      </c>
      <c r="AM1585" t="inlineStr">
        <is>
          <t>601+</t>
        </is>
      </c>
      <c r="AN1585" t="inlineStr">
        <is>
          <t>8.0</t>
        </is>
      </c>
      <c r="AO1585" t="inlineStr">
        <is>
          <t>701+</t>
        </is>
      </c>
      <c r="AP1585" t="inlineStr">
        <is>
          <t>2.5</t>
        </is>
      </c>
      <c r="AQ1585" t="inlineStr">
        <is>
          <t>701+</t>
        </is>
      </c>
      <c r="AR1585" t="inlineStr"/>
      <c r="AS1585" t="inlineStr"/>
      <c r="AT1585" t="inlineStr">
        <is>
          <t>1.4</t>
        </is>
      </c>
      <c r="AU1585" t="inlineStr">
        <is>
          <t>701+</t>
        </is>
      </c>
      <c r="AV1585" t="inlineStr">
        <is>
          <t>3.9</t>
        </is>
      </c>
      <c r="AW1585" t="inlineStr">
        <is>
          <t>701+</t>
        </is>
      </c>
      <c r="AX1585" t="inlineStr">
        <is>
          <t>24.9</t>
        </is>
      </c>
      <c r="AY1585" t="inlineStr">
        <is>
          <t>333</t>
        </is>
      </c>
      <c r="AZ1585" t="inlineStr">
        <is>
          <t>1.1</t>
        </is>
      </c>
      <c r="BA1585" t="inlineStr">
        <is>
          <t>701+</t>
        </is>
      </c>
    </row>
    <row r="1586">
      <c r="A1586" t="inlineStr">
        <is>
          <t>University of Klagenfurt</t>
        </is>
      </c>
      <c r="B1586" t="inlineStr">
        <is>
          <t>Austria</t>
        </is>
      </c>
      <c r="C1586" t="inlineStr">
        <is>
          <t>AT</t>
        </is>
      </c>
      <c r="D1586" t="inlineStr">
        <is>
          <t>Europe</t>
        </is>
      </c>
      <c r="E1586" t="inlineStr">
        <is>
          <t>S</t>
        </is>
      </c>
      <c r="F1586" t="inlineStr">
        <is>
          <t>CO</t>
        </is>
      </c>
      <c r="G1586" t="inlineStr">
        <is>
          <t>VH</t>
        </is>
      </c>
      <c r="H1586" t="inlineStr">
        <is>
          <t>4</t>
        </is>
      </c>
      <c r="I1586" t="inlineStr">
        <is>
          <t>Public</t>
        </is>
      </c>
      <c r="J1586" t="inlineStr">
        <is>
          <t>697</t>
        </is>
      </c>
      <c r="K1586" t="inlineStr">
        <is>
          <t>611-620</t>
        </is>
      </c>
      <c r="L1586">
        <f>580</f>
        <v/>
      </c>
      <c r="M1586" t="inlineStr">
        <is>
          <t>486=</t>
        </is>
      </c>
      <c r="N1586" t="inlineStr">
        <is>
          <t>25.1</t>
        </is>
      </c>
      <c r="O1586" t="inlineStr">
        <is>
          <t>20.4</t>
        </is>
      </c>
      <c r="P1586" t="n">
        <v>7.2</v>
      </c>
      <c r="Q1586" t="inlineStr">
        <is>
          <t>701+</t>
        </is>
      </c>
      <c r="R1586" t="n">
        <v>5.8</v>
      </c>
      <c r="S1586" t="inlineStr">
        <is>
          <t>701+</t>
        </is>
      </c>
      <c r="T1586" t="n">
        <v>57.4</v>
      </c>
      <c r="U1586" t="inlineStr">
        <is>
          <t>318</t>
        </is>
      </c>
      <c r="V1586" t="n">
        <v>16.4</v>
      </c>
      <c r="W1586" t="inlineStr">
        <is>
          <t>777</t>
        </is>
      </c>
      <c r="X1586" t="n">
        <v>98.2</v>
      </c>
      <c r="Y1586" t="inlineStr">
        <is>
          <t>138</t>
        </is>
      </c>
      <c r="Z1586" t="n">
        <v>94.8</v>
      </c>
      <c r="AA1586" t="inlineStr">
        <is>
          <t>127</t>
        </is>
      </c>
      <c r="AB1586" t="n">
        <v>95.2</v>
      </c>
      <c r="AC1586" t="inlineStr">
        <is>
          <t>108</t>
        </is>
      </c>
      <c r="AD1586" t="n">
        <v>43.9</v>
      </c>
      <c r="AE1586" t="inlineStr">
        <is>
          <t>801+</t>
        </is>
      </c>
      <c r="AF1586" t="n">
        <v>13.6</v>
      </c>
      <c r="AG1586" t="inlineStr">
        <is>
          <t>801+</t>
        </is>
      </c>
      <c r="AH1586" t="n">
        <v>36.3</v>
      </c>
      <c r="AI1586" t="inlineStr">
        <is>
          <t>801+</t>
        </is>
      </c>
      <c r="AJ1586" t="inlineStr">
        <is>
          <t>5.5</t>
        </is>
      </c>
      <c r="AK1586" t="inlineStr">
        <is>
          <t>601+</t>
        </is>
      </c>
      <c r="AL1586" t="inlineStr">
        <is>
          <t>4.3</t>
        </is>
      </c>
      <c r="AM1586" t="inlineStr">
        <is>
          <t>601+</t>
        </is>
      </c>
      <c r="AN1586" t="inlineStr">
        <is>
          <t>60.2</t>
        </is>
      </c>
      <c r="AO1586" t="inlineStr">
        <is>
          <t>235</t>
        </is>
      </c>
      <c r="AP1586" t="inlineStr">
        <is>
          <t>11.4</t>
        </is>
      </c>
      <c r="AQ1586" t="inlineStr">
        <is>
          <t>701+</t>
        </is>
      </c>
      <c r="AR1586" t="inlineStr">
        <is>
          <t>95.2</t>
        </is>
      </c>
      <c r="AS1586" t="inlineStr">
        <is>
          <t>148</t>
        </is>
      </c>
      <c r="AT1586" t="inlineStr">
        <is>
          <t>86.6</t>
        </is>
      </c>
      <c r="AU1586" t="inlineStr">
        <is>
          <t>137</t>
        </is>
      </c>
      <c r="AV1586" t="inlineStr">
        <is>
          <t>3.0</t>
        </is>
      </c>
      <c r="AW1586" t="inlineStr">
        <is>
          <t>701+</t>
        </is>
      </c>
      <c r="AX1586" t="inlineStr">
        <is>
          <t>12</t>
        </is>
      </c>
      <c r="AY1586" t="inlineStr">
        <is>
          <t>701+</t>
        </is>
      </c>
      <c r="AZ1586" t="inlineStr">
        <is>
          <t>1.6</t>
        </is>
      </c>
      <c r="BA1586" t="inlineStr">
        <is>
          <t>701+</t>
        </is>
      </c>
    </row>
    <row r="1587">
      <c r="A1587" t="inlineStr">
        <is>
          <t>University of Kragujevac</t>
        </is>
      </c>
      <c r="B1587" t="inlineStr">
        <is>
          <t>Serbia</t>
        </is>
      </c>
      <c r="C1587" t="inlineStr">
        <is>
          <t>RS</t>
        </is>
      </c>
      <c r="D1587" t="inlineStr"/>
      <c r="E1587" t="inlineStr">
        <is>
          <t>L</t>
        </is>
      </c>
      <c r="F1587" t="inlineStr">
        <is>
          <t>FO</t>
        </is>
      </c>
      <c r="G1587" t="inlineStr">
        <is>
          <t>VH</t>
        </is>
      </c>
      <c r="H1587" t="inlineStr">
        <is>
          <t>3</t>
        </is>
      </c>
      <c r="I1587" t="inlineStr">
        <is>
          <t>A</t>
        </is>
      </c>
      <c r="J1587" t="inlineStr"/>
      <c r="K1587" t="inlineStr"/>
      <c r="L1587" t="inlineStr">
        <is>
          <t>1401+</t>
        </is>
      </c>
      <c r="M1587" t="inlineStr">
        <is>
          <t>1201-1400</t>
        </is>
      </c>
      <c r="N1587" t="inlineStr"/>
      <c r="O1587" t="inlineStr">
        <is>
          <t>-</t>
        </is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>
        <is>
          <t>4.0</t>
        </is>
      </c>
      <c r="AK1587" t="inlineStr">
        <is>
          <t>601+</t>
        </is>
      </c>
      <c r="AL1587" t="inlineStr">
        <is>
          <t>2.4</t>
        </is>
      </c>
      <c r="AM1587" t="inlineStr">
        <is>
          <t>601+</t>
        </is>
      </c>
      <c r="AN1587" t="inlineStr">
        <is>
          <t>10.3</t>
        </is>
      </c>
      <c r="AO1587" t="inlineStr">
        <is>
          <t>701+</t>
        </is>
      </c>
      <c r="AP1587" t="inlineStr">
        <is>
          <t>3.6</t>
        </is>
      </c>
      <c r="AQ1587" t="inlineStr">
        <is>
          <t>701+</t>
        </is>
      </c>
      <c r="AR1587" t="inlineStr">
        <is>
          <t>1.0</t>
        </is>
      </c>
      <c r="AS1587" t="inlineStr">
        <is>
          <t>701+</t>
        </is>
      </c>
      <c r="AT1587" t="inlineStr">
        <is>
          <t>1.1</t>
        </is>
      </c>
      <c r="AU1587" t="inlineStr">
        <is>
          <t>701+</t>
        </is>
      </c>
      <c r="AV1587" t="inlineStr">
        <is>
          <t>2.7</t>
        </is>
      </c>
      <c r="AW1587" t="inlineStr">
        <is>
          <t>701+</t>
        </is>
      </c>
      <c r="AX1587" t="inlineStr">
        <is>
          <t>9.2</t>
        </is>
      </c>
      <c r="AY1587" t="inlineStr">
        <is>
          <t>701+</t>
        </is>
      </c>
      <c r="AZ1587" t="inlineStr">
        <is>
          <t>1</t>
        </is>
      </c>
      <c r="BA1587" t="inlineStr">
        <is>
          <t>701+</t>
        </is>
      </c>
    </row>
    <row r="1588">
      <c r="A1588" t="inlineStr">
        <is>
          <t>University of Kufa</t>
        </is>
      </c>
      <c r="B1588" t="inlineStr">
        <is>
          <t>Iraq</t>
        </is>
      </c>
      <c r="C1588" t="inlineStr">
        <is>
          <t>IQ</t>
        </is>
      </c>
      <c r="D1588" t="inlineStr">
        <is>
          <t>Asia</t>
        </is>
      </c>
      <c r="E1588" t="inlineStr">
        <is>
          <t>XL</t>
        </is>
      </c>
      <c r="F1588" t="inlineStr">
        <is>
          <t>FC</t>
        </is>
      </c>
      <c r="G1588" t="inlineStr">
        <is>
          <t>HI</t>
        </is>
      </c>
      <c r="H1588" t="inlineStr">
        <is>
          <t>3</t>
        </is>
      </c>
      <c r="I1588" t="inlineStr">
        <is>
          <t>Public</t>
        </is>
      </c>
      <c r="J1588" t="inlineStr">
        <is>
          <t>1201-1400</t>
        </is>
      </c>
      <c r="K1588" t="inlineStr">
        <is>
          <t>1201-1400</t>
        </is>
      </c>
      <c r="L1588" t="inlineStr">
        <is>
          <t>1201-1400</t>
        </is>
      </c>
      <c r="M1588" t="inlineStr">
        <is>
          <t>1001-1200</t>
        </is>
      </c>
      <c r="N1588" t="inlineStr">
        <is>
          <t>-</t>
        </is>
      </c>
      <c r="O1588" t="inlineStr">
        <is>
          <t>-</t>
        </is>
      </c>
      <c r="P1588" t="n">
        <v>7.4</v>
      </c>
      <c r="Q1588" t="inlineStr">
        <is>
          <t>701+</t>
        </is>
      </c>
      <c r="R1588" t="n">
        <v>33.3</v>
      </c>
      <c r="S1588" t="inlineStr">
        <is>
          <t>433</t>
        </is>
      </c>
      <c r="T1588" t="n">
        <v>31.7</v>
      </c>
      <c r="U1588" t="inlineStr">
        <is>
          <t>607</t>
        </is>
      </c>
      <c r="V1588" t="n">
        <v>2.1</v>
      </c>
      <c r="W1588" t="inlineStr">
        <is>
          <t>801+</t>
        </is>
      </c>
      <c r="X1588" t="inlineStr"/>
      <c r="Y1588" t="inlineStr"/>
      <c r="Z1588" t="n">
        <v>1</v>
      </c>
      <c r="AA1588" t="inlineStr">
        <is>
          <t>801+</t>
        </is>
      </c>
      <c r="AB1588" t="n">
        <v>1</v>
      </c>
      <c r="AC1588" t="inlineStr">
        <is>
          <t>801+</t>
        </is>
      </c>
      <c r="AD1588" t="n">
        <v>26.3</v>
      </c>
      <c r="AE1588" t="inlineStr">
        <is>
          <t>801+</t>
        </is>
      </c>
      <c r="AF1588" t="n">
        <v>5.7</v>
      </c>
      <c r="AG1588" t="inlineStr">
        <is>
          <t>801+</t>
        </is>
      </c>
      <c r="AH1588" t="n">
        <v>15.6</v>
      </c>
      <c r="AI1588" t="inlineStr">
        <is>
          <t>801+</t>
        </is>
      </c>
      <c r="AJ1588" t="inlineStr">
        <is>
          <t>3.3</t>
        </is>
      </c>
      <c r="AK1588" t="inlineStr">
        <is>
          <t>601+</t>
        </is>
      </c>
      <c r="AL1588" t="inlineStr">
        <is>
          <t>8.5</t>
        </is>
      </c>
      <c r="AM1588" t="inlineStr">
        <is>
          <t>601+</t>
        </is>
      </c>
      <c r="AN1588" t="inlineStr">
        <is>
          <t>30.6</t>
        </is>
      </c>
      <c r="AO1588" t="inlineStr">
        <is>
          <t>511</t>
        </is>
      </c>
      <c r="AP1588" t="inlineStr">
        <is>
          <t>1.4</t>
        </is>
      </c>
      <c r="AQ1588" t="inlineStr">
        <is>
          <t>701+</t>
        </is>
      </c>
      <c r="AR1588" t="inlineStr">
        <is>
          <t>4.7</t>
        </is>
      </c>
      <c r="AS1588" t="inlineStr">
        <is>
          <t>701+</t>
        </is>
      </c>
      <c r="AT1588" t="inlineStr">
        <is>
          <t>1.1</t>
        </is>
      </c>
      <c r="AU1588" t="inlineStr">
        <is>
          <t>701+</t>
        </is>
      </c>
      <c r="AV1588" t="inlineStr">
        <is>
          <t>1.0</t>
        </is>
      </c>
      <c r="AW1588" t="inlineStr">
        <is>
          <t>701+</t>
        </is>
      </c>
      <c r="AX1588" t="inlineStr">
        <is>
          <t>8.8</t>
        </is>
      </c>
      <c r="AY1588" t="inlineStr">
        <is>
          <t>701+</t>
        </is>
      </c>
      <c r="AZ1588" t="inlineStr">
        <is>
          <t>1</t>
        </is>
      </c>
      <c r="BA1588" t="inlineStr">
        <is>
          <t>701+</t>
        </is>
      </c>
    </row>
    <row r="1589">
      <c r="A1589" t="inlineStr">
        <is>
          <t>University of Kwazulu-Natal</t>
        </is>
      </c>
      <c r="B1589" t="inlineStr">
        <is>
          <t>South Africa</t>
        </is>
      </c>
      <c r="C1589" t="inlineStr">
        <is>
          <t>ZA</t>
        </is>
      </c>
      <c r="D1589" t="inlineStr">
        <is>
          <t>Africa</t>
        </is>
      </c>
      <c r="E1589" t="inlineStr">
        <is>
          <t>XL</t>
        </is>
      </c>
      <c r="F1589" t="inlineStr">
        <is>
          <t>FC</t>
        </is>
      </c>
      <c r="G1589" t="inlineStr">
        <is>
          <t>VH</t>
        </is>
      </c>
      <c r="H1589" t="inlineStr">
        <is>
          <t>4</t>
        </is>
      </c>
      <c r="I1589" t="inlineStr">
        <is>
          <t>Public</t>
        </is>
      </c>
      <c r="J1589" t="inlineStr">
        <is>
          <t>558</t>
        </is>
      </c>
      <c r="K1589" t="inlineStr">
        <is>
          <t>587</t>
        </is>
      </c>
      <c r="L1589" t="inlineStr">
        <is>
          <t>621-630</t>
        </is>
      </c>
      <c r="M1589" t="inlineStr">
        <is>
          <t>801-1000</t>
        </is>
      </c>
      <c r="N1589" t="inlineStr">
        <is>
          <t>29.5</t>
        </is>
      </c>
      <c r="O1589" t="inlineStr">
        <is>
          <t>-</t>
        </is>
      </c>
      <c r="P1589" t="n">
        <v>17.9</v>
      </c>
      <c r="Q1589" t="inlineStr">
        <is>
          <t>682</t>
        </is>
      </c>
      <c r="R1589" t="n">
        <v>14.4</v>
      </c>
      <c r="S1589" t="inlineStr">
        <is>
          <t>701+</t>
        </is>
      </c>
      <c r="T1589" t="n">
        <v>6.9</v>
      </c>
      <c r="U1589" t="inlineStr">
        <is>
          <t>801+</t>
        </is>
      </c>
      <c r="V1589" t="n">
        <v>44.5</v>
      </c>
      <c r="W1589" t="inlineStr">
        <is>
          <t>420</t>
        </is>
      </c>
      <c r="X1589" t="n">
        <v>29.1</v>
      </c>
      <c r="Y1589" t="inlineStr">
        <is>
          <t>591</t>
        </is>
      </c>
      <c r="Z1589" t="n">
        <v>2.1</v>
      </c>
      <c r="AA1589" t="inlineStr">
        <is>
          <t>801+</t>
        </is>
      </c>
      <c r="AB1589" t="n">
        <v>6.7</v>
      </c>
      <c r="AC1589" t="inlineStr">
        <is>
          <t>801+</t>
        </is>
      </c>
      <c r="AD1589" t="n">
        <v>95.90000000000001</v>
      </c>
      <c r="AE1589" t="inlineStr">
        <is>
          <t>62</t>
        </is>
      </c>
      <c r="AF1589" t="n">
        <v>79.40000000000001</v>
      </c>
      <c r="AG1589" t="inlineStr">
        <is>
          <t>163</t>
        </is>
      </c>
      <c r="AH1589" t="n">
        <v>63</v>
      </c>
      <c r="AI1589" t="inlineStr">
        <is>
          <t>441=</t>
        </is>
      </c>
      <c r="AJ1589" t="inlineStr">
        <is>
          <t>12.9</t>
        </is>
      </c>
      <c r="AK1589" t="inlineStr">
        <is>
          <t>601+</t>
        </is>
      </c>
      <c r="AL1589" t="inlineStr">
        <is>
          <t>11.8</t>
        </is>
      </c>
      <c r="AM1589" t="inlineStr">
        <is>
          <t>601+</t>
        </is>
      </c>
      <c r="AN1589" t="inlineStr">
        <is>
          <t>6.5</t>
        </is>
      </c>
      <c r="AO1589" t="inlineStr">
        <is>
          <t>701+</t>
        </is>
      </c>
      <c r="AP1589" t="inlineStr">
        <is>
          <t>22.8</t>
        </is>
      </c>
      <c r="AQ1589" t="inlineStr">
        <is>
          <t>516</t>
        </is>
      </c>
      <c r="AR1589" t="inlineStr">
        <is>
          <t>25.1</t>
        </is>
      </c>
      <c r="AS1589" t="inlineStr">
        <is>
          <t>534</t>
        </is>
      </c>
      <c r="AT1589" t="inlineStr">
        <is>
          <t>1.9</t>
        </is>
      </c>
      <c r="AU1589" t="inlineStr">
        <is>
          <t>701+</t>
        </is>
      </c>
      <c r="AV1589" t="inlineStr">
        <is>
          <t>78.1</t>
        </is>
      </c>
      <c r="AW1589" t="inlineStr">
        <is>
          <t>157</t>
        </is>
      </c>
      <c r="AX1589" t="inlineStr">
        <is>
          <t>28</t>
        </is>
      </c>
      <c r="AY1589" t="inlineStr">
        <is>
          <t>287</t>
        </is>
      </c>
      <c r="AZ1589" t="inlineStr">
        <is>
          <t>37.8</t>
        </is>
      </c>
      <c r="BA1589" t="inlineStr">
        <is>
          <t>379=</t>
        </is>
      </c>
    </row>
    <row r="1590">
      <c r="A1590" t="inlineStr">
        <is>
          <t>University of Lagos</t>
        </is>
      </c>
      <c r="B1590" t="inlineStr">
        <is>
          <t>Nigeria</t>
        </is>
      </c>
      <c r="C1590" t="inlineStr">
        <is>
          <t>NG</t>
        </is>
      </c>
      <c r="D1590" t="inlineStr">
        <is>
          <t>Africa</t>
        </is>
      </c>
      <c r="E1590" t="inlineStr">
        <is>
          <t>XL</t>
        </is>
      </c>
      <c r="F1590" t="inlineStr">
        <is>
          <t>CO</t>
        </is>
      </c>
      <c r="G1590" t="inlineStr">
        <is>
          <t>HI</t>
        </is>
      </c>
      <c r="H1590" t="inlineStr"/>
      <c r="I1590" t="inlineStr"/>
      <c r="J1590" t="inlineStr">
        <is>
          <t>1001-1200</t>
        </is>
      </c>
      <c r="K1590" t="inlineStr">
        <is>
          <t>1001-1200</t>
        </is>
      </c>
      <c r="L1590" t="inlineStr">
        <is>
          <t>1401+</t>
        </is>
      </c>
      <c r="M1590" t="inlineStr"/>
      <c r="N1590" t="inlineStr">
        <is>
          <t>-</t>
        </is>
      </c>
      <c r="O1590" t="inlineStr">
        <is>
          <t>-</t>
        </is>
      </c>
      <c r="P1590" t="n">
        <v>9.4</v>
      </c>
      <c r="Q1590" t="inlineStr">
        <is>
          <t>701+</t>
        </is>
      </c>
      <c r="R1590" t="n">
        <v>16.5</v>
      </c>
      <c r="S1590" t="inlineStr">
        <is>
          <t>701+</t>
        </is>
      </c>
      <c r="T1590" t="n">
        <v>2.5</v>
      </c>
      <c r="U1590" t="inlineStr">
        <is>
          <t>801+</t>
        </is>
      </c>
      <c r="V1590" t="n">
        <v>5.2</v>
      </c>
      <c r="W1590" t="inlineStr">
        <is>
          <t>801+</t>
        </is>
      </c>
      <c r="X1590" t="inlineStr"/>
      <c r="Y1590" t="inlineStr"/>
      <c r="Z1590" t="inlineStr"/>
      <c r="AA1590" t="inlineStr"/>
      <c r="AB1590" t="inlineStr"/>
      <c r="AC1590" t="inlineStr"/>
      <c r="AD1590" t="n">
        <v>45.9</v>
      </c>
      <c r="AE1590" t="inlineStr">
        <is>
          <t>801+</t>
        </is>
      </c>
      <c r="AF1590" t="n">
        <v>90.40000000000001</v>
      </c>
      <c r="AG1590" t="inlineStr">
        <is>
          <t>103</t>
        </is>
      </c>
      <c r="AH1590" t="n">
        <v>36.6</v>
      </c>
      <c r="AI1590" t="inlineStr">
        <is>
          <t>801+</t>
        </is>
      </c>
      <c r="AJ1590" t="inlineStr">
        <is>
          <t>7.4</t>
        </is>
      </c>
      <c r="AK1590" t="inlineStr">
        <is>
          <t>601+</t>
        </is>
      </c>
      <c r="AL1590" t="inlineStr">
        <is>
          <t>5.6</t>
        </is>
      </c>
      <c r="AM1590" t="inlineStr">
        <is>
          <t>601+</t>
        </is>
      </c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>
        <is>
          <t>1.5</t>
        </is>
      </c>
      <c r="AW1590" t="inlineStr">
        <is>
          <t>701+</t>
        </is>
      </c>
      <c r="AX1590" t="inlineStr"/>
      <c r="AY1590" t="inlineStr"/>
      <c r="AZ1590" t="inlineStr"/>
      <c r="BA1590" t="inlineStr"/>
    </row>
    <row r="1591">
      <c r="A1591" t="inlineStr">
        <is>
          <t>University of Lahore</t>
        </is>
      </c>
      <c r="B1591" t="inlineStr">
        <is>
          <t>Pakistan</t>
        </is>
      </c>
      <c r="C1591" t="inlineStr"/>
      <c r="D1591" t="inlineStr">
        <is>
          <t>Asia</t>
        </is>
      </c>
      <c r="E1591" t="inlineStr">
        <is>
          <t>L</t>
        </is>
      </c>
      <c r="F1591" t="inlineStr">
        <is>
          <t>CO</t>
        </is>
      </c>
      <c r="G1591" t="inlineStr">
        <is>
          <t>VH</t>
        </is>
      </c>
      <c r="H1591" t="inlineStr"/>
      <c r="I1591" t="inlineStr">
        <is>
          <t>Private not for Profit</t>
        </is>
      </c>
      <c r="J1591" t="inlineStr">
        <is>
          <t>951-1000</t>
        </is>
      </c>
      <c r="K1591" t="inlineStr">
        <is>
          <t>951-1000</t>
        </is>
      </c>
      <c r="L1591" t="inlineStr"/>
      <c r="M1591" t="inlineStr"/>
      <c r="N1591" t="inlineStr">
        <is>
          <t>-</t>
        </is>
      </c>
      <c r="O1591" t="inlineStr"/>
      <c r="P1591" t="n">
        <v>17.8</v>
      </c>
      <c r="Q1591" t="inlineStr">
        <is>
          <t>685</t>
        </is>
      </c>
      <c r="R1591" t="n">
        <v>23.4</v>
      </c>
      <c r="S1591" t="inlineStr">
        <is>
          <t>574</t>
        </is>
      </c>
      <c r="T1591" t="n">
        <v>14.3</v>
      </c>
      <c r="U1591" t="inlineStr">
        <is>
          <t>801+</t>
        </is>
      </c>
      <c r="V1591" t="n">
        <v>8.5</v>
      </c>
      <c r="W1591" t="inlineStr">
        <is>
          <t>801+</t>
        </is>
      </c>
      <c r="X1591" t="n">
        <v>8</v>
      </c>
      <c r="Y1591" t="inlineStr">
        <is>
          <t>801+</t>
        </is>
      </c>
      <c r="Z1591" t="n">
        <v>6</v>
      </c>
      <c r="AA1591" t="inlineStr">
        <is>
          <t>801+</t>
        </is>
      </c>
      <c r="AB1591" t="n">
        <v>9.699999999999999</v>
      </c>
      <c r="AC1591" t="inlineStr">
        <is>
          <t>801+</t>
        </is>
      </c>
      <c r="AD1591" t="n">
        <v>76.40000000000001</v>
      </c>
      <c r="AE1591" t="inlineStr">
        <is>
          <t>415</t>
        </is>
      </c>
      <c r="AF1591" t="n">
        <v>3.4</v>
      </c>
      <c r="AG1591" t="inlineStr">
        <is>
          <t>801+</t>
        </is>
      </c>
      <c r="AH1591" t="n">
        <v>62.2</v>
      </c>
      <c r="AI1591" t="inlineStr">
        <is>
          <t>454=</t>
        </is>
      </c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</row>
    <row r="1592">
      <c r="A1592" t="inlineStr">
        <is>
          <t>University of Lampung</t>
        </is>
      </c>
      <c r="B1592" t="inlineStr">
        <is>
          <t>Indonesia</t>
        </is>
      </c>
      <c r="C1592" t="inlineStr">
        <is>
          <t>ID</t>
        </is>
      </c>
      <c r="D1592" t="inlineStr"/>
      <c r="E1592" t="inlineStr">
        <is>
          <t>L</t>
        </is>
      </c>
      <c r="F1592" t="inlineStr">
        <is>
          <t>FC</t>
        </is>
      </c>
      <c r="G1592" t="inlineStr">
        <is>
          <t>MD</t>
        </is>
      </c>
      <c r="H1592" t="inlineStr">
        <is>
          <t>4</t>
        </is>
      </c>
      <c r="I1592" t="inlineStr"/>
      <c r="J1592" t="inlineStr"/>
      <c r="K1592" t="inlineStr"/>
      <c r="L1592" t="inlineStr">
        <is>
          <t>1401+</t>
        </is>
      </c>
      <c r="M1592" t="inlineStr"/>
      <c r="N1592" t="inlineStr"/>
      <c r="O1592" t="inlineStr">
        <is>
          <t>-</t>
        </is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>
        <is>
          <t>3.4</t>
        </is>
      </c>
      <c r="AK1592" t="inlineStr">
        <is>
          <t>601+</t>
        </is>
      </c>
      <c r="AL1592" t="inlineStr">
        <is>
          <t>1.8</t>
        </is>
      </c>
      <c r="AM1592" t="inlineStr">
        <is>
          <t>601+</t>
        </is>
      </c>
      <c r="AN1592" t="inlineStr">
        <is>
          <t>4.7</t>
        </is>
      </c>
      <c r="AO1592" t="inlineStr">
        <is>
          <t>701+</t>
        </is>
      </c>
      <c r="AP1592" t="inlineStr">
        <is>
          <t>1.3</t>
        </is>
      </c>
      <c r="AQ1592" t="inlineStr">
        <is>
          <t>701+</t>
        </is>
      </c>
      <c r="AR1592" t="inlineStr">
        <is>
          <t>1.0</t>
        </is>
      </c>
      <c r="AS1592" t="inlineStr">
        <is>
          <t>701+</t>
        </is>
      </c>
      <c r="AT1592" t="inlineStr">
        <is>
          <t>1.0</t>
        </is>
      </c>
      <c r="AU1592" t="inlineStr">
        <is>
          <t>701+</t>
        </is>
      </c>
      <c r="AV1592" t="inlineStr">
        <is>
          <t>1.0</t>
        </is>
      </c>
      <c r="AW1592" t="inlineStr">
        <is>
          <t>701+</t>
        </is>
      </c>
      <c r="AX1592" t="inlineStr">
        <is>
          <t>5.8</t>
        </is>
      </c>
      <c r="AY1592" t="inlineStr">
        <is>
          <t>701+</t>
        </is>
      </c>
      <c r="AZ1592" t="inlineStr"/>
      <c r="BA1592" t="inlineStr"/>
    </row>
    <row r="1593">
      <c r="A1593" t="inlineStr">
        <is>
          <t>University of Latvia</t>
        </is>
      </c>
      <c r="B1593" t="inlineStr">
        <is>
          <t>Latvia</t>
        </is>
      </c>
      <c r="C1593" t="inlineStr">
        <is>
          <t>LV</t>
        </is>
      </c>
      <c r="D1593" t="inlineStr">
        <is>
          <t>Europe</t>
        </is>
      </c>
      <c r="E1593" t="inlineStr">
        <is>
          <t>M</t>
        </is>
      </c>
      <c r="F1593" t="inlineStr">
        <is>
          <t>FC</t>
        </is>
      </c>
      <c r="G1593" t="inlineStr">
        <is>
          <t>VH</t>
        </is>
      </c>
      <c r="H1593" t="inlineStr">
        <is>
          <t>5</t>
        </is>
      </c>
      <c r="I1593" t="inlineStr">
        <is>
          <t>Public</t>
        </is>
      </c>
      <c r="J1593" t="inlineStr">
        <is>
          <t>801-850</t>
        </is>
      </c>
      <c r="K1593" t="inlineStr">
        <is>
          <t>781-790</t>
        </is>
      </c>
      <c r="L1593" t="inlineStr">
        <is>
          <t>801-850</t>
        </is>
      </c>
      <c r="M1593" t="inlineStr">
        <is>
          <t>1001-1200</t>
        </is>
      </c>
      <c r="N1593" t="inlineStr">
        <is>
          <t>-</t>
        </is>
      </c>
      <c r="O1593" t="inlineStr">
        <is>
          <t>-</t>
        </is>
      </c>
      <c r="P1593" t="n">
        <v>14.5</v>
      </c>
      <c r="Q1593" t="inlineStr">
        <is>
          <t>701+</t>
        </is>
      </c>
      <c r="R1593" t="n">
        <v>22.8</v>
      </c>
      <c r="S1593" t="inlineStr">
        <is>
          <t>581</t>
        </is>
      </c>
      <c r="T1593" t="n">
        <v>10</v>
      </c>
      <c r="U1593" t="inlineStr">
        <is>
          <t>801+</t>
        </is>
      </c>
      <c r="V1593" t="n">
        <v>10.4</v>
      </c>
      <c r="W1593" t="inlineStr">
        <is>
          <t>801+</t>
        </is>
      </c>
      <c r="X1593" t="n">
        <v>16.1</v>
      </c>
      <c r="Y1593" t="inlineStr">
        <is>
          <t>775</t>
        </is>
      </c>
      <c r="Z1593" t="n">
        <v>10</v>
      </c>
      <c r="AA1593" t="inlineStr">
        <is>
          <t>801+</t>
        </is>
      </c>
      <c r="AB1593" t="n">
        <v>15.8</v>
      </c>
      <c r="AC1593" t="inlineStr">
        <is>
          <t>801+</t>
        </is>
      </c>
      <c r="AD1593" t="n">
        <v>66.59999999999999</v>
      </c>
      <c r="AE1593" t="inlineStr">
        <is>
          <t>595</t>
        </is>
      </c>
      <c r="AF1593" t="n">
        <v>92</v>
      </c>
      <c r="AG1593" t="inlineStr">
        <is>
          <t>89</t>
        </is>
      </c>
      <c r="AH1593" t="n">
        <v>56</v>
      </c>
      <c r="AI1593" t="inlineStr">
        <is>
          <t>579=</t>
        </is>
      </c>
      <c r="AJ1593" t="inlineStr">
        <is>
          <t>12.5</t>
        </is>
      </c>
      <c r="AK1593" t="inlineStr">
        <is>
          <t>601+</t>
        </is>
      </c>
      <c r="AL1593" t="inlineStr">
        <is>
          <t>17.8</t>
        </is>
      </c>
      <c r="AM1593" t="inlineStr">
        <is>
          <t>495</t>
        </is>
      </c>
      <c r="AN1593" t="inlineStr">
        <is>
          <t>5.1</t>
        </is>
      </c>
      <c r="AO1593" t="inlineStr">
        <is>
          <t>701+</t>
        </is>
      </c>
      <c r="AP1593" t="inlineStr">
        <is>
          <t>6.1</t>
        </is>
      </c>
      <c r="AQ1593" t="inlineStr">
        <is>
          <t>701+</t>
        </is>
      </c>
      <c r="AR1593" t="inlineStr">
        <is>
          <t>12.5</t>
        </is>
      </c>
      <c r="AS1593" t="inlineStr">
        <is>
          <t>701+</t>
        </is>
      </c>
      <c r="AT1593" t="inlineStr">
        <is>
          <t>5.3</t>
        </is>
      </c>
      <c r="AU1593" t="inlineStr">
        <is>
          <t>701+</t>
        </is>
      </c>
      <c r="AV1593" t="inlineStr">
        <is>
          <t>21.5</t>
        </is>
      </c>
      <c r="AW1593" t="inlineStr">
        <is>
          <t>531</t>
        </is>
      </c>
      <c r="AX1593" t="inlineStr">
        <is>
          <t>59.8</t>
        </is>
      </c>
      <c r="AY1593" t="inlineStr">
        <is>
          <t>102</t>
        </is>
      </c>
      <c r="AZ1593" t="inlineStr">
        <is>
          <t>13.7</t>
        </is>
      </c>
      <c r="BA1593" t="inlineStr">
        <is>
          <t>627=</t>
        </is>
      </c>
    </row>
    <row r="1594">
      <c r="A1594" t="inlineStr">
        <is>
          <t>University of Lausanne</t>
        </is>
      </c>
      <c r="B1594" t="inlineStr">
        <is>
          <t>Switzerland</t>
        </is>
      </c>
      <c r="C1594" t="inlineStr">
        <is>
          <t>CH</t>
        </is>
      </c>
      <c r="D1594" t="inlineStr">
        <is>
          <t>Europe</t>
        </is>
      </c>
      <c r="E1594" t="inlineStr">
        <is>
          <t>L</t>
        </is>
      </c>
      <c r="F1594" t="inlineStr">
        <is>
          <t>FO</t>
        </is>
      </c>
      <c r="G1594" t="inlineStr">
        <is>
          <t>VH</t>
        </is>
      </c>
      <c r="H1594" t="inlineStr">
        <is>
          <t>5</t>
        </is>
      </c>
      <c r="I1594" t="inlineStr">
        <is>
          <t>Public</t>
        </is>
      </c>
      <c r="J1594" t="inlineStr">
        <is>
          <t>212</t>
        </is>
      </c>
      <c r="K1594" t="inlineStr">
        <is>
          <t>224</t>
        </is>
      </c>
      <c r="L1594">
        <f>220</f>
        <v/>
      </c>
      <c r="M1594" t="inlineStr">
        <is>
          <t>203=</t>
        </is>
      </c>
      <c r="N1594" t="inlineStr">
        <is>
          <t>54.6</t>
        </is>
      </c>
      <c r="O1594" t="inlineStr">
        <is>
          <t>42.7</t>
        </is>
      </c>
      <c r="P1594" t="n">
        <v>37</v>
      </c>
      <c r="Q1594" t="inlineStr">
        <is>
          <t>322</t>
        </is>
      </c>
      <c r="R1594" t="n">
        <v>40.2</v>
      </c>
      <c r="S1594" t="inlineStr">
        <is>
          <t>340</t>
        </is>
      </c>
      <c r="T1594" t="n">
        <v>49</v>
      </c>
      <c r="U1594" t="inlineStr">
        <is>
          <t>393</t>
        </is>
      </c>
      <c r="V1594" t="n">
        <v>69</v>
      </c>
      <c r="W1594" t="inlineStr">
        <is>
          <t>223</t>
        </is>
      </c>
      <c r="X1594" t="n">
        <v>100</v>
      </c>
      <c r="Y1594" t="inlineStr">
        <is>
          <t>97</t>
        </is>
      </c>
      <c r="Z1594" t="n">
        <v>67</v>
      </c>
      <c r="AA1594" t="inlineStr">
        <is>
          <t>296</t>
        </is>
      </c>
      <c r="AB1594" t="n">
        <v>49.9</v>
      </c>
      <c r="AC1594" t="inlineStr">
        <is>
          <t>415</t>
        </is>
      </c>
      <c r="AD1594" t="n">
        <v>83.5</v>
      </c>
      <c r="AE1594" t="inlineStr">
        <is>
          <t>286</t>
        </is>
      </c>
      <c r="AF1594" t="n">
        <v>61.1</v>
      </c>
      <c r="AG1594" t="inlineStr">
        <is>
          <t>264</t>
        </is>
      </c>
      <c r="AH1594" t="n">
        <v>70.3</v>
      </c>
      <c r="AI1594" t="inlineStr">
        <is>
          <t>313=</t>
        </is>
      </c>
      <c r="AJ1594" t="inlineStr">
        <is>
          <t>29.4</t>
        </is>
      </c>
      <c r="AK1594" t="inlineStr">
        <is>
          <t>294</t>
        </is>
      </c>
      <c r="AL1594" t="inlineStr">
        <is>
          <t>15.1</t>
        </is>
      </c>
      <c r="AM1594" t="inlineStr">
        <is>
          <t>545</t>
        </is>
      </c>
      <c r="AN1594" t="inlineStr">
        <is>
          <t>36.6</t>
        </is>
      </c>
      <c r="AO1594" t="inlineStr">
        <is>
          <t>434</t>
        </is>
      </c>
      <c r="AP1594" t="inlineStr">
        <is>
          <t>65.1</t>
        </is>
      </c>
      <c r="AQ1594" t="inlineStr">
        <is>
          <t>173</t>
        </is>
      </c>
      <c r="AR1594" t="inlineStr">
        <is>
          <t>99.9</t>
        </is>
      </c>
      <c r="AS1594" t="inlineStr">
        <is>
          <t>77</t>
        </is>
      </c>
      <c r="AT1594" t="inlineStr">
        <is>
          <t>56.6</t>
        </is>
      </c>
      <c r="AU1594" t="inlineStr">
        <is>
          <t>263</t>
        </is>
      </c>
      <c r="AV1594" t="inlineStr">
        <is>
          <t>48.0</t>
        </is>
      </c>
      <c r="AW1594" t="inlineStr">
        <is>
          <t>327</t>
        </is>
      </c>
      <c r="AX1594" t="inlineStr">
        <is>
          <t>27.9</t>
        </is>
      </c>
      <c r="AY1594" t="inlineStr">
        <is>
          <t>290</t>
        </is>
      </c>
      <c r="AZ1594" t="inlineStr">
        <is>
          <t>61.6</t>
        </is>
      </c>
      <c r="BA1594" t="inlineStr">
        <is>
          <t>245</t>
        </is>
      </c>
    </row>
    <row r="1595">
      <c r="A1595" t="inlineStr">
        <is>
          <t>University of Leeds</t>
        </is>
      </c>
      <c r="B1595" t="inlineStr">
        <is>
          <t>United Kingdom</t>
        </is>
      </c>
      <c r="C1595" t="inlineStr">
        <is>
          <t>UK</t>
        </is>
      </c>
      <c r="D1595" t="inlineStr">
        <is>
          <t>Europe</t>
        </is>
      </c>
      <c r="E1595" t="inlineStr">
        <is>
          <t>XL</t>
        </is>
      </c>
      <c r="F1595" t="inlineStr">
        <is>
          <t>FC</t>
        </is>
      </c>
      <c r="G1595" t="inlineStr">
        <is>
          <t>VH</t>
        </is>
      </c>
      <c r="H1595" t="inlineStr">
        <is>
          <t>5</t>
        </is>
      </c>
      <c r="I1595" t="inlineStr">
        <is>
          <t>Public</t>
        </is>
      </c>
      <c r="J1595" t="inlineStr">
        <is>
          <t>86</t>
        </is>
      </c>
      <c r="K1595" t="inlineStr">
        <is>
          <t>82</t>
        </is>
      </c>
      <c r="L1595" t="inlineStr">
        <is>
          <t>75</t>
        </is>
      </c>
      <c r="M1595" t="inlineStr">
        <is>
          <t>86</t>
        </is>
      </c>
      <c r="N1595" t="inlineStr">
        <is>
          <t>72</t>
        </is>
      </c>
      <c r="O1595" t="inlineStr">
        <is>
          <t>65.5</t>
        </is>
      </c>
      <c r="P1595" t="n">
        <v>81.8</v>
      </c>
      <c r="Q1595" t="inlineStr">
        <is>
          <t>90</t>
        </is>
      </c>
      <c r="R1595" t="n">
        <v>82.09999999999999</v>
      </c>
      <c r="S1595" t="inlineStr">
        <is>
          <t>98</t>
        </is>
      </c>
      <c r="T1595" t="n">
        <v>39.7</v>
      </c>
      <c r="U1595" t="inlineStr">
        <is>
          <t>512</t>
        </is>
      </c>
      <c r="V1595" t="n">
        <v>48.8</v>
      </c>
      <c r="W1595" t="inlineStr">
        <is>
          <t>380</t>
        </is>
      </c>
      <c r="X1595" t="n">
        <v>89.7</v>
      </c>
      <c r="Y1595" t="inlineStr">
        <is>
          <t>224</t>
        </is>
      </c>
      <c r="Z1595" t="n">
        <v>96.3</v>
      </c>
      <c r="AA1595" t="inlineStr">
        <is>
          <t>108</t>
        </is>
      </c>
      <c r="AB1595" t="n">
        <v>96.5</v>
      </c>
      <c r="AC1595" t="inlineStr">
        <is>
          <t>93</t>
        </is>
      </c>
      <c r="AD1595" t="n">
        <v>99.2</v>
      </c>
      <c r="AE1595" t="inlineStr">
        <is>
          <t>13</t>
        </is>
      </c>
      <c r="AF1595" t="n">
        <v>62.9</v>
      </c>
      <c r="AG1595" t="inlineStr">
        <is>
          <t>250</t>
        </is>
      </c>
      <c r="AH1595" t="n">
        <v>76.40000000000001</v>
      </c>
      <c r="AI1595" t="inlineStr">
        <is>
          <t>219=</t>
        </is>
      </c>
      <c r="AJ1595" t="inlineStr">
        <is>
          <t>70.3</t>
        </is>
      </c>
      <c r="AK1595" t="inlineStr">
        <is>
          <t>89</t>
        </is>
      </c>
      <c r="AL1595" t="inlineStr">
        <is>
          <t>76.7</t>
        </is>
      </c>
      <c r="AM1595" t="inlineStr">
        <is>
          <t>77</t>
        </is>
      </c>
      <c r="AN1595" t="inlineStr">
        <is>
          <t>37.3</t>
        </is>
      </c>
      <c r="AO1595" t="inlineStr">
        <is>
          <t>421</t>
        </is>
      </c>
      <c r="AP1595" t="inlineStr">
        <is>
          <t>42.3</t>
        </is>
      </c>
      <c r="AQ1595" t="inlineStr">
        <is>
          <t>320</t>
        </is>
      </c>
      <c r="AR1595" t="inlineStr">
        <is>
          <t>85.2</t>
        </is>
      </c>
      <c r="AS1595" t="inlineStr">
        <is>
          <t>208</t>
        </is>
      </c>
      <c r="AT1595" t="inlineStr">
        <is>
          <t>90.0</t>
        </is>
      </c>
      <c r="AU1595" t="inlineStr">
        <is>
          <t>118</t>
        </is>
      </c>
      <c r="AV1595" t="inlineStr">
        <is>
          <t>98.7</t>
        </is>
      </c>
      <c r="AW1595" t="inlineStr">
        <is>
          <t>16</t>
        </is>
      </c>
      <c r="AX1595" t="inlineStr">
        <is>
          <t>37.8</t>
        </is>
      </c>
      <c r="AY1595" t="inlineStr">
        <is>
          <t>193</t>
        </is>
      </c>
      <c r="AZ1595" t="inlineStr">
        <is>
          <t>90.9</t>
        </is>
      </c>
      <c r="BA1595" t="inlineStr">
        <is>
          <t>88</t>
        </is>
      </c>
    </row>
    <row r="1596">
      <c r="A1596" t="inlineStr">
        <is>
          <t>University of Leicester</t>
        </is>
      </c>
      <c r="B1596" t="inlineStr">
        <is>
          <t>United Kingdom</t>
        </is>
      </c>
      <c r="C1596" t="inlineStr">
        <is>
          <t>UK</t>
        </is>
      </c>
      <c r="D1596" t="inlineStr">
        <is>
          <t>Europe</t>
        </is>
      </c>
      <c r="E1596" t="inlineStr">
        <is>
          <t>L</t>
        </is>
      </c>
      <c r="F1596" t="inlineStr">
        <is>
          <t>FC</t>
        </is>
      </c>
      <c r="G1596" t="inlineStr">
        <is>
          <t>VH</t>
        </is>
      </c>
      <c r="H1596" t="inlineStr">
        <is>
          <t>5</t>
        </is>
      </c>
      <c r="I1596" t="inlineStr">
        <is>
          <t>Public</t>
        </is>
      </c>
      <c r="J1596" t="inlineStr">
        <is>
          <t>326</t>
        </is>
      </c>
      <c r="K1596" t="inlineStr">
        <is>
          <t>285</t>
        </is>
      </c>
      <c r="L1596">
        <f>272</f>
        <v/>
      </c>
      <c r="M1596" t="inlineStr">
        <is>
          <t>279</t>
        </is>
      </c>
      <c r="N1596" t="inlineStr">
        <is>
          <t>42.9</t>
        </is>
      </c>
      <c r="O1596" t="inlineStr">
        <is>
          <t>37.3</t>
        </is>
      </c>
      <c r="P1596" t="n">
        <v>29.6</v>
      </c>
      <c r="Q1596" t="inlineStr">
        <is>
          <t>418</t>
        </is>
      </c>
      <c r="R1596" t="n">
        <v>17.7</v>
      </c>
      <c r="S1596" t="inlineStr">
        <is>
          <t>701+</t>
        </is>
      </c>
      <c r="T1596" t="n">
        <v>40.1</v>
      </c>
      <c r="U1596" t="inlineStr">
        <is>
          <t>502</t>
        </is>
      </c>
      <c r="V1596" t="n">
        <v>44.2</v>
      </c>
      <c r="W1596" t="inlineStr">
        <is>
          <t>426</t>
        </is>
      </c>
      <c r="X1596" t="n">
        <v>90.59999999999999</v>
      </c>
      <c r="Y1596" t="inlineStr">
        <is>
          <t>220</t>
        </is>
      </c>
      <c r="Z1596" t="n">
        <v>90.59999999999999</v>
      </c>
      <c r="AA1596" t="inlineStr">
        <is>
          <t>162</t>
        </is>
      </c>
      <c r="AB1596" t="n">
        <v>91.40000000000001</v>
      </c>
      <c r="AC1596" t="inlineStr">
        <is>
          <t>137</t>
        </is>
      </c>
      <c r="AD1596" t="n">
        <v>91.09999999999999</v>
      </c>
      <c r="AE1596" t="inlineStr">
        <is>
          <t>155</t>
        </is>
      </c>
      <c r="AF1596" t="n">
        <v>31</v>
      </c>
      <c r="AG1596" t="inlineStr">
        <is>
          <t>535</t>
        </is>
      </c>
      <c r="AH1596" t="n">
        <v>81.2</v>
      </c>
      <c r="AI1596" t="inlineStr">
        <is>
          <t>158=</t>
        </is>
      </c>
      <c r="AJ1596" t="inlineStr">
        <is>
          <t>21.2</t>
        </is>
      </c>
      <c r="AK1596" t="inlineStr">
        <is>
          <t>412</t>
        </is>
      </c>
      <c r="AL1596" t="inlineStr">
        <is>
          <t>14.2</t>
        </is>
      </c>
      <c r="AM1596" t="inlineStr">
        <is>
          <t>576</t>
        </is>
      </c>
      <c r="AN1596" t="inlineStr">
        <is>
          <t>36.1</t>
        </is>
      </c>
      <c r="AO1596" t="inlineStr">
        <is>
          <t>441</t>
        </is>
      </c>
      <c r="AP1596" t="inlineStr">
        <is>
          <t>45.3</t>
        </is>
      </c>
      <c r="AQ1596" t="inlineStr">
        <is>
          <t>298</t>
        </is>
      </c>
      <c r="AR1596" t="inlineStr">
        <is>
          <t>80.8</t>
        </is>
      </c>
      <c r="AS1596" t="inlineStr">
        <is>
          <t>226</t>
        </is>
      </c>
      <c r="AT1596" t="inlineStr">
        <is>
          <t>94.1</t>
        </is>
      </c>
      <c r="AU1596" t="inlineStr">
        <is>
          <t>91</t>
        </is>
      </c>
      <c r="AV1596" t="inlineStr">
        <is>
          <t>75.7</t>
        </is>
      </c>
      <c r="AW1596" t="inlineStr">
        <is>
          <t>167</t>
        </is>
      </c>
      <c r="AX1596" t="inlineStr">
        <is>
          <t>17.8</t>
        </is>
      </c>
      <c r="AY1596" t="inlineStr">
        <is>
          <t>468</t>
        </is>
      </c>
      <c r="AZ1596" t="inlineStr">
        <is>
          <t>50.9</t>
        </is>
      </c>
      <c r="BA1596" t="inlineStr">
        <is>
          <t>301=</t>
        </is>
      </c>
    </row>
    <row r="1597">
      <c r="A1597" t="inlineStr">
        <is>
          <t>University of Liege</t>
        </is>
      </c>
      <c r="B1597" t="inlineStr">
        <is>
          <t>Belgium</t>
        </is>
      </c>
      <c r="C1597" t="inlineStr"/>
      <c r="D1597" t="inlineStr">
        <is>
          <t>Europe</t>
        </is>
      </c>
      <c r="E1597" t="inlineStr">
        <is>
          <t>L</t>
        </is>
      </c>
      <c r="F1597" t="inlineStr">
        <is>
          <t>FC</t>
        </is>
      </c>
      <c r="G1597" t="inlineStr">
        <is>
          <t>VH</t>
        </is>
      </c>
      <c r="H1597" t="inlineStr"/>
      <c r="I1597" t="inlineStr">
        <is>
          <t>Public</t>
        </is>
      </c>
      <c r="J1597" t="inlineStr">
        <is>
          <t>379</t>
        </is>
      </c>
      <c r="K1597" t="inlineStr">
        <is>
          <t>396</t>
        </is>
      </c>
      <c r="L1597" t="inlineStr"/>
      <c r="M1597" t="inlineStr"/>
      <c r="N1597" t="inlineStr">
        <is>
          <t>39.5</t>
        </is>
      </c>
      <c r="O1597" t="inlineStr"/>
      <c r="P1597" t="n">
        <v>24.4</v>
      </c>
      <c r="Q1597" t="inlineStr">
        <is>
          <t>523</t>
        </is>
      </c>
      <c r="R1597" t="n">
        <v>16.9</v>
      </c>
      <c r="S1597" t="inlineStr">
        <is>
          <t>701+</t>
        </is>
      </c>
      <c r="T1597" t="n">
        <v>10.8</v>
      </c>
      <c r="U1597" t="inlineStr">
        <is>
          <t>801+</t>
        </is>
      </c>
      <c r="V1597" t="n">
        <v>63.2</v>
      </c>
      <c r="W1597" t="inlineStr">
        <is>
          <t>259</t>
        </is>
      </c>
      <c r="X1597" t="n">
        <v>62.1</v>
      </c>
      <c r="Y1597" t="inlineStr">
        <is>
          <t>375</t>
        </is>
      </c>
      <c r="Z1597" t="n">
        <v>65.59999999999999</v>
      </c>
      <c r="AA1597" t="inlineStr">
        <is>
          <t>303</t>
        </is>
      </c>
      <c r="AB1597" t="n">
        <v>68.90000000000001</v>
      </c>
      <c r="AC1597" t="inlineStr">
        <is>
          <t>277</t>
        </is>
      </c>
      <c r="AD1597" t="n">
        <v>95.2</v>
      </c>
      <c r="AE1597" t="inlineStr">
        <is>
          <t>78</t>
        </is>
      </c>
      <c r="AF1597" t="n">
        <v>32.9</v>
      </c>
      <c r="AG1597" t="inlineStr">
        <is>
          <t>517</t>
        </is>
      </c>
      <c r="AH1597" t="n">
        <v>79.7</v>
      </c>
      <c r="AI1597" t="inlineStr">
        <is>
          <t>175=</t>
        </is>
      </c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</row>
    <row r="1598">
      <c r="A1598" t="inlineStr">
        <is>
          <t>University of Limerick</t>
        </is>
      </c>
      <c r="B1598" t="inlineStr">
        <is>
          <t>Ireland</t>
        </is>
      </c>
      <c r="C1598" t="inlineStr">
        <is>
          <t>IE</t>
        </is>
      </c>
      <c r="D1598" t="inlineStr">
        <is>
          <t>Europe</t>
        </is>
      </c>
      <c r="E1598" t="inlineStr">
        <is>
          <t>L</t>
        </is>
      </c>
      <c r="F1598" t="inlineStr">
        <is>
          <t>FC</t>
        </is>
      </c>
      <c r="G1598" t="inlineStr">
        <is>
          <t>HI</t>
        </is>
      </c>
      <c r="H1598" t="inlineStr">
        <is>
          <t>4</t>
        </is>
      </c>
      <c r="I1598" t="inlineStr">
        <is>
          <t>Public</t>
        </is>
      </c>
      <c r="J1598" t="inlineStr">
        <is>
          <t>401</t>
        </is>
      </c>
      <c r="K1598" t="inlineStr">
        <is>
          <t>421</t>
        </is>
      </c>
      <c r="L1598" t="inlineStr">
        <is>
          <t>426</t>
        </is>
      </c>
      <c r="M1598" t="inlineStr">
        <is>
          <t>531-540</t>
        </is>
      </c>
      <c r="N1598" t="inlineStr">
        <is>
          <t>37.4</t>
        </is>
      </c>
      <c r="O1598" t="inlineStr">
        <is>
          <t>26.6</t>
        </is>
      </c>
      <c r="P1598" t="n">
        <v>27.9</v>
      </c>
      <c r="Q1598" t="inlineStr">
        <is>
          <t>453</t>
        </is>
      </c>
      <c r="R1598" t="n">
        <v>36.6</v>
      </c>
      <c r="S1598" t="inlineStr">
        <is>
          <t>390</t>
        </is>
      </c>
      <c r="T1598" t="n">
        <v>23.6</v>
      </c>
      <c r="U1598" t="inlineStr">
        <is>
          <t>758</t>
        </is>
      </c>
      <c r="V1598" t="n">
        <v>34.5</v>
      </c>
      <c r="W1598" t="inlineStr">
        <is>
          <t>527</t>
        </is>
      </c>
      <c r="X1598" t="n">
        <v>93.2</v>
      </c>
      <c r="Y1598" t="inlineStr">
        <is>
          <t>198</t>
        </is>
      </c>
      <c r="Z1598" t="n">
        <v>48.4</v>
      </c>
      <c r="AA1598" t="inlineStr">
        <is>
          <t>417</t>
        </is>
      </c>
      <c r="AB1598" t="n">
        <v>53.3</v>
      </c>
      <c r="AC1598" t="inlineStr">
        <is>
          <t>385</t>
        </is>
      </c>
      <c r="AD1598" t="n">
        <v>71.59999999999999</v>
      </c>
      <c r="AE1598" t="inlineStr">
        <is>
          <t>506</t>
        </is>
      </c>
      <c r="AF1598" t="n">
        <v>14.7</v>
      </c>
      <c r="AG1598" t="inlineStr">
        <is>
          <t>801+</t>
        </is>
      </c>
      <c r="AH1598" t="n">
        <v>75.90000000000001</v>
      </c>
      <c r="AI1598" t="inlineStr">
        <is>
          <t>223=</t>
        </is>
      </c>
      <c r="AJ1598" t="inlineStr">
        <is>
          <t>17.5</t>
        </is>
      </c>
      <c r="AK1598" t="inlineStr">
        <is>
          <t>507</t>
        </is>
      </c>
      <c r="AL1598" t="inlineStr">
        <is>
          <t>29.1</t>
        </is>
      </c>
      <c r="AM1598" t="inlineStr">
        <is>
          <t>337</t>
        </is>
      </c>
      <c r="AN1598" t="inlineStr">
        <is>
          <t>14.0</t>
        </is>
      </c>
      <c r="AO1598" t="inlineStr">
        <is>
          <t>701+</t>
        </is>
      </c>
      <c r="AP1598" t="inlineStr">
        <is>
          <t>21.9</t>
        </is>
      </c>
      <c r="AQ1598" t="inlineStr">
        <is>
          <t>529</t>
        </is>
      </c>
      <c r="AR1598" t="inlineStr">
        <is>
          <t>88.4</t>
        </is>
      </c>
      <c r="AS1598" t="inlineStr">
        <is>
          <t>190</t>
        </is>
      </c>
      <c r="AT1598" t="inlineStr">
        <is>
          <t>28.6</t>
        </is>
      </c>
      <c r="AU1598" t="inlineStr">
        <is>
          <t>434</t>
        </is>
      </c>
      <c r="AV1598" t="inlineStr">
        <is>
          <t>34.6</t>
        </is>
      </c>
      <c r="AW1598" t="inlineStr">
        <is>
          <t>421</t>
        </is>
      </c>
      <c r="AX1598" t="inlineStr">
        <is>
          <t>13.9</t>
        </is>
      </c>
      <c r="AY1598" t="inlineStr">
        <is>
          <t>614</t>
        </is>
      </c>
      <c r="AZ1598" t="inlineStr">
        <is>
          <t>58.9</t>
        </is>
      </c>
      <c r="BA1598" t="inlineStr">
        <is>
          <t>254</t>
        </is>
      </c>
    </row>
    <row r="1599">
      <c r="A1599" t="inlineStr">
        <is>
          <t>University of Lincoln</t>
        </is>
      </c>
      <c r="B1599" t="inlineStr">
        <is>
          <t>United Kingdom</t>
        </is>
      </c>
      <c r="C1599" t="inlineStr">
        <is>
          <t>UK</t>
        </is>
      </c>
      <c r="D1599" t="inlineStr">
        <is>
          <t>Europe</t>
        </is>
      </c>
      <c r="E1599" t="inlineStr">
        <is>
          <t>L</t>
        </is>
      </c>
      <c r="F1599" t="inlineStr">
        <is>
          <t>CO</t>
        </is>
      </c>
      <c r="G1599" t="inlineStr">
        <is>
          <t>VH</t>
        </is>
      </c>
      <c r="H1599" t="inlineStr">
        <is>
          <t>3</t>
        </is>
      </c>
      <c r="I1599" t="inlineStr">
        <is>
          <t>Public</t>
        </is>
      </c>
      <c r="J1599" t="inlineStr">
        <is>
          <t>801-850</t>
        </is>
      </c>
      <c r="K1599" t="inlineStr">
        <is>
          <t>851-900</t>
        </is>
      </c>
      <c r="L1599" t="inlineStr">
        <is>
          <t>851-900</t>
        </is>
      </c>
      <c r="M1599" t="inlineStr">
        <is>
          <t>801-1000</t>
        </is>
      </c>
      <c r="N1599" t="inlineStr">
        <is>
          <t>-</t>
        </is>
      </c>
      <c r="O1599" t="inlineStr">
        <is>
          <t>-</t>
        </is>
      </c>
      <c r="P1599" t="n">
        <v>8</v>
      </c>
      <c r="Q1599" t="inlineStr">
        <is>
          <t>701+</t>
        </is>
      </c>
      <c r="R1599" t="n">
        <v>9.300000000000001</v>
      </c>
      <c r="S1599" t="inlineStr">
        <is>
          <t>701+</t>
        </is>
      </c>
      <c r="T1599" t="n">
        <v>13</v>
      </c>
      <c r="U1599" t="inlineStr">
        <is>
          <t>801+</t>
        </is>
      </c>
      <c r="V1599" t="n">
        <v>14.6</v>
      </c>
      <c r="W1599" t="inlineStr">
        <is>
          <t>801+</t>
        </is>
      </c>
      <c r="X1599" t="n">
        <v>84.8</v>
      </c>
      <c r="Y1599" t="inlineStr">
        <is>
          <t>259</t>
        </is>
      </c>
      <c r="Z1599" t="n">
        <v>73.7</v>
      </c>
      <c r="AA1599" t="inlineStr">
        <is>
          <t>260</t>
        </is>
      </c>
      <c r="AB1599" t="n">
        <v>75.2</v>
      </c>
      <c r="AC1599" t="inlineStr">
        <is>
          <t>234</t>
        </is>
      </c>
      <c r="AD1599" t="n">
        <v>73.7</v>
      </c>
      <c r="AE1599" t="inlineStr">
        <is>
          <t>478</t>
        </is>
      </c>
      <c r="AF1599" t="n">
        <v>6</v>
      </c>
      <c r="AG1599" t="inlineStr">
        <is>
          <t>801+</t>
        </is>
      </c>
      <c r="AH1599" t="n">
        <v>63.8</v>
      </c>
      <c r="AI1599" t="inlineStr">
        <is>
          <t>427=</t>
        </is>
      </c>
      <c r="AJ1599" t="inlineStr">
        <is>
          <t>6.1</t>
        </is>
      </c>
      <c r="AK1599" t="inlineStr">
        <is>
          <t>601+</t>
        </is>
      </c>
      <c r="AL1599" t="inlineStr">
        <is>
          <t>5.1</t>
        </is>
      </c>
      <c r="AM1599" t="inlineStr">
        <is>
          <t>601+</t>
        </is>
      </c>
      <c r="AN1599" t="inlineStr">
        <is>
          <t>9.1</t>
        </is>
      </c>
      <c r="AO1599" t="inlineStr">
        <is>
          <t>701+</t>
        </is>
      </c>
      <c r="AP1599" t="inlineStr">
        <is>
          <t>11.3</t>
        </is>
      </c>
      <c r="AQ1599" t="inlineStr">
        <is>
          <t>701+</t>
        </is>
      </c>
      <c r="AR1599" t="inlineStr">
        <is>
          <t>64.6</t>
        </is>
      </c>
      <c r="AS1599" t="inlineStr">
        <is>
          <t>298</t>
        </is>
      </c>
      <c r="AT1599" t="inlineStr">
        <is>
          <t>30.1</t>
        </is>
      </c>
      <c r="AU1599" t="inlineStr">
        <is>
          <t>421</t>
        </is>
      </c>
      <c r="AV1599" t="inlineStr">
        <is>
          <t>9.6</t>
        </is>
      </c>
      <c r="AW1599" t="inlineStr">
        <is>
          <t>679</t>
        </is>
      </c>
      <c r="AX1599" t="inlineStr">
        <is>
          <t>8.9</t>
        </is>
      </c>
      <c r="AY1599" t="inlineStr">
        <is>
          <t>701+</t>
        </is>
      </c>
      <c r="AZ1599" t="inlineStr">
        <is>
          <t>37.5</t>
        </is>
      </c>
      <c r="BA1599" t="inlineStr">
        <is>
          <t>382=</t>
        </is>
      </c>
    </row>
    <row r="1600">
      <c r="A1600" t="inlineStr">
        <is>
          <t>University of Lisbon</t>
        </is>
      </c>
      <c r="B1600" t="inlineStr">
        <is>
          <t>Portugal</t>
        </is>
      </c>
      <c r="C1600" t="inlineStr">
        <is>
          <t>PT</t>
        </is>
      </c>
      <c r="D1600" t="inlineStr">
        <is>
          <t>Europe</t>
        </is>
      </c>
      <c r="E1600" t="inlineStr">
        <is>
          <t>XL</t>
        </is>
      </c>
      <c r="F1600" t="inlineStr">
        <is>
          <t>FC</t>
        </is>
      </c>
      <c r="G1600" t="inlineStr">
        <is>
          <t>VH</t>
        </is>
      </c>
      <c r="H1600" t="inlineStr">
        <is>
          <t>5</t>
        </is>
      </c>
      <c r="I1600" t="inlineStr">
        <is>
          <t>Public</t>
        </is>
      </c>
      <c r="J1600" t="inlineStr">
        <is>
          <t>230</t>
        </is>
      </c>
      <c r="K1600" t="inlineStr">
        <is>
          <t>260</t>
        </is>
      </c>
      <c r="L1600">
        <f>266</f>
        <v/>
      </c>
      <c r="M1600" t="inlineStr">
        <is>
          <t>335=</t>
        </is>
      </c>
      <c r="N1600" t="inlineStr">
        <is>
          <t>52.9</t>
        </is>
      </c>
      <c r="O1600" t="inlineStr">
        <is>
          <t>37.7</t>
        </is>
      </c>
      <c r="P1600" t="n">
        <v>57.1</v>
      </c>
      <c r="Q1600" t="inlineStr">
        <is>
          <t>193</t>
        </is>
      </c>
      <c r="R1600" t="n">
        <v>46.3</v>
      </c>
      <c r="S1600" t="inlineStr">
        <is>
          <t>289</t>
        </is>
      </c>
      <c r="T1600" t="n">
        <v>15.5</v>
      </c>
      <c r="U1600" t="inlineStr">
        <is>
          <t>801+</t>
        </is>
      </c>
      <c r="V1600" t="n">
        <v>51.4</v>
      </c>
      <c r="W1600" t="inlineStr">
        <is>
          <t>367</t>
        </is>
      </c>
      <c r="X1600" t="n">
        <v>14.3</v>
      </c>
      <c r="Y1600" t="inlineStr">
        <is>
          <t>801+</t>
        </is>
      </c>
      <c r="Z1600" t="n">
        <v>58.6</v>
      </c>
      <c r="AA1600" t="inlineStr">
        <is>
          <t>350</t>
        </is>
      </c>
      <c r="AB1600" t="n">
        <v>62.6</v>
      </c>
      <c r="AC1600" t="inlineStr">
        <is>
          <t>317</t>
        </is>
      </c>
      <c r="AD1600" t="n">
        <v>98.40000000000001</v>
      </c>
      <c r="AE1600" t="inlineStr">
        <is>
          <t>17</t>
        </is>
      </c>
      <c r="AF1600" t="n">
        <v>97.3</v>
      </c>
      <c r="AG1600" t="inlineStr">
        <is>
          <t>54</t>
        </is>
      </c>
      <c r="AH1600" t="n">
        <v>79.3</v>
      </c>
      <c r="AI1600" t="inlineStr">
        <is>
          <t>184</t>
        </is>
      </c>
      <c r="AJ1600" t="inlineStr">
        <is>
          <t>42.2</t>
        </is>
      </c>
      <c r="AK1600" t="inlineStr">
        <is>
          <t>201</t>
        </is>
      </c>
      <c r="AL1600" t="inlineStr">
        <is>
          <t>21.0</t>
        </is>
      </c>
      <c r="AM1600" t="inlineStr">
        <is>
          <t>442</t>
        </is>
      </c>
      <c r="AN1600" t="inlineStr">
        <is>
          <t>12.7</t>
        </is>
      </c>
      <c r="AO1600" t="inlineStr">
        <is>
          <t>701+</t>
        </is>
      </c>
      <c r="AP1600" t="inlineStr">
        <is>
          <t>35.1</t>
        </is>
      </c>
      <c r="AQ1600" t="inlineStr">
        <is>
          <t>387</t>
        </is>
      </c>
      <c r="AR1600" t="inlineStr">
        <is>
          <t>9.3</t>
        </is>
      </c>
      <c r="AS1600" t="inlineStr">
        <is>
          <t>701+</t>
        </is>
      </c>
      <c r="AT1600" t="inlineStr">
        <is>
          <t>30.7</t>
        </is>
      </c>
      <c r="AU1600" t="inlineStr">
        <is>
          <t>415</t>
        </is>
      </c>
      <c r="AV1600" t="inlineStr">
        <is>
          <t>97.4</t>
        </is>
      </c>
      <c r="AW1600" t="inlineStr">
        <is>
          <t>27</t>
        </is>
      </c>
      <c r="AX1600" t="inlineStr">
        <is>
          <t>65.8</t>
        </is>
      </c>
      <c r="AY1600" t="inlineStr">
        <is>
          <t>85</t>
        </is>
      </c>
      <c r="AZ1600" t="inlineStr">
        <is>
          <t>66.5</t>
        </is>
      </c>
      <c r="BA1600" t="inlineStr">
        <is>
          <t>220=</t>
        </is>
      </c>
    </row>
    <row r="1601">
      <c r="A1601" t="inlineStr">
        <is>
          <t>University of Liverpool</t>
        </is>
      </c>
      <c r="B1601" t="inlineStr">
        <is>
          <t>United Kingdom</t>
        </is>
      </c>
      <c r="C1601" t="inlineStr">
        <is>
          <t>UK</t>
        </is>
      </c>
      <c r="D1601" t="inlineStr">
        <is>
          <t>Europe</t>
        </is>
      </c>
      <c r="E1601" t="inlineStr">
        <is>
          <t>L</t>
        </is>
      </c>
      <c r="F1601" t="inlineStr">
        <is>
          <t>FC</t>
        </is>
      </c>
      <c r="G1601" t="inlineStr">
        <is>
          <t>VH</t>
        </is>
      </c>
      <c r="H1601" t="inlineStr">
        <is>
          <t>5</t>
        </is>
      </c>
      <c r="I1601" t="inlineStr">
        <is>
          <t>Public</t>
        </is>
      </c>
      <c r="J1601" t="inlineStr">
        <is>
          <t>147</t>
        </is>
      </c>
      <c r="K1601" t="inlineStr">
        <is>
          <t>165</t>
        </is>
      </c>
      <c r="L1601">
        <f>176</f>
        <v/>
      </c>
      <c r="M1601" t="inlineStr">
        <is>
          <t>190=</t>
        </is>
      </c>
      <c r="N1601" t="inlineStr">
        <is>
          <t>62.5</t>
        </is>
      </c>
      <c r="O1601" t="inlineStr">
        <is>
          <t>48.5</t>
        </is>
      </c>
      <c r="P1601" t="n">
        <v>60.7</v>
      </c>
      <c r="Q1601" t="inlineStr">
        <is>
          <t>171</t>
        </is>
      </c>
      <c r="R1601" t="n">
        <v>48.8</v>
      </c>
      <c r="S1601" t="inlineStr">
        <is>
          <t>264</t>
        </is>
      </c>
      <c r="T1601" t="n">
        <v>37.3</v>
      </c>
      <c r="U1601" t="inlineStr">
        <is>
          <t>538</t>
        </is>
      </c>
      <c r="V1601" t="n">
        <v>61.7</v>
      </c>
      <c r="W1601" t="inlineStr">
        <is>
          <t>276</t>
        </is>
      </c>
      <c r="X1601" t="n">
        <v>92.40000000000001</v>
      </c>
      <c r="Y1601" t="inlineStr">
        <is>
          <t>206</t>
        </is>
      </c>
      <c r="Z1601" t="n">
        <v>91.09999999999999</v>
      </c>
      <c r="AA1601" t="inlineStr">
        <is>
          <t>157</t>
        </is>
      </c>
      <c r="AB1601" t="n">
        <v>91.8</v>
      </c>
      <c r="AC1601" t="inlineStr">
        <is>
          <t>133</t>
        </is>
      </c>
      <c r="AD1601" t="n">
        <v>97</v>
      </c>
      <c r="AE1601" t="inlineStr">
        <is>
          <t>39</t>
        </is>
      </c>
      <c r="AF1601" t="n">
        <v>47.8</v>
      </c>
      <c r="AG1601" t="inlineStr">
        <is>
          <t>364</t>
        </is>
      </c>
      <c r="AH1601" t="n">
        <v>92.40000000000001</v>
      </c>
      <c r="AI1601" t="inlineStr">
        <is>
          <t>42=</t>
        </is>
      </c>
      <c r="AJ1601" t="inlineStr">
        <is>
          <t>44.4</t>
        </is>
      </c>
      <c r="AK1601" t="inlineStr">
        <is>
          <t>191</t>
        </is>
      </c>
      <c r="AL1601" t="inlineStr">
        <is>
          <t>35.0</t>
        </is>
      </c>
      <c r="AM1601" t="inlineStr">
        <is>
          <t>277</t>
        </is>
      </c>
      <c r="AN1601" t="inlineStr">
        <is>
          <t>39.7</t>
        </is>
      </c>
      <c r="AO1601" t="inlineStr">
        <is>
          <t>401</t>
        </is>
      </c>
      <c r="AP1601" t="inlineStr">
        <is>
          <t>37.9</t>
        </is>
      </c>
      <c r="AQ1601" t="inlineStr">
        <is>
          <t>371</t>
        </is>
      </c>
      <c r="AR1601" t="inlineStr">
        <is>
          <t>87.8</t>
        </is>
      </c>
      <c r="AS1601" t="inlineStr">
        <is>
          <t>194</t>
        </is>
      </c>
      <c r="AT1601" t="inlineStr">
        <is>
          <t>79.0</t>
        </is>
      </c>
      <c r="AU1601" t="inlineStr">
        <is>
          <t>168</t>
        </is>
      </c>
      <c r="AV1601" t="inlineStr">
        <is>
          <t>97.2</t>
        </is>
      </c>
      <c r="AW1601" t="inlineStr">
        <is>
          <t>29</t>
        </is>
      </c>
      <c r="AX1601" t="inlineStr">
        <is>
          <t>25.6</t>
        </is>
      </c>
      <c r="AY1601" t="inlineStr">
        <is>
          <t>324</t>
        </is>
      </c>
      <c r="AZ1601" t="inlineStr">
        <is>
          <t>72</t>
        </is>
      </c>
      <c r="BA1601" t="inlineStr">
        <is>
          <t>193</t>
        </is>
      </c>
    </row>
    <row r="1602">
      <c r="A1602" t="inlineStr">
        <is>
          <t>University of Ljubljana</t>
        </is>
      </c>
      <c r="B1602" t="inlineStr">
        <is>
          <t>Slovenia</t>
        </is>
      </c>
      <c r="C1602" t="inlineStr">
        <is>
          <t>SI</t>
        </is>
      </c>
      <c r="D1602" t="inlineStr">
        <is>
          <t>Europe</t>
        </is>
      </c>
      <c r="E1602" t="inlineStr">
        <is>
          <t>XL</t>
        </is>
      </c>
      <c r="F1602" t="inlineStr">
        <is>
          <t>FC</t>
        </is>
      </c>
      <c r="G1602" t="inlineStr">
        <is>
          <t>VH</t>
        </is>
      </c>
      <c r="H1602" t="inlineStr">
        <is>
          <t>5</t>
        </is>
      </c>
      <c r="I1602" t="inlineStr">
        <is>
          <t>Public</t>
        </is>
      </c>
      <c r="J1602" t="inlineStr">
        <is>
          <t>535</t>
        </is>
      </c>
      <c r="K1602" t="inlineStr">
        <is>
          <t>596</t>
        </is>
      </c>
      <c r="L1602" t="inlineStr">
        <is>
          <t>621-630</t>
        </is>
      </c>
      <c r="M1602" t="inlineStr">
        <is>
          <t>601-650</t>
        </is>
      </c>
      <c r="N1602" t="inlineStr">
        <is>
          <t>30.6</t>
        </is>
      </c>
      <c r="O1602" t="inlineStr">
        <is>
          <t>-</t>
        </is>
      </c>
      <c r="P1602" t="n">
        <v>29.7</v>
      </c>
      <c r="Q1602" t="inlineStr">
        <is>
          <t>414</t>
        </is>
      </c>
      <c r="R1602" t="n">
        <v>18.9</v>
      </c>
      <c r="S1602" t="inlineStr">
        <is>
          <t>689</t>
        </is>
      </c>
      <c r="T1602" t="n">
        <v>45.6</v>
      </c>
      <c r="U1602" t="inlineStr">
        <is>
          <t>431</t>
        </is>
      </c>
      <c r="V1602" t="n">
        <v>11</v>
      </c>
      <c r="W1602" t="inlineStr">
        <is>
          <t>801+</t>
        </is>
      </c>
      <c r="X1602" t="n">
        <v>7.1</v>
      </c>
      <c r="Y1602" t="inlineStr">
        <is>
          <t>801+</t>
        </is>
      </c>
      <c r="Z1602" t="n">
        <v>18.1</v>
      </c>
      <c r="AA1602" t="inlineStr">
        <is>
          <t>760</t>
        </is>
      </c>
      <c r="AB1602" t="n">
        <v>13.7</v>
      </c>
      <c r="AC1602" t="inlineStr">
        <is>
          <t>801+</t>
        </is>
      </c>
      <c r="AD1602" t="n">
        <v>85.7</v>
      </c>
      <c r="AE1602" t="inlineStr">
        <is>
          <t>241</t>
        </is>
      </c>
      <c r="AF1602" t="n">
        <v>98.09999999999999</v>
      </c>
      <c r="AG1602" t="inlineStr">
        <is>
          <t>41</t>
        </is>
      </c>
      <c r="AH1602" t="n">
        <v>54.2</v>
      </c>
      <c r="AI1602" t="inlineStr">
        <is>
          <t>619=</t>
        </is>
      </c>
      <c r="AJ1602" t="inlineStr">
        <is>
          <t>20.0</t>
        </is>
      </c>
      <c r="AK1602" t="inlineStr">
        <is>
          <t>439</t>
        </is>
      </c>
      <c r="AL1602" t="inlineStr">
        <is>
          <t>9.5</t>
        </is>
      </c>
      <c r="AM1602" t="inlineStr">
        <is>
          <t>601+</t>
        </is>
      </c>
      <c r="AN1602" t="inlineStr">
        <is>
          <t>35.6</t>
        </is>
      </c>
      <c r="AO1602" t="inlineStr">
        <is>
          <t>446</t>
        </is>
      </c>
      <c r="AP1602" t="inlineStr">
        <is>
          <t>6.3</t>
        </is>
      </c>
      <c r="AQ1602" t="inlineStr">
        <is>
          <t>701+</t>
        </is>
      </c>
      <c r="AR1602" t="inlineStr">
        <is>
          <t>4.5</t>
        </is>
      </c>
      <c r="AS1602" t="inlineStr">
        <is>
          <t>701+</t>
        </is>
      </c>
      <c r="AT1602" t="inlineStr">
        <is>
          <t>10.7</t>
        </is>
      </c>
      <c r="AU1602" t="inlineStr">
        <is>
          <t>701+</t>
        </is>
      </c>
      <c r="AV1602" t="inlineStr">
        <is>
          <t>59.3</t>
        </is>
      </c>
      <c r="AW1602" t="inlineStr">
        <is>
          <t>250</t>
        </is>
      </c>
      <c r="AX1602" t="inlineStr">
        <is>
          <t>48.9</t>
        </is>
      </c>
      <c r="AY1602" t="inlineStr">
        <is>
          <t>139</t>
        </is>
      </c>
      <c r="AZ1602" t="inlineStr">
        <is>
          <t>17.2</t>
        </is>
      </c>
      <c r="BA1602" t="inlineStr">
        <is>
          <t>574=</t>
        </is>
      </c>
    </row>
    <row r="1603">
      <c r="A1603" t="inlineStr">
        <is>
          <t>University of Lodz</t>
        </is>
      </c>
      <c r="B1603" t="inlineStr">
        <is>
          <t>Poland</t>
        </is>
      </c>
      <c r="C1603" t="inlineStr">
        <is>
          <t>PL</t>
        </is>
      </c>
      <c r="D1603" t="inlineStr"/>
      <c r="E1603" t="inlineStr">
        <is>
          <t>L</t>
        </is>
      </c>
      <c r="F1603" t="inlineStr">
        <is>
          <t>CO</t>
        </is>
      </c>
      <c r="G1603" t="inlineStr">
        <is>
          <t>VH</t>
        </is>
      </c>
      <c r="H1603" t="inlineStr">
        <is>
          <t>4</t>
        </is>
      </c>
      <c r="I1603" t="inlineStr">
        <is>
          <t>A</t>
        </is>
      </c>
      <c r="J1603" t="inlineStr"/>
      <c r="K1603" t="inlineStr"/>
      <c r="L1603" t="inlineStr">
        <is>
          <t>951-1000</t>
        </is>
      </c>
      <c r="M1603" t="inlineStr">
        <is>
          <t>801-1000</t>
        </is>
      </c>
      <c r="N1603" t="inlineStr"/>
      <c r="O1603" t="inlineStr">
        <is>
          <t>-</t>
        </is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>
        <is>
          <t>11.7</t>
        </is>
      </c>
      <c r="AK1603" t="inlineStr">
        <is>
          <t>601+</t>
        </is>
      </c>
      <c r="AL1603" t="inlineStr">
        <is>
          <t>4.3</t>
        </is>
      </c>
      <c r="AM1603" t="inlineStr">
        <is>
          <t>601+</t>
        </is>
      </c>
      <c r="AN1603" t="inlineStr">
        <is>
          <t>39.7</t>
        </is>
      </c>
      <c r="AO1603" t="inlineStr">
        <is>
          <t>400</t>
        </is>
      </c>
      <c r="AP1603" t="inlineStr">
        <is>
          <t>3.2</t>
        </is>
      </c>
      <c r="AQ1603" t="inlineStr">
        <is>
          <t>701+</t>
        </is>
      </c>
      <c r="AR1603" t="inlineStr">
        <is>
          <t>4.2</t>
        </is>
      </c>
      <c r="AS1603" t="inlineStr">
        <is>
          <t>701+</t>
        </is>
      </c>
      <c r="AT1603" t="inlineStr">
        <is>
          <t>12.8</t>
        </is>
      </c>
      <c r="AU1603" t="inlineStr">
        <is>
          <t>666</t>
        </is>
      </c>
      <c r="AV1603" t="inlineStr">
        <is>
          <t>26.7</t>
        </is>
      </c>
      <c r="AW1603" t="inlineStr">
        <is>
          <t>485</t>
        </is>
      </c>
      <c r="AX1603" t="inlineStr">
        <is>
          <t>11.8</t>
        </is>
      </c>
      <c r="AY1603" t="inlineStr">
        <is>
          <t>701+</t>
        </is>
      </c>
      <c r="AZ1603" t="inlineStr">
        <is>
          <t>2.4</t>
        </is>
      </c>
      <c r="BA1603" t="inlineStr">
        <is>
          <t>701+</t>
        </is>
      </c>
    </row>
    <row r="1604">
      <c r="A1604" t="inlineStr">
        <is>
          <t>University of Louisville</t>
        </is>
      </c>
      <c r="B1604" t="inlineStr">
        <is>
          <t>United States</t>
        </is>
      </c>
      <c r="C1604" t="inlineStr">
        <is>
          <t>US</t>
        </is>
      </c>
      <c r="D1604" t="inlineStr">
        <is>
          <t>Americas</t>
        </is>
      </c>
      <c r="E1604" t="inlineStr">
        <is>
          <t>L</t>
        </is>
      </c>
      <c r="F1604" t="inlineStr">
        <is>
          <t>FC</t>
        </is>
      </c>
      <c r="G1604" t="inlineStr">
        <is>
          <t>HI</t>
        </is>
      </c>
      <c r="H1604" t="inlineStr">
        <is>
          <t>5</t>
        </is>
      </c>
      <c r="I1604" t="inlineStr">
        <is>
          <t>Public</t>
        </is>
      </c>
      <c r="J1604" t="inlineStr">
        <is>
          <t>1001-1200</t>
        </is>
      </c>
      <c r="K1604" t="inlineStr">
        <is>
          <t>1001-1200</t>
        </is>
      </c>
      <c r="L1604" t="inlineStr">
        <is>
          <t>1001-1200</t>
        </is>
      </c>
      <c r="M1604" t="inlineStr">
        <is>
          <t>801-1000</t>
        </is>
      </c>
      <c r="N1604" t="inlineStr">
        <is>
          <t>-</t>
        </is>
      </c>
      <c r="O1604" t="inlineStr">
        <is>
          <t>-</t>
        </is>
      </c>
      <c r="P1604" t="n">
        <v>3.9</v>
      </c>
      <c r="Q1604" t="inlineStr">
        <is>
          <t>701+</t>
        </is>
      </c>
      <c r="R1604" t="n">
        <v>4.2</v>
      </c>
      <c r="S1604" t="inlineStr">
        <is>
          <t>701+</t>
        </is>
      </c>
      <c r="T1604" t="n">
        <v>43.8</v>
      </c>
      <c r="U1604" t="inlineStr">
        <is>
          <t>454</t>
        </is>
      </c>
      <c r="V1604" t="n">
        <v>13.3</v>
      </c>
      <c r="W1604" t="inlineStr">
        <is>
          <t>801+</t>
        </is>
      </c>
      <c r="X1604" t="n">
        <v>21.8</v>
      </c>
      <c r="Y1604" t="inlineStr">
        <is>
          <t>691</t>
        </is>
      </c>
      <c r="Z1604" t="n">
        <v>5.9</v>
      </c>
      <c r="AA1604" t="inlineStr">
        <is>
          <t>801+</t>
        </is>
      </c>
      <c r="AB1604" t="n">
        <v>11.3</v>
      </c>
      <c r="AC1604" t="inlineStr">
        <is>
          <t>801+</t>
        </is>
      </c>
      <c r="AD1604" t="n">
        <v>59.6</v>
      </c>
      <c r="AE1604" t="inlineStr">
        <is>
          <t>700</t>
        </is>
      </c>
      <c r="AF1604" t="n">
        <v>9.800000000000001</v>
      </c>
      <c r="AG1604" t="inlineStr">
        <is>
          <t>801+</t>
        </is>
      </c>
      <c r="AH1604" t="n">
        <v>39.5</v>
      </c>
      <c r="AI1604" t="inlineStr">
        <is>
          <t>801+</t>
        </is>
      </c>
      <c r="AJ1604" t="inlineStr">
        <is>
          <t>3.5</t>
        </is>
      </c>
      <c r="AK1604" t="inlineStr">
        <is>
          <t>601+</t>
        </is>
      </c>
      <c r="AL1604" t="inlineStr">
        <is>
          <t>4.5</t>
        </is>
      </c>
      <c r="AM1604" t="inlineStr">
        <is>
          <t>601+</t>
        </is>
      </c>
      <c r="AN1604" t="inlineStr">
        <is>
          <t>24.9</t>
        </is>
      </c>
      <c r="AO1604" t="inlineStr">
        <is>
          <t>587</t>
        </is>
      </c>
      <c r="AP1604" t="inlineStr">
        <is>
          <t>10.1</t>
        </is>
      </c>
      <c r="AQ1604" t="inlineStr">
        <is>
          <t>701+</t>
        </is>
      </c>
      <c r="AR1604" t="inlineStr">
        <is>
          <t>34.8</t>
        </is>
      </c>
      <c r="AS1604" t="inlineStr">
        <is>
          <t>456</t>
        </is>
      </c>
      <c r="AT1604" t="inlineStr">
        <is>
          <t>3.3</t>
        </is>
      </c>
      <c r="AU1604" t="inlineStr">
        <is>
          <t>701+</t>
        </is>
      </c>
      <c r="AV1604" t="inlineStr">
        <is>
          <t>15.8</t>
        </is>
      </c>
      <c r="AW1604" t="inlineStr">
        <is>
          <t>586</t>
        </is>
      </c>
      <c r="AX1604" t="inlineStr">
        <is>
          <t>12.5</t>
        </is>
      </c>
      <c r="AY1604" t="inlineStr">
        <is>
          <t>693</t>
        </is>
      </c>
      <c r="AZ1604" t="inlineStr"/>
      <c r="BA1604" t="inlineStr"/>
    </row>
    <row r="1605">
      <c r="A1605" t="inlineStr">
        <is>
          <t>University of Luxembourg</t>
        </is>
      </c>
      <c r="B1605" t="inlineStr">
        <is>
          <t>Luxembourg</t>
        </is>
      </c>
      <c r="C1605" t="inlineStr">
        <is>
          <t>LU</t>
        </is>
      </c>
      <c r="D1605" t="inlineStr">
        <is>
          <t>Europe</t>
        </is>
      </c>
      <c r="E1605" t="inlineStr">
        <is>
          <t>M</t>
        </is>
      </c>
      <c r="F1605" t="inlineStr">
        <is>
          <t>FO</t>
        </is>
      </c>
      <c r="G1605" t="inlineStr">
        <is>
          <t>VH</t>
        </is>
      </c>
      <c r="H1605" t="inlineStr">
        <is>
          <t>2</t>
        </is>
      </c>
      <c r="I1605" t="inlineStr"/>
      <c r="J1605" t="inlineStr">
        <is>
          <t>381</t>
        </is>
      </c>
      <c r="K1605" t="inlineStr">
        <is>
          <t>355</t>
        </is>
      </c>
      <c r="L1605" t="inlineStr">
        <is>
          <t>381</t>
        </is>
      </c>
      <c r="M1605" t="inlineStr"/>
      <c r="N1605" t="inlineStr">
        <is>
          <t>39.4</t>
        </is>
      </c>
      <c r="O1605" t="inlineStr">
        <is>
          <t>29.1</t>
        </is>
      </c>
      <c r="P1605" t="n">
        <v>13.2</v>
      </c>
      <c r="Q1605" t="inlineStr">
        <is>
          <t>701+</t>
        </is>
      </c>
      <c r="R1605" t="n">
        <v>8.199999999999999</v>
      </c>
      <c r="S1605" t="inlineStr">
        <is>
          <t>701+</t>
        </is>
      </c>
      <c r="T1605" t="n">
        <v>87.2</v>
      </c>
      <c r="U1605" t="inlineStr">
        <is>
          <t>118</t>
        </is>
      </c>
      <c r="V1605" t="n">
        <v>39.5</v>
      </c>
      <c r="W1605" t="inlineStr">
        <is>
          <t>479</t>
        </is>
      </c>
      <c r="X1605" t="n">
        <v>100</v>
      </c>
      <c r="Y1605" t="inlineStr">
        <is>
          <t>19</t>
        </is>
      </c>
      <c r="Z1605" t="n">
        <v>100</v>
      </c>
      <c r="AA1605" t="inlineStr">
        <is>
          <t>33</t>
        </is>
      </c>
      <c r="AB1605" t="n">
        <v>100</v>
      </c>
      <c r="AC1605" t="inlineStr">
        <is>
          <t>21</t>
        </is>
      </c>
      <c r="AD1605" t="n">
        <v>68.09999999999999</v>
      </c>
      <c r="AE1605" t="inlineStr">
        <is>
          <t>566</t>
        </is>
      </c>
      <c r="AF1605" t="n">
        <v>58.8</v>
      </c>
      <c r="AG1605" t="inlineStr">
        <is>
          <t>277</t>
        </is>
      </c>
      <c r="AH1605" t="n">
        <v>42.4</v>
      </c>
      <c r="AI1605" t="inlineStr">
        <is>
          <t>801+</t>
        </is>
      </c>
      <c r="AJ1605" t="inlineStr">
        <is>
          <t>9.1</t>
        </is>
      </c>
      <c r="AK1605" t="inlineStr">
        <is>
          <t>601+</t>
        </is>
      </c>
      <c r="AL1605" t="inlineStr">
        <is>
          <t>4.9</t>
        </is>
      </c>
      <c r="AM1605" t="inlineStr">
        <is>
          <t>601+</t>
        </is>
      </c>
      <c r="AN1605" t="inlineStr">
        <is>
          <t>77.2</t>
        </is>
      </c>
      <c r="AO1605" t="inlineStr">
        <is>
          <t>152</t>
        </is>
      </c>
      <c r="AP1605" t="inlineStr">
        <is>
          <t>28.6</t>
        </is>
      </c>
      <c r="AQ1605" t="inlineStr">
        <is>
          <t>447</t>
        </is>
      </c>
      <c r="AR1605" t="inlineStr">
        <is>
          <t>100.0</t>
        </is>
      </c>
      <c r="AS1605" t="inlineStr">
        <is>
          <t>14</t>
        </is>
      </c>
      <c r="AT1605" t="inlineStr">
        <is>
          <t>100.0</t>
        </is>
      </c>
      <c r="AU1605" t="inlineStr">
        <is>
          <t>24</t>
        </is>
      </c>
      <c r="AV1605" t="inlineStr">
        <is>
          <t>18.4</t>
        </is>
      </c>
      <c r="AW1605" t="inlineStr">
        <is>
          <t>557</t>
        </is>
      </c>
      <c r="AX1605" t="inlineStr">
        <is>
          <t>25.6</t>
        </is>
      </c>
      <c r="AY1605" t="inlineStr">
        <is>
          <t>323</t>
        </is>
      </c>
      <c r="AZ1605" t="inlineStr"/>
      <c r="BA1605" t="inlineStr"/>
    </row>
    <row r="1606">
      <c r="A1606" t="inlineStr">
        <is>
          <t>University of Macau</t>
        </is>
      </c>
      <c r="B1606" t="inlineStr">
        <is>
          <t>Macao SAR, China</t>
        </is>
      </c>
      <c r="C1606" t="inlineStr"/>
      <c r="D1606" t="inlineStr">
        <is>
          <t>Asia</t>
        </is>
      </c>
      <c r="E1606" t="inlineStr">
        <is>
          <t>L</t>
        </is>
      </c>
      <c r="F1606" t="inlineStr">
        <is>
          <t>CO</t>
        </is>
      </c>
      <c r="G1606" t="inlineStr">
        <is>
          <t>VH</t>
        </is>
      </c>
      <c r="H1606" t="inlineStr"/>
      <c r="I1606" t="inlineStr">
        <is>
          <t>Public</t>
        </is>
      </c>
      <c r="J1606" t="inlineStr">
        <is>
          <t>285</t>
        </is>
      </c>
      <c r="K1606" t="inlineStr">
        <is>
          <t>245</t>
        </is>
      </c>
      <c r="L1606" t="inlineStr"/>
      <c r="M1606" t="inlineStr"/>
      <c r="N1606" t="inlineStr">
        <is>
          <t>47</t>
        </is>
      </c>
      <c r="O1606" t="inlineStr"/>
      <c r="P1606" t="n">
        <v>18.5</v>
      </c>
      <c r="Q1606" t="inlineStr">
        <is>
          <t>660</t>
        </is>
      </c>
      <c r="R1606" t="n">
        <v>17.9</v>
      </c>
      <c r="S1606" t="inlineStr">
        <is>
          <t>701+</t>
        </is>
      </c>
      <c r="T1606" t="n">
        <v>11.7</v>
      </c>
      <c r="U1606" t="inlineStr">
        <is>
          <t>801+</t>
        </is>
      </c>
      <c r="V1606" t="n">
        <v>99.90000000000001</v>
      </c>
      <c r="W1606" t="inlineStr">
        <is>
          <t>21</t>
        </is>
      </c>
      <c r="X1606" t="n">
        <v>100</v>
      </c>
      <c r="Y1606" t="inlineStr">
        <is>
          <t>25</t>
        </is>
      </c>
      <c r="Z1606" t="n">
        <v>100</v>
      </c>
      <c r="AA1606" t="inlineStr">
        <is>
          <t>30</t>
        </is>
      </c>
      <c r="AB1606" t="n">
        <v>99.59999999999999</v>
      </c>
      <c r="AC1606" t="inlineStr">
        <is>
          <t>44</t>
        </is>
      </c>
      <c r="AD1606" t="n">
        <v>55.1</v>
      </c>
      <c r="AE1606" t="inlineStr">
        <is>
          <t>770</t>
        </is>
      </c>
      <c r="AF1606" t="n">
        <v>56.8</v>
      </c>
      <c r="AG1606" t="inlineStr">
        <is>
          <t>294</t>
        </is>
      </c>
      <c r="AH1606" t="n">
        <v>52.2</v>
      </c>
      <c r="AI1606" t="inlineStr">
        <is>
          <t>658=</t>
        </is>
      </c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</row>
    <row r="1607">
      <c r="A1607" t="inlineStr">
        <is>
          <t>University of Macau</t>
        </is>
      </c>
      <c r="B1607" t="inlineStr">
        <is>
          <t>Macau SAR</t>
        </is>
      </c>
      <c r="C1607" t="inlineStr">
        <is>
          <t>MO</t>
        </is>
      </c>
      <c r="D1607" t="inlineStr"/>
      <c r="E1607" t="inlineStr">
        <is>
          <t>M</t>
        </is>
      </c>
      <c r="F1607" t="inlineStr">
        <is>
          <t>FO</t>
        </is>
      </c>
      <c r="G1607" t="inlineStr">
        <is>
          <t>VH</t>
        </is>
      </c>
      <c r="H1607" t="inlineStr">
        <is>
          <t>3</t>
        </is>
      </c>
      <c r="I1607" t="inlineStr">
        <is>
          <t>A</t>
        </is>
      </c>
      <c r="J1607" t="inlineStr"/>
      <c r="K1607" t="inlineStr"/>
      <c r="L1607" t="inlineStr">
        <is>
          <t>254</t>
        </is>
      </c>
      <c r="M1607" t="inlineStr">
        <is>
          <t>304</t>
        </is>
      </c>
      <c r="N1607" t="inlineStr"/>
      <c r="O1607" t="inlineStr">
        <is>
          <t>38.9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>
        <is>
          <t>10.6</t>
        </is>
      </c>
      <c r="AK1607" t="inlineStr">
        <is>
          <t>601+</t>
        </is>
      </c>
      <c r="AL1607" t="inlineStr">
        <is>
          <t>14.2</t>
        </is>
      </c>
      <c r="AM1607" t="inlineStr">
        <is>
          <t>575</t>
        </is>
      </c>
      <c r="AN1607" t="inlineStr">
        <is>
          <t>12.2</t>
        </is>
      </c>
      <c r="AO1607" t="inlineStr">
        <is>
          <t>701+</t>
        </is>
      </c>
      <c r="AP1607" t="inlineStr">
        <is>
          <t>96.9</t>
        </is>
      </c>
      <c r="AQ1607" t="inlineStr">
        <is>
          <t>43</t>
        </is>
      </c>
      <c r="AR1607" t="inlineStr">
        <is>
          <t>100.0</t>
        </is>
      </c>
      <c r="AS1607" t="inlineStr">
        <is>
          <t>18</t>
        </is>
      </c>
      <c r="AT1607" t="inlineStr">
        <is>
          <t>99.3</t>
        </is>
      </c>
      <c r="AU1607" t="inlineStr">
        <is>
          <t>49</t>
        </is>
      </c>
      <c r="AV1607" t="inlineStr">
        <is>
          <t>11.4</t>
        </is>
      </c>
      <c r="AW1607" t="inlineStr">
        <is>
          <t>646</t>
        </is>
      </c>
      <c r="AX1607" t="inlineStr">
        <is>
          <t>41.6</t>
        </is>
      </c>
      <c r="AY1607" t="inlineStr">
        <is>
          <t>177</t>
        </is>
      </c>
      <c r="AZ1607" t="inlineStr">
        <is>
          <t>4.3</t>
        </is>
      </c>
      <c r="BA1607" t="inlineStr">
        <is>
          <t>701+</t>
        </is>
      </c>
    </row>
    <row r="1608">
      <c r="A1608" t="inlineStr">
        <is>
          <t>University of Madras</t>
        </is>
      </c>
      <c r="B1608" t="inlineStr">
        <is>
          <t>India</t>
        </is>
      </c>
      <c r="C1608" t="inlineStr">
        <is>
          <t>IN</t>
        </is>
      </c>
      <c r="D1608" t="inlineStr"/>
      <c r="E1608" t="inlineStr">
        <is>
          <t>S</t>
        </is>
      </c>
      <c r="F1608" t="inlineStr">
        <is>
          <t>CO</t>
        </is>
      </c>
      <c r="G1608" t="inlineStr">
        <is>
          <t>VH</t>
        </is>
      </c>
      <c r="H1608" t="inlineStr">
        <is>
          <t>5</t>
        </is>
      </c>
      <c r="I1608" t="inlineStr">
        <is>
          <t>A</t>
        </is>
      </c>
      <c r="J1608" t="inlineStr"/>
      <c r="K1608" t="inlineStr"/>
      <c r="L1608">
        <f>526</f>
        <v/>
      </c>
      <c r="M1608" t="inlineStr">
        <is>
          <t>541-550</t>
        </is>
      </c>
      <c r="N1608" t="inlineStr"/>
      <c r="O1608" t="inlineStr">
        <is>
          <t>22.3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>
        <is>
          <t>8.7</t>
        </is>
      </c>
      <c r="AK1608" t="inlineStr">
        <is>
          <t>601+</t>
        </is>
      </c>
      <c r="AL1608" t="inlineStr">
        <is>
          <t>3.6</t>
        </is>
      </c>
      <c r="AM1608" t="inlineStr">
        <is>
          <t>601+</t>
        </is>
      </c>
      <c r="AN1608" t="inlineStr"/>
      <c r="AO1608" t="inlineStr"/>
      <c r="AP1608" t="inlineStr">
        <is>
          <t>95.4</t>
        </is>
      </c>
      <c r="AQ1608" t="inlineStr">
        <is>
          <t>51</t>
        </is>
      </c>
      <c r="AR1608" t="inlineStr"/>
      <c r="AS1608" t="inlineStr"/>
      <c r="AT1608" t="inlineStr"/>
      <c r="AU1608" t="inlineStr"/>
      <c r="AV1608" t="inlineStr">
        <is>
          <t>2.4</t>
        </is>
      </c>
      <c r="AW1608" t="inlineStr">
        <is>
          <t>701+</t>
        </is>
      </c>
      <c r="AX1608" t="inlineStr"/>
      <c r="AY1608" t="inlineStr"/>
      <c r="AZ1608" t="inlineStr">
        <is>
          <t>1.1</t>
        </is>
      </c>
      <c r="BA1608" t="inlineStr">
        <is>
          <t>701+</t>
        </is>
      </c>
    </row>
    <row r="1609">
      <c r="A1609" t="inlineStr">
        <is>
          <t>University of Malaysia Sabah (UMS)</t>
        </is>
      </c>
      <c r="B1609" t="inlineStr">
        <is>
          <t>Malaysia</t>
        </is>
      </c>
      <c r="C1609" t="inlineStr"/>
      <c r="D1609" t="inlineStr">
        <is>
          <t>Asia</t>
        </is>
      </c>
      <c r="E1609" t="inlineStr">
        <is>
          <t>L</t>
        </is>
      </c>
      <c r="F1609" t="inlineStr">
        <is>
          <t>FC</t>
        </is>
      </c>
      <c r="G1609" t="inlineStr">
        <is>
          <t>HI</t>
        </is>
      </c>
      <c r="H1609" t="inlineStr"/>
      <c r="I1609" t="inlineStr">
        <is>
          <t>Public</t>
        </is>
      </c>
      <c r="J1609" t="inlineStr">
        <is>
          <t>1001-1200</t>
        </is>
      </c>
      <c r="K1609" t="inlineStr">
        <is>
          <t>1001-1200</t>
        </is>
      </c>
      <c r="L1609" t="inlineStr"/>
      <c r="M1609" t="inlineStr"/>
      <c r="N1609" t="inlineStr">
        <is>
          <t>-</t>
        </is>
      </c>
      <c r="O1609" t="inlineStr"/>
      <c r="P1609" t="n">
        <v>22</v>
      </c>
      <c r="Q1609" t="inlineStr">
        <is>
          <t>565</t>
        </is>
      </c>
      <c r="R1609" t="n">
        <v>15.7</v>
      </c>
      <c r="S1609" t="inlineStr">
        <is>
          <t>701+</t>
        </is>
      </c>
      <c r="T1609" t="n">
        <v>15.1</v>
      </c>
      <c r="U1609" t="inlineStr">
        <is>
          <t>801+</t>
        </is>
      </c>
      <c r="V1609" t="n">
        <v>6.2</v>
      </c>
      <c r="W1609" t="inlineStr">
        <is>
          <t>801+</t>
        </is>
      </c>
      <c r="X1609" t="n">
        <v>23.9</v>
      </c>
      <c r="Y1609" t="inlineStr">
        <is>
          <t>663</t>
        </is>
      </c>
      <c r="Z1609" t="n">
        <v>12.4</v>
      </c>
      <c r="AA1609" t="inlineStr">
        <is>
          <t>801+</t>
        </is>
      </c>
      <c r="AB1609" t="n">
        <v>15.3</v>
      </c>
      <c r="AC1609" t="inlineStr">
        <is>
          <t>801+</t>
        </is>
      </c>
      <c r="AD1609" t="n">
        <v>33.2</v>
      </c>
      <c r="AE1609" t="inlineStr">
        <is>
          <t>801+</t>
        </is>
      </c>
      <c r="AF1609" t="n">
        <v>5</v>
      </c>
      <c r="AG1609" t="inlineStr">
        <is>
          <t>801+</t>
        </is>
      </c>
      <c r="AH1609" t="n">
        <v>48.1</v>
      </c>
      <c r="AI1609" t="inlineStr">
        <is>
          <t>757=</t>
        </is>
      </c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</row>
    <row r="1610">
      <c r="A1610" t="inlineStr">
        <is>
          <t>University of Malta</t>
        </is>
      </c>
      <c r="B1610" t="inlineStr">
        <is>
          <t>Malta</t>
        </is>
      </c>
      <c r="C1610" t="inlineStr">
        <is>
          <t>MT</t>
        </is>
      </c>
      <c r="D1610" t="inlineStr">
        <is>
          <t>Europe</t>
        </is>
      </c>
      <c r="E1610" t="inlineStr">
        <is>
          <t>M</t>
        </is>
      </c>
      <c r="F1610" t="inlineStr">
        <is>
          <t>FC</t>
        </is>
      </c>
      <c r="G1610" t="inlineStr">
        <is>
          <t>VH</t>
        </is>
      </c>
      <c r="H1610" t="inlineStr">
        <is>
          <t>3</t>
        </is>
      </c>
      <c r="I1610" t="inlineStr">
        <is>
          <t>Public</t>
        </is>
      </c>
      <c r="J1610" t="inlineStr">
        <is>
          <t>741-750</t>
        </is>
      </c>
      <c r="K1610" t="inlineStr">
        <is>
          <t>751-760</t>
        </is>
      </c>
      <c r="L1610" t="inlineStr">
        <is>
          <t>851-900</t>
        </is>
      </c>
      <c r="M1610" t="inlineStr">
        <is>
          <t>801-1000</t>
        </is>
      </c>
      <c r="N1610" t="inlineStr">
        <is>
          <t>-</t>
        </is>
      </c>
      <c r="O1610" t="inlineStr">
        <is>
          <t>-</t>
        </is>
      </c>
      <c r="P1610" t="n">
        <v>9.300000000000001</v>
      </c>
      <c r="Q1610" t="inlineStr">
        <is>
          <t>701+</t>
        </is>
      </c>
      <c r="R1610" t="n">
        <v>7.4</v>
      </c>
      <c r="S1610" t="inlineStr">
        <is>
          <t>701+</t>
        </is>
      </c>
      <c r="T1610" t="n">
        <v>47.7</v>
      </c>
      <c r="U1610" t="inlineStr">
        <is>
          <t>408</t>
        </is>
      </c>
      <c r="V1610" t="n">
        <v>10.1</v>
      </c>
      <c r="W1610" t="inlineStr">
        <is>
          <t>801+</t>
        </is>
      </c>
      <c r="X1610" t="n">
        <v>33.1</v>
      </c>
      <c r="Y1610" t="inlineStr">
        <is>
          <t>551</t>
        </is>
      </c>
      <c r="Z1610" t="n">
        <v>42.2</v>
      </c>
      <c r="AA1610" t="inlineStr">
        <is>
          <t>472</t>
        </is>
      </c>
      <c r="AB1610" t="n">
        <v>47.5</v>
      </c>
      <c r="AC1610" t="inlineStr">
        <is>
          <t>436</t>
        </is>
      </c>
      <c r="AD1610" t="n">
        <v>76.8</v>
      </c>
      <c r="AE1610" t="inlineStr">
        <is>
          <t>409</t>
        </is>
      </c>
      <c r="AF1610" t="n">
        <v>98.09999999999999</v>
      </c>
      <c r="AG1610" t="inlineStr">
        <is>
          <t>40</t>
        </is>
      </c>
      <c r="AH1610" t="n">
        <v>38.2</v>
      </c>
      <c r="AI1610" t="inlineStr">
        <is>
          <t>801+</t>
        </is>
      </c>
      <c r="AJ1610" t="inlineStr">
        <is>
          <t>5.3</t>
        </is>
      </c>
      <c r="AK1610" t="inlineStr">
        <is>
          <t>601+</t>
        </is>
      </c>
      <c r="AL1610" t="inlineStr">
        <is>
          <t>5.2</t>
        </is>
      </c>
      <c r="AM1610" t="inlineStr">
        <is>
          <t>601+</t>
        </is>
      </c>
      <c r="AN1610" t="inlineStr">
        <is>
          <t>38.2</t>
        </is>
      </c>
      <c r="AO1610" t="inlineStr">
        <is>
          <t>413</t>
        </is>
      </c>
      <c r="AP1610" t="inlineStr">
        <is>
          <t>6.5</t>
        </is>
      </c>
      <c r="AQ1610" t="inlineStr">
        <is>
          <t>701+</t>
        </is>
      </c>
      <c r="AR1610" t="inlineStr">
        <is>
          <t>15.1</t>
        </is>
      </c>
      <c r="AS1610" t="inlineStr">
        <is>
          <t>665</t>
        </is>
      </c>
      <c r="AT1610" t="inlineStr">
        <is>
          <t>11.2</t>
        </is>
      </c>
      <c r="AU1610" t="inlineStr">
        <is>
          <t>688</t>
        </is>
      </c>
      <c r="AV1610" t="inlineStr">
        <is>
          <t>35.4</t>
        </is>
      </c>
      <c r="AW1610" t="inlineStr">
        <is>
          <t>416</t>
        </is>
      </c>
      <c r="AX1610" t="inlineStr">
        <is>
          <t>47.4</t>
        </is>
      </c>
      <c r="AY1610" t="inlineStr">
        <is>
          <t>147</t>
        </is>
      </c>
      <c r="AZ1610" t="inlineStr">
        <is>
          <t>2.3</t>
        </is>
      </c>
      <c r="BA1610" t="inlineStr">
        <is>
          <t>701+</t>
        </is>
      </c>
    </row>
    <row r="1611">
      <c r="A1611" t="inlineStr">
        <is>
          <t>University of Management and Technology (UMT), Pakistan</t>
        </is>
      </c>
      <c r="B1611" t="inlineStr">
        <is>
          <t>Pakistan</t>
        </is>
      </c>
      <c r="C1611" t="inlineStr"/>
      <c r="D1611" t="inlineStr">
        <is>
          <t>Asia</t>
        </is>
      </c>
      <c r="E1611" t="inlineStr">
        <is>
          <t>L</t>
        </is>
      </c>
      <c r="F1611" t="inlineStr">
        <is>
          <t>CO</t>
        </is>
      </c>
      <c r="G1611" t="inlineStr">
        <is>
          <t>HI</t>
        </is>
      </c>
      <c r="H1611" t="inlineStr"/>
      <c r="I1611" t="inlineStr">
        <is>
          <t>Private not for Profit</t>
        </is>
      </c>
      <c r="J1611" t="inlineStr">
        <is>
          <t>1201-1400</t>
        </is>
      </c>
      <c r="K1611" t="inlineStr"/>
      <c r="L1611" t="inlineStr"/>
      <c r="M1611" t="inlineStr"/>
      <c r="N1611" t="inlineStr">
        <is>
          <t>-</t>
        </is>
      </c>
      <c r="O1611" t="inlineStr"/>
      <c r="P1611" t="n">
        <v>7.2</v>
      </c>
      <c r="Q1611" t="inlineStr">
        <is>
          <t>701+</t>
        </is>
      </c>
      <c r="R1611" t="n">
        <v>10.9</v>
      </c>
      <c r="S1611" t="inlineStr">
        <is>
          <t>701+</t>
        </is>
      </c>
      <c r="T1611" t="n">
        <v>17.6</v>
      </c>
      <c r="U1611" t="inlineStr">
        <is>
          <t>801+</t>
        </is>
      </c>
      <c r="V1611" t="n">
        <v>9.4</v>
      </c>
      <c r="W1611" t="inlineStr">
        <is>
          <t>801+</t>
        </is>
      </c>
      <c r="X1611" t="n">
        <v>1.9</v>
      </c>
      <c r="Y1611" t="inlineStr">
        <is>
          <t>801+</t>
        </is>
      </c>
      <c r="Z1611" t="n">
        <v>1.7</v>
      </c>
      <c r="AA1611" t="inlineStr">
        <is>
          <t>801+</t>
        </is>
      </c>
      <c r="AB1611" t="n">
        <v>6</v>
      </c>
      <c r="AC1611" t="inlineStr">
        <is>
          <t>801+</t>
        </is>
      </c>
      <c r="AD1611" t="n">
        <v>54.4</v>
      </c>
      <c r="AE1611" t="inlineStr">
        <is>
          <t>777</t>
        </is>
      </c>
      <c r="AF1611" t="n">
        <v>3.3</v>
      </c>
      <c r="AG1611" t="inlineStr">
        <is>
          <t>801+</t>
        </is>
      </c>
      <c r="AH1611" t="n">
        <v>46.6</v>
      </c>
      <c r="AI1611" t="inlineStr">
        <is>
          <t>801+</t>
        </is>
      </c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</row>
    <row r="1612">
      <c r="A1612" t="inlineStr">
        <is>
          <t>University of Manitoba</t>
        </is>
      </c>
      <c r="B1612" t="inlineStr">
        <is>
          <t>Canada</t>
        </is>
      </c>
      <c r="C1612" t="inlineStr">
        <is>
          <t>CA</t>
        </is>
      </c>
      <c r="D1612" t="inlineStr">
        <is>
          <t>Americas</t>
        </is>
      </c>
      <c r="E1612" t="inlineStr">
        <is>
          <t>L</t>
        </is>
      </c>
      <c r="F1612" t="inlineStr">
        <is>
          <t>FC</t>
        </is>
      </c>
      <c r="G1612" t="inlineStr">
        <is>
          <t>VH</t>
        </is>
      </c>
      <c r="H1612" t="inlineStr">
        <is>
          <t>5</t>
        </is>
      </c>
      <c r="I1612" t="inlineStr">
        <is>
          <t>Public</t>
        </is>
      </c>
      <c r="J1612" t="inlineStr">
        <is>
          <t>643</t>
        </is>
      </c>
      <c r="K1612" t="inlineStr">
        <is>
          <t>661-670</t>
        </is>
      </c>
      <c r="L1612" t="inlineStr">
        <is>
          <t>671-680</t>
        </is>
      </c>
      <c r="M1612" t="inlineStr">
        <is>
          <t>651-700</t>
        </is>
      </c>
      <c r="N1612" t="inlineStr">
        <is>
          <t>26.9</t>
        </is>
      </c>
      <c r="O1612" t="inlineStr">
        <is>
          <t>-</t>
        </is>
      </c>
      <c r="P1612" t="n">
        <v>19.2</v>
      </c>
      <c r="Q1612" t="inlineStr">
        <is>
          <t>643</t>
        </is>
      </c>
      <c r="R1612" t="n">
        <v>20</v>
      </c>
      <c r="S1612" t="inlineStr">
        <is>
          <t>657</t>
        </is>
      </c>
      <c r="T1612" t="n">
        <v>31.8</v>
      </c>
      <c r="U1612" t="inlineStr">
        <is>
          <t>604</t>
        </is>
      </c>
      <c r="V1612" t="n">
        <v>22.6</v>
      </c>
      <c r="W1612" t="inlineStr">
        <is>
          <t>675</t>
        </is>
      </c>
      <c r="X1612" t="inlineStr"/>
      <c r="Y1612" t="inlineStr"/>
      <c r="Z1612" t="n">
        <v>68.40000000000001</v>
      </c>
      <c r="AA1612" t="inlineStr">
        <is>
          <t>287</t>
        </is>
      </c>
      <c r="AB1612" t="n">
        <v>71.5</v>
      </c>
      <c r="AC1612" t="inlineStr">
        <is>
          <t>257</t>
        </is>
      </c>
      <c r="AD1612" t="n">
        <v>70</v>
      </c>
      <c r="AE1612" t="inlineStr">
        <is>
          <t>532</t>
        </is>
      </c>
      <c r="AF1612" t="n">
        <v>39.5</v>
      </c>
      <c r="AG1612" t="inlineStr">
        <is>
          <t>442</t>
        </is>
      </c>
      <c r="AH1612" t="n">
        <v>55.7</v>
      </c>
      <c r="AI1612" t="inlineStr">
        <is>
          <t>582=</t>
        </is>
      </c>
      <c r="AJ1612" t="inlineStr">
        <is>
          <t>14.5</t>
        </is>
      </c>
      <c r="AK1612" t="inlineStr">
        <is>
          <t>596</t>
        </is>
      </c>
      <c r="AL1612" t="inlineStr">
        <is>
          <t>12.0</t>
        </is>
      </c>
      <c r="AM1612" t="inlineStr">
        <is>
          <t>601+</t>
        </is>
      </c>
      <c r="AN1612" t="inlineStr">
        <is>
          <t>36.3</t>
        </is>
      </c>
      <c r="AO1612" t="inlineStr">
        <is>
          <t>438</t>
        </is>
      </c>
      <c r="AP1612" t="inlineStr">
        <is>
          <t>10.0</t>
        </is>
      </c>
      <c r="AQ1612" t="inlineStr">
        <is>
          <t>701+</t>
        </is>
      </c>
      <c r="AR1612" t="inlineStr"/>
      <c r="AS1612" t="inlineStr"/>
      <c r="AT1612" t="inlineStr">
        <is>
          <t>27.8</t>
        </is>
      </c>
      <c r="AU1612" t="inlineStr">
        <is>
          <t>442</t>
        </is>
      </c>
      <c r="AV1612" t="inlineStr">
        <is>
          <t>29.3</t>
        </is>
      </c>
      <c r="AW1612" t="inlineStr">
        <is>
          <t>461</t>
        </is>
      </c>
      <c r="AX1612" t="inlineStr">
        <is>
          <t>24.1</t>
        </is>
      </c>
      <c r="AY1612" t="inlineStr">
        <is>
          <t>348</t>
        </is>
      </c>
      <c r="AZ1612" t="inlineStr">
        <is>
          <t>32.9</t>
        </is>
      </c>
      <c r="BA1612" t="inlineStr">
        <is>
          <t>419</t>
        </is>
      </c>
    </row>
    <row r="1613">
      <c r="A1613" t="inlineStr">
        <is>
          <t>University of Maribor</t>
        </is>
      </c>
      <c r="B1613" t="inlineStr">
        <is>
          <t>Slovenia</t>
        </is>
      </c>
      <c r="C1613" t="inlineStr">
        <is>
          <t>SI</t>
        </is>
      </c>
      <c r="D1613" t="inlineStr">
        <is>
          <t>Europe</t>
        </is>
      </c>
      <c r="E1613" t="inlineStr">
        <is>
          <t>L</t>
        </is>
      </c>
      <c r="F1613" t="inlineStr">
        <is>
          <t>FC</t>
        </is>
      </c>
      <c r="G1613" t="inlineStr">
        <is>
          <t>HI</t>
        </is>
      </c>
      <c r="H1613" t="inlineStr">
        <is>
          <t>3</t>
        </is>
      </c>
      <c r="I1613" t="inlineStr">
        <is>
          <t>Public</t>
        </is>
      </c>
      <c r="J1613" t="inlineStr">
        <is>
          <t>901-950</t>
        </is>
      </c>
      <c r="K1613" t="inlineStr">
        <is>
          <t>901-950</t>
        </is>
      </c>
      <c r="L1613" t="inlineStr">
        <is>
          <t>851-900</t>
        </is>
      </c>
      <c r="M1613" t="inlineStr">
        <is>
          <t>801-1000</t>
        </is>
      </c>
      <c r="N1613" t="inlineStr">
        <is>
          <t>-</t>
        </is>
      </c>
      <c r="O1613" t="inlineStr">
        <is>
          <t>-</t>
        </is>
      </c>
      <c r="P1613" t="n">
        <v>10.8</v>
      </c>
      <c r="Q1613" t="inlineStr">
        <is>
          <t>701+</t>
        </is>
      </c>
      <c r="R1613" t="n">
        <v>15.6</v>
      </c>
      <c r="S1613" t="inlineStr">
        <is>
          <t>701+</t>
        </is>
      </c>
      <c r="T1613" t="n">
        <v>36.4</v>
      </c>
      <c r="U1613" t="inlineStr">
        <is>
          <t>551</t>
        </is>
      </c>
      <c r="V1613" t="n">
        <v>12.7</v>
      </c>
      <c r="W1613" t="inlineStr">
        <is>
          <t>801+</t>
        </is>
      </c>
      <c r="X1613" t="n">
        <v>2.3</v>
      </c>
      <c r="Y1613" t="inlineStr">
        <is>
          <t>801+</t>
        </is>
      </c>
      <c r="Z1613" t="n">
        <v>27.3</v>
      </c>
      <c r="AA1613" t="inlineStr">
        <is>
          <t>623</t>
        </is>
      </c>
      <c r="AB1613" t="n">
        <v>28.3</v>
      </c>
      <c r="AC1613" t="inlineStr">
        <is>
          <t>635</t>
        </is>
      </c>
      <c r="AD1613" t="n">
        <v>67.40000000000001</v>
      </c>
      <c r="AE1613" t="inlineStr">
        <is>
          <t>580</t>
        </is>
      </c>
      <c r="AF1613" t="n">
        <v>41.3</v>
      </c>
      <c r="AG1613" t="inlineStr">
        <is>
          <t>422</t>
        </is>
      </c>
      <c r="AH1613" t="n">
        <v>49.9</v>
      </c>
      <c r="AI1613" t="inlineStr">
        <is>
          <t>705</t>
        </is>
      </c>
      <c r="AJ1613" t="inlineStr">
        <is>
          <t>7.0</t>
        </is>
      </c>
      <c r="AK1613" t="inlineStr">
        <is>
          <t>601+</t>
        </is>
      </c>
      <c r="AL1613" t="inlineStr">
        <is>
          <t>6.7</t>
        </is>
      </c>
      <c r="AM1613" t="inlineStr">
        <is>
          <t>601+</t>
        </is>
      </c>
      <c r="AN1613" t="inlineStr">
        <is>
          <t>30.8</t>
        </is>
      </c>
      <c r="AO1613" t="inlineStr">
        <is>
          <t>509</t>
        </is>
      </c>
      <c r="AP1613" t="inlineStr">
        <is>
          <t>6.7</t>
        </is>
      </c>
      <c r="AQ1613" t="inlineStr">
        <is>
          <t>701+</t>
        </is>
      </c>
      <c r="AR1613" t="inlineStr">
        <is>
          <t>1.9</t>
        </is>
      </c>
      <c r="AS1613" t="inlineStr">
        <is>
          <t>701+</t>
        </is>
      </c>
      <c r="AT1613" t="inlineStr">
        <is>
          <t>14.3</t>
        </is>
      </c>
      <c r="AU1613" t="inlineStr">
        <is>
          <t>636</t>
        </is>
      </c>
      <c r="AV1613" t="inlineStr">
        <is>
          <t>16.1</t>
        </is>
      </c>
      <c r="AW1613" t="inlineStr">
        <is>
          <t>584</t>
        </is>
      </c>
      <c r="AX1613" t="inlineStr">
        <is>
          <t>52.1</t>
        </is>
      </c>
      <c r="AY1613" t="inlineStr">
        <is>
          <t>123</t>
        </is>
      </c>
      <c r="AZ1613" t="inlineStr">
        <is>
          <t>31.3</t>
        </is>
      </c>
      <c r="BA1613" t="inlineStr">
        <is>
          <t>428=</t>
        </is>
      </c>
    </row>
    <row r="1614">
      <c r="A1614" t="inlineStr">
        <is>
          <t>University of Maryland, Baltimore</t>
        </is>
      </c>
      <c r="B1614" t="inlineStr">
        <is>
          <t>United States</t>
        </is>
      </c>
      <c r="C1614" t="inlineStr"/>
      <c r="D1614" t="inlineStr">
        <is>
          <t>Americas</t>
        </is>
      </c>
      <c r="E1614" t="inlineStr">
        <is>
          <t>M</t>
        </is>
      </c>
      <c r="F1614" t="inlineStr">
        <is>
          <t>FC</t>
        </is>
      </c>
      <c r="G1614" t="inlineStr">
        <is>
          <t>VH</t>
        </is>
      </c>
      <c r="H1614" t="inlineStr"/>
      <c r="I1614" t="inlineStr">
        <is>
          <t>Public</t>
        </is>
      </c>
      <c r="J1614" t="inlineStr">
        <is>
          <t>801-850</t>
        </is>
      </c>
      <c r="K1614" t="inlineStr"/>
      <c r="L1614" t="inlineStr"/>
      <c r="M1614" t="inlineStr"/>
      <c r="N1614" t="inlineStr">
        <is>
          <t>-</t>
        </is>
      </c>
      <c r="O1614" t="inlineStr"/>
      <c r="P1614" t="n">
        <v>7.6</v>
      </c>
      <c r="Q1614" t="inlineStr">
        <is>
          <t>701+</t>
        </is>
      </c>
      <c r="R1614" t="n">
        <v>2.3</v>
      </c>
      <c r="S1614" t="inlineStr">
        <is>
          <t>701+</t>
        </is>
      </c>
      <c r="T1614" t="n">
        <v>100</v>
      </c>
      <c r="U1614" t="inlineStr">
        <is>
          <t>3</t>
        </is>
      </c>
      <c r="V1614" t="n">
        <v>22.5</v>
      </c>
      <c r="W1614" t="inlineStr">
        <is>
          <t>678</t>
        </is>
      </c>
      <c r="X1614" t="n">
        <v>22.1</v>
      </c>
      <c r="Y1614" t="inlineStr">
        <is>
          <t>687</t>
        </is>
      </c>
      <c r="Z1614" t="n">
        <v>10.2</v>
      </c>
      <c r="AA1614" t="inlineStr">
        <is>
          <t>801+</t>
        </is>
      </c>
      <c r="AB1614" t="n">
        <v>7.9</v>
      </c>
      <c r="AC1614" t="inlineStr">
        <is>
          <t>801+</t>
        </is>
      </c>
      <c r="AD1614" t="n">
        <v>45.7</v>
      </c>
      <c r="AE1614" t="inlineStr">
        <is>
          <t>801+</t>
        </is>
      </c>
      <c r="AF1614" t="n">
        <v>2.3</v>
      </c>
      <c r="AG1614" t="inlineStr">
        <is>
          <t>801+</t>
        </is>
      </c>
      <c r="AH1614" t="n">
        <v>41.3</v>
      </c>
      <c r="AI1614" t="inlineStr">
        <is>
          <t>801+</t>
        </is>
      </c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</row>
    <row r="1615">
      <c r="A1615" t="inlineStr">
        <is>
          <t>University of Maryland, Baltimore County</t>
        </is>
      </c>
      <c r="B1615" t="inlineStr">
        <is>
          <t>United States</t>
        </is>
      </c>
      <c r="C1615" t="inlineStr">
        <is>
          <t>US</t>
        </is>
      </c>
      <c r="D1615" t="inlineStr">
        <is>
          <t>Americas</t>
        </is>
      </c>
      <c r="E1615" t="inlineStr">
        <is>
          <t>L</t>
        </is>
      </c>
      <c r="F1615" t="inlineStr">
        <is>
          <t>FC</t>
        </is>
      </c>
      <c r="G1615" t="inlineStr">
        <is>
          <t>HI</t>
        </is>
      </c>
      <c r="H1615" t="inlineStr">
        <is>
          <t>4</t>
        </is>
      </c>
      <c r="I1615" t="inlineStr">
        <is>
          <t>Public</t>
        </is>
      </c>
      <c r="J1615" t="inlineStr">
        <is>
          <t>801-850</t>
        </is>
      </c>
      <c r="K1615" t="inlineStr">
        <is>
          <t>771-780</t>
        </is>
      </c>
      <c r="L1615" t="inlineStr">
        <is>
          <t>711-720</t>
        </is>
      </c>
      <c r="M1615" t="inlineStr">
        <is>
          <t>801-1000</t>
        </is>
      </c>
      <c r="N1615" t="inlineStr">
        <is>
          <t>-</t>
        </is>
      </c>
      <c r="O1615" t="inlineStr">
        <is>
          <t>-</t>
        </is>
      </c>
      <c r="P1615" t="n">
        <v>13.6</v>
      </c>
      <c r="Q1615" t="inlineStr">
        <is>
          <t>701+</t>
        </is>
      </c>
      <c r="R1615" t="n">
        <v>8.199999999999999</v>
      </c>
      <c r="S1615" t="inlineStr">
        <is>
          <t>701+</t>
        </is>
      </c>
      <c r="T1615" t="n">
        <v>18.9</v>
      </c>
      <c r="U1615" t="inlineStr">
        <is>
          <t>801+</t>
        </is>
      </c>
      <c r="V1615" t="n">
        <v>20</v>
      </c>
      <c r="W1615" t="inlineStr">
        <is>
          <t>710</t>
        </is>
      </c>
      <c r="X1615" t="n">
        <v>72.90000000000001</v>
      </c>
      <c r="Y1615" t="inlineStr">
        <is>
          <t>325</t>
        </is>
      </c>
      <c r="Z1615" t="n">
        <v>50.8</v>
      </c>
      <c r="AA1615" t="inlineStr">
        <is>
          <t>406</t>
        </is>
      </c>
      <c r="AB1615" t="n">
        <v>55.5</v>
      </c>
      <c r="AC1615" t="inlineStr">
        <is>
          <t>371</t>
        </is>
      </c>
      <c r="AD1615" t="n">
        <v>45.4</v>
      </c>
      <c r="AE1615" t="inlineStr">
        <is>
          <t>801+</t>
        </is>
      </c>
      <c r="AF1615" t="n">
        <v>10.3</v>
      </c>
      <c r="AG1615" t="inlineStr">
        <is>
          <t>801+</t>
        </is>
      </c>
      <c r="AH1615" t="n">
        <v>66</v>
      </c>
      <c r="AI1615" t="inlineStr">
        <is>
          <t>381=</t>
        </is>
      </c>
      <c r="AJ1615" t="inlineStr">
        <is>
          <t>10.6</t>
        </is>
      </c>
      <c r="AK1615" t="inlineStr">
        <is>
          <t>601+</t>
        </is>
      </c>
      <c r="AL1615" t="inlineStr">
        <is>
          <t>13.1</t>
        </is>
      </c>
      <c r="AM1615" t="inlineStr">
        <is>
          <t>601+</t>
        </is>
      </c>
      <c r="AN1615" t="inlineStr">
        <is>
          <t>13.4</t>
        </is>
      </c>
      <c r="AO1615" t="inlineStr">
        <is>
          <t>701+</t>
        </is>
      </c>
      <c r="AP1615" t="inlineStr">
        <is>
          <t>18.1</t>
        </is>
      </c>
      <c r="AQ1615" t="inlineStr">
        <is>
          <t>581</t>
        </is>
      </c>
      <c r="AR1615" t="inlineStr">
        <is>
          <t>59.4</t>
        </is>
      </c>
      <c r="AS1615" t="inlineStr">
        <is>
          <t>318</t>
        </is>
      </c>
      <c r="AT1615" t="inlineStr">
        <is>
          <t>15.9</t>
        </is>
      </c>
      <c r="AU1615" t="inlineStr">
        <is>
          <t>601</t>
        </is>
      </c>
      <c r="AV1615" t="inlineStr">
        <is>
          <t>6.2</t>
        </is>
      </c>
      <c r="AW1615" t="inlineStr">
        <is>
          <t>701+</t>
        </is>
      </c>
      <c r="AX1615" t="inlineStr">
        <is>
          <t>10.8</t>
        </is>
      </c>
      <c r="AY1615" t="inlineStr">
        <is>
          <t>701+</t>
        </is>
      </c>
      <c r="AZ1615" t="inlineStr">
        <is>
          <t>38.7</t>
        </is>
      </c>
      <c r="BA1615" t="inlineStr">
        <is>
          <t>370=</t>
        </is>
      </c>
    </row>
    <row r="1616">
      <c r="A1616" t="inlineStr">
        <is>
          <t>University of Maryland, College Park</t>
        </is>
      </c>
      <c r="B1616" t="inlineStr">
        <is>
          <t>United States</t>
        </is>
      </c>
      <c r="C1616" t="inlineStr">
        <is>
          <t>US</t>
        </is>
      </c>
      <c r="D1616" t="inlineStr">
        <is>
          <t>Americas</t>
        </is>
      </c>
      <c r="E1616" t="inlineStr">
        <is>
          <t>XL</t>
        </is>
      </c>
      <c r="F1616" t="inlineStr">
        <is>
          <t>FC</t>
        </is>
      </c>
      <c r="G1616" t="inlineStr">
        <is>
          <t>VH</t>
        </is>
      </c>
      <c r="H1616" t="inlineStr">
        <is>
          <t>5</t>
        </is>
      </c>
      <c r="I1616" t="inlineStr">
        <is>
          <t>Public</t>
        </is>
      </c>
      <c r="J1616" t="inlineStr">
        <is>
          <t>207</t>
        </is>
      </c>
      <c r="K1616" t="inlineStr">
        <is>
          <t>218</t>
        </is>
      </c>
      <c r="L1616">
        <f>169</f>
        <v/>
      </c>
      <c r="M1616" t="inlineStr">
        <is>
          <t>164=</t>
        </is>
      </c>
      <c r="N1616" t="inlineStr">
        <is>
          <t>54.9</t>
        </is>
      </c>
      <c r="O1616" t="inlineStr">
        <is>
          <t>48.9</t>
        </is>
      </c>
      <c r="P1616" t="n">
        <v>57.2</v>
      </c>
      <c r="Q1616" t="inlineStr">
        <is>
          <t>191</t>
        </is>
      </c>
      <c r="R1616" t="n">
        <v>51.8</v>
      </c>
      <c r="S1616" t="inlineStr">
        <is>
          <t>236</t>
        </is>
      </c>
      <c r="T1616" t="n">
        <v>44.2</v>
      </c>
      <c r="U1616" t="inlineStr">
        <is>
          <t>449</t>
        </is>
      </c>
      <c r="V1616" t="n">
        <v>60.5</v>
      </c>
      <c r="W1616" t="inlineStr">
        <is>
          <t>284</t>
        </is>
      </c>
      <c r="X1616" t="n">
        <v>28</v>
      </c>
      <c r="Y1616" t="inlineStr">
        <is>
          <t>610</t>
        </is>
      </c>
      <c r="Z1616" t="n">
        <v>24.9</v>
      </c>
      <c r="AA1616" t="inlineStr">
        <is>
          <t>666</t>
        </is>
      </c>
      <c r="AB1616" t="n">
        <v>18.7</v>
      </c>
      <c r="AC1616" t="inlineStr">
        <is>
          <t>783</t>
        </is>
      </c>
      <c r="AD1616" t="n">
        <v>92.90000000000001</v>
      </c>
      <c r="AE1616" t="inlineStr">
        <is>
          <t>129</t>
        </is>
      </c>
      <c r="AF1616" t="n">
        <v>59.7</v>
      </c>
      <c r="AG1616" t="inlineStr">
        <is>
          <t>273</t>
        </is>
      </c>
      <c r="AH1616" t="n">
        <v>70.7</v>
      </c>
      <c r="AI1616" t="inlineStr">
        <is>
          <t>305=</t>
        </is>
      </c>
      <c r="AJ1616" t="inlineStr">
        <is>
          <t>49.2</t>
        </is>
      </c>
      <c r="AK1616" t="inlineStr">
        <is>
          <t>165</t>
        </is>
      </c>
      <c r="AL1616" t="inlineStr">
        <is>
          <t>26.1</t>
        </is>
      </c>
      <c r="AM1616" t="inlineStr">
        <is>
          <t>369</t>
        </is>
      </c>
      <c r="AN1616" t="inlineStr">
        <is>
          <t>35.1</t>
        </is>
      </c>
      <c r="AO1616" t="inlineStr">
        <is>
          <t>451</t>
        </is>
      </c>
      <c r="AP1616" t="inlineStr">
        <is>
          <t>68.4</t>
        </is>
      </c>
      <c r="AQ1616" t="inlineStr">
        <is>
          <t>154</t>
        </is>
      </c>
      <c r="AR1616" t="inlineStr">
        <is>
          <t>31.6</t>
        </is>
      </c>
      <c r="AS1616" t="inlineStr">
        <is>
          <t>477</t>
        </is>
      </c>
      <c r="AT1616" t="inlineStr">
        <is>
          <t>14.0</t>
        </is>
      </c>
      <c r="AU1616" t="inlineStr">
        <is>
          <t>639</t>
        </is>
      </c>
      <c r="AV1616" t="inlineStr">
        <is>
          <t>85.5</t>
        </is>
      </c>
      <c r="AW1616" t="inlineStr">
        <is>
          <t>113</t>
        </is>
      </c>
      <c r="AX1616" t="inlineStr">
        <is>
          <t>41.6</t>
        </is>
      </c>
      <c r="AY1616" t="inlineStr">
        <is>
          <t>176</t>
        </is>
      </c>
      <c r="AZ1616" t="inlineStr">
        <is>
          <t>81.7</t>
        </is>
      </c>
      <c r="BA1616" t="inlineStr">
        <is>
          <t>137=</t>
        </is>
      </c>
    </row>
    <row r="1617">
      <c r="A1617" t="inlineStr">
        <is>
          <t>University of Massachusetts, Amherst</t>
        </is>
      </c>
      <c r="B1617" t="inlineStr">
        <is>
          <t>United States</t>
        </is>
      </c>
      <c r="C1617" t="inlineStr">
        <is>
          <t>US</t>
        </is>
      </c>
      <c r="D1617" t="inlineStr">
        <is>
          <t>Americas</t>
        </is>
      </c>
      <c r="E1617" t="inlineStr">
        <is>
          <t>L</t>
        </is>
      </c>
      <c r="F1617" t="inlineStr">
        <is>
          <t>CO</t>
        </is>
      </c>
      <c r="G1617" t="inlineStr">
        <is>
          <t>VH</t>
        </is>
      </c>
      <c r="H1617" t="inlineStr">
        <is>
          <t>5</t>
        </is>
      </c>
      <c r="I1617" t="inlineStr">
        <is>
          <t>Public</t>
        </is>
      </c>
      <c r="J1617" t="inlineStr">
        <is>
          <t>247</t>
        </is>
      </c>
      <c r="K1617" t="inlineStr">
        <is>
          <t>275</t>
        </is>
      </c>
      <c r="L1617" t="inlineStr">
        <is>
          <t>245</t>
        </is>
      </c>
      <c r="M1617" t="inlineStr">
        <is>
          <t>253=</t>
        </is>
      </c>
      <c r="N1617" t="inlineStr">
        <is>
          <t>50.6</t>
        </is>
      </c>
      <c r="O1617" t="inlineStr">
        <is>
          <t>39.8</t>
        </is>
      </c>
      <c r="P1617" t="n">
        <v>48.1</v>
      </c>
      <c r="Q1617" t="inlineStr">
        <is>
          <t>238</t>
        </is>
      </c>
      <c r="R1617" t="n">
        <v>40</v>
      </c>
      <c r="S1617" t="inlineStr">
        <is>
          <t>342</t>
        </is>
      </c>
      <c r="T1617" t="n">
        <v>15.8</v>
      </c>
      <c r="U1617" t="inlineStr">
        <is>
          <t>801+</t>
        </is>
      </c>
      <c r="V1617" t="n">
        <v>62.4</v>
      </c>
      <c r="W1617" t="inlineStr">
        <is>
          <t>266</t>
        </is>
      </c>
      <c r="X1617" t="n">
        <v>77.90000000000001</v>
      </c>
      <c r="Y1617" t="inlineStr">
        <is>
          <t>307</t>
        </is>
      </c>
      <c r="Z1617" t="n">
        <v>46.3</v>
      </c>
      <c r="AA1617" t="inlineStr">
        <is>
          <t>436</t>
        </is>
      </c>
      <c r="AB1617" t="n">
        <v>51.3</v>
      </c>
      <c r="AC1617" t="inlineStr">
        <is>
          <t>404</t>
        </is>
      </c>
      <c r="AD1617" t="n">
        <v>78.8</v>
      </c>
      <c r="AE1617" t="inlineStr">
        <is>
          <t>372</t>
        </is>
      </c>
      <c r="AF1617" t="n">
        <v>44.2</v>
      </c>
      <c r="AG1617" t="inlineStr">
        <is>
          <t>399</t>
        </is>
      </c>
      <c r="AH1617" t="n">
        <v>84.5</v>
      </c>
      <c r="AI1617" t="inlineStr">
        <is>
          <t>119=</t>
        </is>
      </c>
      <c r="AJ1617" t="inlineStr">
        <is>
          <t>39.5</t>
        </is>
      </c>
      <c r="AK1617" t="inlineStr">
        <is>
          <t>218</t>
        </is>
      </c>
      <c r="AL1617" t="inlineStr">
        <is>
          <t>11.9</t>
        </is>
      </c>
      <c r="AM1617" t="inlineStr">
        <is>
          <t>601+</t>
        </is>
      </c>
      <c r="AN1617" t="inlineStr">
        <is>
          <t>10.7</t>
        </is>
      </c>
      <c r="AO1617" t="inlineStr">
        <is>
          <t>701+</t>
        </is>
      </c>
      <c r="AP1617" t="inlineStr">
        <is>
          <t>57.6</t>
        </is>
      </c>
      <c r="AQ1617" t="inlineStr">
        <is>
          <t>225</t>
        </is>
      </c>
      <c r="AR1617" t="inlineStr">
        <is>
          <t>71.0</t>
        </is>
      </c>
      <c r="AS1617" t="inlineStr">
        <is>
          <t>271</t>
        </is>
      </c>
      <c r="AT1617" t="inlineStr">
        <is>
          <t>23.8</t>
        </is>
      </c>
      <c r="AU1617" t="inlineStr">
        <is>
          <t>490</t>
        </is>
      </c>
      <c r="AV1617" t="inlineStr">
        <is>
          <t>52.0</t>
        </is>
      </c>
      <c r="AW1617" t="inlineStr">
        <is>
          <t>301</t>
        </is>
      </c>
      <c r="AX1617" t="inlineStr">
        <is>
          <t>27.7</t>
        </is>
      </c>
      <c r="AY1617" t="inlineStr">
        <is>
          <t>292</t>
        </is>
      </c>
      <c r="AZ1617" t="inlineStr">
        <is>
          <t>93.5</t>
        </is>
      </c>
      <c r="BA1617" t="inlineStr">
        <is>
          <t>67</t>
        </is>
      </c>
    </row>
    <row r="1618">
      <c r="A1618" t="inlineStr">
        <is>
          <t>University of Massachusetts - Boston</t>
        </is>
      </c>
      <c r="B1618" t="inlineStr">
        <is>
          <t>United States</t>
        </is>
      </c>
      <c r="C1618" t="inlineStr">
        <is>
          <t>US</t>
        </is>
      </c>
      <c r="D1618" t="inlineStr">
        <is>
          <t>Americas</t>
        </is>
      </c>
      <c r="E1618" t="inlineStr">
        <is>
          <t>L</t>
        </is>
      </c>
      <c r="F1618" t="inlineStr">
        <is>
          <t>FC</t>
        </is>
      </c>
      <c r="G1618" t="inlineStr">
        <is>
          <t>HI</t>
        </is>
      </c>
      <c r="H1618" t="inlineStr">
        <is>
          <t>5</t>
        </is>
      </c>
      <c r="I1618" t="inlineStr">
        <is>
          <t>Public</t>
        </is>
      </c>
      <c r="J1618" t="inlineStr">
        <is>
          <t>951-1000</t>
        </is>
      </c>
      <c r="K1618" t="inlineStr">
        <is>
          <t>1001-1200</t>
        </is>
      </c>
      <c r="L1618" t="inlineStr">
        <is>
          <t>801-850</t>
        </is>
      </c>
      <c r="M1618" t="inlineStr">
        <is>
          <t>581-590</t>
        </is>
      </c>
      <c r="N1618" t="inlineStr">
        <is>
          <t>-</t>
        </is>
      </c>
      <c r="O1618" t="inlineStr">
        <is>
          <t>-</t>
        </is>
      </c>
      <c r="P1618" t="n">
        <v>13.8</v>
      </c>
      <c r="Q1618" t="inlineStr">
        <is>
          <t>701+</t>
        </is>
      </c>
      <c r="R1618" t="n">
        <v>23.5</v>
      </c>
      <c r="S1618" t="inlineStr">
        <is>
          <t>571</t>
        </is>
      </c>
      <c r="T1618" t="n">
        <v>14.4</v>
      </c>
      <c r="U1618" t="inlineStr">
        <is>
          <t>801+</t>
        </is>
      </c>
      <c r="V1618" t="n">
        <v>23.3</v>
      </c>
      <c r="W1618" t="inlineStr">
        <is>
          <t>668</t>
        </is>
      </c>
      <c r="X1618" t="n">
        <v>7.2</v>
      </c>
      <c r="Y1618" t="inlineStr">
        <is>
          <t>801+</t>
        </is>
      </c>
      <c r="Z1618" t="n">
        <v>27.1</v>
      </c>
      <c r="AA1618" t="inlineStr">
        <is>
          <t>629</t>
        </is>
      </c>
      <c r="AB1618" t="n">
        <v>20.3</v>
      </c>
      <c r="AC1618" t="inlineStr">
        <is>
          <t>759</t>
        </is>
      </c>
      <c r="AD1618" t="n">
        <v>35.3</v>
      </c>
      <c r="AE1618" t="inlineStr">
        <is>
          <t>801+</t>
        </is>
      </c>
      <c r="AF1618" t="n">
        <v>7.4</v>
      </c>
      <c r="AG1618" t="inlineStr">
        <is>
          <t>801+</t>
        </is>
      </c>
      <c r="AH1618" t="n">
        <v>49.4</v>
      </c>
      <c r="AI1618" t="inlineStr">
        <is>
          <t>719=</t>
        </is>
      </c>
      <c r="AJ1618" t="inlineStr">
        <is>
          <t>11.9</t>
        </is>
      </c>
      <c r="AK1618" t="inlineStr">
        <is>
          <t>601+</t>
        </is>
      </c>
      <c r="AL1618" t="inlineStr">
        <is>
          <t>4.9</t>
        </is>
      </c>
      <c r="AM1618" t="inlineStr">
        <is>
          <t>601+</t>
        </is>
      </c>
      <c r="AN1618" t="inlineStr">
        <is>
          <t>11.5</t>
        </is>
      </c>
      <c r="AO1618" t="inlineStr">
        <is>
          <t>701+</t>
        </is>
      </c>
      <c r="AP1618" t="inlineStr">
        <is>
          <t>27.5</t>
        </is>
      </c>
      <c r="AQ1618" t="inlineStr">
        <is>
          <t>458</t>
        </is>
      </c>
      <c r="AR1618" t="inlineStr">
        <is>
          <t>5.9</t>
        </is>
      </c>
      <c r="AS1618" t="inlineStr">
        <is>
          <t>701+</t>
        </is>
      </c>
      <c r="AT1618" t="inlineStr">
        <is>
          <t>9.6</t>
        </is>
      </c>
      <c r="AU1618" t="inlineStr">
        <is>
          <t>701+</t>
        </is>
      </c>
      <c r="AV1618" t="inlineStr">
        <is>
          <t>2.3</t>
        </is>
      </c>
      <c r="AW1618" t="inlineStr">
        <is>
          <t>701+</t>
        </is>
      </c>
      <c r="AX1618" t="inlineStr">
        <is>
          <t>7.6</t>
        </is>
      </c>
      <c r="AY1618" t="inlineStr">
        <is>
          <t>701+</t>
        </is>
      </c>
      <c r="AZ1618" t="inlineStr">
        <is>
          <t>40.2</t>
        </is>
      </c>
      <c r="BA1618" t="inlineStr">
        <is>
          <t>362=</t>
        </is>
      </c>
    </row>
    <row r="1619">
      <c r="A1619" t="inlineStr">
        <is>
          <t>University of Mataram</t>
        </is>
      </c>
      <c r="B1619" t="inlineStr">
        <is>
          <t>Indonesia</t>
        </is>
      </c>
      <c r="C1619" t="inlineStr">
        <is>
          <t>ID</t>
        </is>
      </c>
      <c r="D1619" t="inlineStr"/>
      <c r="E1619" t="inlineStr">
        <is>
          <t>L</t>
        </is>
      </c>
      <c r="F1619" t="inlineStr">
        <is>
          <t>FO</t>
        </is>
      </c>
      <c r="G1619" t="inlineStr">
        <is>
          <t>MD</t>
        </is>
      </c>
      <c r="H1619" t="inlineStr">
        <is>
          <t>4</t>
        </is>
      </c>
      <c r="I1619" t="inlineStr">
        <is>
          <t>A</t>
        </is>
      </c>
      <c r="J1619" t="inlineStr"/>
      <c r="K1619" t="inlineStr"/>
      <c r="L1619" t="inlineStr">
        <is>
          <t>1401+</t>
        </is>
      </c>
      <c r="M1619" t="inlineStr"/>
      <c r="N1619" t="inlineStr"/>
      <c r="O1619" t="inlineStr">
        <is>
          <t>-</t>
        </is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>
        <is>
          <t>4.9</t>
        </is>
      </c>
      <c r="AK1619" t="inlineStr">
        <is>
          <t>601+</t>
        </is>
      </c>
      <c r="AL1619" t="inlineStr">
        <is>
          <t>1.6</t>
        </is>
      </c>
      <c r="AM1619" t="inlineStr">
        <is>
          <t>601+</t>
        </is>
      </c>
      <c r="AN1619" t="inlineStr">
        <is>
          <t>3.5</t>
        </is>
      </c>
      <c r="AO1619" t="inlineStr">
        <is>
          <t>701+</t>
        </is>
      </c>
      <c r="AP1619" t="inlineStr">
        <is>
          <t>1.1</t>
        </is>
      </c>
      <c r="AQ1619" t="inlineStr">
        <is>
          <t>701+</t>
        </is>
      </c>
      <c r="AR1619" t="inlineStr">
        <is>
          <t>1.2</t>
        </is>
      </c>
      <c r="AS1619" t="inlineStr">
        <is>
          <t>701+</t>
        </is>
      </c>
      <c r="AT1619" t="inlineStr">
        <is>
          <t>1.0</t>
        </is>
      </c>
      <c r="AU1619" t="inlineStr">
        <is>
          <t>701+</t>
        </is>
      </c>
      <c r="AV1619" t="inlineStr">
        <is>
          <t>1.0</t>
        </is>
      </c>
      <c r="AW1619" t="inlineStr">
        <is>
          <t>701+</t>
        </is>
      </c>
      <c r="AX1619" t="inlineStr">
        <is>
          <t>5</t>
        </is>
      </c>
      <c r="AY1619" t="inlineStr">
        <is>
          <t>701+</t>
        </is>
      </c>
      <c r="AZ1619" t="inlineStr"/>
      <c r="BA1619" t="inlineStr"/>
    </row>
    <row r="1620">
      <c r="A1620" t="inlineStr">
        <is>
          <t>University of Maynooth</t>
        </is>
      </c>
      <c r="B1620" t="inlineStr">
        <is>
          <t>Ireland</t>
        </is>
      </c>
      <c r="C1620" t="inlineStr"/>
      <c r="D1620" t="inlineStr">
        <is>
          <t>Europe</t>
        </is>
      </c>
      <c r="E1620" t="inlineStr">
        <is>
          <t>L</t>
        </is>
      </c>
      <c r="F1620" t="inlineStr">
        <is>
          <t>FO</t>
        </is>
      </c>
      <c r="G1620" t="inlineStr">
        <is>
          <t>VH</t>
        </is>
      </c>
      <c r="H1620" t="inlineStr"/>
      <c r="I1620" t="inlineStr">
        <is>
          <t>Public</t>
        </is>
      </c>
      <c r="J1620" t="inlineStr">
        <is>
          <t>771-780</t>
        </is>
      </c>
      <c r="K1620" t="inlineStr">
        <is>
          <t>801-850</t>
        </is>
      </c>
      <c r="L1620" t="inlineStr"/>
      <c r="M1620" t="inlineStr"/>
      <c r="N1620" t="inlineStr">
        <is>
          <t>-</t>
        </is>
      </c>
      <c r="O1620" t="inlineStr"/>
      <c r="P1620" t="n">
        <v>16.6</v>
      </c>
      <c r="Q1620" t="inlineStr">
        <is>
          <t>701+</t>
        </is>
      </c>
      <c r="R1620" t="n">
        <v>13.1</v>
      </c>
      <c r="S1620" t="inlineStr">
        <is>
          <t>701+</t>
        </is>
      </c>
      <c r="T1620" t="n">
        <v>14.2</v>
      </c>
      <c r="U1620" t="inlineStr">
        <is>
          <t>801+</t>
        </is>
      </c>
      <c r="V1620" t="n">
        <v>21</v>
      </c>
      <c r="W1620" t="inlineStr">
        <is>
          <t>699</t>
        </is>
      </c>
      <c r="X1620" t="n">
        <v>91.2</v>
      </c>
      <c r="Y1620" t="inlineStr">
        <is>
          <t>216</t>
        </is>
      </c>
      <c r="Z1620" t="n">
        <v>32.2</v>
      </c>
      <c r="AA1620" t="inlineStr">
        <is>
          <t>566</t>
        </is>
      </c>
      <c r="AB1620" t="n">
        <v>38</v>
      </c>
      <c r="AC1620" t="inlineStr">
        <is>
          <t>514</t>
        </is>
      </c>
      <c r="AD1620" t="n">
        <v>45.1</v>
      </c>
      <c r="AE1620" t="inlineStr">
        <is>
          <t>801+</t>
        </is>
      </c>
      <c r="AF1620" t="n">
        <v>16.3</v>
      </c>
      <c r="AG1620" t="inlineStr">
        <is>
          <t>801+</t>
        </is>
      </c>
      <c r="AH1620" t="n">
        <v>52.3</v>
      </c>
      <c r="AI1620" t="inlineStr">
        <is>
          <t>656=</t>
        </is>
      </c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</row>
    <row r="1621">
      <c r="A1621" t="inlineStr">
        <is>
          <t>University of Memphis</t>
        </is>
      </c>
      <c r="B1621" t="inlineStr">
        <is>
          <t>United States</t>
        </is>
      </c>
      <c r="C1621" t="inlineStr">
        <is>
          <t>US</t>
        </is>
      </c>
      <c r="D1621" t="inlineStr">
        <is>
          <t>Americas</t>
        </is>
      </c>
      <c r="E1621" t="inlineStr">
        <is>
          <t>L</t>
        </is>
      </c>
      <c r="F1621" t="inlineStr">
        <is>
          <t>CO</t>
        </is>
      </c>
      <c r="G1621" t="inlineStr">
        <is>
          <t>VH</t>
        </is>
      </c>
      <c r="H1621" t="inlineStr"/>
      <c r="I1621" t="inlineStr">
        <is>
          <t>Public</t>
        </is>
      </c>
      <c r="J1621" t="inlineStr">
        <is>
          <t>1201-1400</t>
        </is>
      </c>
      <c r="K1621" t="inlineStr">
        <is>
          <t>1201-1400</t>
        </is>
      </c>
      <c r="L1621" t="inlineStr">
        <is>
          <t>1201-1400</t>
        </is>
      </c>
      <c r="M1621" t="inlineStr">
        <is>
          <t>1201-1400</t>
        </is>
      </c>
      <c r="N1621" t="inlineStr">
        <is>
          <t>-</t>
        </is>
      </c>
      <c r="O1621" t="inlineStr">
        <is>
          <t>-</t>
        </is>
      </c>
      <c r="P1621" t="n">
        <v>4.1</v>
      </c>
      <c r="Q1621" t="inlineStr">
        <is>
          <t>701+</t>
        </is>
      </c>
      <c r="R1621" t="n">
        <v>4.1</v>
      </c>
      <c r="S1621" t="inlineStr">
        <is>
          <t>701+</t>
        </is>
      </c>
      <c r="T1621" t="n">
        <v>18.6</v>
      </c>
      <c r="U1621" t="inlineStr">
        <is>
          <t>801+</t>
        </is>
      </c>
      <c r="V1621" t="n">
        <v>13.9</v>
      </c>
      <c r="W1621" t="inlineStr">
        <is>
          <t>801+</t>
        </is>
      </c>
      <c r="X1621" t="n">
        <v>2.5</v>
      </c>
      <c r="Y1621" t="inlineStr">
        <is>
          <t>801+</t>
        </is>
      </c>
      <c r="Z1621" t="n">
        <v>19.4</v>
      </c>
      <c r="AA1621" t="inlineStr">
        <is>
          <t>737</t>
        </is>
      </c>
      <c r="AB1621" t="n">
        <v>14.7</v>
      </c>
      <c r="AC1621" t="inlineStr">
        <is>
          <t>801+</t>
        </is>
      </c>
      <c r="AD1621" t="n">
        <v>41.9</v>
      </c>
      <c r="AE1621" t="inlineStr">
        <is>
          <t>801+</t>
        </is>
      </c>
      <c r="AF1621" t="n">
        <v>15</v>
      </c>
      <c r="AG1621" t="inlineStr">
        <is>
          <t>801+</t>
        </is>
      </c>
      <c r="AH1621" t="n">
        <v>35.1</v>
      </c>
      <c r="AI1621" t="inlineStr">
        <is>
          <t>801+</t>
        </is>
      </c>
      <c r="AJ1621" t="inlineStr">
        <is>
          <t>3.1</t>
        </is>
      </c>
      <c r="AK1621" t="inlineStr">
        <is>
          <t>601+</t>
        </is>
      </c>
      <c r="AL1621" t="inlineStr">
        <is>
          <t>5.1</t>
        </is>
      </c>
      <c r="AM1621" t="inlineStr">
        <is>
          <t>601+</t>
        </is>
      </c>
      <c r="AN1621" t="inlineStr">
        <is>
          <t>14.9</t>
        </is>
      </c>
      <c r="AO1621" t="inlineStr">
        <is>
          <t>701+</t>
        </is>
      </c>
      <c r="AP1621" t="inlineStr">
        <is>
          <t>8.9</t>
        </is>
      </c>
      <c r="AQ1621" t="inlineStr">
        <is>
          <t>701+</t>
        </is>
      </c>
      <c r="AR1621" t="inlineStr">
        <is>
          <t>2.1</t>
        </is>
      </c>
      <c r="AS1621" t="inlineStr">
        <is>
          <t>701+</t>
        </is>
      </c>
      <c r="AT1621" t="inlineStr">
        <is>
          <t>4.4</t>
        </is>
      </c>
      <c r="AU1621" t="inlineStr">
        <is>
          <t>701+</t>
        </is>
      </c>
      <c r="AV1621" t="inlineStr">
        <is>
          <t>5.0</t>
        </is>
      </c>
      <c r="AW1621" t="inlineStr">
        <is>
          <t>701+</t>
        </is>
      </c>
      <c r="AX1621" t="inlineStr">
        <is>
          <t>10.7</t>
        </is>
      </c>
      <c r="AY1621" t="inlineStr">
        <is>
          <t>701+</t>
        </is>
      </c>
      <c r="AZ1621" t="inlineStr"/>
      <c r="BA1621" t="inlineStr"/>
    </row>
    <row r="1622">
      <c r="A1622" t="inlineStr">
        <is>
          <t>University of Messina</t>
        </is>
      </c>
      <c r="B1622" t="inlineStr">
        <is>
          <t>Italy</t>
        </is>
      </c>
      <c r="C1622" t="inlineStr"/>
      <c r="D1622" t="inlineStr">
        <is>
          <t>Europe</t>
        </is>
      </c>
      <c r="E1622" t="inlineStr">
        <is>
          <t>L</t>
        </is>
      </c>
      <c r="F1622" t="inlineStr">
        <is>
          <t>FC</t>
        </is>
      </c>
      <c r="G1622" t="inlineStr">
        <is>
          <t>VH</t>
        </is>
      </c>
      <c r="H1622" t="inlineStr"/>
      <c r="I1622" t="inlineStr">
        <is>
          <t>Public</t>
        </is>
      </c>
      <c r="J1622" t="inlineStr">
        <is>
          <t>741-750</t>
        </is>
      </c>
      <c r="K1622" t="inlineStr">
        <is>
          <t>751-760</t>
        </is>
      </c>
      <c r="L1622" t="inlineStr"/>
      <c r="M1622" t="inlineStr"/>
      <c r="N1622" t="inlineStr">
        <is>
          <t>-</t>
        </is>
      </c>
      <c r="O1622" t="inlineStr"/>
      <c r="P1622" t="n">
        <v>12.6</v>
      </c>
      <c r="Q1622" t="inlineStr">
        <is>
          <t>701+</t>
        </is>
      </c>
      <c r="R1622" t="n">
        <v>2.9</v>
      </c>
      <c r="S1622" t="inlineStr">
        <is>
          <t>701+</t>
        </is>
      </c>
      <c r="T1622" t="n">
        <v>18.6</v>
      </c>
      <c r="U1622" t="inlineStr">
        <is>
          <t>801+</t>
        </is>
      </c>
      <c r="V1622" t="n">
        <v>55.5</v>
      </c>
      <c r="W1622" t="inlineStr">
        <is>
          <t>323</t>
        </is>
      </c>
      <c r="X1622" t="n">
        <v>1.4</v>
      </c>
      <c r="Y1622" t="inlineStr">
        <is>
          <t>801+</t>
        </is>
      </c>
      <c r="Z1622" t="n">
        <v>17.8</v>
      </c>
      <c r="AA1622" t="inlineStr">
        <is>
          <t>767</t>
        </is>
      </c>
      <c r="AB1622" t="n">
        <v>23.9</v>
      </c>
      <c r="AC1622" t="inlineStr">
        <is>
          <t>706</t>
        </is>
      </c>
      <c r="AD1622" t="n">
        <v>78.59999999999999</v>
      </c>
      <c r="AE1622" t="inlineStr">
        <is>
          <t>375</t>
        </is>
      </c>
      <c r="AF1622" t="n">
        <v>1.6</v>
      </c>
      <c r="AG1622" t="inlineStr">
        <is>
          <t>801+</t>
        </is>
      </c>
      <c r="AH1622" t="n">
        <v>61.5</v>
      </c>
      <c r="AI1622" t="inlineStr">
        <is>
          <t>467=</t>
        </is>
      </c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</row>
    <row r="1623">
      <c r="A1623" t="inlineStr">
        <is>
          <t>University of Messina (UniME)</t>
        </is>
      </c>
      <c r="B1623" t="inlineStr">
        <is>
          <t>Italy</t>
        </is>
      </c>
      <c r="C1623" t="inlineStr">
        <is>
          <t>IT</t>
        </is>
      </c>
      <c r="D1623" t="inlineStr"/>
      <c r="E1623" t="inlineStr">
        <is>
          <t>L</t>
        </is>
      </c>
      <c r="F1623" t="inlineStr">
        <is>
          <t>FC</t>
        </is>
      </c>
      <c r="G1623" t="inlineStr">
        <is>
          <t>VH</t>
        </is>
      </c>
      <c r="H1623" t="inlineStr">
        <is>
          <t>5</t>
        </is>
      </c>
      <c r="I1623" t="inlineStr">
        <is>
          <t>A</t>
        </is>
      </c>
      <c r="J1623" t="inlineStr"/>
      <c r="K1623" t="inlineStr"/>
      <c r="L1623" t="inlineStr">
        <is>
          <t>851-900</t>
        </is>
      </c>
      <c r="M1623" t="inlineStr">
        <is>
          <t>801-1000</t>
        </is>
      </c>
      <c r="N1623" t="inlineStr"/>
      <c r="O1623" t="inlineStr">
        <is>
          <t>-</t>
        </is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>
        <is>
          <t>8.3</t>
        </is>
      </c>
      <c r="AK1623" t="inlineStr">
        <is>
          <t>601+</t>
        </is>
      </c>
      <c r="AL1623" t="inlineStr">
        <is>
          <t>2.5</t>
        </is>
      </c>
      <c r="AM1623" t="inlineStr">
        <is>
          <t>601+</t>
        </is>
      </c>
      <c r="AN1623" t="inlineStr">
        <is>
          <t>12.7</t>
        </is>
      </c>
      <c r="AO1623" t="inlineStr">
        <is>
          <t>701+</t>
        </is>
      </c>
      <c r="AP1623" t="inlineStr">
        <is>
          <t>29.4</t>
        </is>
      </c>
      <c r="AQ1623" t="inlineStr">
        <is>
          <t>438</t>
        </is>
      </c>
      <c r="AR1623" t="inlineStr">
        <is>
          <t>1.4</t>
        </is>
      </c>
      <c r="AS1623" t="inlineStr">
        <is>
          <t>701+</t>
        </is>
      </c>
      <c r="AT1623" t="inlineStr">
        <is>
          <t>4.4</t>
        </is>
      </c>
      <c r="AU1623" t="inlineStr">
        <is>
          <t>701+</t>
        </is>
      </c>
      <c r="AV1623" t="inlineStr">
        <is>
          <t>30.7</t>
        </is>
      </c>
      <c r="AW1623" t="inlineStr">
        <is>
          <t>455</t>
        </is>
      </c>
      <c r="AX1623" t="inlineStr">
        <is>
          <t>1</t>
        </is>
      </c>
      <c r="AY1623" t="inlineStr">
        <is>
          <t>701+</t>
        </is>
      </c>
      <c r="AZ1623" t="inlineStr">
        <is>
          <t>23.2</t>
        </is>
      </c>
      <c r="BA1623" t="inlineStr">
        <is>
          <t>511=</t>
        </is>
      </c>
    </row>
    <row r="1624">
      <c r="A1624" t="inlineStr">
        <is>
          <t>University of Miami</t>
        </is>
      </c>
      <c r="B1624" t="inlineStr">
        <is>
          <t>United States</t>
        </is>
      </c>
      <c r="C1624" t="inlineStr">
        <is>
          <t>US</t>
        </is>
      </c>
      <c r="D1624" t="inlineStr">
        <is>
          <t>Americas</t>
        </is>
      </c>
      <c r="E1624" t="inlineStr">
        <is>
          <t>L</t>
        </is>
      </c>
      <c r="F1624" t="inlineStr">
        <is>
          <t>FC</t>
        </is>
      </c>
      <c r="G1624" t="inlineStr">
        <is>
          <t>VH</t>
        </is>
      </c>
      <c r="H1624" t="inlineStr">
        <is>
          <t>4</t>
        </is>
      </c>
      <c r="I1624" t="inlineStr">
        <is>
          <t>Private not for Profit</t>
        </is>
      </c>
      <c r="J1624" t="inlineStr">
        <is>
          <t>314</t>
        </is>
      </c>
      <c r="K1624" t="inlineStr">
        <is>
          <t>324</t>
        </is>
      </c>
      <c r="L1624">
        <f>278</f>
        <v/>
      </c>
      <c r="M1624" t="inlineStr">
        <is>
          <t>296=</t>
        </is>
      </c>
      <c r="N1624" t="inlineStr">
        <is>
          <t>44.3</t>
        </is>
      </c>
      <c r="O1624" t="inlineStr">
        <is>
          <t>36.9</t>
        </is>
      </c>
      <c r="P1624" t="n">
        <v>24.5</v>
      </c>
      <c r="Q1624" t="inlineStr">
        <is>
          <t>521</t>
        </is>
      </c>
      <c r="R1624" t="n">
        <v>40.3</v>
      </c>
      <c r="S1624" t="inlineStr">
        <is>
          <t>338</t>
        </is>
      </c>
      <c r="T1624" t="n">
        <v>57.9</v>
      </c>
      <c r="U1624" t="inlineStr">
        <is>
          <t>312</t>
        </is>
      </c>
      <c r="V1624" t="n">
        <v>48.4</v>
      </c>
      <c r="W1624" t="inlineStr">
        <is>
          <t>386</t>
        </is>
      </c>
      <c r="X1624" t="n">
        <v>87.8</v>
      </c>
      <c r="Y1624" t="inlineStr">
        <is>
          <t>238</t>
        </is>
      </c>
      <c r="Z1624" t="n">
        <v>25.1</v>
      </c>
      <c r="AA1624" t="inlineStr">
        <is>
          <t>660</t>
        </is>
      </c>
      <c r="AB1624" t="n">
        <v>31.2</v>
      </c>
      <c r="AC1624" t="inlineStr">
        <is>
          <t>598</t>
        </is>
      </c>
      <c r="AD1624" t="n">
        <v>85.2</v>
      </c>
      <c r="AE1624" t="inlineStr">
        <is>
          <t>251</t>
        </is>
      </c>
      <c r="AF1624" t="n">
        <v>59.6</v>
      </c>
      <c r="AG1624" t="inlineStr">
        <is>
          <t>274</t>
        </is>
      </c>
      <c r="AH1624" t="n">
        <v>64.59999999999999</v>
      </c>
      <c r="AI1624" t="inlineStr">
        <is>
          <t>407=</t>
        </is>
      </c>
      <c r="AJ1624" t="inlineStr">
        <is>
          <t>20.1</t>
        </is>
      </c>
      <c r="AK1624" t="inlineStr">
        <is>
          <t>435</t>
        </is>
      </c>
      <c r="AL1624" t="inlineStr">
        <is>
          <t>44.7</t>
        </is>
      </c>
      <c r="AM1624" t="inlineStr">
        <is>
          <t>198</t>
        </is>
      </c>
      <c r="AN1624" t="inlineStr">
        <is>
          <t>76.8</t>
        </is>
      </c>
      <c r="AO1624" t="inlineStr">
        <is>
          <t>155</t>
        </is>
      </c>
      <c r="AP1624" t="inlineStr">
        <is>
          <t>19.2</t>
        </is>
      </c>
      <c r="AQ1624" t="inlineStr">
        <is>
          <t>565</t>
        </is>
      </c>
      <c r="AR1624" t="inlineStr">
        <is>
          <t>84.2</t>
        </is>
      </c>
      <c r="AS1624" t="inlineStr">
        <is>
          <t>215</t>
        </is>
      </c>
      <c r="AT1624" t="inlineStr">
        <is>
          <t>22.8</t>
        </is>
      </c>
      <c r="AU1624" t="inlineStr">
        <is>
          <t>502</t>
        </is>
      </c>
      <c r="AV1624" t="inlineStr">
        <is>
          <t>55.0</t>
        </is>
      </c>
      <c r="AW1624" t="inlineStr">
        <is>
          <t>283</t>
        </is>
      </c>
      <c r="AX1624" t="inlineStr">
        <is>
          <t>37</t>
        </is>
      </c>
      <c r="AY1624" t="inlineStr">
        <is>
          <t>198</t>
        </is>
      </c>
      <c r="AZ1624" t="inlineStr">
        <is>
          <t>50.6</t>
        </is>
      </c>
      <c r="BA1624" t="inlineStr">
        <is>
          <t>305=</t>
        </is>
      </c>
    </row>
    <row r="1625">
      <c r="A1625" t="inlineStr">
        <is>
          <t>University of Michigan-Ann Arbor</t>
        </is>
      </c>
      <c r="B1625" t="inlineStr">
        <is>
          <t>United States</t>
        </is>
      </c>
      <c r="C1625" t="inlineStr">
        <is>
          <t>US</t>
        </is>
      </c>
      <c r="D1625" t="inlineStr">
        <is>
          <t>Americas</t>
        </is>
      </c>
      <c r="E1625" t="inlineStr">
        <is>
          <t>XL</t>
        </is>
      </c>
      <c r="F1625" t="inlineStr">
        <is>
          <t>FC</t>
        </is>
      </c>
      <c r="G1625" t="inlineStr">
        <is>
          <t>VH</t>
        </is>
      </c>
      <c r="H1625" t="inlineStr">
        <is>
          <t>5</t>
        </is>
      </c>
      <c r="I1625" t="inlineStr">
        <is>
          <t>Public</t>
        </is>
      </c>
      <c r="J1625" t="inlineStr">
        <is>
          <t>45</t>
        </is>
      </c>
      <c r="K1625" t="inlineStr">
        <is>
          <t>44</t>
        </is>
      </c>
      <c r="L1625" t="inlineStr">
        <is>
          <t>33</t>
        </is>
      </c>
      <c r="M1625" t="inlineStr">
        <is>
          <t>25</t>
        </is>
      </c>
      <c r="N1625" t="inlineStr">
        <is>
          <t>84.7</t>
        </is>
      </c>
      <c r="O1625" t="inlineStr">
        <is>
          <t>81.7</t>
        </is>
      </c>
      <c r="P1625" t="n">
        <v>99.3</v>
      </c>
      <c r="Q1625" t="inlineStr">
        <is>
          <t>26</t>
        </is>
      </c>
      <c r="R1625" t="n">
        <v>98.5</v>
      </c>
      <c r="S1625" t="inlineStr">
        <is>
          <t>30</t>
        </is>
      </c>
      <c r="T1625" t="n">
        <v>85.7</v>
      </c>
      <c r="U1625" t="inlineStr">
        <is>
          <t>127</t>
        </is>
      </c>
      <c r="V1625" t="n">
        <v>54.5</v>
      </c>
      <c r="W1625" t="inlineStr">
        <is>
          <t>334</t>
        </is>
      </c>
      <c r="X1625" t="n">
        <v>73.90000000000001</v>
      </c>
      <c r="Y1625" t="inlineStr">
        <is>
          <t>320</t>
        </is>
      </c>
      <c r="Z1625" t="n">
        <v>56.1</v>
      </c>
      <c r="AA1625" t="inlineStr">
        <is>
          <t>372</t>
        </is>
      </c>
      <c r="AB1625" t="n">
        <v>60.3</v>
      </c>
      <c r="AC1625" t="inlineStr">
        <is>
          <t>339</t>
        </is>
      </c>
      <c r="AD1625" t="n">
        <v>96</v>
      </c>
      <c r="AE1625" t="inlineStr">
        <is>
          <t>59</t>
        </is>
      </c>
      <c r="AF1625" t="n">
        <v>99.09999999999999</v>
      </c>
      <c r="AG1625" t="inlineStr">
        <is>
          <t>26</t>
        </is>
      </c>
      <c r="AH1625" t="n">
        <v>77.2</v>
      </c>
      <c r="AI1625" t="inlineStr">
        <is>
          <t>210=</t>
        </is>
      </c>
      <c r="AJ1625" t="inlineStr">
        <is>
          <t>98.3</t>
        </is>
      </c>
      <c r="AK1625" t="inlineStr">
        <is>
          <t>22</t>
        </is>
      </c>
      <c r="AL1625" t="inlineStr">
        <is>
          <t>89.9</t>
        </is>
      </c>
      <c r="AM1625" t="inlineStr">
        <is>
          <t>48</t>
        </is>
      </c>
      <c r="AN1625" t="inlineStr">
        <is>
          <t>82.2</t>
        </is>
      </c>
      <c r="AO1625" t="inlineStr">
        <is>
          <t>127</t>
        </is>
      </c>
      <c r="AP1625" t="inlineStr">
        <is>
          <t>56.2</t>
        </is>
      </c>
      <c r="AQ1625" t="inlineStr">
        <is>
          <t>231</t>
        </is>
      </c>
      <c r="AR1625" t="inlineStr">
        <is>
          <t>67.0</t>
        </is>
      </c>
      <c r="AS1625" t="inlineStr">
        <is>
          <t>292</t>
        </is>
      </c>
      <c r="AT1625" t="inlineStr">
        <is>
          <t>27.6</t>
        </is>
      </c>
      <c r="AU1625" t="inlineStr">
        <is>
          <t>445</t>
        </is>
      </c>
      <c r="AV1625" t="inlineStr">
        <is>
          <t>95.4</t>
        </is>
      </c>
      <c r="AW1625" t="inlineStr">
        <is>
          <t>48</t>
        </is>
      </c>
      <c r="AX1625" t="inlineStr">
        <is>
          <t>94.3</t>
        </is>
      </c>
      <c r="AY1625" t="inlineStr">
        <is>
          <t>29</t>
        </is>
      </c>
      <c r="AZ1625" t="inlineStr">
        <is>
          <t>83.7</t>
        </is>
      </c>
      <c r="BA1625" t="inlineStr">
        <is>
          <t>126=</t>
        </is>
      </c>
    </row>
    <row r="1626">
      <c r="A1626" t="inlineStr">
        <is>
          <t>University of Milan</t>
        </is>
      </c>
      <c r="B1626" t="inlineStr">
        <is>
          <t>Italy</t>
        </is>
      </c>
      <c r="C1626" t="inlineStr">
        <is>
          <t>IT</t>
        </is>
      </c>
      <c r="D1626" t="inlineStr">
        <is>
          <t>Europe</t>
        </is>
      </c>
      <c r="E1626" t="inlineStr">
        <is>
          <t>XL</t>
        </is>
      </c>
      <c r="F1626" t="inlineStr">
        <is>
          <t>FC</t>
        </is>
      </c>
      <c r="G1626" t="inlineStr">
        <is>
          <t>VH</t>
        </is>
      </c>
      <c r="H1626" t="inlineStr">
        <is>
          <t>4</t>
        </is>
      </c>
      <c r="I1626" t="inlineStr">
        <is>
          <t>Public</t>
        </is>
      </c>
      <c r="J1626" t="inlineStr">
        <is>
          <t>276</t>
        </is>
      </c>
      <c r="K1626" t="inlineStr">
        <is>
          <t>285</t>
        </is>
      </c>
      <c r="L1626">
        <f>276</f>
        <v/>
      </c>
      <c r="M1626" t="inlineStr">
        <is>
          <t>324</t>
        </is>
      </c>
      <c r="N1626" t="inlineStr">
        <is>
          <t>48</t>
        </is>
      </c>
      <c r="O1626" t="inlineStr">
        <is>
          <t>37.0</t>
        </is>
      </c>
      <c r="P1626" t="n">
        <v>65.90000000000001</v>
      </c>
      <c r="Q1626" t="inlineStr">
        <is>
          <t>152</t>
        </is>
      </c>
      <c r="R1626" t="n">
        <v>27</v>
      </c>
      <c r="S1626" t="inlineStr">
        <is>
          <t>507</t>
        </is>
      </c>
      <c r="T1626" t="n">
        <v>10.2</v>
      </c>
      <c r="U1626" t="inlineStr">
        <is>
          <t>801+</t>
        </is>
      </c>
      <c r="V1626" t="n">
        <v>56.6</v>
      </c>
      <c r="W1626" t="inlineStr">
        <is>
          <t>313</t>
        </is>
      </c>
      <c r="X1626" t="n">
        <v>10.8</v>
      </c>
      <c r="Y1626" t="inlineStr">
        <is>
          <t>801+</t>
        </is>
      </c>
      <c r="Z1626" t="n">
        <v>13.4</v>
      </c>
      <c r="AA1626" t="inlineStr">
        <is>
          <t>801+</t>
        </is>
      </c>
      <c r="AB1626" t="n">
        <v>19.4</v>
      </c>
      <c r="AC1626" t="inlineStr">
        <is>
          <t>772</t>
        </is>
      </c>
      <c r="AD1626" t="n">
        <v>85.09999999999999</v>
      </c>
      <c r="AE1626" t="inlineStr">
        <is>
          <t>252</t>
        </is>
      </c>
      <c r="AF1626" t="n">
        <v>63.1</v>
      </c>
      <c r="AG1626" t="inlineStr">
        <is>
          <t>246</t>
        </is>
      </c>
      <c r="AH1626" t="n">
        <v>76.40000000000001</v>
      </c>
      <c r="AI1626" t="inlineStr">
        <is>
          <t>219=</t>
        </is>
      </c>
      <c r="AJ1626" t="inlineStr">
        <is>
          <t>51.2</t>
        </is>
      </c>
      <c r="AK1626" t="inlineStr">
        <is>
          <t>159</t>
        </is>
      </c>
      <c r="AL1626" t="inlineStr">
        <is>
          <t>12.7</t>
        </is>
      </c>
      <c r="AM1626" t="inlineStr">
        <is>
          <t>601+</t>
        </is>
      </c>
      <c r="AN1626" t="inlineStr">
        <is>
          <t>5.6</t>
        </is>
      </c>
      <c r="AO1626" t="inlineStr">
        <is>
          <t>701+</t>
        </is>
      </c>
      <c r="AP1626" t="inlineStr">
        <is>
          <t>47.8</t>
        </is>
      </c>
      <c r="AQ1626" t="inlineStr">
        <is>
          <t>284</t>
        </is>
      </c>
      <c r="AR1626" t="inlineStr">
        <is>
          <t>7.5</t>
        </is>
      </c>
      <c r="AS1626" t="inlineStr">
        <is>
          <t>701+</t>
        </is>
      </c>
      <c r="AT1626" t="inlineStr">
        <is>
          <t>6.8</t>
        </is>
      </c>
      <c r="AU1626" t="inlineStr">
        <is>
          <t>701+</t>
        </is>
      </c>
      <c r="AV1626" t="inlineStr">
        <is>
          <t>59.0</t>
        </is>
      </c>
      <c r="AW1626" t="inlineStr">
        <is>
          <t>255</t>
        </is>
      </c>
      <c r="AX1626" t="inlineStr">
        <is>
          <t>24.2</t>
        </is>
      </c>
      <c r="AY1626" t="inlineStr">
        <is>
          <t>345</t>
        </is>
      </c>
      <c r="AZ1626" t="inlineStr">
        <is>
          <t>92.1</t>
        </is>
      </c>
      <c r="BA1626" t="inlineStr">
        <is>
          <t>77=</t>
        </is>
      </c>
    </row>
    <row r="1627">
      <c r="A1627" t="inlineStr">
        <is>
          <t>University of Milano-Bicocca</t>
        </is>
      </c>
      <c r="B1627" t="inlineStr">
        <is>
          <t>Italy</t>
        </is>
      </c>
      <c r="C1627" t="inlineStr">
        <is>
          <t>IT</t>
        </is>
      </c>
      <c r="D1627" t="inlineStr">
        <is>
          <t>Europe</t>
        </is>
      </c>
      <c r="E1627" t="inlineStr">
        <is>
          <t>L</t>
        </is>
      </c>
      <c r="F1627" t="inlineStr">
        <is>
          <t>FO</t>
        </is>
      </c>
      <c r="G1627" t="inlineStr">
        <is>
          <t>VH</t>
        </is>
      </c>
      <c r="H1627" t="inlineStr">
        <is>
          <t>3</t>
        </is>
      </c>
      <c r="I1627" t="inlineStr">
        <is>
          <t>Public</t>
        </is>
      </c>
      <c r="J1627" t="inlineStr">
        <is>
          <t>542</t>
        </is>
      </c>
      <c r="K1627" t="inlineStr">
        <is>
          <t>513</t>
        </is>
      </c>
      <c r="L1627" t="inlineStr">
        <is>
          <t>481</t>
        </is>
      </c>
      <c r="M1627" t="inlineStr">
        <is>
          <t>601-650</t>
        </is>
      </c>
      <c r="N1627" t="inlineStr">
        <is>
          <t>30.3</t>
        </is>
      </c>
      <c r="O1627" t="inlineStr">
        <is>
          <t>24.0</t>
        </is>
      </c>
      <c r="P1627" t="n">
        <v>28.6</v>
      </c>
      <c r="Q1627" t="inlineStr">
        <is>
          <t>438</t>
        </is>
      </c>
      <c r="R1627" t="n">
        <v>19.2</v>
      </c>
      <c r="S1627" t="inlineStr">
        <is>
          <t>677</t>
        </is>
      </c>
      <c r="T1627" t="n">
        <v>5.2</v>
      </c>
      <c r="U1627" t="inlineStr">
        <is>
          <t>801+</t>
        </is>
      </c>
      <c r="V1627" t="n">
        <v>56</v>
      </c>
      <c r="W1627" t="inlineStr">
        <is>
          <t>317</t>
        </is>
      </c>
      <c r="X1627" t="n">
        <v>7.3</v>
      </c>
      <c r="Y1627" t="inlineStr">
        <is>
          <t>801+</t>
        </is>
      </c>
      <c r="Z1627" t="n">
        <v>8.300000000000001</v>
      </c>
      <c r="AA1627" t="inlineStr">
        <is>
          <t>801+</t>
        </is>
      </c>
      <c r="AB1627" t="n">
        <v>14</v>
      </c>
      <c r="AC1627" t="inlineStr">
        <is>
          <t>801+</t>
        </is>
      </c>
      <c r="AD1627" t="n">
        <v>80.8</v>
      </c>
      <c r="AE1627" t="inlineStr">
        <is>
          <t>335</t>
        </is>
      </c>
      <c r="AF1627" t="n">
        <v>15</v>
      </c>
      <c r="AG1627" t="inlineStr">
        <is>
          <t>801+</t>
        </is>
      </c>
      <c r="AH1627" t="n">
        <v>53.6</v>
      </c>
      <c r="AI1627" t="inlineStr">
        <is>
          <t>630=</t>
        </is>
      </c>
      <c r="AJ1627" t="inlineStr">
        <is>
          <t>20.6</t>
        </is>
      </c>
      <c r="AK1627" t="inlineStr">
        <is>
          <t>424</t>
        </is>
      </c>
      <c r="AL1627" t="inlineStr">
        <is>
          <t>9.6</t>
        </is>
      </c>
      <c r="AM1627" t="inlineStr">
        <is>
          <t>601+</t>
        </is>
      </c>
      <c r="AN1627" t="inlineStr">
        <is>
          <t>2.9</t>
        </is>
      </c>
      <c r="AO1627" t="inlineStr">
        <is>
          <t>701+</t>
        </is>
      </c>
      <c r="AP1627" t="inlineStr">
        <is>
          <t>57.1</t>
        </is>
      </c>
      <c r="AQ1627" t="inlineStr">
        <is>
          <t>227</t>
        </is>
      </c>
      <c r="AR1627" t="inlineStr">
        <is>
          <t>3.3</t>
        </is>
      </c>
      <c r="AS1627" t="inlineStr">
        <is>
          <t>701+</t>
        </is>
      </c>
      <c r="AT1627" t="inlineStr">
        <is>
          <t>4.6</t>
        </is>
      </c>
      <c r="AU1627" t="inlineStr">
        <is>
          <t>701+</t>
        </is>
      </c>
      <c r="AV1627" t="inlineStr">
        <is>
          <t>45.2</t>
        </is>
      </c>
      <c r="AW1627" t="inlineStr">
        <is>
          <t>344</t>
        </is>
      </c>
      <c r="AX1627" t="inlineStr">
        <is>
          <t>13.2</t>
        </is>
      </c>
      <c r="AY1627" t="inlineStr">
        <is>
          <t>650</t>
        </is>
      </c>
      <c r="AZ1627" t="inlineStr">
        <is>
          <t>29.4</t>
        </is>
      </c>
      <c r="BA1627" t="inlineStr">
        <is>
          <t>453=</t>
        </is>
      </c>
    </row>
    <row r="1628">
      <c r="A1628" t="inlineStr">
        <is>
          <t>University of Minho</t>
        </is>
      </c>
      <c r="B1628" t="inlineStr">
        <is>
          <t>Portugal</t>
        </is>
      </c>
      <c r="C1628" t="inlineStr">
        <is>
          <t>PT</t>
        </is>
      </c>
      <c r="D1628" t="inlineStr">
        <is>
          <t>Europe</t>
        </is>
      </c>
      <c r="E1628" t="inlineStr">
        <is>
          <t>L</t>
        </is>
      </c>
      <c r="F1628" t="inlineStr">
        <is>
          <t>FC</t>
        </is>
      </c>
      <c r="G1628" t="inlineStr">
        <is>
          <t>VH</t>
        </is>
      </c>
      <c r="H1628" t="inlineStr">
        <is>
          <t>4</t>
        </is>
      </c>
      <c r="I1628" t="inlineStr">
        <is>
          <t>Public</t>
        </is>
      </c>
      <c r="J1628" t="inlineStr">
        <is>
          <t>566</t>
        </is>
      </c>
      <c r="K1628" t="inlineStr">
        <is>
          <t>611-620</t>
        </is>
      </c>
      <c r="L1628" t="inlineStr">
        <is>
          <t>611-620</t>
        </is>
      </c>
      <c r="M1628" t="inlineStr">
        <is>
          <t>591-600</t>
        </is>
      </c>
      <c r="N1628" t="inlineStr">
        <is>
          <t>29.3</t>
        </is>
      </c>
      <c r="O1628" t="inlineStr">
        <is>
          <t>-</t>
        </is>
      </c>
      <c r="P1628" t="n">
        <v>22.2</v>
      </c>
      <c r="Q1628" t="inlineStr">
        <is>
          <t>564</t>
        </is>
      </c>
      <c r="R1628" t="n">
        <v>17.1</v>
      </c>
      <c r="S1628" t="inlineStr">
        <is>
          <t>701+</t>
        </is>
      </c>
      <c r="T1628" t="n">
        <v>28.3</v>
      </c>
      <c r="U1628" t="inlineStr">
        <is>
          <t>676</t>
        </is>
      </c>
      <c r="V1628" t="n">
        <v>38.6</v>
      </c>
      <c r="W1628" t="inlineStr">
        <is>
          <t>485</t>
        </is>
      </c>
      <c r="X1628" t="n">
        <v>21.3</v>
      </c>
      <c r="Y1628" t="inlineStr">
        <is>
          <t>694</t>
        </is>
      </c>
      <c r="Z1628" t="n">
        <v>26</v>
      </c>
      <c r="AA1628" t="inlineStr">
        <is>
          <t>645</t>
        </is>
      </c>
      <c r="AB1628" t="n">
        <v>32</v>
      </c>
      <c r="AC1628" t="inlineStr">
        <is>
          <t>589</t>
        </is>
      </c>
      <c r="AD1628" t="n">
        <v>83.59999999999999</v>
      </c>
      <c r="AE1628" t="inlineStr">
        <is>
          <t>284</t>
        </is>
      </c>
      <c r="AF1628" t="n">
        <v>15.7</v>
      </c>
      <c r="AG1628" t="inlineStr">
        <is>
          <t>801+</t>
        </is>
      </c>
      <c r="AH1628" t="n">
        <v>67.7</v>
      </c>
      <c r="AI1628" t="inlineStr">
        <is>
          <t>353=</t>
        </is>
      </c>
      <c r="AJ1628" t="inlineStr">
        <is>
          <t>15.6</t>
        </is>
      </c>
      <c r="AK1628" t="inlineStr">
        <is>
          <t>562</t>
        </is>
      </c>
      <c r="AL1628" t="inlineStr">
        <is>
          <t>8.7</t>
        </is>
      </c>
      <c r="AM1628" t="inlineStr">
        <is>
          <t>601+</t>
        </is>
      </c>
      <c r="AN1628" t="inlineStr">
        <is>
          <t>32.8</t>
        </is>
      </c>
      <c r="AO1628" t="inlineStr">
        <is>
          <t>483</t>
        </is>
      </c>
      <c r="AP1628" t="inlineStr">
        <is>
          <t>18.7</t>
        </is>
      </c>
      <c r="AQ1628" t="inlineStr">
        <is>
          <t>573</t>
        </is>
      </c>
      <c r="AR1628" t="inlineStr">
        <is>
          <t>19.4</t>
        </is>
      </c>
      <c r="AS1628" t="inlineStr">
        <is>
          <t>596</t>
        </is>
      </c>
      <c r="AT1628" t="inlineStr">
        <is>
          <t>18.0</t>
        </is>
      </c>
      <c r="AU1628" t="inlineStr">
        <is>
          <t>575</t>
        </is>
      </c>
      <c r="AV1628" t="inlineStr">
        <is>
          <t>52.7</t>
        </is>
      </c>
      <c r="AW1628" t="inlineStr">
        <is>
          <t>297</t>
        </is>
      </c>
      <c r="AX1628" t="inlineStr">
        <is>
          <t>10.2</t>
        </is>
      </c>
      <c r="AY1628" t="inlineStr">
        <is>
          <t>701+</t>
        </is>
      </c>
      <c r="AZ1628" t="inlineStr">
        <is>
          <t>27.6</t>
        </is>
      </c>
      <c r="BA1628" t="inlineStr">
        <is>
          <t>471=</t>
        </is>
      </c>
    </row>
    <row r="1629">
      <c r="A1629" t="inlineStr">
        <is>
          <t>University of Minnesota (System)</t>
        </is>
      </c>
      <c r="B1629" t="inlineStr">
        <is>
          <t>United States</t>
        </is>
      </c>
      <c r="C1629" t="inlineStr"/>
      <c r="D1629" t="inlineStr">
        <is>
          <t>Americas</t>
        </is>
      </c>
      <c r="E1629" t="inlineStr">
        <is>
          <t>XL</t>
        </is>
      </c>
      <c r="F1629" t="inlineStr">
        <is>
          <t>FC</t>
        </is>
      </c>
      <c r="G1629" t="inlineStr">
        <is>
          <t>VH</t>
        </is>
      </c>
      <c r="H1629" t="inlineStr"/>
      <c r="I1629" t="inlineStr">
        <is>
          <t>Public</t>
        </is>
      </c>
      <c r="J1629" t="inlineStr">
        <is>
          <t>210</t>
        </is>
      </c>
      <c r="K1629" t="inlineStr">
        <is>
          <t>203</t>
        </is>
      </c>
      <c r="L1629" t="inlineStr"/>
      <c r="M1629" t="inlineStr"/>
      <c r="N1629" t="inlineStr">
        <is>
          <t>54.8</t>
        </is>
      </c>
      <c r="O1629" t="inlineStr"/>
      <c r="P1629" t="n">
        <v>68.59999999999999</v>
      </c>
      <c r="Q1629" t="inlineStr">
        <is>
          <t>138</t>
        </is>
      </c>
      <c r="R1629" t="n">
        <v>49.4</v>
      </c>
      <c r="S1629" t="inlineStr">
        <is>
          <t>257</t>
        </is>
      </c>
      <c r="T1629" t="n">
        <v>37.2</v>
      </c>
      <c r="U1629" t="inlineStr">
        <is>
          <t>540</t>
        </is>
      </c>
      <c r="V1629" t="n">
        <v>49.2</v>
      </c>
      <c r="W1629" t="inlineStr">
        <is>
          <t>378</t>
        </is>
      </c>
      <c r="X1629" t="n">
        <v>6.5</v>
      </c>
      <c r="Y1629" t="inlineStr">
        <is>
          <t>801+</t>
        </is>
      </c>
      <c r="Z1629" t="n">
        <v>15.4</v>
      </c>
      <c r="AA1629" t="inlineStr">
        <is>
          <t>801+</t>
        </is>
      </c>
      <c r="AB1629" t="n">
        <v>21.5</v>
      </c>
      <c r="AC1629" t="inlineStr">
        <is>
          <t>741</t>
        </is>
      </c>
      <c r="AD1629" t="n">
        <v>91.2</v>
      </c>
      <c r="AE1629" t="inlineStr">
        <is>
          <t>153</t>
        </is>
      </c>
      <c r="AF1629" t="n">
        <v>67.2</v>
      </c>
      <c r="AG1629" t="inlineStr">
        <is>
          <t>231</t>
        </is>
      </c>
      <c r="AH1629" t="n">
        <v>91.09999999999999</v>
      </c>
      <c r="AI1629" t="inlineStr">
        <is>
          <t>54=</t>
        </is>
      </c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</row>
    <row r="1630">
      <c r="A1630" t="inlineStr">
        <is>
          <t>University of Minnesota Twin Cities</t>
        </is>
      </c>
      <c r="B1630" t="inlineStr">
        <is>
          <t>United States</t>
        </is>
      </c>
      <c r="C1630" t="inlineStr">
        <is>
          <t>US</t>
        </is>
      </c>
      <c r="D1630" t="inlineStr"/>
      <c r="E1630" t="inlineStr">
        <is>
          <t>XL</t>
        </is>
      </c>
      <c r="F1630" t="inlineStr">
        <is>
          <t>FC</t>
        </is>
      </c>
      <c r="G1630" t="inlineStr">
        <is>
          <t>VH</t>
        </is>
      </c>
      <c r="H1630" t="inlineStr">
        <is>
          <t>5</t>
        </is>
      </c>
      <c r="I1630" t="inlineStr">
        <is>
          <t>A</t>
        </is>
      </c>
      <c r="J1630" t="inlineStr"/>
      <c r="K1630" t="inlineStr"/>
      <c r="L1630" t="inlineStr">
        <is>
          <t>195</t>
        </is>
      </c>
      <c r="M1630" t="inlineStr">
        <is>
          <t>185=</t>
        </is>
      </c>
      <c r="N1630" t="inlineStr"/>
      <c r="O1630" t="inlineStr">
        <is>
          <t>46.4</t>
        </is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>
        <is>
          <t>59.0</t>
        </is>
      </c>
      <c r="AK1630" t="inlineStr">
        <is>
          <t>127</t>
        </is>
      </c>
      <c r="AL1630" t="inlineStr">
        <is>
          <t>30.2</t>
        </is>
      </c>
      <c r="AM1630" t="inlineStr">
        <is>
          <t>324</t>
        </is>
      </c>
      <c r="AN1630" t="inlineStr">
        <is>
          <t>30.6</t>
        </is>
      </c>
      <c r="AO1630" t="inlineStr">
        <is>
          <t>510</t>
        </is>
      </c>
      <c r="AP1630" t="inlineStr">
        <is>
          <t>46.4</t>
        </is>
      </c>
      <c r="AQ1630" t="inlineStr">
        <is>
          <t>291</t>
        </is>
      </c>
      <c r="AR1630" t="inlineStr">
        <is>
          <t>5.5</t>
        </is>
      </c>
      <c r="AS1630" t="inlineStr">
        <is>
          <t>701+</t>
        </is>
      </c>
      <c r="AT1630" t="inlineStr">
        <is>
          <t>9.1</t>
        </is>
      </c>
      <c r="AU1630" t="inlineStr">
        <is>
          <t>701+</t>
        </is>
      </c>
      <c r="AV1630" t="inlineStr">
        <is>
          <t>86.1</t>
        </is>
      </c>
      <c r="AW1630" t="inlineStr">
        <is>
          <t>109</t>
        </is>
      </c>
      <c r="AX1630" t="inlineStr">
        <is>
          <t>41.9</t>
        </is>
      </c>
      <c r="AY1630" t="inlineStr">
        <is>
          <t>172</t>
        </is>
      </c>
      <c r="AZ1630" t="inlineStr">
        <is>
          <t>88.5</t>
        </is>
      </c>
      <c r="BA1630" t="inlineStr">
        <is>
          <t>101=</t>
        </is>
      </c>
    </row>
    <row r="1631">
      <c r="A1631" t="inlineStr">
        <is>
          <t>University of Miskolc</t>
        </is>
      </c>
      <c r="B1631" t="inlineStr">
        <is>
          <t>Hungary</t>
        </is>
      </c>
      <c r="C1631" t="inlineStr">
        <is>
          <t>HU</t>
        </is>
      </c>
      <c r="D1631" t="inlineStr">
        <is>
          <t>Europe</t>
        </is>
      </c>
      <c r="E1631" t="inlineStr">
        <is>
          <t>M</t>
        </is>
      </c>
      <c r="F1631" t="inlineStr">
        <is>
          <t>FO</t>
        </is>
      </c>
      <c r="G1631" t="inlineStr">
        <is>
          <t>VH</t>
        </is>
      </c>
      <c r="H1631" t="inlineStr">
        <is>
          <t>5</t>
        </is>
      </c>
      <c r="I1631" t="inlineStr">
        <is>
          <t>Private not for Profit</t>
        </is>
      </c>
      <c r="J1631" t="inlineStr">
        <is>
          <t>1201-1400</t>
        </is>
      </c>
      <c r="K1631" t="inlineStr">
        <is>
          <t>1201-1400</t>
        </is>
      </c>
      <c r="L1631" t="inlineStr">
        <is>
          <t>1201-1400</t>
        </is>
      </c>
      <c r="M1631" t="inlineStr">
        <is>
          <t>1001-1200</t>
        </is>
      </c>
      <c r="N1631" t="inlineStr">
        <is>
          <t>-</t>
        </is>
      </c>
      <c r="O1631" t="inlineStr">
        <is>
          <t>-</t>
        </is>
      </c>
      <c r="P1631" t="n">
        <v>9</v>
      </c>
      <c r="Q1631" t="inlineStr">
        <is>
          <t>701+</t>
        </is>
      </c>
      <c r="R1631" t="n">
        <v>10.3</v>
      </c>
      <c r="S1631" t="inlineStr">
        <is>
          <t>701+</t>
        </is>
      </c>
      <c r="T1631" t="n">
        <v>20.4</v>
      </c>
      <c r="U1631" t="inlineStr">
        <is>
          <t>801+</t>
        </is>
      </c>
      <c r="V1631" t="n">
        <v>4.7</v>
      </c>
      <c r="W1631" t="inlineStr">
        <is>
          <t>801+</t>
        </is>
      </c>
      <c r="X1631" t="n">
        <v>3</v>
      </c>
      <c r="Y1631" t="inlineStr">
        <is>
          <t>801+</t>
        </is>
      </c>
      <c r="Z1631" t="n">
        <v>6.4</v>
      </c>
      <c r="AA1631" t="inlineStr">
        <is>
          <t>801+</t>
        </is>
      </c>
      <c r="AB1631" t="n">
        <v>5</v>
      </c>
      <c r="AC1631" t="inlineStr">
        <is>
          <t>801+</t>
        </is>
      </c>
      <c r="AD1631" t="n">
        <v>24.5</v>
      </c>
      <c r="AE1631" t="inlineStr">
        <is>
          <t>801+</t>
        </is>
      </c>
      <c r="AF1631" t="n">
        <v>16.3</v>
      </c>
      <c r="AG1631" t="inlineStr">
        <is>
          <t>801+</t>
        </is>
      </c>
      <c r="AH1631" t="n">
        <v>27.8</v>
      </c>
      <c r="AI1631" t="inlineStr">
        <is>
          <t>801+</t>
        </is>
      </c>
      <c r="AJ1631" t="inlineStr">
        <is>
          <t>6.2</t>
        </is>
      </c>
      <c r="AK1631" t="inlineStr">
        <is>
          <t>601+</t>
        </is>
      </c>
      <c r="AL1631" t="inlineStr">
        <is>
          <t>5.2</t>
        </is>
      </c>
      <c r="AM1631" t="inlineStr">
        <is>
          <t>601+</t>
        </is>
      </c>
      <c r="AN1631" t="inlineStr">
        <is>
          <t>23.6</t>
        </is>
      </c>
      <c r="AO1631" t="inlineStr">
        <is>
          <t>606</t>
        </is>
      </c>
      <c r="AP1631" t="inlineStr">
        <is>
          <t>2.3</t>
        </is>
      </c>
      <c r="AQ1631" t="inlineStr">
        <is>
          <t>701+</t>
        </is>
      </c>
      <c r="AR1631" t="inlineStr">
        <is>
          <t>3.1</t>
        </is>
      </c>
      <c r="AS1631" t="inlineStr">
        <is>
          <t>701+</t>
        </is>
      </c>
      <c r="AT1631" t="inlineStr">
        <is>
          <t>6.6</t>
        </is>
      </c>
      <c r="AU1631" t="inlineStr">
        <is>
          <t>701+</t>
        </is>
      </c>
      <c r="AV1631" t="inlineStr">
        <is>
          <t>1.2</t>
        </is>
      </c>
      <c r="AW1631" t="inlineStr">
        <is>
          <t>701+</t>
        </is>
      </c>
      <c r="AX1631" t="inlineStr">
        <is>
          <t>12.7</t>
        </is>
      </c>
      <c r="AY1631" t="inlineStr">
        <is>
          <t>675</t>
        </is>
      </c>
      <c r="AZ1631" t="inlineStr">
        <is>
          <t>1.1</t>
        </is>
      </c>
      <c r="BA1631" t="inlineStr">
        <is>
          <t>701+</t>
        </is>
      </c>
    </row>
    <row r="1632">
      <c r="A1632" t="inlineStr">
        <is>
          <t>University of Mississippi</t>
        </is>
      </c>
      <c r="B1632" t="inlineStr">
        <is>
          <t>United States</t>
        </is>
      </c>
      <c r="C1632" t="inlineStr">
        <is>
          <t>US</t>
        </is>
      </c>
      <c r="D1632" t="inlineStr">
        <is>
          <t>Americas</t>
        </is>
      </c>
      <c r="E1632" t="inlineStr">
        <is>
          <t>L</t>
        </is>
      </c>
      <c r="F1632" t="inlineStr">
        <is>
          <t>CO</t>
        </is>
      </c>
      <c r="G1632" t="inlineStr">
        <is>
          <t>VH</t>
        </is>
      </c>
      <c r="H1632" t="inlineStr">
        <is>
          <t>5</t>
        </is>
      </c>
      <c r="I1632" t="inlineStr">
        <is>
          <t>Public</t>
        </is>
      </c>
      <c r="J1632" t="inlineStr">
        <is>
          <t>1001-1200</t>
        </is>
      </c>
      <c r="K1632" t="inlineStr">
        <is>
          <t>851-900</t>
        </is>
      </c>
      <c r="L1632" t="inlineStr">
        <is>
          <t>1001-1200</t>
        </is>
      </c>
      <c r="M1632" t="inlineStr">
        <is>
          <t>801-1000</t>
        </is>
      </c>
      <c r="N1632" t="inlineStr">
        <is>
          <t>-</t>
        </is>
      </c>
      <c r="O1632" t="inlineStr">
        <is>
          <t>-</t>
        </is>
      </c>
      <c r="P1632" t="n">
        <v>4.6</v>
      </c>
      <c r="Q1632" t="inlineStr">
        <is>
          <t>701+</t>
        </is>
      </c>
      <c r="R1632" t="n">
        <v>3.2</v>
      </c>
      <c r="S1632" t="inlineStr">
        <is>
          <t>701+</t>
        </is>
      </c>
      <c r="T1632" t="n">
        <v>78</v>
      </c>
      <c r="U1632" t="inlineStr">
        <is>
          <t>177</t>
        </is>
      </c>
      <c r="V1632" t="n">
        <v>12</v>
      </c>
      <c r="W1632" t="inlineStr">
        <is>
          <t>801+</t>
        </is>
      </c>
      <c r="X1632" t="n">
        <v>5.2</v>
      </c>
      <c r="Y1632" t="inlineStr">
        <is>
          <t>801+</t>
        </is>
      </c>
      <c r="Z1632" t="n">
        <v>5.1</v>
      </c>
      <c r="AA1632" t="inlineStr">
        <is>
          <t>801+</t>
        </is>
      </c>
      <c r="AB1632" t="n">
        <v>10.4</v>
      </c>
      <c r="AC1632" t="inlineStr">
        <is>
          <t>801+</t>
        </is>
      </c>
      <c r="AD1632" t="n">
        <v>47.6</v>
      </c>
      <c r="AE1632" t="inlineStr">
        <is>
          <t>801+</t>
        </is>
      </c>
      <c r="AF1632" t="n">
        <v>9.199999999999999</v>
      </c>
      <c r="AG1632" t="inlineStr">
        <is>
          <t>801+</t>
        </is>
      </c>
      <c r="AH1632" t="n">
        <v>35.9</v>
      </c>
      <c r="AI1632" t="inlineStr">
        <is>
          <t>801+</t>
        </is>
      </c>
      <c r="AJ1632" t="inlineStr">
        <is>
          <t>4.3</t>
        </is>
      </c>
      <c r="AK1632" t="inlineStr">
        <is>
          <t>601+</t>
        </is>
      </c>
      <c r="AL1632" t="inlineStr">
        <is>
          <t>3.2</t>
        </is>
      </c>
      <c r="AM1632" t="inlineStr">
        <is>
          <t>601+</t>
        </is>
      </c>
      <c r="AN1632" t="inlineStr">
        <is>
          <t>36.6</t>
        </is>
      </c>
      <c r="AO1632" t="inlineStr">
        <is>
          <t>432</t>
        </is>
      </c>
      <c r="AP1632" t="inlineStr">
        <is>
          <t>8.9</t>
        </is>
      </c>
      <c r="AQ1632" t="inlineStr">
        <is>
          <t>701+</t>
        </is>
      </c>
      <c r="AR1632" t="inlineStr">
        <is>
          <t>14.5</t>
        </is>
      </c>
      <c r="AS1632" t="inlineStr">
        <is>
          <t>675</t>
        </is>
      </c>
      <c r="AT1632" t="inlineStr">
        <is>
          <t>2.9</t>
        </is>
      </c>
      <c r="AU1632" t="inlineStr">
        <is>
          <t>701+</t>
        </is>
      </c>
      <c r="AV1632" t="inlineStr">
        <is>
          <t>12.5</t>
        </is>
      </c>
      <c r="AW1632" t="inlineStr">
        <is>
          <t>629</t>
        </is>
      </c>
      <c r="AX1632" t="inlineStr">
        <is>
          <t>8.4</t>
        </is>
      </c>
      <c r="AY1632" t="inlineStr">
        <is>
          <t>701+</t>
        </is>
      </c>
      <c r="AZ1632" t="inlineStr">
        <is>
          <t>4.1</t>
        </is>
      </c>
      <c r="BA1632" t="inlineStr">
        <is>
          <t>701+</t>
        </is>
      </c>
    </row>
    <row r="1633">
      <c r="A1633" t="inlineStr">
        <is>
          <t>University of Missouri, Columbia</t>
        </is>
      </c>
      <c r="B1633" t="inlineStr">
        <is>
          <t>United States</t>
        </is>
      </c>
      <c r="C1633" t="inlineStr">
        <is>
          <t>US</t>
        </is>
      </c>
      <c r="D1633" t="inlineStr">
        <is>
          <t>Americas</t>
        </is>
      </c>
      <c r="E1633" t="inlineStr">
        <is>
          <t>L</t>
        </is>
      </c>
      <c r="F1633" t="inlineStr">
        <is>
          <t>FC</t>
        </is>
      </c>
      <c r="G1633" t="inlineStr">
        <is>
          <t>VH</t>
        </is>
      </c>
      <c r="H1633" t="inlineStr">
        <is>
          <t>5</t>
        </is>
      </c>
      <c r="I1633" t="inlineStr">
        <is>
          <t>Public</t>
        </is>
      </c>
      <c r="J1633" t="inlineStr">
        <is>
          <t>697</t>
        </is>
      </c>
      <c r="K1633" t="inlineStr">
        <is>
          <t>641-650</t>
        </is>
      </c>
      <c r="L1633">
        <f>586</f>
        <v/>
      </c>
      <c r="M1633" t="inlineStr">
        <is>
          <t>511-520</t>
        </is>
      </c>
      <c r="N1633" t="inlineStr">
        <is>
          <t>25.1</t>
        </is>
      </c>
      <c r="O1633" t="inlineStr">
        <is>
          <t>20.2</t>
        </is>
      </c>
      <c r="P1633" t="n">
        <v>17.2</v>
      </c>
      <c r="Q1633" t="inlineStr">
        <is>
          <t>701+</t>
        </is>
      </c>
      <c r="R1633" t="n">
        <v>15.7</v>
      </c>
      <c r="S1633" t="inlineStr">
        <is>
          <t>701+</t>
        </is>
      </c>
      <c r="T1633" t="n">
        <v>38.5</v>
      </c>
      <c r="U1633" t="inlineStr">
        <is>
          <t>526</t>
        </is>
      </c>
      <c r="V1633" t="n">
        <v>23.5</v>
      </c>
      <c r="W1633" t="inlineStr">
        <is>
          <t>664</t>
        </is>
      </c>
      <c r="X1633" t="n">
        <v>29.7</v>
      </c>
      <c r="Y1633" t="inlineStr">
        <is>
          <t>588</t>
        </is>
      </c>
      <c r="Z1633" t="n">
        <v>6.4</v>
      </c>
      <c r="AA1633" t="inlineStr">
        <is>
          <t>801+</t>
        </is>
      </c>
      <c r="AB1633" t="n">
        <v>5</v>
      </c>
      <c r="AC1633" t="inlineStr">
        <is>
          <t>801+</t>
        </is>
      </c>
      <c r="AD1633" t="n">
        <v>71.8</v>
      </c>
      <c r="AE1633" t="inlineStr">
        <is>
          <t>503</t>
        </is>
      </c>
      <c r="AF1633" t="n">
        <v>48</v>
      </c>
      <c r="AG1633" t="inlineStr">
        <is>
          <t>361</t>
        </is>
      </c>
      <c r="AH1633" t="n">
        <v>50.9</v>
      </c>
      <c r="AI1633" t="inlineStr">
        <is>
          <t>684=</t>
        </is>
      </c>
      <c r="AJ1633" t="inlineStr">
        <is>
          <t>14.2</t>
        </is>
      </c>
      <c r="AK1633" t="inlineStr">
        <is>
          <t>601+</t>
        </is>
      </c>
      <c r="AL1633" t="inlineStr">
        <is>
          <t>9.6</t>
        </is>
      </c>
      <c r="AM1633" t="inlineStr">
        <is>
          <t>601+</t>
        </is>
      </c>
      <c r="AN1633" t="inlineStr">
        <is>
          <t>40.2</t>
        </is>
      </c>
      <c r="AO1633" t="inlineStr">
        <is>
          <t>392</t>
        </is>
      </c>
      <c r="AP1633" t="inlineStr">
        <is>
          <t>17.4</t>
        </is>
      </c>
      <c r="AQ1633" t="inlineStr">
        <is>
          <t>591</t>
        </is>
      </c>
      <c r="AR1633" t="inlineStr">
        <is>
          <t>56.4</t>
        </is>
      </c>
      <c r="AS1633" t="inlineStr">
        <is>
          <t>329</t>
        </is>
      </c>
      <c r="AT1633" t="inlineStr">
        <is>
          <t>3.3</t>
        </is>
      </c>
      <c r="AU1633" t="inlineStr">
        <is>
          <t>701+</t>
        </is>
      </c>
      <c r="AV1633" t="inlineStr">
        <is>
          <t>23.9</t>
        </is>
      </c>
      <c r="AW1633" t="inlineStr">
        <is>
          <t>508</t>
        </is>
      </c>
      <c r="AX1633" t="inlineStr">
        <is>
          <t>24.2</t>
        </is>
      </c>
      <c r="AY1633" t="inlineStr">
        <is>
          <t>346</t>
        </is>
      </c>
      <c r="AZ1633" t="inlineStr">
        <is>
          <t>35.5</t>
        </is>
      </c>
      <c r="BA1633" t="inlineStr">
        <is>
          <t>397=</t>
        </is>
      </c>
    </row>
    <row r="1634">
      <c r="A1634" t="inlineStr">
        <is>
          <t>University of Missouri, Kansas City</t>
        </is>
      </c>
      <c r="B1634" t="inlineStr">
        <is>
          <t>United States</t>
        </is>
      </c>
      <c r="C1634" t="inlineStr">
        <is>
          <t>US</t>
        </is>
      </c>
      <c r="D1634" t="inlineStr">
        <is>
          <t>Americas</t>
        </is>
      </c>
      <c r="E1634" t="inlineStr">
        <is>
          <t>M</t>
        </is>
      </c>
      <c r="F1634" t="inlineStr">
        <is>
          <t>CO</t>
        </is>
      </c>
      <c r="G1634" t="inlineStr">
        <is>
          <t>VH</t>
        </is>
      </c>
      <c r="H1634" t="inlineStr">
        <is>
          <t>4</t>
        </is>
      </c>
      <c r="I1634" t="inlineStr">
        <is>
          <t>Public</t>
        </is>
      </c>
      <c r="J1634" t="inlineStr">
        <is>
          <t>1001-1200</t>
        </is>
      </c>
      <c r="K1634" t="inlineStr">
        <is>
          <t>1001-1200</t>
        </is>
      </c>
      <c r="L1634" t="inlineStr">
        <is>
          <t>1001-1200</t>
        </is>
      </c>
      <c r="M1634" t="inlineStr">
        <is>
          <t>1001-1200</t>
        </is>
      </c>
      <c r="N1634" t="inlineStr">
        <is>
          <t>-</t>
        </is>
      </c>
      <c r="O1634" t="inlineStr">
        <is>
          <t>-</t>
        </is>
      </c>
      <c r="P1634" t="n">
        <v>5.1</v>
      </c>
      <c r="Q1634" t="inlineStr">
        <is>
          <t>701+</t>
        </is>
      </c>
      <c r="R1634" t="n">
        <v>9.5</v>
      </c>
      <c r="S1634" t="inlineStr">
        <is>
          <t>701+</t>
        </is>
      </c>
      <c r="T1634" t="n">
        <v>21.9</v>
      </c>
      <c r="U1634" t="inlineStr">
        <is>
          <t>795</t>
        </is>
      </c>
      <c r="V1634" t="n">
        <v>25.7</v>
      </c>
      <c r="W1634" t="inlineStr">
        <is>
          <t>627</t>
        </is>
      </c>
      <c r="X1634" t="n">
        <v>6.9</v>
      </c>
      <c r="Y1634" t="inlineStr">
        <is>
          <t>801+</t>
        </is>
      </c>
      <c r="Z1634" t="n">
        <v>31.3</v>
      </c>
      <c r="AA1634" t="inlineStr">
        <is>
          <t>574</t>
        </is>
      </c>
      <c r="AB1634" t="n">
        <v>23.5</v>
      </c>
      <c r="AC1634" t="inlineStr">
        <is>
          <t>715</t>
        </is>
      </c>
      <c r="AD1634" t="n">
        <v>26.4</v>
      </c>
      <c r="AE1634" t="inlineStr">
        <is>
          <t>801+</t>
        </is>
      </c>
      <c r="AF1634" t="n">
        <v>13.4</v>
      </c>
      <c r="AG1634" t="inlineStr">
        <is>
          <t>801+</t>
        </is>
      </c>
      <c r="AH1634" t="n">
        <v>30.8</v>
      </c>
      <c r="AI1634" t="inlineStr">
        <is>
          <t>801+</t>
        </is>
      </c>
      <c r="AJ1634" t="inlineStr">
        <is>
          <t>4.7</t>
        </is>
      </c>
      <c r="AK1634" t="inlineStr">
        <is>
          <t>601+</t>
        </is>
      </c>
      <c r="AL1634" t="inlineStr">
        <is>
          <t>5.1</t>
        </is>
      </c>
      <c r="AM1634" t="inlineStr">
        <is>
          <t>601+</t>
        </is>
      </c>
      <c r="AN1634" t="inlineStr">
        <is>
          <t>17.8</t>
        </is>
      </c>
      <c r="AO1634" t="inlineStr">
        <is>
          <t>701+</t>
        </is>
      </c>
      <c r="AP1634" t="inlineStr">
        <is>
          <t>17.5</t>
        </is>
      </c>
      <c r="AQ1634" t="inlineStr">
        <is>
          <t>589</t>
        </is>
      </c>
      <c r="AR1634" t="inlineStr">
        <is>
          <t>5.1</t>
        </is>
      </c>
      <c r="AS1634" t="inlineStr">
        <is>
          <t>701+</t>
        </is>
      </c>
      <c r="AT1634" t="inlineStr">
        <is>
          <t>13.5</t>
        </is>
      </c>
      <c r="AU1634" t="inlineStr">
        <is>
          <t>653</t>
        </is>
      </c>
      <c r="AV1634" t="inlineStr">
        <is>
          <t>2.5</t>
        </is>
      </c>
      <c r="AW1634" t="inlineStr">
        <is>
          <t>701+</t>
        </is>
      </c>
      <c r="AX1634" t="inlineStr">
        <is>
          <t>9.7</t>
        </is>
      </c>
      <c r="AY1634" t="inlineStr">
        <is>
          <t>701+</t>
        </is>
      </c>
      <c r="AZ1634" t="inlineStr">
        <is>
          <t>1.3</t>
        </is>
      </c>
      <c r="BA1634" t="inlineStr">
        <is>
          <t>701+</t>
        </is>
      </c>
    </row>
    <row r="1635">
      <c r="A1635" t="inlineStr">
        <is>
          <t>University of Missouri Saint Louis</t>
        </is>
      </c>
      <c r="B1635" t="inlineStr">
        <is>
          <t>United States</t>
        </is>
      </c>
      <c r="C1635" t="inlineStr">
        <is>
          <t>US</t>
        </is>
      </c>
      <c r="D1635" t="inlineStr">
        <is>
          <t>Americas</t>
        </is>
      </c>
      <c r="E1635" t="inlineStr">
        <is>
          <t>M</t>
        </is>
      </c>
      <c r="F1635" t="inlineStr">
        <is>
          <t>CO</t>
        </is>
      </c>
      <c r="G1635" t="inlineStr">
        <is>
          <t>HI</t>
        </is>
      </c>
      <c r="H1635" t="inlineStr">
        <is>
          <t>4</t>
        </is>
      </c>
      <c r="I1635" t="inlineStr">
        <is>
          <t>Public</t>
        </is>
      </c>
      <c r="J1635" t="inlineStr">
        <is>
          <t>1401+</t>
        </is>
      </c>
      <c r="K1635" t="inlineStr">
        <is>
          <t>1201-1400</t>
        </is>
      </c>
      <c r="L1635" t="inlineStr">
        <is>
          <t>1201-1400</t>
        </is>
      </c>
      <c r="M1635" t="inlineStr">
        <is>
          <t>1001-1200</t>
        </is>
      </c>
      <c r="N1635" t="inlineStr">
        <is>
          <t>-</t>
        </is>
      </c>
      <c r="O1635" t="inlineStr">
        <is>
          <t>-</t>
        </is>
      </c>
      <c r="P1635" t="n">
        <v>5.1</v>
      </c>
      <c r="Q1635" t="inlineStr">
        <is>
          <t>701+</t>
        </is>
      </c>
      <c r="R1635" t="n">
        <v>6.5</v>
      </c>
      <c r="S1635" t="inlineStr">
        <is>
          <t>701+</t>
        </is>
      </c>
      <c r="T1635" t="n">
        <v>19.5</v>
      </c>
      <c r="U1635" t="inlineStr">
        <is>
          <t>801+</t>
        </is>
      </c>
      <c r="V1635" t="n">
        <v>13</v>
      </c>
      <c r="W1635" t="inlineStr">
        <is>
          <t>801+</t>
        </is>
      </c>
      <c r="X1635" t="n">
        <v>5.8</v>
      </c>
      <c r="Y1635" t="inlineStr">
        <is>
          <t>801+</t>
        </is>
      </c>
      <c r="Z1635" t="n">
        <v>7.9</v>
      </c>
      <c r="AA1635" t="inlineStr">
        <is>
          <t>801+</t>
        </is>
      </c>
      <c r="AB1635" t="n">
        <v>6.1</v>
      </c>
      <c r="AC1635" t="inlineStr">
        <is>
          <t>801+</t>
        </is>
      </c>
      <c r="AD1635" t="n">
        <v>10.1</v>
      </c>
      <c r="AE1635" t="inlineStr">
        <is>
          <t>801+</t>
        </is>
      </c>
      <c r="AF1635" t="n">
        <v>12.7</v>
      </c>
      <c r="AG1635" t="inlineStr">
        <is>
          <t>801+</t>
        </is>
      </c>
      <c r="AH1635" t="n">
        <v>21.9</v>
      </c>
      <c r="AI1635" t="inlineStr">
        <is>
          <t>801+</t>
        </is>
      </c>
      <c r="AJ1635" t="inlineStr">
        <is>
          <t>4.0</t>
        </is>
      </c>
      <c r="AK1635" t="inlineStr">
        <is>
          <t>601+</t>
        </is>
      </c>
      <c r="AL1635" t="inlineStr">
        <is>
          <t>3.6</t>
        </is>
      </c>
      <c r="AM1635" t="inlineStr">
        <is>
          <t>601+</t>
        </is>
      </c>
      <c r="AN1635" t="inlineStr">
        <is>
          <t>16.2</t>
        </is>
      </c>
      <c r="AO1635" t="inlineStr">
        <is>
          <t>701+</t>
        </is>
      </c>
      <c r="AP1635" t="inlineStr">
        <is>
          <t>14.2</t>
        </is>
      </c>
      <c r="AQ1635" t="inlineStr">
        <is>
          <t>655</t>
        </is>
      </c>
      <c r="AR1635" t="inlineStr">
        <is>
          <t>4.8</t>
        </is>
      </c>
      <c r="AS1635" t="inlineStr">
        <is>
          <t>701+</t>
        </is>
      </c>
      <c r="AT1635" t="inlineStr">
        <is>
          <t>4.2</t>
        </is>
      </c>
      <c r="AU1635" t="inlineStr">
        <is>
          <t>701+</t>
        </is>
      </c>
      <c r="AV1635" t="inlineStr">
        <is>
          <t>1.0</t>
        </is>
      </c>
      <c r="AW1635" t="inlineStr">
        <is>
          <t>701+</t>
        </is>
      </c>
      <c r="AX1635" t="inlineStr">
        <is>
          <t>11.5</t>
        </is>
      </c>
      <c r="AY1635" t="inlineStr">
        <is>
          <t>701+</t>
        </is>
      </c>
      <c r="AZ1635" t="inlineStr"/>
      <c r="BA1635" t="inlineStr"/>
    </row>
    <row r="1636">
      <c r="A1636" t="inlineStr">
        <is>
          <t>University of Modena and Reggio Emilia</t>
        </is>
      </c>
      <c r="B1636" t="inlineStr">
        <is>
          <t>Italy</t>
        </is>
      </c>
      <c r="C1636" t="inlineStr">
        <is>
          <t>IT</t>
        </is>
      </c>
      <c r="D1636" t="inlineStr">
        <is>
          <t>Europe</t>
        </is>
      </c>
      <c r="E1636" t="inlineStr">
        <is>
          <t>L</t>
        </is>
      </c>
      <c r="F1636" t="inlineStr">
        <is>
          <t>FC</t>
        </is>
      </c>
      <c r="G1636" t="inlineStr">
        <is>
          <t>VH</t>
        </is>
      </c>
      <c r="H1636" t="inlineStr">
        <is>
          <t>5</t>
        </is>
      </c>
      <c r="I1636" t="inlineStr">
        <is>
          <t>Public</t>
        </is>
      </c>
      <c r="J1636" t="inlineStr">
        <is>
          <t>801-850</t>
        </is>
      </c>
      <c r="K1636" t="inlineStr">
        <is>
          <t>721-730</t>
        </is>
      </c>
      <c r="L1636" t="inlineStr">
        <is>
          <t>641-650</t>
        </is>
      </c>
      <c r="M1636" t="inlineStr">
        <is>
          <t>801-1000</t>
        </is>
      </c>
      <c r="N1636" t="inlineStr">
        <is>
          <t>-</t>
        </is>
      </c>
      <c r="O1636" t="inlineStr">
        <is>
          <t>-</t>
        </is>
      </c>
      <c r="P1636" t="n">
        <v>12.3</v>
      </c>
      <c r="Q1636" t="inlineStr">
        <is>
          <t>701+</t>
        </is>
      </c>
      <c r="R1636" t="n">
        <v>7.6</v>
      </c>
      <c r="S1636" t="inlineStr">
        <is>
          <t>701+</t>
        </is>
      </c>
      <c r="T1636" t="n">
        <v>4.6</v>
      </c>
      <c r="U1636" t="inlineStr">
        <is>
          <t>801+</t>
        </is>
      </c>
      <c r="V1636" t="n">
        <v>56.7</v>
      </c>
      <c r="W1636" t="inlineStr">
        <is>
          <t>310</t>
        </is>
      </c>
      <c r="X1636" t="n">
        <v>4.8</v>
      </c>
      <c r="Y1636" t="inlineStr">
        <is>
          <t>801+</t>
        </is>
      </c>
      <c r="Z1636" t="n">
        <v>7.5</v>
      </c>
      <c r="AA1636" t="inlineStr">
        <is>
          <t>801+</t>
        </is>
      </c>
      <c r="AB1636" t="n">
        <v>13.1</v>
      </c>
      <c r="AC1636" t="inlineStr">
        <is>
          <t>801+</t>
        </is>
      </c>
      <c r="AD1636" t="n">
        <v>55.1</v>
      </c>
      <c r="AE1636" t="inlineStr">
        <is>
          <t>767</t>
        </is>
      </c>
      <c r="AF1636" t="n">
        <v>20.3</v>
      </c>
      <c r="AG1636" t="inlineStr">
        <is>
          <t>719</t>
        </is>
      </c>
      <c r="AH1636" t="n">
        <v>54.4</v>
      </c>
      <c r="AI1636" t="inlineStr">
        <is>
          <t>613=</t>
        </is>
      </c>
      <c r="AJ1636" t="inlineStr">
        <is>
          <t>8.7</t>
        </is>
      </c>
      <c r="AK1636" t="inlineStr">
        <is>
          <t>601+</t>
        </is>
      </c>
      <c r="AL1636" t="inlineStr">
        <is>
          <t>3.2</t>
        </is>
      </c>
      <c r="AM1636" t="inlineStr">
        <is>
          <t>601+</t>
        </is>
      </c>
      <c r="AN1636" t="inlineStr">
        <is>
          <t>2.3</t>
        </is>
      </c>
      <c r="AO1636" t="inlineStr">
        <is>
          <t>701+</t>
        </is>
      </c>
      <c r="AP1636" t="inlineStr">
        <is>
          <t>50.3</t>
        </is>
      </c>
      <c r="AQ1636" t="inlineStr">
        <is>
          <t>262</t>
        </is>
      </c>
      <c r="AR1636" t="inlineStr">
        <is>
          <t>3.9</t>
        </is>
      </c>
      <c r="AS1636" t="inlineStr">
        <is>
          <t>701+</t>
        </is>
      </c>
      <c r="AT1636" t="inlineStr">
        <is>
          <t>3.8</t>
        </is>
      </c>
      <c r="AU1636" t="inlineStr">
        <is>
          <t>701+</t>
        </is>
      </c>
      <c r="AV1636" t="inlineStr">
        <is>
          <t>21.4</t>
        </is>
      </c>
      <c r="AW1636" t="inlineStr">
        <is>
          <t>532</t>
        </is>
      </c>
      <c r="AX1636" t="inlineStr">
        <is>
          <t>13.9</t>
        </is>
      </c>
      <c r="AY1636" t="inlineStr">
        <is>
          <t>613</t>
        </is>
      </c>
      <c r="AZ1636" t="inlineStr">
        <is>
          <t>57.4</t>
        </is>
      </c>
      <c r="BA1636" t="inlineStr">
        <is>
          <t>263=</t>
        </is>
      </c>
    </row>
    <row r="1637">
      <c r="A1637" t="inlineStr">
        <is>
          <t>University of Mons</t>
        </is>
      </c>
      <c r="B1637" t="inlineStr">
        <is>
          <t>Belgium</t>
        </is>
      </c>
      <c r="C1637" t="inlineStr">
        <is>
          <t>BE</t>
        </is>
      </c>
      <c r="D1637" t="inlineStr">
        <is>
          <t>Europe</t>
        </is>
      </c>
      <c r="E1637" t="inlineStr">
        <is>
          <t>M</t>
        </is>
      </c>
      <c r="F1637" t="inlineStr">
        <is>
          <t>CO</t>
        </is>
      </c>
      <c r="G1637" t="inlineStr">
        <is>
          <t>VH</t>
        </is>
      </c>
      <c r="H1637" t="inlineStr">
        <is>
          <t>2</t>
        </is>
      </c>
      <c r="I1637" t="inlineStr">
        <is>
          <t>Public</t>
        </is>
      </c>
      <c r="J1637" t="inlineStr">
        <is>
          <t>781-790</t>
        </is>
      </c>
      <c r="K1637" t="inlineStr">
        <is>
          <t>781-790</t>
        </is>
      </c>
      <c r="L1637" t="inlineStr">
        <is>
          <t>691-700</t>
        </is>
      </c>
      <c r="M1637" t="inlineStr">
        <is>
          <t>701-750</t>
        </is>
      </c>
      <c r="N1637" t="inlineStr">
        <is>
          <t>-</t>
        </is>
      </c>
      <c r="O1637" t="inlineStr">
        <is>
          <t>-</t>
        </is>
      </c>
      <c r="P1637" t="n">
        <v>7</v>
      </c>
      <c r="Q1637" t="inlineStr">
        <is>
          <t>701+</t>
        </is>
      </c>
      <c r="R1637" t="n">
        <v>8.1</v>
      </c>
      <c r="S1637" t="inlineStr">
        <is>
          <t>701+</t>
        </is>
      </c>
      <c r="T1637" t="n">
        <v>5.2</v>
      </c>
      <c r="U1637" t="inlineStr">
        <is>
          <t>801+</t>
        </is>
      </c>
      <c r="V1637" t="n">
        <v>53.2</v>
      </c>
      <c r="W1637" t="inlineStr">
        <is>
          <t>349</t>
        </is>
      </c>
      <c r="X1637" t="n">
        <v>40.9</v>
      </c>
      <c r="Y1637" t="inlineStr">
        <is>
          <t>491</t>
        </is>
      </c>
      <c r="Z1637" t="n">
        <v>47</v>
      </c>
      <c r="AA1637" t="inlineStr">
        <is>
          <t>432</t>
        </is>
      </c>
      <c r="AB1637" t="n">
        <v>50.6</v>
      </c>
      <c r="AC1637" t="inlineStr">
        <is>
          <t>409</t>
        </is>
      </c>
      <c r="AD1637" t="n">
        <v>43.6</v>
      </c>
      <c r="AE1637" t="inlineStr">
        <is>
          <t>801+</t>
        </is>
      </c>
      <c r="AF1637" t="n">
        <v>7.3</v>
      </c>
      <c r="AG1637" t="inlineStr">
        <is>
          <t>801+</t>
        </is>
      </c>
      <c r="AH1637" t="n">
        <v>54.4</v>
      </c>
      <c r="AI1637" t="inlineStr">
        <is>
          <t>613=</t>
        </is>
      </c>
      <c r="AJ1637" t="inlineStr">
        <is>
          <t>6.7</t>
        </is>
      </c>
      <c r="AK1637" t="inlineStr">
        <is>
          <t>601+</t>
        </is>
      </c>
      <c r="AL1637" t="inlineStr">
        <is>
          <t>13.0</t>
        </is>
      </c>
      <c r="AM1637" t="inlineStr">
        <is>
          <t>601+</t>
        </is>
      </c>
      <c r="AN1637" t="inlineStr">
        <is>
          <t>3.1</t>
        </is>
      </c>
      <c r="AO1637" t="inlineStr">
        <is>
          <t>701+</t>
        </is>
      </c>
      <c r="AP1637" t="inlineStr">
        <is>
          <t>40.3</t>
        </is>
      </c>
      <c r="AQ1637" t="inlineStr">
        <is>
          <t>343</t>
        </is>
      </c>
      <c r="AR1637" t="inlineStr">
        <is>
          <t>35.9</t>
        </is>
      </c>
      <c r="AS1637" t="inlineStr">
        <is>
          <t>448</t>
        </is>
      </c>
      <c r="AT1637" t="inlineStr">
        <is>
          <t>43.6</t>
        </is>
      </c>
      <c r="AU1637" t="inlineStr">
        <is>
          <t>331</t>
        </is>
      </c>
      <c r="AV1637" t="inlineStr">
        <is>
          <t>5.2</t>
        </is>
      </c>
      <c r="AW1637" t="inlineStr">
        <is>
          <t>701+</t>
        </is>
      </c>
      <c r="AX1637" t="inlineStr">
        <is>
          <t>11.3</t>
        </is>
      </c>
      <c r="AY1637" t="inlineStr">
        <is>
          <t>701+</t>
        </is>
      </c>
      <c r="AZ1637" t="inlineStr">
        <is>
          <t>1.8</t>
        </is>
      </c>
      <c r="BA1637" t="inlineStr">
        <is>
          <t>701+</t>
        </is>
      </c>
    </row>
    <row r="1638">
      <c r="A1638" t="inlineStr">
        <is>
          <t xml:space="preserve">University of Montana Missoula </t>
        </is>
      </c>
      <c r="B1638" t="inlineStr">
        <is>
          <t>United States</t>
        </is>
      </c>
      <c r="C1638" t="inlineStr">
        <is>
          <t>US</t>
        </is>
      </c>
      <c r="D1638" t="inlineStr"/>
      <c r="E1638" t="inlineStr">
        <is>
          <t>M</t>
        </is>
      </c>
      <c r="F1638" t="inlineStr">
        <is>
          <t>CO</t>
        </is>
      </c>
      <c r="G1638" t="inlineStr">
        <is>
          <t>HI</t>
        </is>
      </c>
      <c r="H1638" t="inlineStr">
        <is>
          <t>5</t>
        </is>
      </c>
      <c r="I1638" t="inlineStr">
        <is>
          <t>A</t>
        </is>
      </c>
      <c r="J1638" t="inlineStr"/>
      <c r="K1638" t="inlineStr"/>
      <c r="L1638" t="inlineStr">
        <is>
          <t>1201-1400</t>
        </is>
      </c>
      <c r="M1638" t="inlineStr">
        <is>
          <t>1001-1200</t>
        </is>
      </c>
      <c r="N1638" t="inlineStr"/>
      <c r="O1638" t="inlineStr">
        <is>
          <t>-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>
        <is>
          <t>2.5</t>
        </is>
      </c>
      <c r="AK1638" t="inlineStr">
        <is>
          <t>601+</t>
        </is>
      </c>
      <c r="AL1638" t="inlineStr">
        <is>
          <t>2.6</t>
        </is>
      </c>
      <c r="AM1638" t="inlineStr">
        <is>
          <t>601+</t>
        </is>
      </c>
      <c r="AN1638" t="inlineStr">
        <is>
          <t>11.8</t>
        </is>
      </c>
      <c r="AO1638" t="inlineStr">
        <is>
          <t>701+</t>
        </is>
      </c>
      <c r="AP1638" t="inlineStr">
        <is>
          <t>9.2</t>
        </is>
      </c>
      <c r="AQ1638" t="inlineStr">
        <is>
          <t>701+</t>
        </is>
      </c>
      <c r="AR1638" t="inlineStr">
        <is>
          <t>1.3</t>
        </is>
      </c>
      <c r="AS1638" t="inlineStr">
        <is>
          <t>701+</t>
        </is>
      </c>
      <c r="AT1638" t="inlineStr">
        <is>
          <t>1.7</t>
        </is>
      </c>
      <c r="AU1638" t="inlineStr">
        <is>
          <t>701+</t>
        </is>
      </c>
      <c r="AV1638" t="inlineStr">
        <is>
          <t>1.0</t>
        </is>
      </c>
      <c r="AW1638" t="inlineStr">
        <is>
          <t>701+</t>
        </is>
      </c>
      <c r="AX1638" t="inlineStr">
        <is>
          <t>8.3</t>
        </is>
      </c>
      <c r="AY1638" t="inlineStr">
        <is>
          <t>701+</t>
        </is>
      </c>
      <c r="AZ1638" t="inlineStr">
        <is>
          <t>3.5</t>
        </is>
      </c>
      <c r="BA1638" t="inlineStr">
        <is>
          <t>701+</t>
        </is>
      </c>
    </row>
    <row r="1639">
      <c r="A1639" t="inlineStr">
        <is>
          <t>University of Montreal</t>
        </is>
      </c>
      <c r="B1639" t="inlineStr">
        <is>
          <t>Canada</t>
        </is>
      </c>
      <c r="C1639" t="inlineStr"/>
      <c r="D1639" t="inlineStr">
        <is>
          <t>Americas</t>
        </is>
      </c>
      <c r="E1639" t="inlineStr">
        <is>
          <t>XL</t>
        </is>
      </c>
      <c r="F1639" t="inlineStr">
        <is>
          <t>FC</t>
        </is>
      </c>
      <c r="G1639" t="inlineStr">
        <is>
          <t>VH</t>
        </is>
      </c>
      <c r="H1639" t="inlineStr"/>
      <c r="I1639" t="inlineStr">
        <is>
          <t>Public</t>
        </is>
      </c>
      <c r="J1639" t="inlineStr">
        <is>
          <t>168</t>
        </is>
      </c>
      <c r="K1639" t="inlineStr">
        <is>
          <t>159</t>
        </is>
      </c>
      <c r="L1639" t="inlineStr"/>
      <c r="M1639" t="inlineStr"/>
      <c r="N1639" t="inlineStr">
        <is>
          <t>59.5</t>
        </is>
      </c>
      <c r="O1639" t="inlineStr"/>
      <c r="P1639" t="n">
        <v>66.09999999999999</v>
      </c>
      <c r="Q1639" t="inlineStr">
        <is>
          <t>151</t>
        </is>
      </c>
      <c r="R1639" t="n">
        <v>44</v>
      </c>
      <c r="S1639" t="inlineStr">
        <is>
          <t>303</t>
        </is>
      </c>
      <c r="T1639" t="n">
        <v>79.5</v>
      </c>
      <c r="U1639" t="inlineStr">
        <is>
          <t>171</t>
        </is>
      </c>
      <c r="V1639" t="n">
        <v>26.3</v>
      </c>
      <c r="W1639" t="inlineStr">
        <is>
          <t>621</t>
        </is>
      </c>
      <c r="X1639" t="n">
        <v>91.5</v>
      </c>
      <c r="Y1639" t="inlineStr">
        <is>
          <t>214</t>
        </is>
      </c>
      <c r="Z1639" t="n">
        <v>66.40000000000001</v>
      </c>
      <c r="AA1639" t="inlineStr">
        <is>
          <t>301</t>
        </is>
      </c>
      <c r="AB1639" t="n">
        <v>69.59999999999999</v>
      </c>
      <c r="AC1639" t="inlineStr">
        <is>
          <t>271</t>
        </is>
      </c>
      <c r="AD1639" t="n">
        <v>88.7</v>
      </c>
      <c r="AE1639" t="inlineStr">
        <is>
          <t>195</t>
        </is>
      </c>
      <c r="AF1639" t="n">
        <v>65.40000000000001</v>
      </c>
      <c r="AG1639" t="inlineStr">
        <is>
          <t>239</t>
        </is>
      </c>
      <c r="AH1639" t="n">
        <v>89.90000000000001</v>
      </c>
      <c r="AI1639" t="inlineStr">
        <is>
          <t>65</t>
        </is>
      </c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</row>
    <row r="1640">
      <c r="A1640" t="inlineStr">
        <is>
          <t>University of Moratuwa</t>
        </is>
      </c>
      <c r="B1640" t="inlineStr">
        <is>
          <t>Sri Lanka</t>
        </is>
      </c>
      <c r="C1640" t="inlineStr"/>
      <c r="D1640" t="inlineStr">
        <is>
          <t>Asia</t>
        </is>
      </c>
      <c r="E1640" t="inlineStr">
        <is>
          <t>M</t>
        </is>
      </c>
      <c r="F1640" t="inlineStr">
        <is>
          <t>SP</t>
        </is>
      </c>
      <c r="G1640" t="inlineStr">
        <is>
          <t>VH</t>
        </is>
      </c>
      <c r="H1640" t="inlineStr"/>
      <c r="I1640" t="inlineStr">
        <is>
          <t>Public</t>
        </is>
      </c>
      <c r="J1640" t="inlineStr">
        <is>
          <t>1401+</t>
        </is>
      </c>
      <c r="K1640" t="inlineStr"/>
      <c r="L1640" t="inlineStr"/>
      <c r="M1640" t="inlineStr"/>
      <c r="N1640" t="inlineStr">
        <is>
          <t>-</t>
        </is>
      </c>
      <c r="O1640" t="inlineStr"/>
      <c r="P1640" t="n">
        <v>6</v>
      </c>
      <c r="Q1640" t="inlineStr">
        <is>
          <t>701+</t>
        </is>
      </c>
      <c r="R1640" t="n">
        <v>8</v>
      </c>
      <c r="S1640" t="inlineStr">
        <is>
          <t>701+</t>
        </is>
      </c>
      <c r="T1640" t="n">
        <v>5.3</v>
      </c>
      <c r="U1640" t="inlineStr">
        <is>
          <t>801+</t>
        </is>
      </c>
      <c r="V1640" t="n">
        <v>15.6</v>
      </c>
      <c r="W1640" t="inlineStr">
        <is>
          <t>791</t>
        </is>
      </c>
      <c r="X1640" t="inlineStr"/>
      <c r="Y1640" t="inlineStr"/>
      <c r="Z1640" t="n">
        <v>1</v>
      </c>
      <c r="AA1640" t="inlineStr">
        <is>
          <t>801+</t>
        </is>
      </c>
      <c r="AB1640" t="n">
        <v>1</v>
      </c>
      <c r="AC1640" t="inlineStr">
        <is>
          <t>801+</t>
        </is>
      </c>
      <c r="AD1640" t="n">
        <v>13.2</v>
      </c>
      <c r="AE1640" t="inlineStr">
        <is>
          <t>801+</t>
        </is>
      </c>
      <c r="AF1640" t="n">
        <v>13.1</v>
      </c>
      <c r="AG1640" t="inlineStr">
        <is>
          <t>801+</t>
        </is>
      </c>
      <c r="AH1640" t="n">
        <v>24.9</v>
      </c>
      <c r="AI1640" t="inlineStr">
        <is>
          <t>801+</t>
        </is>
      </c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</row>
    <row r="1641">
      <c r="A1641" t="inlineStr">
        <is>
          <t>University of Mosul</t>
        </is>
      </c>
      <c r="B1641" t="inlineStr">
        <is>
          <t>Iraq</t>
        </is>
      </c>
      <c r="C1641" t="inlineStr"/>
      <c r="D1641" t="inlineStr">
        <is>
          <t>Asia</t>
        </is>
      </c>
      <c r="E1641" t="inlineStr">
        <is>
          <t>XL</t>
        </is>
      </c>
      <c r="F1641" t="inlineStr">
        <is>
          <t>FC</t>
        </is>
      </c>
      <c r="G1641" t="inlineStr">
        <is>
          <t>HI</t>
        </is>
      </c>
      <c r="H1641" t="inlineStr"/>
      <c r="I1641" t="inlineStr">
        <is>
          <t>Public</t>
        </is>
      </c>
      <c r="J1641" t="inlineStr">
        <is>
          <t>1201-1400</t>
        </is>
      </c>
      <c r="K1641" t="inlineStr"/>
      <c r="L1641" t="inlineStr"/>
      <c r="M1641" t="inlineStr"/>
      <c r="N1641" t="inlineStr">
        <is>
          <t>-</t>
        </is>
      </c>
      <c r="O1641" t="inlineStr"/>
      <c r="P1641" t="n">
        <v>7.3</v>
      </c>
      <c r="Q1641" t="inlineStr">
        <is>
          <t>701+</t>
        </is>
      </c>
      <c r="R1641" t="n">
        <v>12.9</v>
      </c>
      <c r="S1641" t="inlineStr">
        <is>
          <t>701+</t>
        </is>
      </c>
      <c r="T1641" t="n">
        <v>23.4</v>
      </c>
      <c r="U1641" t="inlineStr">
        <is>
          <t>764</t>
        </is>
      </c>
      <c r="V1641" t="n">
        <v>1.7</v>
      </c>
      <c r="W1641" t="inlineStr">
        <is>
          <t>801+</t>
        </is>
      </c>
      <c r="X1641" t="n">
        <v>1</v>
      </c>
      <c r="Y1641" t="inlineStr">
        <is>
          <t>801+</t>
        </is>
      </c>
      <c r="Z1641" t="n">
        <v>1.3</v>
      </c>
      <c r="AA1641" t="inlineStr">
        <is>
          <t>801+</t>
        </is>
      </c>
      <c r="AB1641" t="n">
        <v>5.7</v>
      </c>
      <c r="AC1641" t="inlineStr">
        <is>
          <t>801+</t>
        </is>
      </c>
      <c r="AD1641" t="n">
        <v>30.2</v>
      </c>
      <c r="AE1641" t="inlineStr">
        <is>
          <t>801+</t>
        </is>
      </c>
      <c r="AF1641" t="n">
        <v>28.8</v>
      </c>
      <c r="AG1641" t="inlineStr">
        <is>
          <t>577</t>
        </is>
      </c>
      <c r="AH1641" t="n">
        <v>26.4</v>
      </c>
      <c r="AI1641" t="inlineStr">
        <is>
          <t>801+</t>
        </is>
      </c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</row>
    <row r="1642">
      <c r="A1642" t="inlineStr">
        <is>
          <t>University of Mumbai</t>
        </is>
      </c>
      <c r="B1642" t="inlineStr">
        <is>
          <t>India</t>
        </is>
      </c>
      <c r="C1642" t="inlineStr">
        <is>
          <t>IN</t>
        </is>
      </c>
      <c r="D1642" t="inlineStr">
        <is>
          <t>Asia</t>
        </is>
      </c>
      <c r="E1642" t="inlineStr">
        <is>
          <t>M</t>
        </is>
      </c>
      <c r="F1642" t="inlineStr">
        <is>
          <t>FC</t>
        </is>
      </c>
      <c r="G1642" t="inlineStr">
        <is>
          <t>VH</t>
        </is>
      </c>
      <c r="H1642" t="inlineStr">
        <is>
          <t>5</t>
        </is>
      </c>
      <c r="I1642" t="inlineStr">
        <is>
          <t>Public</t>
        </is>
      </c>
      <c r="J1642" t="inlineStr">
        <is>
          <t>664</t>
        </is>
      </c>
      <c r="K1642" t="inlineStr">
        <is>
          <t>711-720</t>
        </is>
      </c>
      <c r="L1642" t="inlineStr">
        <is>
          <t>751-760</t>
        </is>
      </c>
      <c r="M1642" t="inlineStr">
        <is>
          <t>1001-1200</t>
        </is>
      </c>
      <c r="N1642" t="inlineStr">
        <is>
          <t>26.4</t>
        </is>
      </c>
      <c r="O1642" t="inlineStr">
        <is>
          <t>-</t>
        </is>
      </c>
      <c r="P1642" t="n">
        <v>11.3</v>
      </c>
      <c r="Q1642" t="inlineStr">
        <is>
          <t>701+</t>
        </is>
      </c>
      <c r="R1642" t="n">
        <v>31.5</v>
      </c>
      <c r="S1642" t="inlineStr">
        <is>
          <t>454</t>
        </is>
      </c>
      <c r="T1642" t="n">
        <v>4.7</v>
      </c>
      <c r="U1642" t="inlineStr">
        <is>
          <t>801+</t>
        </is>
      </c>
      <c r="V1642" t="n">
        <v>53.7</v>
      </c>
      <c r="W1642" t="inlineStr">
        <is>
          <t>348</t>
        </is>
      </c>
      <c r="X1642" t="n">
        <v>3</v>
      </c>
      <c r="Y1642" t="inlineStr">
        <is>
          <t>801+</t>
        </is>
      </c>
      <c r="Z1642" t="n">
        <v>4.3</v>
      </c>
      <c r="AA1642" t="inlineStr">
        <is>
          <t>801+</t>
        </is>
      </c>
      <c r="AB1642" t="n">
        <v>8.5</v>
      </c>
      <c r="AC1642" t="inlineStr">
        <is>
          <t>801+</t>
        </is>
      </c>
      <c r="AD1642" t="n">
        <v>27.6</v>
      </c>
      <c r="AE1642" t="inlineStr">
        <is>
          <t>801+</t>
        </is>
      </c>
      <c r="AF1642" t="n">
        <v>91</v>
      </c>
      <c r="AG1642" t="inlineStr">
        <is>
          <t>95</t>
        </is>
      </c>
      <c r="AH1642" t="n">
        <v>41.3</v>
      </c>
      <c r="AI1642" t="inlineStr">
        <is>
          <t>801+</t>
        </is>
      </c>
      <c r="AJ1642" t="inlineStr">
        <is>
          <t>8.1</t>
        </is>
      </c>
      <c r="AK1642" t="inlineStr">
        <is>
          <t>601+</t>
        </is>
      </c>
      <c r="AL1642" t="inlineStr">
        <is>
          <t>25.0</t>
        </is>
      </c>
      <c r="AM1642" t="inlineStr">
        <is>
          <t>383</t>
        </is>
      </c>
      <c r="AN1642" t="inlineStr">
        <is>
          <t>2.4</t>
        </is>
      </c>
      <c r="AO1642" t="inlineStr">
        <is>
          <t>701+</t>
        </is>
      </c>
      <c r="AP1642" t="inlineStr">
        <is>
          <t>25.0</t>
        </is>
      </c>
      <c r="AQ1642" t="inlineStr">
        <is>
          <t>488</t>
        </is>
      </c>
      <c r="AR1642" t="inlineStr">
        <is>
          <t>2.0</t>
        </is>
      </c>
      <c r="AS1642" t="inlineStr">
        <is>
          <t>701+</t>
        </is>
      </c>
      <c r="AT1642" t="inlineStr">
        <is>
          <t>3.5</t>
        </is>
      </c>
      <c r="AU1642" t="inlineStr">
        <is>
          <t>701+</t>
        </is>
      </c>
      <c r="AV1642" t="inlineStr">
        <is>
          <t>1.1</t>
        </is>
      </c>
      <c r="AW1642" t="inlineStr">
        <is>
          <t>701+</t>
        </is>
      </c>
      <c r="AX1642" t="inlineStr">
        <is>
          <t>70.5</t>
        </is>
      </c>
      <c r="AY1642" t="inlineStr">
        <is>
          <t>72</t>
        </is>
      </c>
      <c r="AZ1642" t="inlineStr">
        <is>
          <t>10.5</t>
        </is>
      </c>
      <c r="BA1642" t="inlineStr">
        <is>
          <t>663=</t>
        </is>
      </c>
    </row>
    <row r="1643">
      <c r="A1643" t="inlineStr">
        <is>
          <t>University of Murcia</t>
        </is>
      </c>
      <c r="B1643" t="inlineStr">
        <is>
          <t>Spain</t>
        </is>
      </c>
      <c r="C1643" t="inlineStr">
        <is>
          <t>ES</t>
        </is>
      </c>
      <c r="D1643" t="inlineStr">
        <is>
          <t>Europe</t>
        </is>
      </c>
      <c r="E1643" t="inlineStr">
        <is>
          <t>L</t>
        </is>
      </c>
      <c r="F1643" t="inlineStr">
        <is>
          <t>FC</t>
        </is>
      </c>
      <c r="G1643" t="inlineStr">
        <is>
          <t>VH</t>
        </is>
      </c>
      <c r="H1643" t="inlineStr">
        <is>
          <t>5</t>
        </is>
      </c>
      <c r="I1643" t="inlineStr">
        <is>
          <t>Public</t>
        </is>
      </c>
      <c r="J1643" t="inlineStr">
        <is>
          <t>1001-1200</t>
        </is>
      </c>
      <c r="K1643" t="inlineStr">
        <is>
          <t>901-950</t>
        </is>
      </c>
      <c r="L1643" t="inlineStr">
        <is>
          <t>901-950</t>
        </is>
      </c>
      <c r="M1643" t="inlineStr">
        <is>
          <t>801-1000</t>
        </is>
      </c>
      <c r="N1643" t="inlineStr">
        <is>
          <t>-</t>
        </is>
      </c>
      <c r="O1643" t="inlineStr">
        <is>
          <t>-</t>
        </is>
      </c>
      <c r="P1643" t="n">
        <v>15.3</v>
      </c>
      <c r="Q1643" t="inlineStr">
        <is>
          <t>701+</t>
        </is>
      </c>
      <c r="R1643" t="n">
        <v>5.4</v>
      </c>
      <c r="S1643" t="inlineStr">
        <is>
          <t>701+</t>
        </is>
      </c>
      <c r="T1643" t="n">
        <v>24.9</v>
      </c>
      <c r="U1643" t="inlineStr">
        <is>
          <t>735</t>
        </is>
      </c>
      <c r="V1643" t="n">
        <v>14.9</v>
      </c>
      <c r="W1643" t="inlineStr">
        <is>
          <t>801+</t>
        </is>
      </c>
      <c r="X1643" t="inlineStr"/>
      <c r="Y1643" t="inlineStr"/>
      <c r="Z1643" t="n">
        <v>7</v>
      </c>
      <c r="AA1643" t="inlineStr">
        <is>
          <t>801+</t>
        </is>
      </c>
      <c r="AB1643" t="n">
        <v>12.2</v>
      </c>
      <c r="AC1643" t="inlineStr">
        <is>
          <t>801+</t>
        </is>
      </c>
      <c r="AD1643" t="n">
        <v>77.90000000000001</v>
      </c>
      <c r="AE1643" t="inlineStr">
        <is>
          <t>385</t>
        </is>
      </c>
      <c r="AF1643" t="n">
        <v>4.9</v>
      </c>
      <c r="AG1643" t="inlineStr">
        <is>
          <t>801+</t>
        </is>
      </c>
      <c r="AH1643" t="n">
        <v>64.40000000000001</v>
      </c>
      <c r="AI1643" t="inlineStr">
        <is>
          <t>413=</t>
        </is>
      </c>
      <c r="AJ1643" t="inlineStr">
        <is>
          <t>12.6</t>
        </is>
      </c>
      <c r="AK1643" t="inlineStr">
        <is>
          <t>601+</t>
        </is>
      </c>
      <c r="AL1643" t="inlineStr">
        <is>
          <t>2.8</t>
        </is>
      </c>
      <c r="AM1643" t="inlineStr">
        <is>
          <t>601+</t>
        </is>
      </c>
      <c r="AN1643" t="inlineStr">
        <is>
          <t>32.5</t>
        </is>
      </c>
      <c r="AO1643" t="inlineStr">
        <is>
          <t>489</t>
        </is>
      </c>
      <c r="AP1643" t="inlineStr">
        <is>
          <t>5.7</t>
        </is>
      </c>
      <c r="AQ1643" t="inlineStr">
        <is>
          <t>701+</t>
        </is>
      </c>
      <c r="AR1643" t="inlineStr">
        <is>
          <t>3.7</t>
        </is>
      </c>
      <c r="AS1643" t="inlineStr">
        <is>
          <t>701+</t>
        </is>
      </c>
      <c r="AT1643" t="inlineStr">
        <is>
          <t>8.3</t>
        </is>
      </c>
      <c r="AU1643" t="inlineStr">
        <is>
          <t>701+</t>
        </is>
      </c>
      <c r="AV1643" t="inlineStr">
        <is>
          <t>42.0</t>
        </is>
      </c>
      <c r="AW1643" t="inlineStr">
        <is>
          <t>363</t>
        </is>
      </c>
      <c r="AX1643" t="inlineStr">
        <is>
          <t>5.5</t>
        </is>
      </c>
      <c r="AY1643" t="inlineStr">
        <is>
          <t>701+</t>
        </is>
      </c>
      <c r="AZ1643" t="inlineStr">
        <is>
          <t>9.4</t>
        </is>
      </c>
      <c r="BA1643" t="inlineStr">
        <is>
          <t>683=</t>
        </is>
      </c>
    </row>
    <row r="1644">
      <c r="A1644" t="inlineStr">
        <is>
          <t>University of Münster</t>
        </is>
      </c>
      <c r="B1644" t="inlineStr">
        <is>
          <t>Germany</t>
        </is>
      </c>
      <c r="C1644" t="inlineStr"/>
      <c r="D1644" t="inlineStr">
        <is>
          <t>Europe</t>
        </is>
      </c>
      <c r="E1644" t="inlineStr">
        <is>
          <t>L</t>
        </is>
      </c>
      <c r="F1644" t="inlineStr">
        <is>
          <t>FC</t>
        </is>
      </c>
      <c r="G1644" t="inlineStr">
        <is>
          <t>VH</t>
        </is>
      </c>
      <c r="H1644" t="inlineStr"/>
      <c r="I1644" t="inlineStr">
        <is>
          <t>Public</t>
        </is>
      </c>
      <c r="J1644" t="inlineStr">
        <is>
          <t>350</t>
        </is>
      </c>
      <c r="K1644" t="inlineStr">
        <is>
          <t>367</t>
        </is>
      </c>
      <c r="L1644" t="inlineStr"/>
      <c r="M1644" t="inlineStr"/>
      <c r="N1644" t="inlineStr">
        <is>
          <t>41.5</t>
        </is>
      </c>
      <c r="O1644" t="inlineStr"/>
      <c r="P1644" t="n">
        <v>42.3</v>
      </c>
      <c r="Q1644" t="inlineStr">
        <is>
          <t>280</t>
        </is>
      </c>
      <c r="R1644" t="n">
        <v>41.5</v>
      </c>
      <c r="S1644" t="inlineStr">
        <is>
          <t>327</t>
        </is>
      </c>
      <c r="T1644" t="n">
        <v>79.59999999999999</v>
      </c>
      <c r="U1644" t="inlineStr">
        <is>
          <t>170</t>
        </is>
      </c>
      <c r="V1644" t="n">
        <v>15.5</v>
      </c>
      <c r="W1644" t="inlineStr">
        <is>
          <t>793</t>
        </is>
      </c>
      <c r="X1644" t="n">
        <v>35.6</v>
      </c>
      <c r="Y1644" t="inlineStr">
        <is>
          <t>532</t>
        </is>
      </c>
      <c r="Z1644" t="n">
        <v>8.4</v>
      </c>
      <c r="AA1644" t="inlineStr">
        <is>
          <t>801+</t>
        </is>
      </c>
      <c r="AB1644" t="n">
        <v>14.1</v>
      </c>
      <c r="AC1644" t="inlineStr">
        <is>
          <t>801+</t>
        </is>
      </c>
      <c r="AD1644" t="n">
        <v>82.5</v>
      </c>
      <c r="AE1644" t="inlineStr">
        <is>
          <t>302</t>
        </is>
      </c>
      <c r="AF1644" t="n">
        <v>45.3</v>
      </c>
      <c r="AG1644" t="inlineStr">
        <is>
          <t>387</t>
        </is>
      </c>
      <c r="AH1644" t="n">
        <v>74.59999999999999</v>
      </c>
      <c r="AI1644" t="inlineStr">
        <is>
          <t>247=</t>
        </is>
      </c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</row>
    <row r="1645">
      <c r="A1645" t="inlineStr">
        <is>
          <t>University of Nairobi</t>
        </is>
      </c>
      <c r="B1645" t="inlineStr">
        <is>
          <t>Kenya</t>
        </is>
      </c>
      <c r="C1645" t="inlineStr">
        <is>
          <t>KE</t>
        </is>
      </c>
      <c r="D1645" t="inlineStr">
        <is>
          <t>Africa</t>
        </is>
      </c>
      <c r="E1645" t="inlineStr">
        <is>
          <t>XL</t>
        </is>
      </c>
      <c r="F1645" t="inlineStr">
        <is>
          <t>FC</t>
        </is>
      </c>
      <c r="G1645" t="inlineStr">
        <is>
          <t>HI</t>
        </is>
      </c>
      <c r="H1645" t="inlineStr">
        <is>
          <t>4</t>
        </is>
      </c>
      <c r="I1645" t="inlineStr">
        <is>
          <t>Public</t>
        </is>
      </c>
      <c r="J1645" t="inlineStr">
        <is>
          <t>1001-1200</t>
        </is>
      </c>
      <c r="K1645" t="inlineStr">
        <is>
          <t>901-950</t>
        </is>
      </c>
      <c r="L1645" t="inlineStr">
        <is>
          <t>1001-1200</t>
        </is>
      </c>
      <c r="M1645" t="inlineStr">
        <is>
          <t>1001-1200</t>
        </is>
      </c>
      <c r="N1645" t="inlineStr">
        <is>
          <t>-</t>
        </is>
      </c>
      <c r="O1645" t="inlineStr">
        <is>
          <t>-</t>
        </is>
      </c>
      <c r="P1645" t="n">
        <v>12.8</v>
      </c>
      <c r="Q1645" t="inlineStr">
        <is>
          <t>701+</t>
        </is>
      </c>
      <c r="R1645" t="n">
        <v>13.7</v>
      </c>
      <c r="S1645" t="inlineStr">
        <is>
          <t>701+</t>
        </is>
      </c>
      <c r="T1645" t="n">
        <v>25.7</v>
      </c>
      <c r="U1645" t="inlineStr">
        <is>
          <t>723</t>
        </is>
      </c>
      <c r="V1645" t="n">
        <v>2.6</v>
      </c>
      <c r="W1645" t="inlineStr">
        <is>
          <t>801+</t>
        </is>
      </c>
      <c r="X1645" t="inlineStr"/>
      <c r="Y1645" t="inlineStr"/>
      <c r="Z1645" t="inlineStr"/>
      <c r="AA1645" t="inlineStr"/>
      <c r="AB1645" t="inlineStr"/>
      <c r="AC1645" t="inlineStr"/>
      <c r="AD1645" t="n">
        <v>48.7</v>
      </c>
      <c r="AE1645" t="inlineStr">
        <is>
          <t>801+</t>
        </is>
      </c>
      <c r="AF1645" t="n">
        <v>95.59999999999999</v>
      </c>
      <c r="AG1645" t="inlineStr">
        <is>
          <t>72</t>
        </is>
      </c>
      <c r="AH1645" t="n">
        <v>39.1</v>
      </c>
      <c r="AI1645" t="inlineStr">
        <is>
          <t>801+</t>
        </is>
      </c>
      <c r="AJ1645" t="inlineStr">
        <is>
          <t>9.6</t>
        </is>
      </c>
      <c r="AK1645" t="inlineStr">
        <is>
          <t>601+</t>
        </is>
      </c>
      <c r="AL1645" t="inlineStr">
        <is>
          <t>14.6</t>
        </is>
      </c>
      <c r="AM1645" t="inlineStr">
        <is>
          <t>557</t>
        </is>
      </c>
      <c r="AN1645" t="inlineStr">
        <is>
          <t>18.1</t>
        </is>
      </c>
      <c r="AO1645" t="inlineStr">
        <is>
          <t>701+</t>
        </is>
      </c>
      <c r="AP1645" t="inlineStr">
        <is>
          <t>1.7</t>
        </is>
      </c>
      <c r="AQ1645" t="inlineStr">
        <is>
          <t>701+</t>
        </is>
      </c>
      <c r="AR1645" t="inlineStr"/>
      <c r="AS1645" t="inlineStr"/>
      <c r="AT1645" t="inlineStr"/>
      <c r="AU1645" t="inlineStr"/>
      <c r="AV1645" t="inlineStr">
        <is>
          <t>3.6</t>
        </is>
      </c>
      <c r="AW1645" t="inlineStr">
        <is>
          <t>701+</t>
        </is>
      </c>
      <c r="AX1645" t="inlineStr">
        <is>
          <t>54.4</t>
        </is>
      </c>
      <c r="AY1645" t="inlineStr">
        <is>
          <t>116</t>
        </is>
      </c>
      <c r="AZ1645" t="inlineStr">
        <is>
          <t>4.1</t>
        </is>
      </c>
      <c r="BA1645" t="inlineStr">
        <is>
          <t>701+</t>
        </is>
      </c>
    </row>
    <row r="1646">
      <c r="A1646" t="inlineStr">
        <is>
          <t>University of Namur</t>
        </is>
      </c>
      <c r="B1646" t="inlineStr">
        <is>
          <t>Belgium</t>
        </is>
      </c>
      <c r="C1646" t="inlineStr"/>
      <c r="D1646" t="inlineStr">
        <is>
          <t>Europe</t>
        </is>
      </c>
      <c r="E1646" t="inlineStr">
        <is>
          <t>M</t>
        </is>
      </c>
      <c r="F1646" t="inlineStr">
        <is>
          <t>FO</t>
        </is>
      </c>
      <c r="G1646" t="inlineStr">
        <is>
          <t>VH</t>
        </is>
      </c>
      <c r="H1646" t="inlineStr"/>
      <c r="I1646" t="inlineStr"/>
      <c r="J1646" t="inlineStr">
        <is>
          <t>801-850</t>
        </is>
      </c>
      <c r="K1646" t="inlineStr"/>
      <c r="L1646" t="inlineStr"/>
      <c r="M1646" t="inlineStr"/>
      <c r="N1646" t="inlineStr">
        <is>
          <t>-</t>
        </is>
      </c>
      <c r="O1646" t="inlineStr"/>
      <c r="P1646" t="n">
        <v>6.4</v>
      </c>
      <c r="Q1646" t="inlineStr">
        <is>
          <t>701+</t>
        </is>
      </c>
      <c r="R1646" t="n">
        <v>8.800000000000001</v>
      </c>
      <c r="S1646" t="inlineStr">
        <is>
          <t>701+</t>
        </is>
      </c>
      <c r="T1646" t="n">
        <v>5.8</v>
      </c>
      <c r="U1646" t="inlineStr">
        <is>
          <t>801+</t>
        </is>
      </c>
      <c r="V1646" t="n">
        <v>44.4</v>
      </c>
      <c r="W1646" t="inlineStr">
        <is>
          <t>421</t>
        </is>
      </c>
      <c r="X1646" t="n">
        <v>37.2</v>
      </c>
      <c r="Y1646" t="inlineStr">
        <is>
          <t>521</t>
        </is>
      </c>
      <c r="Z1646" t="n">
        <v>59.3</v>
      </c>
      <c r="AA1646" t="inlineStr">
        <is>
          <t>345</t>
        </is>
      </c>
      <c r="AB1646" t="n">
        <v>62.7</v>
      </c>
      <c r="AC1646" t="inlineStr">
        <is>
          <t>316</t>
        </is>
      </c>
      <c r="AD1646" t="n">
        <v>47.5</v>
      </c>
      <c r="AE1646" t="inlineStr">
        <is>
          <t>801+</t>
        </is>
      </c>
      <c r="AF1646" t="n">
        <v>10.3</v>
      </c>
      <c r="AG1646" t="inlineStr">
        <is>
          <t>801+</t>
        </is>
      </c>
      <c r="AH1646" t="n">
        <v>53.4</v>
      </c>
      <c r="AI1646" t="inlineStr">
        <is>
          <t>632=</t>
        </is>
      </c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</row>
    <row r="1647">
      <c r="A1647" t="inlineStr">
        <is>
          <t>University of Naples - Federico II</t>
        </is>
      </c>
      <c r="B1647" t="inlineStr">
        <is>
          <t>Italy</t>
        </is>
      </c>
      <c r="C1647" t="inlineStr">
        <is>
          <t>IT</t>
        </is>
      </c>
      <c r="D1647" t="inlineStr">
        <is>
          <t>Europe</t>
        </is>
      </c>
      <c r="E1647" t="inlineStr">
        <is>
          <t>XL</t>
        </is>
      </c>
      <c r="F1647" t="inlineStr">
        <is>
          <t>FC</t>
        </is>
      </c>
      <c r="G1647" t="inlineStr">
        <is>
          <t>VH</t>
        </is>
      </c>
      <c r="H1647" t="inlineStr">
        <is>
          <t>5</t>
        </is>
      </c>
      <c r="I1647" t="inlineStr">
        <is>
          <t>Public</t>
        </is>
      </c>
      <c r="J1647" t="inlineStr">
        <is>
          <t>379</t>
        </is>
      </c>
      <c r="K1647" t="inlineStr">
        <is>
          <t>347</t>
        </is>
      </c>
      <c r="L1647" t="inlineStr">
        <is>
          <t>335</t>
        </is>
      </c>
      <c r="M1647" t="inlineStr">
        <is>
          <t>416=</t>
        </is>
      </c>
      <c r="N1647" t="inlineStr">
        <is>
          <t>39.5</t>
        </is>
      </c>
      <c r="O1647" t="inlineStr">
        <is>
          <t>32.3</t>
        </is>
      </c>
      <c r="P1647" t="n">
        <v>47.8</v>
      </c>
      <c r="Q1647" t="inlineStr">
        <is>
          <t>241</t>
        </is>
      </c>
      <c r="R1647" t="n">
        <v>32.8</v>
      </c>
      <c r="S1647" t="inlineStr">
        <is>
          <t>438</t>
        </is>
      </c>
      <c r="T1647" t="n">
        <v>6.8</v>
      </c>
      <c r="U1647" t="inlineStr">
        <is>
          <t>801+</t>
        </is>
      </c>
      <c r="V1647" t="n">
        <v>59.5</v>
      </c>
      <c r="W1647" t="inlineStr">
        <is>
          <t>292</t>
        </is>
      </c>
      <c r="X1647" t="n">
        <v>2.9</v>
      </c>
      <c r="Y1647" t="inlineStr">
        <is>
          <t>801+</t>
        </is>
      </c>
      <c r="Z1647" t="n">
        <v>1.2</v>
      </c>
      <c r="AA1647" t="inlineStr">
        <is>
          <t>801+</t>
        </is>
      </c>
      <c r="AB1647" t="n">
        <v>1.2</v>
      </c>
      <c r="AC1647" t="inlineStr">
        <is>
          <t>801+</t>
        </is>
      </c>
      <c r="AD1647" t="n">
        <v>94.90000000000001</v>
      </c>
      <c r="AE1647" t="inlineStr">
        <is>
          <t>86</t>
        </is>
      </c>
      <c r="AF1647" t="n">
        <v>12.5</v>
      </c>
      <c r="AG1647" t="inlineStr">
        <is>
          <t>801+</t>
        </is>
      </c>
      <c r="AH1647" t="n">
        <v>57.5</v>
      </c>
      <c r="AI1647" t="inlineStr">
        <is>
          <t>550=</t>
        </is>
      </c>
      <c r="AJ1647" t="inlineStr">
        <is>
          <t>35.2</t>
        </is>
      </c>
      <c r="AK1647" t="inlineStr">
        <is>
          <t>245</t>
        </is>
      </c>
      <c r="AL1647" t="inlineStr">
        <is>
          <t>17.0</t>
        </is>
      </c>
      <c r="AM1647" t="inlineStr">
        <is>
          <t>508</t>
        </is>
      </c>
      <c r="AN1647" t="inlineStr">
        <is>
          <t>4.3</t>
        </is>
      </c>
      <c r="AO1647" t="inlineStr">
        <is>
          <t>701+</t>
        </is>
      </c>
      <c r="AP1647" t="inlineStr">
        <is>
          <t>61.8</t>
        </is>
      </c>
      <c r="AQ1647" t="inlineStr">
        <is>
          <t>197</t>
        </is>
      </c>
      <c r="AR1647" t="inlineStr">
        <is>
          <t>2.4</t>
        </is>
      </c>
      <c r="AS1647" t="inlineStr">
        <is>
          <t>701+</t>
        </is>
      </c>
      <c r="AT1647" t="inlineStr">
        <is>
          <t>1.1</t>
        </is>
      </c>
      <c r="AU1647" t="inlineStr">
        <is>
          <t>701+</t>
        </is>
      </c>
      <c r="AV1647" t="inlineStr">
        <is>
          <t>81.6</t>
        </is>
      </c>
      <c r="AW1647" t="inlineStr">
        <is>
          <t>137</t>
        </is>
      </c>
      <c r="AX1647" t="inlineStr">
        <is>
          <t>7.1</t>
        </is>
      </c>
      <c r="AY1647" t="inlineStr">
        <is>
          <t>701+</t>
        </is>
      </c>
      <c r="AZ1647" t="inlineStr">
        <is>
          <t>34.6</t>
        </is>
      </c>
      <c r="BA1647" t="inlineStr">
        <is>
          <t>403=</t>
        </is>
      </c>
    </row>
    <row r="1648">
      <c r="A1648" t="inlineStr">
        <is>
          <t>University of Naples Parthenope</t>
        </is>
      </c>
      <c r="B1648" t="inlineStr">
        <is>
          <t>Italy</t>
        </is>
      </c>
      <c r="C1648" t="inlineStr">
        <is>
          <t>IT</t>
        </is>
      </c>
      <c r="D1648" t="inlineStr"/>
      <c r="E1648" t="inlineStr">
        <is>
          <t>M</t>
        </is>
      </c>
      <c r="F1648" t="inlineStr">
        <is>
          <t>FO</t>
        </is>
      </c>
      <c r="G1648" t="inlineStr">
        <is>
          <t>VH</t>
        </is>
      </c>
      <c r="H1648" t="inlineStr">
        <is>
          <t>4</t>
        </is>
      </c>
      <c r="I1648" t="inlineStr">
        <is>
          <t>A</t>
        </is>
      </c>
      <c r="J1648" t="inlineStr"/>
      <c r="K1648" t="inlineStr"/>
      <c r="L1648" t="inlineStr">
        <is>
          <t>1001-1200</t>
        </is>
      </c>
      <c r="M1648" t="inlineStr">
        <is>
          <t>1001-1200</t>
        </is>
      </c>
      <c r="N1648" t="inlineStr"/>
      <c r="O1648" t="inlineStr">
        <is>
          <t>-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>
        <is>
          <t>3.5</t>
        </is>
      </c>
      <c r="AK1648" t="inlineStr">
        <is>
          <t>601+</t>
        </is>
      </c>
      <c r="AL1648" t="inlineStr">
        <is>
          <t>2.0</t>
        </is>
      </c>
      <c r="AM1648" t="inlineStr">
        <is>
          <t>601+</t>
        </is>
      </c>
      <c r="AN1648" t="inlineStr">
        <is>
          <t>3.7</t>
        </is>
      </c>
      <c r="AO1648" t="inlineStr">
        <is>
          <t>701+</t>
        </is>
      </c>
      <c r="AP1648" t="inlineStr">
        <is>
          <t>38.9</t>
        </is>
      </c>
      <c r="AQ1648" t="inlineStr">
        <is>
          <t>353</t>
        </is>
      </c>
      <c r="AR1648" t="inlineStr">
        <is>
          <t>1.8</t>
        </is>
      </c>
      <c r="AS1648" t="inlineStr">
        <is>
          <t>701+</t>
        </is>
      </c>
      <c r="AT1648" t="inlineStr">
        <is>
          <t>1.9</t>
        </is>
      </c>
      <c r="AU1648" t="inlineStr">
        <is>
          <t>701+</t>
        </is>
      </c>
      <c r="AV1648" t="inlineStr">
        <is>
          <t>1.7</t>
        </is>
      </c>
      <c r="AW1648" t="inlineStr">
        <is>
          <t>701+</t>
        </is>
      </c>
      <c r="AX1648" t="inlineStr">
        <is>
          <t>4.8</t>
        </is>
      </c>
      <c r="AY1648" t="inlineStr">
        <is>
          <t>701+</t>
        </is>
      </c>
      <c r="AZ1648" t="inlineStr">
        <is>
          <t>3.4</t>
        </is>
      </c>
      <c r="BA1648" t="inlineStr">
        <is>
          <t>701+</t>
        </is>
      </c>
    </row>
    <row r="1649">
      <c r="A1649" t="inlineStr">
        <is>
          <t>University of Navarra</t>
        </is>
      </c>
      <c r="B1649" t="inlineStr">
        <is>
          <t>Spain</t>
        </is>
      </c>
      <c r="C1649" t="inlineStr">
        <is>
          <t>ES</t>
        </is>
      </c>
      <c r="D1649" t="inlineStr">
        <is>
          <t>Europe</t>
        </is>
      </c>
      <c r="E1649" t="inlineStr">
        <is>
          <t>L</t>
        </is>
      </c>
      <c r="F1649" t="inlineStr">
        <is>
          <t>FC</t>
        </is>
      </c>
      <c r="G1649" t="inlineStr">
        <is>
          <t>HI</t>
        </is>
      </c>
      <c r="H1649" t="inlineStr">
        <is>
          <t>4</t>
        </is>
      </c>
      <c r="I1649" t="inlineStr">
        <is>
          <t>Private not for Profit</t>
        </is>
      </c>
      <c r="J1649" t="inlineStr">
        <is>
          <t>262</t>
        </is>
      </c>
      <c r="K1649" t="inlineStr">
        <is>
          <t>249</t>
        </is>
      </c>
      <c r="L1649" t="inlineStr">
        <is>
          <t>280</t>
        </is>
      </c>
      <c r="M1649" t="inlineStr">
        <is>
          <t>253=</t>
        </is>
      </c>
      <c r="N1649" t="inlineStr">
        <is>
          <t>49.3</t>
        </is>
      </c>
      <c r="O1649" t="inlineStr">
        <is>
          <t>36.8</t>
        </is>
      </c>
      <c r="P1649" t="n">
        <v>40.8</v>
      </c>
      <c r="Q1649" t="inlineStr">
        <is>
          <t>290</t>
        </is>
      </c>
      <c r="R1649" t="n">
        <v>78.2</v>
      </c>
      <c r="S1649" t="inlineStr">
        <is>
          <t>111</t>
        </is>
      </c>
      <c r="T1649" t="n">
        <v>50.6</v>
      </c>
      <c r="U1649" t="inlineStr">
        <is>
          <t>375</t>
        </is>
      </c>
      <c r="V1649" t="n">
        <v>25.3</v>
      </c>
      <c r="W1649" t="inlineStr">
        <is>
          <t>631</t>
        </is>
      </c>
      <c r="X1649" t="n">
        <v>26.8</v>
      </c>
      <c r="Y1649" t="inlineStr">
        <is>
          <t>629</t>
        </is>
      </c>
      <c r="Z1649" t="n">
        <v>84</v>
      </c>
      <c r="AA1649" t="inlineStr">
        <is>
          <t>200</t>
        </is>
      </c>
      <c r="AB1649" t="n">
        <v>85.40000000000001</v>
      </c>
      <c r="AC1649" t="inlineStr">
        <is>
          <t>171</t>
        </is>
      </c>
      <c r="AD1649" t="n">
        <v>58.3</v>
      </c>
      <c r="AE1649" t="inlineStr">
        <is>
          <t>714</t>
        </is>
      </c>
      <c r="AF1649" t="n">
        <v>80.5</v>
      </c>
      <c r="AG1649" t="inlineStr">
        <is>
          <t>156</t>
        </is>
      </c>
      <c r="AH1649" t="n">
        <v>66.09999999999999</v>
      </c>
      <c r="AI1649" t="inlineStr">
        <is>
          <t>376=</t>
        </is>
      </c>
      <c r="AJ1649" t="inlineStr">
        <is>
          <t>29.0</t>
        </is>
      </c>
      <c r="AK1649" t="inlineStr">
        <is>
          <t>300</t>
        </is>
      </c>
      <c r="AL1649" t="inlineStr">
        <is>
          <t>61.2</t>
        </is>
      </c>
      <c r="AM1649" t="inlineStr">
        <is>
          <t>130</t>
        </is>
      </c>
      <c r="AN1649" t="inlineStr">
        <is>
          <t>56.5</t>
        </is>
      </c>
      <c r="AO1649" t="inlineStr">
        <is>
          <t>260</t>
        </is>
      </c>
      <c r="AP1649" t="inlineStr">
        <is>
          <t>15.1</t>
        </is>
      </c>
      <c r="AQ1649" t="inlineStr">
        <is>
          <t>635</t>
        </is>
      </c>
      <c r="AR1649" t="inlineStr">
        <is>
          <t>25.2</t>
        </is>
      </c>
      <c r="AS1649" t="inlineStr">
        <is>
          <t>531</t>
        </is>
      </c>
      <c r="AT1649" t="inlineStr">
        <is>
          <t>74.8</t>
        </is>
      </c>
      <c r="AU1649" t="inlineStr">
        <is>
          <t>186</t>
        </is>
      </c>
      <c r="AV1649" t="inlineStr">
        <is>
          <t>28.9</t>
        </is>
      </c>
      <c r="AW1649" t="inlineStr">
        <is>
          <t>464</t>
        </is>
      </c>
      <c r="AX1649" t="inlineStr">
        <is>
          <t>28.4</t>
        </is>
      </c>
      <c r="AY1649" t="inlineStr">
        <is>
          <t>282</t>
        </is>
      </c>
      <c r="AZ1649" t="inlineStr">
        <is>
          <t>45.6</t>
        </is>
      </c>
      <c r="BA1649" t="inlineStr">
        <is>
          <t>333</t>
        </is>
      </c>
    </row>
    <row r="1650">
      <c r="A1650" t="inlineStr">
        <is>
          <t>University of Nebraska - Lincoln</t>
        </is>
      </c>
      <c r="B1650" t="inlineStr">
        <is>
          <t>United States</t>
        </is>
      </c>
      <c r="C1650" t="inlineStr">
        <is>
          <t>US</t>
        </is>
      </c>
      <c r="D1650" t="inlineStr">
        <is>
          <t>Americas</t>
        </is>
      </c>
      <c r="E1650" t="inlineStr">
        <is>
          <t>L</t>
        </is>
      </c>
      <c r="F1650" t="inlineStr">
        <is>
          <t>CO</t>
        </is>
      </c>
      <c r="G1650" t="inlineStr">
        <is>
          <t>VH</t>
        </is>
      </c>
      <c r="H1650" t="inlineStr">
        <is>
          <t>5</t>
        </is>
      </c>
      <c r="I1650" t="inlineStr">
        <is>
          <t>Public</t>
        </is>
      </c>
      <c r="J1650" t="inlineStr">
        <is>
          <t>711-720</t>
        </is>
      </c>
      <c r="K1650" t="inlineStr">
        <is>
          <t>701-710</t>
        </is>
      </c>
      <c r="L1650">
        <f>551</f>
        <v/>
      </c>
      <c r="M1650" t="inlineStr">
        <is>
          <t>651-700</t>
        </is>
      </c>
      <c r="N1650" t="inlineStr">
        <is>
          <t>-</t>
        </is>
      </c>
      <c r="O1650" t="inlineStr">
        <is>
          <t>21.3</t>
        </is>
      </c>
      <c r="P1650" t="n">
        <v>14.3</v>
      </c>
      <c r="Q1650" t="inlineStr">
        <is>
          <t>701+</t>
        </is>
      </c>
      <c r="R1650" t="n">
        <v>11.5</v>
      </c>
      <c r="S1650" t="inlineStr">
        <is>
          <t>701+</t>
        </is>
      </c>
      <c r="T1650" t="n">
        <v>23.8</v>
      </c>
      <c r="U1650" t="inlineStr">
        <is>
          <t>756</t>
        </is>
      </c>
      <c r="V1650" t="n">
        <v>37.7</v>
      </c>
      <c r="W1650" t="inlineStr">
        <is>
          <t>495</t>
        </is>
      </c>
      <c r="X1650" t="n">
        <v>27.1</v>
      </c>
      <c r="Y1650" t="inlineStr">
        <is>
          <t>622</t>
        </is>
      </c>
      <c r="Z1650" t="n">
        <v>12.1</v>
      </c>
      <c r="AA1650" t="inlineStr">
        <is>
          <t>801+</t>
        </is>
      </c>
      <c r="AB1650" t="n">
        <v>18.1</v>
      </c>
      <c r="AC1650" t="inlineStr">
        <is>
          <t>794</t>
        </is>
      </c>
      <c r="AD1650" t="n">
        <v>79.59999999999999</v>
      </c>
      <c r="AE1650" t="inlineStr">
        <is>
          <t>359</t>
        </is>
      </c>
      <c r="AF1650" t="n">
        <v>17.5</v>
      </c>
      <c r="AG1650" t="inlineStr">
        <is>
          <t>771</t>
        </is>
      </c>
      <c r="AH1650" t="n">
        <v>63.8</v>
      </c>
      <c r="AI1650" t="inlineStr">
        <is>
          <t>427=</t>
        </is>
      </c>
      <c r="AJ1650" t="inlineStr">
        <is>
          <t>10.8</t>
        </is>
      </c>
      <c r="AK1650" t="inlineStr">
        <is>
          <t>601+</t>
        </is>
      </c>
      <c r="AL1650" t="inlineStr">
        <is>
          <t>5.9</t>
        </is>
      </c>
      <c r="AM1650" t="inlineStr">
        <is>
          <t>601+</t>
        </is>
      </c>
      <c r="AN1650" t="inlineStr">
        <is>
          <t>18.8</t>
        </is>
      </c>
      <c r="AO1650" t="inlineStr">
        <is>
          <t>700</t>
        </is>
      </c>
      <c r="AP1650" t="inlineStr">
        <is>
          <t>33.7</t>
        </is>
      </c>
      <c r="AQ1650" t="inlineStr">
        <is>
          <t>406</t>
        </is>
      </c>
      <c r="AR1650" t="inlineStr">
        <is>
          <t>30.4</t>
        </is>
      </c>
      <c r="AS1650" t="inlineStr">
        <is>
          <t>488</t>
        </is>
      </c>
      <c r="AT1650" t="inlineStr">
        <is>
          <t>8.2</t>
        </is>
      </c>
      <c r="AU1650" t="inlineStr">
        <is>
          <t>701+</t>
        </is>
      </c>
      <c r="AV1650" t="inlineStr">
        <is>
          <t>42.6</t>
        </is>
      </c>
      <c r="AW1650" t="inlineStr">
        <is>
          <t>357</t>
        </is>
      </c>
      <c r="AX1650" t="inlineStr">
        <is>
          <t>12.2</t>
        </is>
      </c>
      <c r="AY1650" t="inlineStr">
        <is>
          <t>701+</t>
        </is>
      </c>
      <c r="AZ1650" t="inlineStr">
        <is>
          <t>79.1</t>
        </is>
      </c>
      <c r="BA1650" t="inlineStr">
        <is>
          <t>156</t>
        </is>
      </c>
    </row>
    <row r="1651">
      <c r="A1651" t="inlineStr">
        <is>
          <t>University of Nevada - Reno</t>
        </is>
      </c>
      <c r="B1651" t="inlineStr">
        <is>
          <t>United States</t>
        </is>
      </c>
      <c r="C1651" t="inlineStr"/>
      <c r="D1651" t="inlineStr">
        <is>
          <t>Americas</t>
        </is>
      </c>
      <c r="E1651" t="inlineStr">
        <is>
          <t>L</t>
        </is>
      </c>
      <c r="F1651" t="inlineStr">
        <is>
          <t>FC</t>
        </is>
      </c>
      <c r="G1651" t="inlineStr">
        <is>
          <t>HI</t>
        </is>
      </c>
      <c r="H1651" t="inlineStr"/>
      <c r="I1651" t="inlineStr">
        <is>
          <t>Public</t>
        </is>
      </c>
      <c r="J1651" t="inlineStr">
        <is>
          <t>1001-1200</t>
        </is>
      </c>
      <c r="K1651" t="inlineStr"/>
      <c r="L1651" t="inlineStr"/>
      <c r="M1651" t="inlineStr"/>
      <c r="N1651" t="inlineStr">
        <is>
          <t>-</t>
        </is>
      </c>
      <c r="O1651" t="inlineStr"/>
      <c r="P1651" t="n">
        <v>6.4</v>
      </c>
      <c r="Q1651" t="inlineStr">
        <is>
          <t>701+</t>
        </is>
      </c>
      <c r="R1651" t="n">
        <v>6.5</v>
      </c>
      <c r="S1651" t="inlineStr">
        <is>
          <t>701+</t>
        </is>
      </c>
      <c r="T1651" t="n">
        <v>24.2</v>
      </c>
      <c r="U1651" t="inlineStr">
        <is>
          <t>748</t>
        </is>
      </c>
      <c r="V1651" t="n">
        <v>24.4</v>
      </c>
      <c r="W1651" t="inlineStr">
        <is>
          <t>648</t>
        </is>
      </c>
      <c r="X1651" t="n">
        <v>23.4</v>
      </c>
      <c r="Y1651" t="inlineStr">
        <is>
          <t>672</t>
        </is>
      </c>
      <c r="Z1651" t="n">
        <v>4.1</v>
      </c>
      <c r="AA1651" t="inlineStr">
        <is>
          <t>801+</t>
        </is>
      </c>
      <c r="AB1651" t="n">
        <v>3.3</v>
      </c>
      <c r="AC1651" t="inlineStr">
        <is>
          <t>801+</t>
        </is>
      </c>
      <c r="AD1651" t="n">
        <v>62.9</v>
      </c>
      <c r="AE1651" t="inlineStr">
        <is>
          <t>652</t>
        </is>
      </c>
      <c r="AF1651" t="n">
        <v>13.9</v>
      </c>
      <c r="AG1651" t="inlineStr">
        <is>
          <t>801+</t>
        </is>
      </c>
      <c r="AH1651" t="n">
        <v>48.1</v>
      </c>
      <c r="AI1651" t="inlineStr">
        <is>
          <t>757=</t>
        </is>
      </c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</row>
    <row r="1652">
      <c r="A1652" t="inlineStr">
        <is>
          <t>University of New Brunswick</t>
        </is>
      </c>
      <c r="B1652" t="inlineStr">
        <is>
          <t>Canada</t>
        </is>
      </c>
      <c r="C1652" t="inlineStr">
        <is>
          <t>CA</t>
        </is>
      </c>
      <c r="D1652" t="inlineStr">
        <is>
          <t>Americas</t>
        </is>
      </c>
      <c r="E1652" t="inlineStr">
        <is>
          <t>M</t>
        </is>
      </c>
      <c r="F1652" t="inlineStr">
        <is>
          <t>CO</t>
        </is>
      </c>
      <c r="G1652" t="inlineStr">
        <is>
          <t>VH</t>
        </is>
      </c>
      <c r="H1652" t="inlineStr">
        <is>
          <t>5</t>
        </is>
      </c>
      <c r="I1652" t="inlineStr">
        <is>
          <t>Public</t>
        </is>
      </c>
      <c r="J1652" t="inlineStr">
        <is>
          <t>622</t>
        </is>
      </c>
      <c r="K1652" t="inlineStr">
        <is>
          <t>681-690</t>
        </is>
      </c>
      <c r="L1652" t="inlineStr">
        <is>
          <t>711-720</t>
        </is>
      </c>
      <c r="M1652" t="inlineStr">
        <is>
          <t>701-750</t>
        </is>
      </c>
      <c r="N1652" t="inlineStr">
        <is>
          <t>27.6</t>
        </is>
      </c>
      <c r="O1652" t="inlineStr">
        <is>
          <t>-</t>
        </is>
      </c>
      <c r="P1652" t="n">
        <v>7.1</v>
      </c>
      <c r="Q1652" t="inlineStr">
        <is>
          <t>701+</t>
        </is>
      </c>
      <c r="R1652" t="n">
        <v>17.9</v>
      </c>
      <c r="S1652" t="inlineStr">
        <is>
          <t>701+</t>
        </is>
      </c>
      <c r="T1652" t="n">
        <v>22.2</v>
      </c>
      <c r="U1652" t="inlineStr">
        <is>
          <t>786</t>
        </is>
      </c>
      <c r="V1652" t="n">
        <v>41.1</v>
      </c>
      <c r="W1652" t="inlineStr">
        <is>
          <t>458</t>
        </is>
      </c>
      <c r="X1652" t="n">
        <v>67.5</v>
      </c>
      <c r="Y1652" t="inlineStr">
        <is>
          <t>346</t>
        </is>
      </c>
      <c r="Z1652" t="n">
        <v>65.09999999999999</v>
      </c>
      <c r="AA1652" t="inlineStr">
        <is>
          <t>308</t>
        </is>
      </c>
      <c r="AB1652" t="n">
        <v>68.5</v>
      </c>
      <c r="AC1652" t="inlineStr">
        <is>
          <t>282</t>
        </is>
      </c>
      <c r="AD1652" t="n">
        <v>51.1</v>
      </c>
      <c r="AE1652" t="inlineStr">
        <is>
          <t>801+</t>
        </is>
      </c>
      <c r="AF1652" t="n">
        <v>24.7</v>
      </c>
      <c r="AG1652" t="inlineStr">
        <is>
          <t>646</t>
        </is>
      </c>
      <c r="AH1652" t="n">
        <v>62.7</v>
      </c>
      <c r="AI1652" t="inlineStr">
        <is>
          <t>444=</t>
        </is>
      </c>
      <c r="AJ1652" t="inlineStr">
        <is>
          <t>4.6</t>
        </is>
      </c>
      <c r="AK1652" t="inlineStr">
        <is>
          <t>601+</t>
        </is>
      </c>
      <c r="AL1652" t="inlineStr">
        <is>
          <t>6.9</t>
        </is>
      </c>
      <c r="AM1652" t="inlineStr">
        <is>
          <t>601+</t>
        </is>
      </c>
      <c r="AN1652" t="inlineStr">
        <is>
          <t>23.0</t>
        </is>
      </c>
      <c r="AO1652" t="inlineStr">
        <is>
          <t>618</t>
        </is>
      </c>
      <c r="AP1652" t="inlineStr">
        <is>
          <t>24.9</t>
        </is>
      </c>
      <c r="AQ1652" t="inlineStr">
        <is>
          <t>490</t>
        </is>
      </c>
      <c r="AR1652" t="inlineStr">
        <is>
          <t>63.8</t>
        </is>
      </c>
      <c r="AS1652" t="inlineStr">
        <is>
          <t>303</t>
        </is>
      </c>
      <c r="AT1652" t="inlineStr">
        <is>
          <t>24.8</t>
        </is>
      </c>
      <c r="AU1652" t="inlineStr">
        <is>
          <t>476</t>
        </is>
      </c>
      <c r="AV1652" t="inlineStr">
        <is>
          <t>5.9</t>
        </is>
      </c>
      <c r="AW1652" t="inlineStr">
        <is>
          <t>701+</t>
        </is>
      </c>
      <c r="AX1652" t="inlineStr">
        <is>
          <t>14.4</t>
        </is>
      </c>
      <c r="AY1652" t="inlineStr">
        <is>
          <t>583</t>
        </is>
      </c>
      <c r="AZ1652" t="inlineStr">
        <is>
          <t>32.7</t>
        </is>
      </c>
      <c r="BA1652" t="inlineStr">
        <is>
          <t>420=</t>
        </is>
      </c>
    </row>
    <row r="1653">
      <c r="A1653" t="inlineStr">
        <is>
          <t>University of New England</t>
        </is>
      </c>
      <c r="B1653" t="inlineStr">
        <is>
          <t>Australia</t>
        </is>
      </c>
      <c r="C1653" t="inlineStr"/>
      <c r="D1653" t="inlineStr">
        <is>
          <t>Oceania</t>
        </is>
      </c>
      <c r="E1653" t="inlineStr">
        <is>
          <t>L</t>
        </is>
      </c>
      <c r="F1653" t="inlineStr">
        <is>
          <t>CO</t>
        </is>
      </c>
      <c r="G1653" t="inlineStr">
        <is>
          <t>VH</t>
        </is>
      </c>
      <c r="H1653" t="inlineStr"/>
      <c r="I1653" t="inlineStr">
        <is>
          <t>Public</t>
        </is>
      </c>
      <c r="J1653" t="inlineStr">
        <is>
          <t>1001-1200</t>
        </is>
      </c>
      <c r="K1653" t="inlineStr">
        <is>
          <t>1001-1200</t>
        </is>
      </c>
      <c r="L1653" t="inlineStr"/>
      <c r="M1653" t="inlineStr"/>
      <c r="N1653" t="inlineStr">
        <is>
          <t>-</t>
        </is>
      </c>
      <c r="O1653" t="inlineStr"/>
      <c r="P1653" t="n">
        <v>12.5</v>
      </c>
      <c r="Q1653" t="inlineStr">
        <is>
          <t>701+</t>
        </is>
      </c>
      <c r="R1653" t="n">
        <v>9.6</v>
      </c>
      <c r="S1653" t="inlineStr">
        <is>
          <t>701+</t>
        </is>
      </c>
      <c r="T1653" t="n">
        <v>8.199999999999999</v>
      </c>
      <c r="U1653" t="inlineStr">
        <is>
          <t>801+</t>
        </is>
      </c>
      <c r="V1653" t="n">
        <v>16</v>
      </c>
      <c r="W1653" t="inlineStr">
        <is>
          <t>785</t>
        </is>
      </c>
      <c r="X1653" t="n">
        <v>6.3</v>
      </c>
      <c r="Y1653" t="inlineStr">
        <is>
          <t>801+</t>
        </is>
      </c>
      <c r="Z1653" t="n">
        <v>6.1</v>
      </c>
      <c r="AA1653" t="inlineStr">
        <is>
          <t>801+</t>
        </is>
      </c>
      <c r="AB1653" t="n">
        <v>10</v>
      </c>
      <c r="AC1653" t="inlineStr">
        <is>
          <t>801+</t>
        </is>
      </c>
      <c r="AD1653" t="n">
        <v>67.3</v>
      </c>
      <c r="AE1653" t="inlineStr">
        <is>
          <t>582</t>
        </is>
      </c>
      <c r="AF1653" t="n">
        <v>15.7</v>
      </c>
      <c r="AG1653" t="inlineStr">
        <is>
          <t>801+</t>
        </is>
      </c>
      <c r="AH1653" t="n">
        <v>50.9</v>
      </c>
      <c r="AI1653" t="inlineStr">
        <is>
          <t>684=</t>
        </is>
      </c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</row>
    <row r="1654">
      <c r="A1654" t="inlineStr">
        <is>
          <t>University of New England Australia</t>
        </is>
      </c>
      <c r="B1654" t="inlineStr">
        <is>
          <t>Australia</t>
        </is>
      </c>
      <c r="C1654" t="inlineStr">
        <is>
          <t>AU</t>
        </is>
      </c>
      <c r="D1654" t="inlineStr"/>
      <c r="E1654" t="inlineStr">
        <is>
          <t>L</t>
        </is>
      </c>
      <c r="F1654" t="inlineStr">
        <is>
          <t>CO</t>
        </is>
      </c>
      <c r="G1654" t="inlineStr">
        <is>
          <t>VH</t>
        </is>
      </c>
      <c r="H1654" t="inlineStr">
        <is>
          <t>3</t>
        </is>
      </c>
      <c r="I1654" t="inlineStr">
        <is>
          <t>A</t>
        </is>
      </c>
      <c r="J1654" t="inlineStr"/>
      <c r="K1654" t="inlineStr"/>
      <c r="L1654" t="inlineStr">
        <is>
          <t>951-1000</t>
        </is>
      </c>
      <c r="M1654" t="inlineStr">
        <is>
          <t>801-1000</t>
        </is>
      </c>
      <c r="N1654" t="inlineStr"/>
      <c r="O1654" t="inlineStr">
        <is>
          <t>-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>
        <is>
          <t>10.9</t>
        </is>
      </c>
      <c r="AK1654" t="inlineStr">
        <is>
          <t>601+</t>
        </is>
      </c>
      <c r="AL1654" t="inlineStr">
        <is>
          <t>6.3</t>
        </is>
      </c>
      <c r="AM1654" t="inlineStr">
        <is>
          <t>601+</t>
        </is>
      </c>
      <c r="AN1654" t="inlineStr">
        <is>
          <t>2.3</t>
        </is>
      </c>
      <c r="AO1654" t="inlineStr">
        <is>
          <t>701+</t>
        </is>
      </c>
      <c r="AP1654" t="inlineStr">
        <is>
          <t>25.4</t>
        </is>
      </c>
      <c r="AQ1654" t="inlineStr">
        <is>
          <t>478</t>
        </is>
      </c>
      <c r="AR1654" t="inlineStr">
        <is>
          <t>2.9</t>
        </is>
      </c>
      <c r="AS1654" t="inlineStr">
        <is>
          <t>701+</t>
        </is>
      </c>
      <c r="AT1654" t="inlineStr">
        <is>
          <t>5.5</t>
        </is>
      </c>
      <c r="AU1654" t="inlineStr">
        <is>
          <t>701+</t>
        </is>
      </c>
      <c r="AV1654" t="inlineStr">
        <is>
          <t>8.1</t>
        </is>
      </c>
      <c r="AW1654" t="inlineStr">
        <is>
          <t>701+</t>
        </is>
      </c>
      <c r="AX1654" t="inlineStr">
        <is>
          <t>9.1</t>
        </is>
      </c>
      <c r="AY1654" t="inlineStr">
        <is>
          <t>701+</t>
        </is>
      </c>
      <c r="AZ1654" t="inlineStr">
        <is>
          <t>14.5</t>
        </is>
      </c>
      <c r="BA1654" t="inlineStr">
        <is>
          <t>617=</t>
        </is>
      </c>
    </row>
    <row r="1655">
      <c r="A1655" t="inlineStr">
        <is>
          <t>University of New Hampshire</t>
        </is>
      </c>
      <c r="B1655" t="inlineStr">
        <is>
          <t>United States</t>
        </is>
      </c>
      <c r="C1655" t="inlineStr">
        <is>
          <t>US</t>
        </is>
      </c>
      <c r="D1655" t="inlineStr">
        <is>
          <t>Americas</t>
        </is>
      </c>
      <c r="E1655" t="inlineStr">
        <is>
          <t>L</t>
        </is>
      </c>
      <c r="F1655" t="inlineStr">
        <is>
          <t>CO</t>
        </is>
      </c>
      <c r="G1655" t="inlineStr">
        <is>
          <t>VH</t>
        </is>
      </c>
      <c r="H1655" t="inlineStr">
        <is>
          <t>5</t>
        </is>
      </c>
      <c r="I1655" t="inlineStr">
        <is>
          <t>Public</t>
        </is>
      </c>
      <c r="J1655" t="inlineStr">
        <is>
          <t>1001-1200</t>
        </is>
      </c>
      <c r="K1655" t="inlineStr">
        <is>
          <t>1001-1200</t>
        </is>
      </c>
      <c r="L1655" t="inlineStr">
        <is>
          <t>1001-1200</t>
        </is>
      </c>
      <c r="M1655" t="inlineStr">
        <is>
          <t>801-1000</t>
        </is>
      </c>
      <c r="N1655" t="inlineStr">
        <is>
          <t>-</t>
        </is>
      </c>
      <c r="O1655" t="inlineStr">
        <is>
          <t>-</t>
        </is>
      </c>
      <c r="P1655" t="n">
        <v>6</v>
      </c>
      <c r="Q1655" t="inlineStr">
        <is>
          <t>701+</t>
        </is>
      </c>
      <c r="R1655" t="n">
        <v>9.1</v>
      </c>
      <c r="S1655" t="inlineStr">
        <is>
          <t>701+</t>
        </is>
      </c>
      <c r="T1655" t="n">
        <v>17.7</v>
      </c>
      <c r="U1655" t="inlineStr">
        <is>
          <t>801+</t>
        </is>
      </c>
      <c r="V1655" t="n">
        <v>24.8</v>
      </c>
      <c r="W1655" t="inlineStr">
        <is>
          <t>644</t>
        </is>
      </c>
      <c r="X1655" t="n">
        <v>11.7</v>
      </c>
      <c r="Y1655" t="inlineStr">
        <is>
          <t>801+</t>
        </is>
      </c>
      <c r="Z1655" t="n">
        <v>4.9</v>
      </c>
      <c r="AA1655" t="inlineStr">
        <is>
          <t>801+</t>
        </is>
      </c>
      <c r="AB1655" t="n">
        <v>3.9</v>
      </c>
      <c r="AC1655" t="inlineStr">
        <is>
          <t>801+</t>
        </is>
      </c>
      <c r="AD1655" t="n">
        <v>32.4</v>
      </c>
      <c r="AE1655" t="inlineStr">
        <is>
          <t>801+</t>
        </is>
      </c>
      <c r="AF1655" t="n">
        <v>13.3</v>
      </c>
      <c r="AG1655" t="inlineStr">
        <is>
          <t>801+</t>
        </is>
      </c>
      <c r="AH1655" t="n">
        <v>47.1</v>
      </c>
      <c r="AI1655" t="inlineStr">
        <is>
          <t>785=</t>
        </is>
      </c>
      <c r="AJ1655" t="inlineStr">
        <is>
          <t>5.5</t>
        </is>
      </c>
      <c r="AK1655" t="inlineStr">
        <is>
          <t>601+</t>
        </is>
      </c>
      <c r="AL1655" t="inlineStr">
        <is>
          <t>4.3</t>
        </is>
      </c>
      <c r="AM1655" t="inlineStr">
        <is>
          <t>601+</t>
        </is>
      </c>
      <c r="AN1655" t="inlineStr">
        <is>
          <t>11.4</t>
        </is>
      </c>
      <c r="AO1655" t="inlineStr">
        <is>
          <t>701+</t>
        </is>
      </c>
      <c r="AP1655" t="inlineStr">
        <is>
          <t>18.7</t>
        </is>
      </c>
      <c r="AQ1655" t="inlineStr">
        <is>
          <t>571</t>
        </is>
      </c>
      <c r="AR1655" t="inlineStr">
        <is>
          <t>10.8</t>
        </is>
      </c>
      <c r="AS1655" t="inlineStr">
        <is>
          <t>701+</t>
        </is>
      </c>
      <c r="AT1655" t="inlineStr">
        <is>
          <t>3.0</t>
        </is>
      </c>
      <c r="AU1655" t="inlineStr">
        <is>
          <t>701+</t>
        </is>
      </c>
      <c r="AV1655" t="inlineStr">
        <is>
          <t>5.7</t>
        </is>
      </c>
      <c r="AW1655" t="inlineStr">
        <is>
          <t>701+</t>
        </is>
      </c>
      <c r="AX1655" t="inlineStr">
        <is>
          <t>10.3</t>
        </is>
      </c>
      <c r="AY1655" t="inlineStr">
        <is>
          <t>701+</t>
        </is>
      </c>
      <c r="AZ1655" t="inlineStr">
        <is>
          <t>11.6</t>
        </is>
      </c>
      <c r="BA1655" t="inlineStr">
        <is>
          <t>652=</t>
        </is>
      </c>
    </row>
    <row r="1656">
      <c r="A1656" t="inlineStr">
        <is>
          <t>University of New Mexico</t>
        </is>
      </c>
      <c r="B1656" t="inlineStr">
        <is>
          <t>United States</t>
        </is>
      </c>
      <c r="C1656" t="inlineStr">
        <is>
          <t>US</t>
        </is>
      </c>
      <c r="D1656" t="inlineStr">
        <is>
          <t>Americas</t>
        </is>
      </c>
      <c r="E1656" t="inlineStr">
        <is>
          <t>L</t>
        </is>
      </c>
      <c r="F1656" t="inlineStr">
        <is>
          <t>FC</t>
        </is>
      </c>
      <c r="G1656" t="inlineStr">
        <is>
          <t>VH</t>
        </is>
      </c>
      <c r="H1656" t="inlineStr">
        <is>
          <t>5</t>
        </is>
      </c>
      <c r="I1656" t="inlineStr">
        <is>
          <t>Public</t>
        </is>
      </c>
      <c r="J1656" t="inlineStr">
        <is>
          <t>751-760</t>
        </is>
      </c>
      <c r="K1656" t="inlineStr">
        <is>
          <t>791-800</t>
        </is>
      </c>
      <c r="L1656" t="inlineStr">
        <is>
          <t>631-640</t>
        </is>
      </c>
      <c r="M1656" t="inlineStr">
        <is>
          <t>701-750</t>
        </is>
      </c>
      <c r="N1656" t="inlineStr">
        <is>
          <t>-</t>
        </is>
      </c>
      <c r="O1656" t="inlineStr">
        <is>
          <t>-</t>
        </is>
      </c>
      <c r="P1656" t="n">
        <v>14.2</v>
      </c>
      <c r="Q1656" t="inlineStr">
        <is>
          <t>701+</t>
        </is>
      </c>
      <c r="R1656" t="n">
        <v>16.9</v>
      </c>
      <c r="S1656" t="inlineStr">
        <is>
          <t>701+</t>
        </is>
      </c>
      <c r="T1656" t="n">
        <v>57.3</v>
      </c>
      <c r="U1656" t="inlineStr">
        <is>
          <t>320</t>
        </is>
      </c>
      <c r="V1656" t="n">
        <v>20.4</v>
      </c>
      <c r="W1656" t="inlineStr">
        <is>
          <t>705</t>
        </is>
      </c>
      <c r="X1656" t="n">
        <v>11</v>
      </c>
      <c r="Y1656" t="inlineStr">
        <is>
          <t>801+</t>
        </is>
      </c>
      <c r="Z1656" t="n">
        <v>7.1</v>
      </c>
      <c r="AA1656" t="inlineStr">
        <is>
          <t>801+</t>
        </is>
      </c>
      <c r="AB1656" t="n">
        <v>5.5</v>
      </c>
      <c r="AC1656" t="inlineStr">
        <is>
          <t>801+</t>
        </is>
      </c>
      <c r="AD1656" t="n">
        <v>83.59999999999999</v>
      </c>
      <c r="AE1656" t="inlineStr">
        <is>
          <t>283</t>
        </is>
      </c>
      <c r="AF1656" t="n">
        <v>11.4</v>
      </c>
      <c r="AG1656" t="inlineStr">
        <is>
          <t>801+</t>
        </is>
      </c>
      <c r="AH1656" t="n">
        <v>53.8</v>
      </c>
      <c r="AI1656" t="inlineStr">
        <is>
          <t>626</t>
        </is>
      </c>
      <c r="AJ1656" t="inlineStr">
        <is>
          <t>11.6</t>
        </is>
      </c>
      <c r="AK1656" t="inlineStr">
        <is>
          <t>601+</t>
        </is>
      </c>
      <c r="AL1656" t="inlineStr">
        <is>
          <t>13.9</t>
        </is>
      </c>
      <c r="AM1656" t="inlineStr">
        <is>
          <t>582</t>
        </is>
      </c>
      <c r="AN1656" t="inlineStr">
        <is>
          <t>38.3</t>
        </is>
      </c>
      <c r="AO1656" t="inlineStr">
        <is>
          <t>412</t>
        </is>
      </c>
      <c r="AP1656" t="inlineStr">
        <is>
          <t>16.4</t>
        </is>
      </c>
      <c r="AQ1656" t="inlineStr">
        <is>
          <t>608</t>
        </is>
      </c>
      <c r="AR1656" t="inlineStr">
        <is>
          <t>15.7</t>
        </is>
      </c>
      <c r="AS1656" t="inlineStr">
        <is>
          <t>658</t>
        </is>
      </c>
      <c r="AT1656" t="inlineStr">
        <is>
          <t>4.0</t>
        </is>
      </c>
      <c r="AU1656" t="inlineStr">
        <is>
          <t>701+</t>
        </is>
      </c>
      <c r="AV1656" t="inlineStr">
        <is>
          <t>57.5</t>
        </is>
      </c>
      <c r="AW1656" t="inlineStr">
        <is>
          <t>263</t>
        </is>
      </c>
      <c r="AX1656" t="inlineStr">
        <is>
          <t>9.3</t>
        </is>
      </c>
      <c r="AY1656" t="inlineStr">
        <is>
          <t>701+</t>
        </is>
      </c>
      <c r="AZ1656" t="inlineStr">
        <is>
          <t>33.8</t>
        </is>
      </c>
      <c r="BA1656" t="inlineStr">
        <is>
          <t>411=</t>
        </is>
      </c>
    </row>
    <row r="1657">
      <c r="A1657" t="inlineStr">
        <is>
          <t>University of Nizwa</t>
        </is>
      </c>
      <c r="B1657" t="inlineStr">
        <is>
          <t>Oman</t>
        </is>
      </c>
      <c r="C1657" t="inlineStr"/>
      <c r="D1657" t="inlineStr">
        <is>
          <t>Asia</t>
        </is>
      </c>
      <c r="E1657" t="inlineStr">
        <is>
          <t>S</t>
        </is>
      </c>
      <c r="F1657" t="inlineStr">
        <is>
          <t>CO</t>
        </is>
      </c>
      <c r="G1657" t="inlineStr">
        <is>
          <t>VH</t>
        </is>
      </c>
      <c r="H1657" t="inlineStr"/>
      <c r="I1657" t="inlineStr">
        <is>
          <t>Private not for Profit</t>
        </is>
      </c>
      <c r="J1657" t="inlineStr">
        <is>
          <t>761-770</t>
        </is>
      </c>
      <c r="K1657" t="inlineStr"/>
      <c r="L1657" t="inlineStr"/>
      <c r="M1657" t="inlineStr"/>
      <c r="N1657" t="inlineStr">
        <is>
          <t>-</t>
        </is>
      </c>
      <c r="O1657" t="inlineStr"/>
      <c r="P1657" t="n">
        <v>11</v>
      </c>
      <c r="Q1657" t="inlineStr">
        <is>
          <t>701+</t>
        </is>
      </c>
      <c r="R1657" t="n">
        <v>12.8</v>
      </c>
      <c r="S1657" t="inlineStr">
        <is>
          <t>701+</t>
        </is>
      </c>
      <c r="T1657" t="n">
        <v>47.5</v>
      </c>
      <c r="U1657" t="inlineStr">
        <is>
          <t>412</t>
        </is>
      </c>
      <c r="V1657" t="n">
        <v>13</v>
      </c>
      <c r="W1657" t="inlineStr">
        <is>
          <t>801+</t>
        </is>
      </c>
      <c r="X1657" t="n">
        <v>100</v>
      </c>
      <c r="Y1657" t="inlineStr">
        <is>
          <t>32</t>
        </is>
      </c>
      <c r="Z1657" t="n">
        <v>26.2</v>
      </c>
      <c r="AA1657" t="inlineStr">
        <is>
          <t>642</t>
        </is>
      </c>
      <c r="AB1657" t="n">
        <v>27</v>
      </c>
      <c r="AC1657" t="inlineStr">
        <is>
          <t>653</t>
        </is>
      </c>
      <c r="AD1657" t="n">
        <v>26.1</v>
      </c>
      <c r="AE1657" t="inlineStr">
        <is>
          <t>801+</t>
        </is>
      </c>
      <c r="AF1657" t="n">
        <v>73.5</v>
      </c>
      <c r="AG1657" t="inlineStr">
        <is>
          <t>190</t>
        </is>
      </c>
      <c r="AH1657" t="n">
        <v>19</v>
      </c>
      <c r="AI1657" t="inlineStr">
        <is>
          <t>801+</t>
        </is>
      </c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</row>
    <row r="1658">
      <c r="A1658" t="inlineStr">
        <is>
          <t>University of Niš</t>
        </is>
      </c>
      <c r="B1658" t="inlineStr">
        <is>
          <t>Serbia</t>
        </is>
      </c>
      <c r="C1658" t="inlineStr">
        <is>
          <t>RS</t>
        </is>
      </c>
      <c r="D1658" t="inlineStr"/>
      <c r="E1658" t="inlineStr">
        <is>
          <t>L</t>
        </is>
      </c>
      <c r="F1658" t="inlineStr">
        <is>
          <t>FC</t>
        </is>
      </c>
      <c r="G1658" t="inlineStr">
        <is>
          <t>HI</t>
        </is>
      </c>
      <c r="H1658" t="inlineStr">
        <is>
          <t>4</t>
        </is>
      </c>
      <c r="I1658" t="inlineStr">
        <is>
          <t>A</t>
        </is>
      </c>
      <c r="J1658" t="inlineStr"/>
      <c r="K1658" t="inlineStr"/>
      <c r="L1658" t="inlineStr">
        <is>
          <t>1201-1400</t>
        </is>
      </c>
      <c r="M1658" t="inlineStr">
        <is>
          <t>1201-1400</t>
        </is>
      </c>
      <c r="N1658" t="inlineStr"/>
      <c r="O1658" t="inlineStr">
        <is>
          <t>-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>
        <is>
          <t>5.2</t>
        </is>
      </c>
      <c r="AK1658" t="inlineStr">
        <is>
          <t>601+</t>
        </is>
      </c>
      <c r="AL1658" t="inlineStr">
        <is>
          <t>3.7</t>
        </is>
      </c>
      <c r="AM1658" t="inlineStr">
        <is>
          <t>601+</t>
        </is>
      </c>
      <c r="AN1658" t="inlineStr">
        <is>
          <t>13.2</t>
        </is>
      </c>
      <c r="AO1658" t="inlineStr">
        <is>
          <t>701+</t>
        </is>
      </c>
      <c r="AP1658" t="inlineStr">
        <is>
          <t>2.4</t>
        </is>
      </c>
      <c r="AQ1658" t="inlineStr">
        <is>
          <t>701+</t>
        </is>
      </c>
      <c r="AR1658" t="inlineStr"/>
      <c r="AS1658" t="inlineStr"/>
      <c r="AT1658" t="inlineStr">
        <is>
          <t>6.2</t>
        </is>
      </c>
      <c r="AU1658" t="inlineStr">
        <is>
          <t>701+</t>
        </is>
      </c>
      <c r="AV1658" t="inlineStr">
        <is>
          <t>6.1</t>
        </is>
      </c>
      <c r="AW1658" t="inlineStr">
        <is>
          <t>701+</t>
        </is>
      </c>
      <c r="AX1658" t="inlineStr">
        <is>
          <t>9.1</t>
        </is>
      </c>
      <c r="AY1658" t="inlineStr">
        <is>
          <t>701+</t>
        </is>
      </c>
      <c r="AZ1658" t="inlineStr">
        <is>
          <t>1.1</t>
        </is>
      </c>
      <c r="BA1658" t="inlineStr">
        <is>
          <t>701+</t>
        </is>
      </c>
    </row>
    <row r="1659">
      <c r="A1659" t="inlineStr">
        <is>
          <t>University of North Carolina at Charlotte</t>
        </is>
      </c>
      <c r="B1659" t="inlineStr">
        <is>
          <t>United States</t>
        </is>
      </c>
      <c r="C1659" t="inlineStr">
        <is>
          <t>US</t>
        </is>
      </c>
      <c r="D1659" t="inlineStr">
        <is>
          <t>Americas</t>
        </is>
      </c>
      <c r="E1659" t="inlineStr">
        <is>
          <t>L</t>
        </is>
      </c>
      <c r="F1659" t="inlineStr">
        <is>
          <t>CO</t>
        </is>
      </c>
      <c r="G1659" t="inlineStr">
        <is>
          <t>VH</t>
        </is>
      </c>
      <c r="H1659" t="inlineStr">
        <is>
          <t>4</t>
        </is>
      </c>
      <c r="I1659" t="inlineStr">
        <is>
          <t>Public</t>
        </is>
      </c>
      <c r="J1659" t="inlineStr">
        <is>
          <t>1001-1200</t>
        </is>
      </c>
      <c r="K1659" t="inlineStr">
        <is>
          <t>1001-1200</t>
        </is>
      </c>
      <c r="L1659" t="inlineStr">
        <is>
          <t>1001-1200</t>
        </is>
      </c>
      <c r="M1659" t="inlineStr">
        <is>
          <t>1201-1400</t>
        </is>
      </c>
      <c r="N1659" t="inlineStr">
        <is>
          <t>-</t>
        </is>
      </c>
      <c r="O1659" t="inlineStr">
        <is>
          <t>-</t>
        </is>
      </c>
      <c r="P1659" t="n">
        <v>6.7</v>
      </c>
      <c r="Q1659" t="inlineStr">
        <is>
          <t>701+</t>
        </is>
      </c>
      <c r="R1659" t="n">
        <v>7</v>
      </c>
      <c r="S1659" t="inlineStr">
        <is>
          <t>701+</t>
        </is>
      </c>
      <c r="T1659" t="n">
        <v>7.7</v>
      </c>
      <c r="U1659" t="inlineStr">
        <is>
          <t>801+</t>
        </is>
      </c>
      <c r="V1659" t="n">
        <v>19.6</v>
      </c>
      <c r="W1659" t="inlineStr">
        <is>
          <t>718</t>
        </is>
      </c>
      <c r="X1659" t="n">
        <v>15.5</v>
      </c>
      <c r="Y1659" t="inlineStr">
        <is>
          <t>795</t>
        </is>
      </c>
      <c r="Z1659" t="n">
        <v>13.7</v>
      </c>
      <c r="AA1659" t="inlineStr">
        <is>
          <t>801+</t>
        </is>
      </c>
      <c r="AB1659" t="n">
        <v>19.7</v>
      </c>
      <c r="AC1659" t="inlineStr">
        <is>
          <t>767</t>
        </is>
      </c>
      <c r="AD1659" t="n">
        <v>66.40000000000001</v>
      </c>
      <c r="AE1659" t="inlineStr">
        <is>
          <t>598</t>
        </is>
      </c>
      <c r="AF1659" t="n">
        <v>15.3</v>
      </c>
      <c r="AG1659" t="inlineStr">
        <is>
          <t>801+</t>
        </is>
      </c>
      <c r="AH1659" t="n">
        <v>43.9</v>
      </c>
      <c r="AI1659" t="inlineStr">
        <is>
          <t>801+</t>
        </is>
      </c>
      <c r="AJ1659" t="inlineStr">
        <is>
          <t>5.7</t>
        </is>
      </c>
      <c r="AK1659" t="inlineStr">
        <is>
          <t>601+</t>
        </is>
      </c>
      <c r="AL1659" t="inlineStr">
        <is>
          <t>4.5</t>
        </is>
      </c>
      <c r="AM1659" t="inlineStr">
        <is>
          <t>601+</t>
        </is>
      </c>
      <c r="AN1659" t="inlineStr">
        <is>
          <t>5.0</t>
        </is>
      </c>
      <c r="AO1659" t="inlineStr">
        <is>
          <t>701+</t>
        </is>
      </c>
      <c r="AP1659" t="inlineStr">
        <is>
          <t>14.1</t>
        </is>
      </c>
      <c r="AQ1659" t="inlineStr">
        <is>
          <t>656</t>
        </is>
      </c>
      <c r="AR1659" t="inlineStr">
        <is>
          <t>8.7</t>
        </is>
      </c>
      <c r="AS1659" t="inlineStr">
        <is>
          <t>701+</t>
        </is>
      </c>
      <c r="AT1659" t="inlineStr">
        <is>
          <t>5.5</t>
        </is>
      </c>
      <c r="AU1659" t="inlineStr">
        <is>
          <t>701+</t>
        </is>
      </c>
      <c r="AV1659" t="inlineStr">
        <is>
          <t>14.4</t>
        </is>
      </c>
      <c r="AW1659" t="inlineStr">
        <is>
          <t>605</t>
        </is>
      </c>
      <c r="AX1659" t="inlineStr">
        <is>
          <t>10.6</t>
        </is>
      </c>
      <c r="AY1659" t="inlineStr">
        <is>
          <t>701+</t>
        </is>
      </c>
      <c r="AZ1659" t="inlineStr">
        <is>
          <t>23</t>
        </is>
      </c>
      <c r="BA1659" t="inlineStr">
        <is>
          <t>514=</t>
        </is>
      </c>
    </row>
    <row r="1660">
      <c r="A1660" t="inlineStr">
        <is>
          <t>University of North Carolina at Greensboro</t>
        </is>
      </c>
      <c r="B1660" t="inlineStr">
        <is>
          <t>United States</t>
        </is>
      </c>
      <c r="C1660" t="inlineStr">
        <is>
          <t>US</t>
        </is>
      </c>
      <c r="D1660" t="inlineStr">
        <is>
          <t>Americas</t>
        </is>
      </c>
      <c r="E1660" t="inlineStr">
        <is>
          <t>L</t>
        </is>
      </c>
      <c r="F1660" t="inlineStr">
        <is>
          <t>FO</t>
        </is>
      </c>
      <c r="G1660" t="inlineStr">
        <is>
          <t>VH</t>
        </is>
      </c>
      <c r="H1660" t="inlineStr">
        <is>
          <t>5</t>
        </is>
      </c>
      <c r="I1660" t="inlineStr">
        <is>
          <t>Public</t>
        </is>
      </c>
      <c r="J1660" t="inlineStr">
        <is>
          <t>1201-1400</t>
        </is>
      </c>
      <c r="K1660" t="inlineStr">
        <is>
          <t>1201-1400</t>
        </is>
      </c>
      <c r="L1660" t="inlineStr">
        <is>
          <t>1201-1400</t>
        </is>
      </c>
      <c r="M1660" t="inlineStr">
        <is>
          <t>1201-1400</t>
        </is>
      </c>
      <c r="N1660" t="inlineStr">
        <is>
          <t>-</t>
        </is>
      </c>
      <c r="O1660" t="inlineStr">
        <is>
          <t>-</t>
        </is>
      </c>
      <c r="P1660" t="n">
        <v>3.6</v>
      </c>
      <c r="Q1660" t="inlineStr">
        <is>
          <t>701+</t>
        </is>
      </c>
      <c r="R1660" t="n">
        <v>4.5</v>
      </c>
      <c r="S1660" t="inlineStr">
        <is>
          <t>701+</t>
        </is>
      </c>
      <c r="T1660" t="n">
        <v>12.2</v>
      </c>
      <c r="U1660" t="inlineStr">
        <is>
          <t>801+</t>
        </is>
      </c>
      <c r="V1660" t="n">
        <v>15.1</v>
      </c>
      <c r="W1660" t="inlineStr">
        <is>
          <t>801+</t>
        </is>
      </c>
      <c r="X1660" t="n">
        <v>10.3</v>
      </c>
      <c r="Y1660" t="inlineStr">
        <is>
          <t>801+</t>
        </is>
      </c>
      <c r="Z1660" t="n">
        <v>4.3</v>
      </c>
      <c r="AA1660" t="inlineStr">
        <is>
          <t>801+</t>
        </is>
      </c>
      <c r="AB1660" t="n">
        <v>3.4</v>
      </c>
      <c r="AC1660" t="inlineStr">
        <is>
          <t>801+</t>
        </is>
      </c>
      <c r="AD1660" t="n">
        <v>49.6</v>
      </c>
      <c r="AE1660" t="inlineStr">
        <is>
          <t>801+</t>
        </is>
      </c>
      <c r="AF1660" t="n">
        <v>5</v>
      </c>
      <c r="AG1660" t="inlineStr">
        <is>
          <t>801+</t>
        </is>
      </c>
      <c r="AH1660" t="n">
        <v>32.8</v>
      </c>
      <c r="AI1660" t="inlineStr">
        <is>
          <t>801+</t>
        </is>
      </c>
      <c r="AJ1660" t="inlineStr">
        <is>
          <t>2.9</t>
        </is>
      </c>
      <c r="AK1660" t="inlineStr">
        <is>
          <t>601+</t>
        </is>
      </c>
      <c r="AL1660" t="inlineStr">
        <is>
          <t>2.8</t>
        </is>
      </c>
      <c r="AM1660" t="inlineStr">
        <is>
          <t>601+</t>
        </is>
      </c>
      <c r="AN1660" t="inlineStr">
        <is>
          <t>9.2</t>
        </is>
      </c>
      <c r="AO1660" t="inlineStr">
        <is>
          <t>701+</t>
        </is>
      </c>
      <c r="AP1660" t="inlineStr">
        <is>
          <t>10.6</t>
        </is>
      </c>
      <c r="AQ1660" t="inlineStr">
        <is>
          <t>701+</t>
        </is>
      </c>
      <c r="AR1660" t="inlineStr">
        <is>
          <t>9.7</t>
        </is>
      </c>
      <c r="AS1660" t="inlineStr">
        <is>
          <t>701+</t>
        </is>
      </c>
      <c r="AT1660" t="inlineStr">
        <is>
          <t>2.6</t>
        </is>
      </c>
      <c r="AU1660" t="inlineStr">
        <is>
          <t>701+</t>
        </is>
      </c>
      <c r="AV1660" t="inlineStr">
        <is>
          <t>7.6</t>
        </is>
      </c>
      <c r="AW1660" t="inlineStr">
        <is>
          <t>701+</t>
        </is>
      </c>
      <c r="AX1660" t="inlineStr">
        <is>
          <t>7.1</t>
        </is>
      </c>
      <c r="AY1660" t="inlineStr">
        <is>
          <t>701+</t>
        </is>
      </c>
      <c r="AZ1660" t="inlineStr"/>
      <c r="BA1660" t="inlineStr"/>
    </row>
    <row r="1661">
      <c r="A1661" t="inlineStr">
        <is>
          <t>University of North Carolina, Chapel Hill</t>
        </is>
      </c>
      <c r="B1661" t="inlineStr">
        <is>
          <t>United States</t>
        </is>
      </c>
      <c r="C1661" t="inlineStr">
        <is>
          <t>US</t>
        </is>
      </c>
      <c r="D1661" t="inlineStr">
        <is>
          <t>Americas</t>
        </is>
      </c>
      <c r="E1661" t="inlineStr">
        <is>
          <t>L</t>
        </is>
      </c>
      <c r="F1661" t="inlineStr">
        <is>
          <t>FC</t>
        </is>
      </c>
      <c r="G1661" t="inlineStr">
        <is>
          <t>VH</t>
        </is>
      </c>
      <c r="H1661" t="inlineStr">
        <is>
          <t>5</t>
        </is>
      </c>
      <c r="I1661" t="inlineStr">
        <is>
          <t>Public</t>
        </is>
      </c>
      <c r="J1661" t="inlineStr">
        <is>
          <t>140</t>
        </is>
      </c>
      <c r="K1661" t="inlineStr">
        <is>
          <t>155</t>
        </is>
      </c>
      <c r="L1661">
        <f>132</f>
        <v/>
      </c>
      <c r="M1661" t="inlineStr">
        <is>
          <t>102=</t>
        </is>
      </c>
      <c r="N1661" t="inlineStr">
        <is>
          <t>63.2</t>
        </is>
      </c>
      <c r="O1661" t="inlineStr">
        <is>
          <t>53.2</t>
        </is>
      </c>
      <c r="P1661" t="n">
        <v>72.2</v>
      </c>
      <c r="Q1661" t="inlineStr">
        <is>
          <t>127</t>
        </is>
      </c>
      <c r="R1661" t="n">
        <v>55.5</v>
      </c>
      <c r="S1661" t="inlineStr">
        <is>
          <t>216</t>
        </is>
      </c>
      <c r="T1661" t="n">
        <v>85.59999999999999</v>
      </c>
      <c r="U1661" t="inlineStr">
        <is>
          <t>129</t>
        </is>
      </c>
      <c r="V1661" t="n">
        <v>47.9</v>
      </c>
      <c r="W1661" t="inlineStr">
        <is>
          <t>389</t>
        </is>
      </c>
      <c r="X1661" t="n">
        <v>31.1</v>
      </c>
      <c r="Y1661" t="inlineStr">
        <is>
          <t>577</t>
        </is>
      </c>
      <c r="Z1661" t="n">
        <v>25</v>
      </c>
      <c r="AA1661" t="inlineStr">
        <is>
          <t>663</t>
        </is>
      </c>
      <c r="AB1661" t="n">
        <v>31.1</v>
      </c>
      <c r="AC1661" t="inlineStr">
        <is>
          <t>602</t>
        </is>
      </c>
      <c r="AD1661" t="n">
        <v>89.5</v>
      </c>
      <c r="AE1661" t="inlineStr">
        <is>
          <t>181</t>
        </is>
      </c>
      <c r="AF1661" t="n">
        <v>74</v>
      </c>
      <c r="AG1661" t="inlineStr">
        <is>
          <t>188</t>
        </is>
      </c>
      <c r="AH1661" t="n">
        <v>83.90000000000001</v>
      </c>
      <c r="AI1661" t="inlineStr">
        <is>
          <t>126</t>
        </is>
      </c>
      <c r="AJ1661" t="inlineStr">
        <is>
          <t>63.0</t>
        </is>
      </c>
      <c r="AK1661" t="inlineStr">
        <is>
          <t>110</t>
        </is>
      </c>
      <c r="AL1661" t="inlineStr">
        <is>
          <t>33.9</t>
        </is>
      </c>
      <c r="AM1661" t="inlineStr">
        <is>
          <t>290</t>
        </is>
      </c>
      <c r="AN1661" t="inlineStr">
        <is>
          <t>72.9</t>
        </is>
      </c>
      <c r="AO1661" t="inlineStr">
        <is>
          <t>171</t>
        </is>
      </c>
      <c r="AP1661" t="inlineStr">
        <is>
          <t>42.5</t>
        </is>
      </c>
      <c r="AQ1661" t="inlineStr">
        <is>
          <t>316</t>
        </is>
      </c>
      <c r="AR1661" t="inlineStr">
        <is>
          <t>24.7</t>
        </is>
      </c>
      <c r="AS1661" t="inlineStr">
        <is>
          <t>541</t>
        </is>
      </c>
      <c r="AT1661" t="inlineStr">
        <is>
          <t>10.1</t>
        </is>
      </c>
      <c r="AU1661" t="inlineStr">
        <is>
          <t>701+</t>
        </is>
      </c>
      <c r="AV1661" t="inlineStr">
        <is>
          <t>82.2</t>
        </is>
      </c>
      <c r="AW1661" t="inlineStr">
        <is>
          <t>133</t>
        </is>
      </c>
      <c r="AX1661" t="inlineStr">
        <is>
          <t>47.9</t>
        </is>
      </c>
      <c r="AY1661" t="inlineStr">
        <is>
          <t>142</t>
        </is>
      </c>
      <c r="AZ1661" t="inlineStr">
        <is>
          <t>96.8</t>
        </is>
      </c>
      <c r="BA1661" t="inlineStr">
        <is>
          <t>38</t>
        </is>
      </c>
    </row>
    <row r="1662">
      <c r="A1662" t="inlineStr">
        <is>
          <t>University of North Texas</t>
        </is>
      </c>
      <c r="B1662" t="inlineStr">
        <is>
          <t>United States</t>
        </is>
      </c>
      <c r="C1662" t="inlineStr">
        <is>
          <t>US</t>
        </is>
      </c>
      <c r="D1662" t="inlineStr">
        <is>
          <t>Americas</t>
        </is>
      </c>
      <c r="E1662" t="inlineStr">
        <is>
          <t>XL</t>
        </is>
      </c>
      <c r="F1662" t="inlineStr">
        <is>
          <t>FC</t>
        </is>
      </c>
      <c r="G1662" t="inlineStr">
        <is>
          <t>HI</t>
        </is>
      </c>
      <c r="H1662" t="inlineStr">
        <is>
          <t>5</t>
        </is>
      </c>
      <c r="I1662" t="inlineStr">
        <is>
          <t>Public</t>
        </is>
      </c>
      <c r="J1662" t="inlineStr">
        <is>
          <t>901-950</t>
        </is>
      </c>
      <c r="K1662" t="inlineStr">
        <is>
          <t>1001-1200</t>
        </is>
      </c>
      <c r="L1662" t="inlineStr">
        <is>
          <t>1001-1200</t>
        </is>
      </c>
      <c r="M1662" t="inlineStr">
        <is>
          <t>1001-1200</t>
        </is>
      </c>
      <c r="N1662" t="inlineStr">
        <is>
          <t>-</t>
        </is>
      </c>
      <c r="O1662" t="inlineStr">
        <is>
          <t>-</t>
        </is>
      </c>
      <c r="P1662" t="n">
        <v>10.1</v>
      </c>
      <c r="Q1662" t="inlineStr">
        <is>
          <t>701+</t>
        </is>
      </c>
      <c r="R1662" t="n">
        <v>9.699999999999999</v>
      </c>
      <c r="S1662" t="inlineStr">
        <is>
          <t>701+</t>
        </is>
      </c>
      <c r="T1662" t="n">
        <v>3.2</v>
      </c>
      <c r="U1662" t="inlineStr">
        <is>
          <t>801+</t>
        </is>
      </c>
      <c r="V1662" t="n">
        <v>30.5</v>
      </c>
      <c r="W1662" t="inlineStr">
        <is>
          <t>583</t>
        </is>
      </c>
      <c r="X1662" t="n">
        <v>6.3</v>
      </c>
      <c r="Y1662" t="inlineStr">
        <is>
          <t>801+</t>
        </is>
      </c>
      <c r="Z1662" t="n">
        <v>51.5</v>
      </c>
      <c r="AA1662" t="inlineStr">
        <is>
          <t>399</t>
        </is>
      </c>
      <c r="AB1662" t="n">
        <v>38.4</v>
      </c>
      <c r="AC1662" t="inlineStr">
        <is>
          <t>513</t>
        </is>
      </c>
      <c r="AD1662" t="n">
        <v>69</v>
      </c>
      <c r="AE1662" t="inlineStr">
        <is>
          <t>546</t>
        </is>
      </c>
      <c r="AF1662" t="n">
        <v>29.4</v>
      </c>
      <c r="AG1662" t="inlineStr">
        <is>
          <t>560</t>
        </is>
      </c>
      <c r="AH1662" t="n">
        <v>40.6</v>
      </c>
      <c r="AI1662" t="inlineStr">
        <is>
          <t>801+</t>
        </is>
      </c>
      <c r="AJ1662" t="inlineStr">
        <is>
          <t>7.0</t>
        </is>
      </c>
      <c r="AK1662" t="inlineStr">
        <is>
          <t>601+</t>
        </is>
      </c>
      <c r="AL1662" t="inlineStr">
        <is>
          <t>6.8</t>
        </is>
      </c>
      <c r="AM1662" t="inlineStr">
        <is>
          <t>601+</t>
        </is>
      </c>
      <c r="AN1662" t="inlineStr">
        <is>
          <t>3.4</t>
        </is>
      </c>
      <c r="AO1662" t="inlineStr">
        <is>
          <t>701+</t>
        </is>
      </c>
      <c r="AP1662" t="inlineStr">
        <is>
          <t>19.3</t>
        </is>
      </c>
      <c r="AQ1662" t="inlineStr">
        <is>
          <t>563</t>
        </is>
      </c>
      <c r="AR1662" t="inlineStr">
        <is>
          <t>4.9</t>
        </is>
      </c>
      <c r="AS1662" t="inlineStr">
        <is>
          <t>701+</t>
        </is>
      </c>
      <c r="AT1662" t="inlineStr">
        <is>
          <t>14.7</t>
        </is>
      </c>
      <c r="AU1662" t="inlineStr">
        <is>
          <t>625</t>
        </is>
      </c>
      <c r="AV1662" t="inlineStr">
        <is>
          <t>9.6</t>
        </is>
      </c>
      <c r="AW1662" t="inlineStr">
        <is>
          <t>678</t>
        </is>
      </c>
      <c r="AX1662" t="inlineStr">
        <is>
          <t>25.5</t>
        </is>
      </c>
      <c r="AY1662" t="inlineStr">
        <is>
          <t>326</t>
        </is>
      </c>
      <c r="AZ1662" t="inlineStr">
        <is>
          <t>8.9</t>
        </is>
      </c>
      <c r="BA1662" t="inlineStr">
        <is>
          <t>689=</t>
        </is>
      </c>
    </row>
    <row r="1663">
      <c r="A1663" t="inlineStr">
        <is>
          <t>University of Northern British Columbia</t>
        </is>
      </c>
      <c r="B1663" t="inlineStr">
        <is>
          <t>Canada</t>
        </is>
      </c>
      <c r="C1663" t="inlineStr">
        <is>
          <t>CA</t>
        </is>
      </c>
      <c r="D1663" t="inlineStr"/>
      <c r="E1663" t="inlineStr">
        <is>
          <t>S</t>
        </is>
      </c>
      <c r="F1663" t="inlineStr">
        <is>
          <t>CO</t>
        </is>
      </c>
      <c r="G1663" t="inlineStr">
        <is>
          <t>VH</t>
        </is>
      </c>
      <c r="H1663" t="inlineStr"/>
      <c r="I1663" t="inlineStr"/>
      <c r="J1663" t="inlineStr"/>
      <c r="K1663" t="inlineStr"/>
      <c r="L1663" t="inlineStr">
        <is>
          <t>781-790</t>
        </is>
      </c>
      <c r="M1663" t="inlineStr">
        <is>
          <t>1201-1400</t>
        </is>
      </c>
      <c r="N1663" t="inlineStr"/>
      <c r="O1663" t="inlineStr">
        <is>
          <t>-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>
        <is>
          <t>3.8</t>
        </is>
      </c>
      <c r="AK1663" t="inlineStr">
        <is>
          <t>601+</t>
        </is>
      </c>
      <c r="AL1663" t="inlineStr">
        <is>
          <t>8.5</t>
        </is>
      </c>
      <c r="AM1663" t="inlineStr">
        <is>
          <t>601+</t>
        </is>
      </c>
      <c r="AN1663" t="inlineStr">
        <is>
          <t>100.0</t>
        </is>
      </c>
      <c r="AO1663" t="inlineStr">
        <is>
          <t>1</t>
        </is>
      </c>
      <c r="AP1663" t="inlineStr">
        <is>
          <t>1.1</t>
        </is>
      </c>
      <c r="AQ1663" t="inlineStr">
        <is>
          <t>701+</t>
        </is>
      </c>
      <c r="AR1663" t="inlineStr"/>
      <c r="AS1663" t="inlineStr"/>
      <c r="AT1663" t="inlineStr"/>
      <c r="AU1663" t="inlineStr"/>
      <c r="AV1663" t="inlineStr">
        <is>
          <t>40.3</t>
        </is>
      </c>
      <c r="AW1663" t="inlineStr">
        <is>
          <t>374</t>
        </is>
      </c>
      <c r="AX1663" t="inlineStr">
        <is>
          <t>7.3</t>
        </is>
      </c>
      <c r="AY1663" t="inlineStr">
        <is>
          <t>701+</t>
        </is>
      </c>
      <c r="AZ1663" t="inlineStr"/>
      <c r="BA1663" t="inlineStr"/>
    </row>
    <row r="1664">
      <c r="A1664" t="inlineStr">
        <is>
          <t>University of Notre Dame</t>
        </is>
      </c>
      <c r="B1664" t="inlineStr">
        <is>
          <t>United States</t>
        </is>
      </c>
      <c r="C1664" t="inlineStr">
        <is>
          <t>US</t>
        </is>
      </c>
      <c r="D1664" t="inlineStr">
        <is>
          <t>Americas</t>
        </is>
      </c>
      <c r="E1664" t="inlineStr">
        <is>
          <t>L</t>
        </is>
      </c>
      <c r="F1664" t="inlineStr">
        <is>
          <t>CO</t>
        </is>
      </c>
      <c r="G1664" t="inlineStr">
        <is>
          <t>VH</t>
        </is>
      </c>
      <c r="H1664" t="inlineStr">
        <is>
          <t>5</t>
        </is>
      </c>
      <c r="I1664" t="inlineStr">
        <is>
          <t>Private not for Profit</t>
        </is>
      </c>
      <c r="J1664" t="inlineStr">
        <is>
          <t>294</t>
        </is>
      </c>
      <c r="K1664" t="inlineStr">
        <is>
          <t>316</t>
        </is>
      </c>
      <c r="L1664">
        <f>304</f>
        <v/>
      </c>
      <c r="M1664" t="inlineStr">
        <is>
          <t>243=</t>
        </is>
      </c>
      <c r="N1664" t="inlineStr">
        <is>
          <t>46</t>
        </is>
      </c>
      <c r="O1664" t="inlineStr">
        <is>
          <t>34.3</t>
        </is>
      </c>
      <c r="P1664" t="n">
        <v>38</v>
      </c>
      <c r="Q1664" t="inlineStr">
        <is>
          <t>315</t>
        </is>
      </c>
      <c r="R1664" t="n">
        <v>43.6</v>
      </c>
      <c r="S1664" t="inlineStr">
        <is>
          <t>306</t>
        </is>
      </c>
      <c r="T1664" t="n">
        <v>70.8</v>
      </c>
      <c r="U1664" t="inlineStr">
        <is>
          <t>220</t>
        </is>
      </c>
      <c r="V1664" t="n">
        <v>36.7</v>
      </c>
      <c r="W1664" t="inlineStr">
        <is>
          <t>511</t>
        </is>
      </c>
      <c r="X1664" t="n">
        <v>28.9</v>
      </c>
      <c r="Y1664" t="inlineStr">
        <is>
          <t>596</t>
        </is>
      </c>
      <c r="Z1664" t="n">
        <v>32.7</v>
      </c>
      <c r="AA1664" t="inlineStr">
        <is>
          <t>562</t>
        </is>
      </c>
      <c r="AB1664" t="n">
        <v>28.9</v>
      </c>
      <c r="AC1664" t="inlineStr">
        <is>
          <t>627</t>
        </is>
      </c>
      <c r="AD1664" t="n">
        <v>75.40000000000001</v>
      </c>
      <c r="AE1664" t="inlineStr">
        <is>
          <t>435</t>
        </is>
      </c>
      <c r="AF1664" t="n">
        <v>75.40000000000001</v>
      </c>
      <c r="AG1664" t="inlineStr">
        <is>
          <t>181</t>
        </is>
      </c>
      <c r="AH1664" t="n">
        <v>72.5</v>
      </c>
      <c r="AI1664" t="inlineStr">
        <is>
          <t>281=</t>
        </is>
      </c>
      <c r="AJ1664" t="inlineStr">
        <is>
          <t>26.5</t>
        </is>
      </c>
      <c r="AK1664" t="inlineStr">
        <is>
          <t>331</t>
        </is>
      </c>
      <c r="AL1664" t="inlineStr">
        <is>
          <t>32.2</t>
        </is>
      </c>
      <c r="AM1664" t="inlineStr">
        <is>
          <t>306</t>
        </is>
      </c>
      <c r="AN1664" t="inlineStr">
        <is>
          <t>59.7</t>
        </is>
      </c>
      <c r="AO1664" t="inlineStr">
        <is>
          <t>238</t>
        </is>
      </c>
      <c r="AP1664" t="inlineStr">
        <is>
          <t>39.1</t>
        </is>
      </c>
      <c r="AQ1664" t="inlineStr">
        <is>
          <t>350</t>
        </is>
      </c>
      <c r="AR1664" t="inlineStr">
        <is>
          <t>23.3</t>
        </is>
      </c>
      <c r="AS1664" t="inlineStr">
        <is>
          <t>561</t>
        </is>
      </c>
      <c r="AT1664" t="inlineStr">
        <is>
          <t>17.7</t>
        </is>
      </c>
      <c r="AU1664" t="inlineStr">
        <is>
          <t>578</t>
        </is>
      </c>
      <c r="AV1664" t="inlineStr">
        <is>
          <t>32.0</t>
        </is>
      </c>
      <c r="AW1664" t="inlineStr">
        <is>
          <t>449</t>
        </is>
      </c>
      <c r="AX1664" t="inlineStr">
        <is>
          <t>45.2</t>
        </is>
      </c>
      <c r="AY1664" t="inlineStr">
        <is>
          <t>155</t>
        </is>
      </c>
      <c r="AZ1664" t="inlineStr">
        <is>
          <t>34.6</t>
        </is>
      </c>
      <c r="BA1664" t="inlineStr">
        <is>
          <t>403=</t>
        </is>
      </c>
    </row>
    <row r="1665">
      <c r="A1665" t="inlineStr">
        <is>
          <t>University of Nottingham</t>
        </is>
      </c>
      <c r="B1665" t="inlineStr">
        <is>
          <t>United Kingdom</t>
        </is>
      </c>
      <c r="C1665" t="inlineStr">
        <is>
          <t>UK</t>
        </is>
      </c>
      <c r="D1665" t="inlineStr"/>
      <c r="E1665" t="inlineStr">
        <is>
          <t>XL</t>
        </is>
      </c>
      <c r="F1665" t="inlineStr">
        <is>
          <t>FC</t>
        </is>
      </c>
      <c r="G1665" t="inlineStr">
        <is>
          <t>VH</t>
        </is>
      </c>
      <c r="H1665" t="inlineStr">
        <is>
          <t>5</t>
        </is>
      </c>
      <c r="I1665" t="inlineStr">
        <is>
          <t>A</t>
        </is>
      </c>
      <c r="J1665" t="inlineStr"/>
      <c r="K1665" t="inlineStr"/>
      <c r="L1665">
        <f>100</f>
        <v/>
      </c>
      <c r="M1665" t="inlineStr">
        <is>
          <t>114</t>
        </is>
      </c>
      <c r="N1665" t="inlineStr"/>
      <c r="O1665" t="inlineStr">
        <is>
          <t>60.4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>
        <is>
          <t>60.7</t>
        </is>
      </c>
      <c r="AK1665" t="inlineStr">
        <is>
          <t>116</t>
        </is>
      </c>
      <c r="AL1665" t="inlineStr">
        <is>
          <t>72.1</t>
        </is>
      </c>
      <c r="AM1665" t="inlineStr">
        <is>
          <t>96</t>
        </is>
      </c>
      <c r="AN1665" t="inlineStr">
        <is>
          <t>32.2</t>
        </is>
      </c>
      <c r="AO1665" t="inlineStr">
        <is>
          <t>492</t>
        </is>
      </c>
      <c r="AP1665" t="inlineStr">
        <is>
          <t>46.5</t>
        </is>
      </c>
      <c r="AQ1665" t="inlineStr">
        <is>
          <t>290</t>
        </is>
      </c>
      <c r="AR1665" t="inlineStr">
        <is>
          <t>90.0</t>
        </is>
      </c>
      <c r="AS1665" t="inlineStr">
        <is>
          <t>183</t>
        </is>
      </c>
      <c r="AT1665" t="inlineStr">
        <is>
          <t>75.2</t>
        </is>
      </c>
      <c r="AU1665" t="inlineStr">
        <is>
          <t>185</t>
        </is>
      </c>
      <c r="AV1665" t="inlineStr">
        <is>
          <t>98.4</t>
        </is>
      </c>
      <c r="AW1665" t="inlineStr">
        <is>
          <t>18</t>
        </is>
      </c>
      <c r="AX1665" t="inlineStr">
        <is>
          <t>24.4</t>
        </is>
      </c>
      <c r="AY1665" t="inlineStr">
        <is>
          <t>342</t>
        </is>
      </c>
      <c r="AZ1665" t="inlineStr">
        <is>
          <t>80</t>
        </is>
      </c>
      <c r="BA1665" t="inlineStr">
        <is>
          <t>150=</t>
        </is>
      </c>
    </row>
    <row r="1666">
      <c r="A1666" t="inlineStr">
        <is>
          <t>University of Novi Sad</t>
        </is>
      </c>
      <c r="B1666" t="inlineStr">
        <is>
          <t>Serbia</t>
        </is>
      </c>
      <c r="C1666" t="inlineStr">
        <is>
          <t>RS</t>
        </is>
      </c>
      <c r="D1666" t="inlineStr">
        <is>
          <t>Europe</t>
        </is>
      </c>
      <c r="E1666" t="inlineStr">
        <is>
          <t>XL</t>
        </is>
      </c>
      <c r="F1666" t="inlineStr">
        <is>
          <t>FC</t>
        </is>
      </c>
      <c r="G1666" t="inlineStr">
        <is>
          <t>HI</t>
        </is>
      </c>
      <c r="H1666" t="inlineStr">
        <is>
          <t>4</t>
        </is>
      </c>
      <c r="I1666" t="inlineStr">
        <is>
          <t>Public</t>
        </is>
      </c>
      <c r="J1666" t="inlineStr">
        <is>
          <t>1201-1400</t>
        </is>
      </c>
      <c r="K1666" t="inlineStr">
        <is>
          <t>1001-1200</t>
        </is>
      </c>
      <c r="L1666" t="inlineStr">
        <is>
          <t>1001-1200</t>
        </is>
      </c>
      <c r="M1666" t="inlineStr">
        <is>
          <t>1201-1400</t>
        </is>
      </c>
      <c r="N1666" t="inlineStr">
        <is>
          <t>-</t>
        </is>
      </c>
      <c r="O1666" t="inlineStr">
        <is>
          <t>-</t>
        </is>
      </c>
      <c r="P1666" t="n">
        <v>12.5</v>
      </c>
      <c r="Q1666" t="inlineStr">
        <is>
          <t>701+</t>
        </is>
      </c>
      <c r="R1666" t="n">
        <v>6.5</v>
      </c>
      <c r="S1666" t="inlineStr">
        <is>
          <t>701+</t>
        </is>
      </c>
      <c r="T1666" t="n">
        <v>10.5</v>
      </c>
      <c r="U1666" t="inlineStr">
        <is>
          <t>801+</t>
        </is>
      </c>
      <c r="V1666" t="n">
        <v>6.9</v>
      </c>
      <c r="W1666" t="inlineStr">
        <is>
          <t>801+</t>
        </is>
      </c>
      <c r="X1666" t="inlineStr"/>
      <c r="Y1666" t="inlineStr"/>
      <c r="Z1666" t="inlineStr"/>
      <c r="AA1666" t="inlineStr"/>
      <c r="AB1666" t="inlineStr"/>
      <c r="AC1666" t="inlineStr"/>
      <c r="AD1666" t="n">
        <v>82.09999999999999</v>
      </c>
      <c r="AE1666" t="inlineStr">
        <is>
          <t>312</t>
        </is>
      </c>
      <c r="AF1666" t="n">
        <v>30.7</v>
      </c>
      <c r="AG1666" t="inlineStr">
        <is>
          <t>538</t>
        </is>
      </c>
      <c r="AH1666" t="n">
        <v>31.2</v>
      </c>
      <c r="AI1666" t="inlineStr">
        <is>
          <t>801+</t>
        </is>
      </c>
      <c r="AJ1666" t="inlineStr">
        <is>
          <t>8.8</t>
        </is>
      </c>
      <c r="AK1666" t="inlineStr">
        <is>
          <t>601+</t>
        </is>
      </c>
      <c r="AL1666" t="inlineStr">
        <is>
          <t>3.6</t>
        </is>
      </c>
      <c r="AM1666" t="inlineStr">
        <is>
          <t>601+</t>
        </is>
      </c>
      <c r="AN1666" t="inlineStr">
        <is>
          <t>9.3</t>
        </is>
      </c>
      <c r="AO1666" t="inlineStr">
        <is>
          <t>701+</t>
        </is>
      </c>
      <c r="AP1666" t="inlineStr">
        <is>
          <t>3.4</t>
        </is>
      </c>
      <c r="AQ1666" t="inlineStr">
        <is>
          <t>701+</t>
        </is>
      </c>
      <c r="AR1666" t="inlineStr"/>
      <c r="AS1666" t="inlineStr"/>
      <c r="AT1666" t="inlineStr"/>
      <c r="AU1666" t="inlineStr"/>
      <c r="AV1666" t="inlineStr">
        <is>
          <t>47.5</t>
        </is>
      </c>
      <c r="AW1666" t="inlineStr">
        <is>
          <t>330</t>
        </is>
      </c>
      <c r="AX1666" t="inlineStr">
        <is>
          <t>9</t>
        </is>
      </c>
      <c r="AY1666" t="inlineStr">
        <is>
          <t>701+</t>
        </is>
      </c>
      <c r="AZ1666" t="inlineStr">
        <is>
          <t>2.2</t>
        </is>
      </c>
      <c r="BA1666" t="inlineStr">
        <is>
          <t>701+</t>
        </is>
      </c>
    </row>
    <row r="1667">
      <c r="A1667" t="inlineStr">
        <is>
          <t>University of Oklahoma</t>
        </is>
      </c>
      <c r="B1667" t="inlineStr">
        <is>
          <t>United States</t>
        </is>
      </c>
      <c r="C1667" t="inlineStr">
        <is>
          <t>US</t>
        </is>
      </c>
      <c r="D1667" t="inlineStr">
        <is>
          <t>Americas</t>
        </is>
      </c>
      <c r="E1667" t="inlineStr">
        <is>
          <t>L</t>
        </is>
      </c>
      <c r="F1667" t="inlineStr">
        <is>
          <t>FC</t>
        </is>
      </c>
      <c r="G1667" t="inlineStr">
        <is>
          <t>VH</t>
        </is>
      </c>
      <c r="H1667" t="inlineStr">
        <is>
          <t>5</t>
        </is>
      </c>
      <c r="I1667" t="inlineStr">
        <is>
          <t>Public</t>
        </is>
      </c>
      <c r="J1667" t="inlineStr">
        <is>
          <t>664</t>
        </is>
      </c>
      <c r="K1667" t="inlineStr">
        <is>
          <t>701-710</t>
        </is>
      </c>
      <c r="L1667" t="inlineStr">
        <is>
          <t>641-650</t>
        </is>
      </c>
      <c r="M1667" t="inlineStr">
        <is>
          <t>701-750</t>
        </is>
      </c>
      <c r="N1667" t="inlineStr">
        <is>
          <t>26.4</t>
        </is>
      </c>
      <c r="O1667" t="inlineStr">
        <is>
          <t>-</t>
        </is>
      </c>
      <c r="P1667" t="n">
        <v>14.3</v>
      </c>
      <c r="Q1667" t="inlineStr">
        <is>
          <t>701+</t>
        </is>
      </c>
      <c r="R1667" t="n">
        <v>18.6</v>
      </c>
      <c r="S1667" t="inlineStr">
        <is>
          <t>695</t>
        </is>
      </c>
      <c r="T1667" t="n">
        <v>19.8</v>
      </c>
      <c r="U1667" t="inlineStr">
        <is>
          <t>801+</t>
        </is>
      </c>
      <c r="V1667" t="n">
        <v>41.5</v>
      </c>
      <c r="W1667" t="inlineStr">
        <is>
          <t>455</t>
        </is>
      </c>
      <c r="X1667" t="n">
        <v>27.8</v>
      </c>
      <c r="Y1667" t="inlineStr">
        <is>
          <t>611</t>
        </is>
      </c>
      <c r="Z1667" t="n">
        <v>9.800000000000001</v>
      </c>
      <c r="AA1667" t="inlineStr">
        <is>
          <t>801+</t>
        </is>
      </c>
      <c r="AB1667" t="n">
        <v>7.5</v>
      </c>
      <c r="AC1667" t="inlineStr">
        <is>
          <t>801+</t>
        </is>
      </c>
      <c r="AD1667" t="n">
        <v>72.3</v>
      </c>
      <c r="AE1667" t="inlineStr">
        <is>
          <t>494</t>
        </is>
      </c>
      <c r="AF1667" t="n">
        <v>35.2</v>
      </c>
      <c r="AG1667" t="inlineStr">
        <is>
          <t>488</t>
        </is>
      </c>
      <c r="AH1667" t="n">
        <v>60.5</v>
      </c>
      <c r="AI1667" t="inlineStr">
        <is>
          <t>497=</t>
        </is>
      </c>
      <c r="AJ1667" t="inlineStr">
        <is>
          <t>9.6</t>
        </is>
      </c>
      <c r="AK1667" t="inlineStr">
        <is>
          <t>601+</t>
        </is>
      </c>
      <c r="AL1667" t="inlineStr">
        <is>
          <t>10.6</t>
        </is>
      </c>
      <c r="AM1667" t="inlineStr">
        <is>
          <t>601+</t>
        </is>
      </c>
      <c r="AN1667" t="inlineStr">
        <is>
          <t>16.3</t>
        </is>
      </c>
      <c r="AO1667" t="inlineStr">
        <is>
          <t>701+</t>
        </is>
      </c>
      <c r="AP1667" t="inlineStr">
        <is>
          <t>34.3</t>
        </is>
      </c>
      <c r="AQ1667" t="inlineStr">
        <is>
          <t>397</t>
        </is>
      </c>
      <c r="AR1667" t="inlineStr">
        <is>
          <t>34.5</t>
        </is>
      </c>
      <c r="AS1667" t="inlineStr">
        <is>
          <t>459</t>
        </is>
      </c>
      <c r="AT1667" t="inlineStr">
        <is>
          <t>5.1</t>
        </is>
      </c>
      <c r="AU1667" t="inlineStr">
        <is>
          <t>701+</t>
        </is>
      </c>
      <c r="AV1667" t="inlineStr">
        <is>
          <t>17.9</t>
        </is>
      </c>
      <c r="AW1667" t="inlineStr">
        <is>
          <t>562</t>
        </is>
      </c>
      <c r="AX1667" t="inlineStr">
        <is>
          <t>17.2</t>
        </is>
      </c>
      <c r="AY1667" t="inlineStr">
        <is>
          <t>488</t>
        </is>
      </c>
      <c r="AZ1667" t="inlineStr">
        <is>
          <t>33.5</t>
        </is>
      </c>
      <c r="BA1667" t="inlineStr">
        <is>
          <t>413=</t>
        </is>
      </c>
    </row>
    <row r="1668">
      <c r="A1668" t="inlineStr">
        <is>
          <t>University of Oradea</t>
        </is>
      </c>
      <c r="B1668" t="inlineStr">
        <is>
          <t>Romania</t>
        </is>
      </c>
      <c r="C1668" t="inlineStr">
        <is>
          <t>RO</t>
        </is>
      </c>
      <c r="D1668" t="inlineStr">
        <is>
          <t>Europe</t>
        </is>
      </c>
      <c r="E1668" t="inlineStr">
        <is>
          <t>L</t>
        </is>
      </c>
      <c r="F1668" t="inlineStr">
        <is>
          <t>FC</t>
        </is>
      </c>
      <c r="G1668" t="inlineStr">
        <is>
          <t>MD</t>
        </is>
      </c>
      <c r="H1668" t="inlineStr">
        <is>
          <t>4</t>
        </is>
      </c>
      <c r="I1668" t="inlineStr">
        <is>
          <t>Public</t>
        </is>
      </c>
      <c r="J1668" t="inlineStr">
        <is>
          <t>1401+</t>
        </is>
      </c>
      <c r="K1668" t="inlineStr">
        <is>
          <t>1401+</t>
        </is>
      </c>
      <c r="L1668" t="inlineStr">
        <is>
          <t>1401+</t>
        </is>
      </c>
      <c r="M1668" t="inlineStr">
        <is>
          <t>1401+</t>
        </is>
      </c>
      <c r="N1668" t="inlineStr">
        <is>
          <t>-</t>
        </is>
      </c>
      <c r="O1668" t="inlineStr">
        <is>
          <t>-</t>
        </is>
      </c>
      <c r="P1668" t="n">
        <v>7.5</v>
      </c>
      <c r="Q1668" t="inlineStr">
        <is>
          <t>701+</t>
        </is>
      </c>
      <c r="R1668" t="n">
        <v>4.2</v>
      </c>
      <c r="S1668" t="inlineStr">
        <is>
          <t>701+</t>
        </is>
      </c>
      <c r="T1668" t="n">
        <v>6.5</v>
      </c>
      <c r="U1668" t="inlineStr">
        <is>
          <t>801+</t>
        </is>
      </c>
      <c r="V1668" t="n">
        <v>4</v>
      </c>
      <c r="W1668" t="inlineStr">
        <is>
          <t>801+</t>
        </is>
      </c>
      <c r="X1668" t="n">
        <v>1.7</v>
      </c>
      <c r="Y1668" t="inlineStr">
        <is>
          <t>801+</t>
        </is>
      </c>
      <c r="Z1668" t="n">
        <v>9.4</v>
      </c>
      <c r="AA1668" t="inlineStr">
        <is>
          <t>801+</t>
        </is>
      </c>
      <c r="AB1668" t="n">
        <v>13.8</v>
      </c>
      <c r="AC1668" t="inlineStr">
        <is>
          <t>801+</t>
        </is>
      </c>
      <c r="AD1668" t="n">
        <v>38.8</v>
      </c>
      <c r="AE1668" t="inlineStr">
        <is>
          <t>801+</t>
        </is>
      </c>
      <c r="AF1668" t="n">
        <v>9</v>
      </c>
      <c r="AG1668" t="inlineStr">
        <is>
          <t>801+</t>
        </is>
      </c>
      <c r="AH1668" t="n">
        <v>41.8</v>
      </c>
      <c r="AI1668" t="inlineStr">
        <is>
          <t>801+</t>
        </is>
      </c>
      <c r="AJ1668" t="inlineStr">
        <is>
          <t>5.0</t>
        </is>
      </c>
      <c r="AK1668" t="inlineStr">
        <is>
          <t>601+</t>
        </is>
      </c>
      <c r="AL1668" t="inlineStr">
        <is>
          <t>2.0</t>
        </is>
      </c>
      <c r="AM1668" t="inlineStr">
        <is>
          <t>601+</t>
        </is>
      </c>
      <c r="AN1668" t="inlineStr">
        <is>
          <t>3.6</t>
        </is>
      </c>
      <c r="AO1668" t="inlineStr">
        <is>
          <t>701+</t>
        </is>
      </c>
      <c r="AP1668" t="inlineStr">
        <is>
          <t>1.7</t>
        </is>
      </c>
      <c r="AQ1668" t="inlineStr">
        <is>
          <t>701+</t>
        </is>
      </c>
      <c r="AR1668" t="inlineStr">
        <is>
          <t>1.6</t>
        </is>
      </c>
      <c r="AS1668" t="inlineStr">
        <is>
          <t>701+</t>
        </is>
      </c>
      <c r="AT1668" t="inlineStr">
        <is>
          <t>7.0</t>
        </is>
      </c>
      <c r="AU1668" t="inlineStr">
        <is>
          <t>701+</t>
        </is>
      </c>
      <c r="AV1668" t="inlineStr">
        <is>
          <t>1.8</t>
        </is>
      </c>
      <c r="AW1668" t="inlineStr">
        <is>
          <t>701+</t>
        </is>
      </c>
      <c r="AX1668" t="inlineStr">
        <is>
          <t>5.9</t>
        </is>
      </c>
      <c r="AY1668" t="inlineStr">
        <is>
          <t>701+</t>
        </is>
      </c>
      <c r="AZ1668" t="inlineStr">
        <is>
          <t>2.2</t>
        </is>
      </c>
      <c r="BA1668" t="inlineStr">
        <is>
          <t>701+</t>
        </is>
      </c>
    </row>
    <row r="1669">
      <c r="A1669" t="inlineStr">
        <is>
          <t>University of Oregon</t>
        </is>
      </c>
      <c r="B1669" t="inlineStr">
        <is>
          <t>United States</t>
        </is>
      </c>
      <c r="C1669" t="inlineStr">
        <is>
          <t>US</t>
        </is>
      </c>
      <c r="D1669" t="inlineStr">
        <is>
          <t>Americas</t>
        </is>
      </c>
      <c r="E1669" t="inlineStr">
        <is>
          <t>L</t>
        </is>
      </c>
      <c r="F1669" t="inlineStr">
        <is>
          <t>CO</t>
        </is>
      </c>
      <c r="G1669" t="inlineStr">
        <is>
          <t>VH</t>
        </is>
      </c>
      <c r="H1669" t="inlineStr">
        <is>
          <t>5</t>
        </is>
      </c>
      <c r="I1669" t="inlineStr">
        <is>
          <t>Public</t>
        </is>
      </c>
      <c r="J1669" t="inlineStr">
        <is>
          <t>751-760</t>
        </is>
      </c>
      <c r="K1669" t="inlineStr">
        <is>
          <t>801-850</t>
        </is>
      </c>
      <c r="L1669" t="inlineStr">
        <is>
          <t>721-730</t>
        </is>
      </c>
      <c r="M1669" t="inlineStr">
        <is>
          <t>701-750</t>
        </is>
      </c>
      <c r="N1669" t="inlineStr">
        <is>
          <t>-</t>
        </is>
      </c>
      <c r="O1669" t="inlineStr">
        <is>
          <t>-</t>
        </is>
      </c>
      <c r="P1669" t="n">
        <v>23.2</v>
      </c>
      <c r="Q1669" t="inlineStr">
        <is>
          <t>543</t>
        </is>
      </c>
      <c r="R1669" t="n">
        <v>22.5</v>
      </c>
      <c r="S1669" t="inlineStr">
        <is>
          <t>592</t>
        </is>
      </c>
      <c r="T1669" t="n">
        <v>14.7</v>
      </c>
      <c r="U1669" t="inlineStr">
        <is>
          <t>801+</t>
        </is>
      </c>
      <c r="V1669" t="n">
        <v>25.3</v>
      </c>
      <c r="W1669" t="inlineStr">
        <is>
          <t>632</t>
        </is>
      </c>
      <c r="X1669" t="n">
        <v>10.5</v>
      </c>
      <c r="Y1669" t="inlineStr">
        <is>
          <t>801+</t>
        </is>
      </c>
      <c r="Z1669" t="n">
        <v>5.4</v>
      </c>
      <c r="AA1669" t="inlineStr">
        <is>
          <t>801+</t>
        </is>
      </c>
      <c r="AB1669" t="n">
        <v>4.3</v>
      </c>
      <c r="AC1669" t="inlineStr">
        <is>
          <t>801+</t>
        </is>
      </c>
      <c r="AD1669" t="n">
        <v>53.8</v>
      </c>
      <c r="AE1669" t="inlineStr">
        <is>
          <t>785</t>
        </is>
      </c>
      <c r="AF1669" t="n">
        <v>36.9</v>
      </c>
      <c r="AG1669" t="inlineStr">
        <is>
          <t>470</t>
        </is>
      </c>
      <c r="AH1669" t="n">
        <v>55.7</v>
      </c>
      <c r="AI1669" t="inlineStr">
        <is>
          <t>582=</t>
        </is>
      </c>
      <c r="AJ1669" t="inlineStr">
        <is>
          <t>17.7</t>
        </is>
      </c>
      <c r="AK1669" t="inlineStr">
        <is>
          <t>503</t>
        </is>
      </c>
      <c r="AL1669" t="inlineStr">
        <is>
          <t>8.6</t>
        </is>
      </c>
      <c r="AM1669" t="inlineStr">
        <is>
          <t>601+</t>
        </is>
      </c>
      <c r="AN1669" t="inlineStr">
        <is>
          <t>11.2</t>
        </is>
      </c>
      <c r="AO1669" t="inlineStr">
        <is>
          <t>701+</t>
        </is>
      </c>
      <c r="AP1669" t="inlineStr">
        <is>
          <t>24.0</t>
        </is>
      </c>
      <c r="AQ1669" t="inlineStr">
        <is>
          <t>502</t>
        </is>
      </c>
      <c r="AR1669" t="inlineStr">
        <is>
          <t>12.5</t>
        </is>
      </c>
      <c r="AS1669" t="inlineStr">
        <is>
          <t>701+</t>
        </is>
      </c>
      <c r="AT1669" t="inlineStr">
        <is>
          <t>4.5</t>
        </is>
      </c>
      <c r="AU1669" t="inlineStr">
        <is>
          <t>701+</t>
        </is>
      </c>
      <c r="AV1669" t="inlineStr">
        <is>
          <t>8.9</t>
        </is>
      </c>
      <c r="AW1669" t="inlineStr">
        <is>
          <t>699</t>
        </is>
      </c>
      <c r="AX1669" t="inlineStr">
        <is>
          <t>18.3</t>
        </is>
      </c>
      <c r="AY1669" t="inlineStr">
        <is>
          <t>457</t>
        </is>
      </c>
      <c r="AZ1669" t="inlineStr">
        <is>
          <t>30.7</t>
        </is>
      </c>
      <c r="BA1669" t="inlineStr">
        <is>
          <t>438=</t>
        </is>
      </c>
    </row>
    <row r="1670">
      <c r="A1670" t="inlineStr">
        <is>
          <t>University of Oslo</t>
        </is>
      </c>
      <c r="B1670" t="inlineStr">
        <is>
          <t>Norway</t>
        </is>
      </c>
      <c r="C1670" t="inlineStr">
        <is>
          <t>NO</t>
        </is>
      </c>
      <c r="D1670" t="inlineStr">
        <is>
          <t>Europe</t>
        </is>
      </c>
      <c r="E1670" t="inlineStr">
        <is>
          <t>L</t>
        </is>
      </c>
      <c r="F1670" t="inlineStr">
        <is>
          <t>FC</t>
        </is>
      </c>
      <c r="G1670" t="inlineStr">
        <is>
          <t>VH</t>
        </is>
      </c>
      <c r="H1670" t="inlineStr">
        <is>
          <t>5</t>
        </is>
      </c>
      <c r="I1670" t="inlineStr">
        <is>
          <t>Public</t>
        </is>
      </c>
      <c r="J1670" t="inlineStr">
        <is>
          <t>119</t>
        </is>
      </c>
      <c r="K1670" t="inlineStr">
        <is>
          <t>119</t>
        </is>
      </c>
      <c r="L1670" t="inlineStr">
        <is>
          <t>117</t>
        </is>
      </c>
      <c r="M1670" t="inlineStr">
        <is>
          <t>101</t>
        </is>
      </c>
      <c r="N1670" t="inlineStr">
        <is>
          <t>65.7</t>
        </is>
      </c>
      <c r="O1670" t="inlineStr">
        <is>
          <t>56.9</t>
        </is>
      </c>
      <c r="P1670" t="n">
        <v>67.8</v>
      </c>
      <c r="Q1670" t="inlineStr">
        <is>
          <t>143</t>
        </is>
      </c>
      <c r="R1670" t="n">
        <v>27.7</v>
      </c>
      <c r="S1670" t="inlineStr">
        <is>
          <t>498</t>
        </is>
      </c>
      <c r="T1670" t="n">
        <v>78.40000000000001</v>
      </c>
      <c r="U1670" t="inlineStr">
        <is>
          <t>176</t>
        </is>
      </c>
      <c r="V1670" t="n">
        <v>67.7</v>
      </c>
      <c r="W1670" t="inlineStr">
        <is>
          <t>232</t>
        </is>
      </c>
      <c r="X1670" t="n">
        <v>95.8</v>
      </c>
      <c r="Y1670" t="inlineStr">
        <is>
          <t>167</t>
        </is>
      </c>
      <c r="Z1670" t="n">
        <v>46</v>
      </c>
      <c r="AA1670" t="inlineStr">
        <is>
          <t>439</t>
        </is>
      </c>
      <c r="AB1670" t="n">
        <v>34.3</v>
      </c>
      <c r="AC1670" t="inlineStr">
        <is>
          <t>560</t>
        </is>
      </c>
      <c r="AD1670" t="n">
        <v>96.8</v>
      </c>
      <c r="AE1670" t="inlineStr">
        <is>
          <t>43</t>
        </is>
      </c>
      <c r="AF1670" t="n">
        <v>86.59999999999999</v>
      </c>
      <c r="AG1670" t="inlineStr">
        <is>
          <t>129</t>
        </is>
      </c>
      <c r="AH1670" t="n">
        <v>72.3</v>
      </c>
      <c r="AI1670" t="inlineStr">
        <is>
          <t>286=</t>
        </is>
      </c>
      <c r="AJ1670" t="inlineStr">
        <is>
          <t>55.8</t>
        </is>
      </c>
      <c r="AK1670" t="inlineStr">
        <is>
          <t>139</t>
        </is>
      </c>
      <c r="AL1670" t="inlineStr">
        <is>
          <t>11.2</t>
        </is>
      </c>
      <c r="AM1670" t="inlineStr">
        <is>
          <t>601+</t>
        </is>
      </c>
      <c r="AN1670" t="inlineStr">
        <is>
          <t>81.7</t>
        </is>
      </c>
      <c r="AO1670" t="inlineStr">
        <is>
          <t>132</t>
        </is>
      </c>
      <c r="AP1670" t="inlineStr">
        <is>
          <t>64.2</t>
        </is>
      </c>
      <c r="AQ1670" t="inlineStr">
        <is>
          <t>183</t>
        </is>
      </c>
      <c r="AR1670" t="inlineStr">
        <is>
          <t>86.1</t>
        </is>
      </c>
      <c r="AS1670" t="inlineStr">
        <is>
          <t>202</t>
        </is>
      </c>
      <c r="AT1670" t="inlineStr">
        <is>
          <t>25.4</t>
        </is>
      </c>
      <c r="AU1670" t="inlineStr">
        <is>
          <t>472</t>
        </is>
      </c>
      <c r="AV1670" t="inlineStr">
        <is>
          <t>95.9</t>
        </is>
      </c>
      <c r="AW1670" t="inlineStr">
        <is>
          <t>43</t>
        </is>
      </c>
      <c r="AX1670" t="inlineStr">
        <is>
          <t>41.8</t>
        </is>
      </c>
      <c r="AY1670" t="inlineStr">
        <is>
          <t>173</t>
        </is>
      </c>
      <c r="AZ1670" t="inlineStr">
        <is>
          <t>91.8</t>
        </is>
      </c>
      <c r="BA1670" t="inlineStr">
        <is>
          <t>80=</t>
        </is>
      </c>
    </row>
    <row r="1671">
      <c r="A1671" t="inlineStr">
        <is>
          <t>University of Ostrava</t>
        </is>
      </c>
      <c r="B1671" t="inlineStr">
        <is>
          <t>Czech Republic</t>
        </is>
      </c>
      <c r="C1671" t="inlineStr">
        <is>
          <t>CZ</t>
        </is>
      </c>
      <c r="D1671" t="inlineStr">
        <is>
          <t>Europe</t>
        </is>
      </c>
      <c r="E1671" t="inlineStr">
        <is>
          <t>M</t>
        </is>
      </c>
      <c r="F1671" t="inlineStr">
        <is>
          <t>FC</t>
        </is>
      </c>
      <c r="G1671" t="inlineStr">
        <is>
          <t>HI</t>
        </is>
      </c>
      <c r="H1671" t="inlineStr">
        <is>
          <t>3</t>
        </is>
      </c>
      <c r="I1671" t="inlineStr">
        <is>
          <t>Public</t>
        </is>
      </c>
      <c r="J1671" t="inlineStr">
        <is>
          <t>1201-1400</t>
        </is>
      </c>
      <c r="K1671" t="inlineStr">
        <is>
          <t>1201-1400</t>
        </is>
      </c>
      <c r="L1671" t="inlineStr">
        <is>
          <t>1201-1400</t>
        </is>
      </c>
      <c r="M1671" t="inlineStr">
        <is>
          <t>1001-1200</t>
        </is>
      </c>
      <c r="N1671" t="inlineStr">
        <is>
          <t>-</t>
        </is>
      </c>
      <c r="O1671" t="inlineStr">
        <is>
          <t>-</t>
        </is>
      </c>
      <c r="P1671" t="n">
        <v>8</v>
      </c>
      <c r="Q1671" t="inlineStr">
        <is>
          <t>701+</t>
        </is>
      </c>
      <c r="R1671" t="n">
        <v>2.9</v>
      </c>
      <c r="S1671" t="inlineStr">
        <is>
          <t>701+</t>
        </is>
      </c>
      <c r="T1671" t="n">
        <v>20.5</v>
      </c>
      <c r="U1671" t="inlineStr">
        <is>
          <t>801+</t>
        </is>
      </c>
      <c r="V1671" t="n">
        <v>5.9</v>
      </c>
      <c r="W1671" t="inlineStr">
        <is>
          <t>801+</t>
        </is>
      </c>
      <c r="X1671" t="n">
        <v>34.6</v>
      </c>
      <c r="Y1671" t="inlineStr">
        <is>
          <t>540</t>
        </is>
      </c>
      <c r="Z1671" t="n">
        <v>32.2</v>
      </c>
      <c r="AA1671" t="inlineStr">
        <is>
          <t>564</t>
        </is>
      </c>
      <c r="AB1671" t="n">
        <v>24.2</v>
      </c>
      <c r="AC1671" t="inlineStr">
        <is>
          <t>702</t>
        </is>
      </c>
      <c r="AD1671" t="n">
        <v>28.9</v>
      </c>
      <c r="AE1671" t="inlineStr">
        <is>
          <t>801+</t>
        </is>
      </c>
      <c r="AF1671" t="n">
        <v>5</v>
      </c>
      <c r="AG1671" t="inlineStr">
        <is>
          <t>801+</t>
        </is>
      </c>
      <c r="AH1671" t="n">
        <v>24.2</v>
      </c>
      <c r="AI1671" t="inlineStr">
        <is>
          <t>801+</t>
        </is>
      </c>
      <c r="AJ1671" t="inlineStr">
        <is>
          <t>6.0</t>
        </is>
      </c>
      <c r="AK1671" t="inlineStr">
        <is>
          <t>601+</t>
        </is>
      </c>
      <c r="AL1671" t="inlineStr">
        <is>
          <t>1.0</t>
        </is>
      </c>
      <c r="AM1671" t="inlineStr">
        <is>
          <t>601+</t>
        </is>
      </c>
      <c r="AN1671" t="inlineStr">
        <is>
          <t>19.9</t>
        </is>
      </c>
      <c r="AO1671" t="inlineStr">
        <is>
          <t>669</t>
        </is>
      </c>
      <c r="AP1671" t="inlineStr">
        <is>
          <t>4.1</t>
        </is>
      </c>
      <c r="AQ1671" t="inlineStr">
        <is>
          <t>701+</t>
        </is>
      </c>
      <c r="AR1671" t="inlineStr">
        <is>
          <t>18.6</t>
        </is>
      </c>
      <c r="AS1671" t="inlineStr">
        <is>
          <t>605</t>
        </is>
      </c>
      <c r="AT1671" t="inlineStr">
        <is>
          <t>12.3</t>
        </is>
      </c>
      <c r="AU1671" t="inlineStr">
        <is>
          <t>673</t>
        </is>
      </c>
      <c r="AV1671" t="inlineStr">
        <is>
          <t>1.8</t>
        </is>
      </c>
      <c r="AW1671" t="inlineStr">
        <is>
          <t>701+</t>
        </is>
      </c>
      <c r="AX1671" t="inlineStr">
        <is>
          <t>7.7</t>
        </is>
      </c>
      <c r="AY1671" t="inlineStr">
        <is>
          <t>701+</t>
        </is>
      </c>
      <c r="AZ1671" t="inlineStr">
        <is>
          <t>1.2</t>
        </is>
      </c>
      <c r="BA1671" t="inlineStr">
        <is>
          <t>701+</t>
        </is>
      </c>
    </row>
    <row r="1672">
      <c r="A1672" t="inlineStr">
        <is>
          <t>University of Otago</t>
        </is>
      </c>
      <c r="B1672" t="inlineStr">
        <is>
          <t>New Zealand</t>
        </is>
      </c>
      <c r="C1672" t="inlineStr">
        <is>
          <t>NZ</t>
        </is>
      </c>
      <c r="D1672" t="inlineStr">
        <is>
          <t>Oceania</t>
        </is>
      </c>
      <c r="E1672" t="inlineStr">
        <is>
          <t>L</t>
        </is>
      </c>
      <c r="F1672" t="inlineStr">
        <is>
          <t>FC</t>
        </is>
      </c>
      <c r="G1672" t="inlineStr">
        <is>
          <t>VH</t>
        </is>
      </c>
      <c r="H1672" t="inlineStr">
        <is>
          <t>5</t>
        </is>
      </c>
      <c r="I1672" t="inlineStr">
        <is>
          <t>Public</t>
        </is>
      </c>
      <c r="J1672" t="inlineStr">
        <is>
          <t>197</t>
        </is>
      </c>
      <c r="K1672" t="inlineStr">
        <is>
          <t>214</t>
        </is>
      </c>
      <c r="L1672" t="inlineStr">
        <is>
          <t>206</t>
        </is>
      </c>
      <c r="M1672" t="inlineStr">
        <is>
          <t>217=</t>
        </is>
      </c>
      <c r="N1672" t="inlineStr">
        <is>
          <t>55.8</t>
        </is>
      </c>
      <c r="O1672" t="inlineStr">
        <is>
          <t>45.0</t>
        </is>
      </c>
      <c r="P1672" t="n">
        <v>60</v>
      </c>
      <c r="Q1672" t="inlineStr">
        <is>
          <t>176</t>
        </is>
      </c>
      <c r="R1672" t="n">
        <v>36</v>
      </c>
      <c r="S1672" t="inlineStr">
        <is>
          <t>399</t>
        </is>
      </c>
      <c r="T1672" t="n">
        <v>14.8</v>
      </c>
      <c r="U1672" t="inlineStr">
        <is>
          <t>801+</t>
        </is>
      </c>
      <c r="V1672" t="n">
        <v>63.2</v>
      </c>
      <c r="W1672" t="inlineStr">
        <is>
          <t>258</t>
        </is>
      </c>
      <c r="X1672" t="n">
        <v>100</v>
      </c>
      <c r="Y1672" t="inlineStr">
        <is>
          <t>53</t>
        </is>
      </c>
      <c r="Z1672" t="n">
        <v>39.6</v>
      </c>
      <c r="AA1672" t="inlineStr">
        <is>
          <t>496</t>
        </is>
      </c>
      <c r="AB1672" t="n">
        <v>45</v>
      </c>
      <c r="AC1672" t="inlineStr">
        <is>
          <t>464</t>
        </is>
      </c>
      <c r="AD1672" t="n">
        <v>76.5</v>
      </c>
      <c r="AE1672" t="inlineStr">
        <is>
          <t>413</t>
        </is>
      </c>
      <c r="AF1672" t="n">
        <v>68.7</v>
      </c>
      <c r="AG1672" t="inlineStr">
        <is>
          <t>222</t>
        </is>
      </c>
      <c r="AH1672" t="n">
        <v>88.2</v>
      </c>
      <c r="AI1672" t="inlineStr">
        <is>
          <t>78=</t>
        </is>
      </c>
      <c r="AJ1672" t="inlineStr">
        <is>
          <t>46.3</t>
        </is>
      </c>
      <c r="AK1672" t="inlineStr">
        <is>
          <t>178</t>
        </is>
      </c>
      <c r="AL1672" t="inlineStr">
        <is>
          <t>27.1</t>
        </is>
      </c>
      <c r="AM1672" t="inlineStr">
        <is>
          <t>359</t>
        </is>
      </c>
      <c r="AN1672" t="inlineStr">
        <is>
          <t>11.0</t>
        </is>
      </c>
      <c r="AO1672" t="inlineStr">
        <is>
          <t>701+</t>
        </is>
      </c>
      <c r="AP1672" t="inlineStr">
        <is>
          <t>51.0</t>
        </is>
      </c>
      <c r="AQ1672" t="inlineStr">
        <is>
          <t>256</t>
        </is>
      </c>
      <c r="AR1672" t="inlineStr">
        <is>
          <t>100.0</t>
        </is>
      </c>
      <c r="AS1672" t="inlineStr">
        <is>
          <t>44</t>
        </is>
      </c>
      <c r="AT1672" t="inlineStr">
        <is>
          <t>29.2</t>
        </is>
      </c>
      <c r="AU1672" t="inlineStr">
        <is>
          <t>428</t>
        </is>
      </c>
      <c r="AV1672" t="inlineStr">
        <is>
          <t>38.1</t>
        </is>
      </c>
      <c r="AW1672" t="inlineStr">
        <is>
          <t>391</t>
        </is>
      </c>
      <c r="AX1672" t="inlineStr">
        <is>
          <t>44.7</t>
        </is>
      </c>
      <c r="AY1672" t="inlineStr">
        <is>
          <t>159</t>
        </is>
      </c>
      <c r="AZ1672" t="inlineStr">
        <is>
          <t>98.1</t>
        </is>
      </c>
      <c r="BA1672" t="inlineStr">
        <is>
          <t>22</t>
        </is>
      </c>
    </row>
    <row r="1673">
      <c r="A1673" t="inlineStr">
        <is>
          <t>University of Ottawa</t>
        </is>
      </c>
      <c r="B1673" t="inlineStr">
        <is>
          <t>Canada</t>
        </is>
      </c>
      <c r="C1673" t="inlineStr">
        <is>
          <t>CA</t>
        </is>
      </c>
      <c r="D1673" t="inlineStr">
        <is>
          <t>Americas</t>
        </is>
      </c>
      <c r="E1673" t="inlineStr">
        <is>
          <t>XL</t>
        </is>
      </c>
      <c r="F1673" t="inlineStr">
        <is>
          <t>FC</t>
        </is>
      </c>
      <c r="G1673" t="inlineStr">
        <is>
          <t>VH</t>
        </is>
      </c>
      <c r="H1673" t="inlineStr">
        <is>
          <t>5</t>
        </is>
      </c>
      <c r="I1673" t="inlineStr">
        <is>
          <t>Public</t>
        </is>
      </c>
      <c r="J1673" t="inlineStr">
        <is>
          <t>219</t>
        </is>
      </c>
      <c r="K1673" t="inlineStr">
        <is>
          <t>189</t>
        </is>
      </c>
      <c r="L1673">
        <f>203</f>
        <v/>
      </c>
      <c r="M1673" t="inlineStr">
        <is>
          <t>237=</t>
        </is>
      </c>
      <c r="N1673" t="inlineStr">
        <is>
          <t>54.2</t>
        </is>
      </c>
      <c r="O1673" t="inlineStr">
        <is>
          <t>45.2</t>
        </is>
      </c>
      <c r="P1673" t="n">
        <v>35.8</v>
      </c>
      <c r="Q1673" t="inlineStr">
        <is>
          <t>339</t>
        </is>
      </c>
      <c r="R1673" t="n">
        <v>38.7</v>
      </c>
      <c r="S1673" t="inlineStr">
        <is>
          <t>361</t>
        </is>
      </c>
      <c r="T1673" t="n">
        <v>5.4</v>
      </c>
      <c r="U1673" t="inlineStr">
        <is>
          <t>801+</t>
        </is>
      </c>
      <c r="V1673" t="n">
        <v>84.8</v>
      </c>
      <c r="W1673" t="inlineStr">
        <is>
          <t>125</t>
        </is>
      </c>
      <c r="X1673" t="n">
        <v>96.09999999999999</v>
      </c>
      <c r="Y1673" t="inlineStr">
        <is>
          <t>165</t>
        </is>
      </c>
      <c r="Z1673" t="n">
        <v>85.5</v>
      </c>
      <c r="AA1673" t="inlineStr">
        <is>
          <t>193</t>
        </is>
      </c>
      <c r="AB1673" t="n">
        <v>86.8</v>
      </c>
      <c r="AC1673" t="inlineStr">
        <is>
          <t>163</t>
        </is>
      </c>
      <c r="AD1673" t="n">
        <v>92.3</v>
      </c>
      <c r="AE1673" t="inlineStr">
        <is>
          <t>141</t>
        </is>
      </c>
      <c r="AF1673" t="n">
        <v>50</v>
      </c>
      <c r="AG1673" t="inlineStr">
        <is>
          <t>342</t>
        </is>
      </c>
      <c r="AH1673" t="n">
        <v>86.8</v>
      </c>
      <c r="AI1673" t="inlineStr">
        <is>
          <t>90</t>
        </is>
      </c>
      <c r="AJ1673" t="inlineStr">
        <is>
          <t>26.5</t>
        </is>
      </c>
      <c r="AK1673" t="inlineStr">
        <is>
          <t>329</t>
        </is>
      </c>
      <c r="AL1673" t="inlineStr">
        <is>
          <t>29.7</t>
        </is>
      </c>
      <c r="AM1673" t="inlineStr">
        <is>
          <t>328</t>
        </is>
      </c>
      <c r="AN1673" t="inlineStr">
        <is>
          <t>3.8</t>
        </is>
      </c>
      <c r="AO1673" t="inlineStr">
        <is>
          <t>701+</t>
        </is>
      </c>
      <c r="AP1673" t="inlineStr">
        <is>
          <t>79.1</t>
        </is>
      </c>
      <c r="AQ1673" t="inlineStr">
        <is>
          <t>116</t>
        </is>
      </c>
      <c r="AR1673" t="inlineStr">
        <is>
          <t>85.9</t>
        </is>
      </c>
      <c r="AS1673" t="inlineStr">
        <is>
          <t>203</t>
        </is>
      </c>
      <c r="AT1673" t="inlineStr">
        <is>
          <t>75.9</t>
        </is>
      </c>
      <c r="AU1673" t="inlineStr">
        <is>
          <t>182</t>
        </is>
      </c>
      <c r="AV1673" t="inlineStr">
        <is>
          <t>85.8</t>
        </is>
      </c>
      <c r="AW1673" t="inlineStr">
        <is>
          <t>111</t>
        </is>
      </c>
      <c r="AX1673" t="inlineStr">
        <is>
          <t>24.3</t>
        </is>
      </c>
      <c r="AY1673" t="inlineStr">
        <is>
          <t>344</t>
        </is>
      </c>
      <c r="AZ1673" t="inlineStr">
        <is>
          <t>54.6</t>
        </is>
      </c>
      <c r="BA1673" t="inlineStr">
        <is>
          <t>279=</t>
        </is>
      </c>
    </row>
    <row r="1674">
      <c r="A1674" t="inlineStr">
        <is>
          <t>University of Oulu</t>
        </is>
      </c>
      <c r="B1674" t="inlineStr">
        <is>
          <t>Finland</t>
        </is>
      </c>
      <c r="C1674" t="inlineStr">
        <is>
          <t>FI</t>
        </is>
      </c>
      <c r="D1674" t="inlineStr">
        <is>
          <t>Europe</t>
        </is>
      </c>
      <c r="E1674" t="inlineStr">
        <is>
          <t>M</t>
        </is>
      </c>
      <c r="F1674" t="inlineStr">
        <is>
          <t>FC</t>
        </is>
      </c>
      <c r="G1674" t="inlineStr">
        <is>
          <t>VH</t>
        </is>
      </c>
      <c r="H1674" t="inlineStr">
        <is>
          <t>4</t>
        </is>
      </c>
      <c r="I1674" t="inlineStr">
        <is>
          <t>Public</t>
        </is>
      </c>
      <c r="J1674" t="inlineStr">
        <is>
          <t>342</t>
        </is>
      </c>
      <c r="K1674" t="inlineStr">
        <is>
          <t>344</t>
        </is>
      </c>
      <c r="L1674">
        <f>313</f>
        <v/>
      </c>
      <c r="M1674" t="inlineStr">
        <is>
          <t>392=</t>
        </is>
      </c>
      <c r="N1674" t="inlineStr">
        <is>
          <t>42</t>
        </is>
      </c>
      <c r="O1674" t="inlineStr">
        <is>
          <t>33.5</t>
        </is>
      </c>
      <c r="P1674" t="n">
        <v>23</v>
      </c>
      <c r="Q1674" t="inlineStr">
        <is>
          <t>546</t>
        </is>
      </c>
      <c r="R1674" t="n">
        <v>21.8</v>
      </c>
      <c r="S1674" t="inlineStr">
        <is>
          <t>607</t>
        </is>
      </c>
      <c r="T1674" t="n">
        <v>29.5</v>
      </c>
      <c r="U1674" t="inlineStr">
        <is>
          <t>640</t>
        </is>
      </c>
      <c r="V1674" t="n">
        <v>74.5</v>
      </c>
      <c r="W1674" t="inlineStr">
        <is>
          <t>181</t>
        </is>
      </c>
      <c r="X1674" t="n">
        <v>80.90000000000001</v>
      </c>
      <c r="Y1674" t="inlineStr">
        <is>
          <t>289</t>
        </is>
      </c>
      <c r="Z1674" t="n">
        <v>19.7</v>
      </c>
      <c r="AA1674" t="inlineStr">
        <is>
          <t>733</t>
        </is>
      </c>
      <c r="AB1674" t="n">
        <v>25.8</v>
      </c>
      <c r="AC1674" t="inlineStr">
        <is>
          <t>672</t>
        </is>
      </c>
      <c r="AD1674" t="n">
        <v>87.90000000000001</v>
      </c>
      <c r="AE1674" t="inlineStr">
        <is>
          <t>203</t>
        </is>
      </c>
      <c r="AF1674" t="n">
        <v>30.6</v>
      </c>
      <c r="AG1674" t="inlineStr">
        <is>
          <t>541</t>
        </is>
      </c>
      <c r="AH1674" t="n">
        <v>75.2</v>
      </c>
      <c r="AI1674" t="inlineStr">
        <is>
          <t>232=</t>
        </is>
      </c>
      <c r="AJ1674" t="inlineStr">
        <is>
          <t>15.8</t>
        </is>
      </c>
      <c r="AK1674" t="inlineStr">
        <is>
          <t>553</t>
        </is>
      </c>
      <c r="AL1674" t="inlineStr">
        <is>
          <t>17.3</t>
        </is>
      </c>
      <c r="AM1674" t="inlineStr">
        <is>
          <t>502</t>
        </is>
      </c>
      <c r="AN1674" t="inlineStr">
        <is>
          <t>26.4</t>
        </is>
      </c>
      <c r="AO1674" t="inlineStr">
        <is>
          <t>564</t>
        </is>
      </c>
      <c r="AP1674" t="inlineStr">
        <is>
          <t>56.9</t>
        </is>
      </c>
      <c r="AQ1674" t="inlineStr">
        <is>
          <t>228</t>
        </is>
      </c>
      <c r="AR1674" t="inlineStr">
        <is>
          <t>52.5</t>
        </is>
      </c>
      <c r="AS1674" t="inlineStr">
        <is>
          <t>348</t>
        </is>
      </c>
      <c r="AT1674" t="inlineStr">
        <is>
          <t>9.4</t>
        </is>
      </c>
      <c r="AU1674" t="inlineStr">
        <is>
          <t>701+</t>
        </is>
      </c>
      <c r="AV1674" t="inlineStr">
        <is>
          <t>75.4</t>
        </is>
      </c>
      <c r="AW1674" t="inlineStr">
        <is>
          <t>168</t>
        </is>
      </c>
      <c r="AX1674" t="inlineStr">
        <is>
          <t>16.6</t>
        </is>
      </c>
      <c r="AY1674" t="inlineStr">
        <is>
          <t>511</t>
        </is>
      </c>
      <c r="AZ1674" t="inlineStr">
        <is>
          <t>88.4</t>
        </is>
      </c>
      <c r="BA1674" t="inlineStr">
        <is>
          <t>103=</t>
        </is>
      </c>
    </row>
    <row r="1675">
      <c r="A1675" t="inlineStr">
        <is>
          <t>University of Oxford</t>
        </is>
      </c>
      <c r="B1675" t="inlineStr">
        <is>
          <t>United Kingdom</t>
        </is>
      </c>
      <c r="C1675" t="inlineStr">
        <is>
          <t>UK</t>
        </is>
      </c>
      <c r="D1675" t="inlineStr">
        <is>
          <t>Europe</t>
        </is>
      </c>
      <c r="E1675" t="inlineStr">
        <is>
          <t>L</t>
        </is>
      </c>
      <c r="F1675" t="inlineStr">
        <is>
          <t>FC</t>
        </is>
      </c>
      <c r="G1675" t="inlineStr">
        <is>
          <t>VH</t>
        </is>
      </c>
      <c r="H1675" t="inlineStr">
        <is>
          <t>5</t>
        </is>
      </c>
      <c r="I1675" t="inlineStr">
        <is>
          <t>Public</t>
        </is>
      </c>
      <c r="J1675" t="inlineStr">
        <is>
          <t>4</t>
        </is>
      </c>
      <c r="K1675" t="inlineStr">
        <is>
          <t>3</t>
        </is>
      </c>
      <c r="L1675" t="inlineStr">
        <is>
          <t>3</t>
        </is>
      </c>
      <c r="M1675" t="inlineStr">
        <is>
          <t>4</t>
        </is>
      </c>
      <c r="N1675" t="inlineStr">
        <is>
          <t>97.9</t>
        </is>
      </c>
      <c r="O1675" t="inlineStr">
        <is>
          <t>98.9</t>
        </is>
      </c>
      <c r="P1675" t="n">
        <v>100</v>
      </c>
      <c r="Q1675" t="inlineStr">
        <is>
          <t>2</t>
        </is>
      </c>
      <c r="R1675" t="n">
        <v>100</v>
      </c>
      <c r="S1675" t="inlineStr">
        <is>
          <t>4</t>
        </is>
      </c>
      <c r="T1675" t="n">
        <v>100</v>
      </c>
      <c r="U1675" t="inlineStr">
        <is>
          <t>9</t>
        </is>
      </c>
      <c r="V1675" t="n">
        <v>91</v>
      </c>
      <c r="W1675" t="inlineStr">
        <is>
          <t>98</t>
        </is>
      </c>
      <c r="X1675" t="n">
        <v>98.8</v>
      </c>
      <c r="Y1675" t="inlineStr">
        <is>
          <t>132</t>
        </is>
      </c>
      <c r="Z1675" t="n">
        <v>98.59999999999999</v>
      </c>
      <c r="AA1675" t="inlineStr">
        <is>
          <t>80</t>
        </is>
      </c>
      <c r="AB1675" t="n">
        <v>98.7</v>
      </c>
      <c r="AC1675" t="inlineStr">
        <is>
          <t>67</t>
        </is>
      </c>
      <c r="AD1675" t="n">
        <v>100</v>
      </c>
      <c r="AE1675" t="inlineStr">
        <is>
          <t>1</t>
        </is>
      </c>
      <c r="AF1675" t="n">
        <v>100</v>
      </c>
      <c r="AG1675" t="inlineStr">
        <is>
          <t>3</t>
        </is>
      </c>
      <c r="AH1675" t="n">
        <v>77.90000000000001</v>
      </c>
      <c r="AI1675" t="inlineStr">
        <is>
          <t>198=</t>
        </is>
      </c>
      <c r="AJ1675" t="inlineStr">
        <is>
          <t>100.0</t>
        </is>
      </c>
      <c r="AK1675" t="inlineStr">
        <is>
          <t>2</t>
        </is>
      </c>
      <c r="AL1675" t="inlineStr">
        <is>
          <t>100.0</t>
        </is>
      </c>
      <c r="AM1675" t="inlineStr">
        <is>
          <t>5</t>
        </is>
      </c>
      <c r="AN1675" t="inlineStr">
        <is>
          <t>100.0</t>
        </is>
      </c>
      <c r="AO1675" t="inlineStr">
        <is>
          <t>8</t>
        </is>
      </c>
      <c r="AP1675" t="inlineStr">
        <is>
          <t>90.6</t>
        </is>
      </c>
      <c r="AQ1675" t="inlineStr">
        <is>
          <t>73</t>
        </is>
      </c>
      <c r="AR1675" t="inlineStr">
        <is>
          <t>98.2</t>
        </is>
      </c>
      <c r="AS1675" t="inlineStr">
        <is>
          <t>110</t>
        </is>
      </c>
      <c r="AT1675" t="inlineStr">
        <is>
          <t>98.2</t>
        </is>
      </c>
      <c r="AU1675" t="inlineStr">
        <is>
          <t>60</t>
        </is>
      </c>
      <c r="AV1675" t="inlineStr">
        <is>
          <t>100.0</t>
        </is>
      </c>
      <c r="AW1675" t="inlineStr">
        <is>
          <t>1</t>
        </is>
      </c>
      <c r="AX1675" t="inlineStr">
        <is>
          <t>100</t>
        </is>
      </c>
      <c r="AY1675" t="inlineStr">
        <is>
          <t>3</t>
        </is>
      </c>
      <c r="AZ1675" t="inlineStr">
        <is>
          <t>97.8</t>
        </is>
      </c>
      <c r="BA1675" t="inlineStr">
        <is>
          <t>26=</t>
        </is>
      </c>
    </row>
    <row r="1676">
      <c r="A1676" t="inlineStr">
        <is>
          <t>University of Padova</t>
        </is>
      </c>
      <c r="B1676" t="inlineStr">
        <is>
          <t>Italy</t>
        </is>
      </c>
      <c r="C1676" t="inlineStr"/>
      <c r="D1676" t="inlineStr">
        <is>
          <t>Europe</t>
        </is>
      </c>
      <c r="E1676" t="inlineStr">
        <is>
          <t>XL</t>
        </is>
      </c>
      <c r="F1676" t="inlineStr">
        <is>
          <t>FC</t>
        </is>
      </c>
      <c r="G1676" t="inlineStr">
        <is>
          <t>VH</t>
        </is>
      </c>
      <c r="H1676" t="inlineStr"/>
      <c r="I1676" t="inlineStr">
        <is>
          <t>Public</t>
        </is>
      </c>
      <c r="J1676" t="inlineStr">
        <is>
          <t>233</t>
        </is>
      </c>
      <c r="K1676" t="inlineStr">
        <is>
          <t>236</t>
        </is>
      </c>
      <c r="L1676" t="inlineStr"/>
      <c r="M1676" t="inlineStr"/>
      <c r="N1676" t="inlineStr">
        <is>
          <t>52.1</t>
        </is>
      </c>
      <c r="O1676" t="inlineStr"/>
      <c r="P1676" t="n">
        <v>73.5</v>
      </c>
      <c r="Q1676" t="inlineStr">
        <is>
          <t>119</t>
        </is>
      </c>
      <c r="R1676" t="n">
        <v>40.2</v>
      </c>
      <c r="S1676" t="inlineStr">
        <is>
          <t>341</t>
        </is>
      </c>
      <c r="T1676" t="n">
        <v>13.5</v>
      </c>
      <c r="U1676" t="inlineStr">
        <is>
          <t>801+</t>
        </is>
      </c>
      <c r="V1676" t="n">
        <v>54.4</v>
      </c>
      <c r="W1676" t="inlineStr">
        <is>
          <t>337</t>
        </is>
      </c>
      <c r="X1676" t="n">
        <v>15.5</v>
      </c>
      <c r="Y1676" t="inlineStr">
        <is>
          <t>796</t>
        </is>
      </c>
      <c r="Z1676" t="n">
        <v>18.8</v>
      </c>
      <c r="AA1676" t="inlineStr">
        <is>
          <t>748</t>
        </is>
      </c>
      <c r="AB1676" t="n">
        <v>24.9</v>
      </c>
      <c r="AC1676" t="inlineStr">
        <is>
          <t>686</t>
        </is>
      </c>
      <c r="AD1676" t="n">
        <v>95.5</v>
      </c>
      <c r="AE1676" t="inlineStr">
        <is>
          <t>70</t>
        </is>
      </c>
      <c r="AF1676" t="n">
        <v>29.6</v>
      </c>
      <c r="AG1676" t="inlineStr">
        <is>
          <t>555</t>
        </is>
      </c>
      <c r="AH1676" t="n">
        <v>85</v>
      </c>
      <c r="AI1676" t="inlineStr">
        <is>
          <t>110=</t>
        </is>
      </c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</row>
    <row r="1677">
      <c r="A1677" t="inlineStr">
        <is>
          <t>University of Palermo</t>
        </is>
      </c>
      <c r="B1677" t="inlineStr">
        <is>
          <t>Italy</t>
        </is>
      </c>
      <c r="C1677" t="inlineStr">
        <is>
          <t>IT</t>
        </is>
      </c>
      <c r="D1677" t="inlineStr"/>
      <c r="E1677" t="inlineStr">
        <is>
          <t>L</t>
        </is>
      </c>
      <c r="F1677" t="inlineStr">
        <is>
          <t>CO</t>
        </is>
      </c>
      <c r="G1677" t="inlineStr">
        <is>
          <t>VH</t>
        </is>
      </c>
      <c r="H1677" t="inlineStr">
        <is>
          <t>5</t>
        </is>
      </c>
      <c r="I1677" t="inlineStr">
        <is>
          <t>A</t>
        </is>
      </c>
      <c r="J1677" t="inlineStr"/>
      <c r="K1677" t="inlineStr"/>
      <c r="L1677" t="inlineStr">
        <is>
          <t>851-900</t>
        </is>
      </c>
      <c r="M1677" t="inlineStr">
        <is>
          <t>1001-1200</t>
        </is>
      </c>
      <c r="N1677" t="inlineStr"/>
      <c r="O1677" t="inlineStr">
        <is>
          <t>-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>
        <is>
          <t>10.9</t>
        </is>
      </c>
      <c r="AK1677" t="inlineStr">
        <is>
          <t>601+</t>
        </is>
      </c>
      <c r="AL1677" t="inlineStr">
        <is>
          <t>2.4</t>
        </is>
      </c>
      <c r="AM1677" t="inlineStr">
        <is>
          <t>601+</t>
        </is>
      </c>
      <c r="AN1677" t="inlineStr">
        <is>
          <t>5.1</t>
        </is>
      </c>
      <c r="AO1677" t="inlineStr">
        <is>
          <t>701+</t>
        </is>
      </c>
      <c r="AP1677" t="inlineStr">
        <is>
          <t>27.5</t>
        </is>
      </c>
      <c r="AQ1677" t="inlineStr">
        <is>
          <t>455</t>
        </is>
      </c>
      <c r="AR1677" t="inlineStr">
        <is>
          <t>2.4</t>
        </is>
      </c>
      <c r="AS1677" t="inlineStr">
        <is>
          <t>701+</t>
        </is>
      </c>
      <c r="AT1677" t="inlineStr">
        <is>
          <t>1.9</t>
        </is>
      </c>
      <c r="AU1677" t="inlineStr">
        <is>
          <t>701+</t>
        </is>
      </c>
      <c r="AV1677" t="inlineStr">
        <is>
          <t>53.3</t>
        </is>
      </c>
      <c r="AW1677" t="inlineStr">
        <is>
          <t>295</t>
        </is>
      </c>
      <c r="AX1677" t="inlineStr">
        <is>
          <t>5.1</t>
        </is>
      </c>
      <c r="AY1677" t="inlineStr">
        <is>
          <t>701+</t>
        </is>
      </c>
      <c r="AZ1677" t="inlineStr">
        <is>
          <t>9.7</t>
        </is>
      </c>
      <c r="BA1677" t="inlineStr">
        <is>
          <t>673=</t>
        </is>
      </c>
    </row>
    <row r="1678">
      <c r="A1678" t="inlineStr">
        <is>
          <t>University of Pannonia</t>
        </is>
      </c>
      <c r="B1678" t="inlineStr">
        <is>
          <t>Hungary</t>
        </is>
      </c>
      <c r="C1678" t="inlineStr">
        <is>
          <t>HU</t>
        </is>
      </c>
      <c r="D1678" t="inlineStr">
        <is>
          <t>Europe</t>
        </is>
      </c>
      <c r="E1678" t="inlineStr">
        <is>
          <t>S</t>
        </is>
      </c>
      <c r="F1678" t="inlineStr">
        <is>
          <t>FO</t>
        </is>
      </c>
      <c r="G1678" t="inlineStr">
        <is>
          <t>VH</t>
        </is>
      </c>
      <c r="H1678" t="inlineStr">
        <is>
          <t>4</t>
        </is>
      </c>
      <c r="I1678" t="inlineStr">
        <is>
          <t>Public</t>
        </is>
      </c>
      <c r="J1678" t="inlineStr">
        <is>
          <t>1201-1400</t>
        </is>
      </c>
      <c r="K1678" t="inlineStr">
        <is>
          <t>1201-1400</t>
        </is>
      </c>
      <c r="L1678" t="inlineStr">
        <is>
          <t>1201-1400</t>
        </is>
      </c>
      <c r="M1678" t="inlineStr">
        <is>
          <t>1001-1200</t>
        </is>
      </c>
      <c r="N1678" t="inlineStr">
        <is>
          <t>-</t>
        </is>
      </c>
      <c r="O1678" t="inlineStr">
        <is>
          <t>-</t>
        </is>
      </c>
      <c r="P1678" t="n">
        <v>6.1</v>
      </c>
      <c r="Q1678" t="inlineStr">
        <is>
          <t>701+</t>
        </is>
      </c>
      <c r="R1678" t="n">
        <v>7.3</v>
      </c>
      <c r="S1678" t="inlineStr">
        <is>
          <t>701+</t>
        </is>
      </c>
      <c r="T1678" t="n">
        <v>33.3</v>
      </c>
      <c r="U1678" t="inlineStr">
        <is>
          <t>584</t>
        </is>
      </c>
      <c r="V1678" t="n">
        <v>14.9</v>
      </c>
      <c r="W1678" t="inlineStr">
        <is>
          <t>801+</t>
        </is>
      </c>
      <c r="X1678" t="n">
        <v>5.8</v>
      </c>
      <c r="Y1678" t="inlineStr">
        <is>
          <t>801+</t>
        </is>
      </c>
      <c r="Z1678" t="n">
        <v>7.2</v>
      </c>
      <c r="AA1678" t="inlineStr">
        <is>
          <t>801+</t>
        </is>
      </c>
      <c r="AB1678" t="n">
        <v>5.6</v>
      </c>
      <c r="AC1678" t="inlineStr">
        <is>
          <t>801+</t>
        </is>
      </c>
      <c r="AD1678" t="n">
        <v>55.5</v>
      </c>
      <c r="AE1678" t="inlineStr">
        <is>
          <t>760</t>
        </is>
      </c>
      <c r="AF1678" t="n">
        <v>5</v>
      </c>
      <c r="AG1678" t="inlineStr">
        <is>
          <t>801+</t>
        </is>
      </c>
      <c r="AH1678" t="n">
        <v>23.4</v>
      </c>
      <c r="AI1678" t="inlineStr">
        <is>
          <t>801+</t>
        </is>
      </c>
      <c r="AJ1678" t="inlineStr">
        <is>
          <t>4.5</t>
        </is>
      </c>
      <c r="AK1678" t="inlineStr">
        <is>
          <t>601+</t>
        </is>
      </c>
      <c r="AL1678" t="inlineStr">
        <is>
          <t>3.5</t>
        </is>
      </c>
      <c r="AM1678" t="inlineStr">
        <is>
          <t>601+</t>
        </is>
      </c>
      <c r="AN1678" t="inlineStr">
        <is>
          <t>23.7</t>
        </is>
      </c>
      <c r="AO1678" t="inlineStr">
        <is>
          <t>603</t>
        </is>
      </c>
      <c r="AP1678" t="inlineStr">
        <is>
          <t>8.3</t>
        </is>
      </c>
      <c r="AQ1678" t="inlineStr">
        <is>
          <t>701+</t>
        </is>
      </c>
      <c r="AR1678" t="inlineStr"/>
      <c r="AS1678" t="inlineStr"/>
      <c r="AT1678" t="inlineStr">
        <is>
          <t>9.2</t>
        </is>
      </c>
      <c r="AU1678" t="inlineStr">
        <is>
          <t>701+</t>
        </is>
      </c>
      <c r="AV1678" t="inlineStr">
        <is>
          <t>5.9</t>
        </is>
      </c>
      <c r="AW1678" t="inlineStr">
        <is>
          <t>701+</t>
        </is>
      </c>
      <c r="AX1678" t="inlineStr">
        <is>
          <t>5.8</t>
        </is>
      </c>
      <c r="AY1678" t="inlineStr">
        <is>
          <t>701+</t>
        </is>
      </c>
      <c r="AZ1678" t="inlineStr">
        <is>
          <t>1</t>
        </is>
      </c>
      <c r="BA1678" t="inlineStr">
        <is>
          <t>701+</t>
        </is>
      </c>
    </row>
    <row r="1679">
      <c r="A1679" t="inlineStr">
        <is>
          <t>University of Pardubice</t>
        </is>
      </c>
      <c r="B1679" t="inlineStr">
        <is>
          <t>Czech Republic</t>
        </is>
      </c>
      <c r="C1679" t="inlineStr">
        <is>
          <t>CZ</t>
        </is>
      </c>
      <c r="D1679" t="inlineStr">
        <is>
          <t>Europe</t>
        </is>
      </c>
      <c r="E1679" t="inlineStr">
        <is>
          <t>M</t>
        </is>
      </c>
      <c r="F1679" t="inlineStr">
        <is>
          <t>CO</t>
        </is>
      </c>
      <c r="G1679" t="inlineStr">
        <is>
          <t>VH</t>
        </is>
      </c>
      <c r="H1679" t="inlineStr">
        <is>
          <t>4</t>
        </is>
      </c>
      <c r="I1679" t="inlineStr">
        <is>
          <t>Public</t>
        </is>
      </c>
      <c r="J1679" t="inlineStr">
        <is>
          <t>1201-1400</t>
        </is>
      </c>
      <c r="K1679" t="inlineStr">
        <is>
          <t>1201-1400</t>
        </is>
      </c>
      <c r="L1679" t="inlineStr">
        <is>
          <t>1001-1200</t>
        </is>
      </c>
      <c r="M1679" t="inlineStr">
        <is>
          <t>1001-1200</t>
        </is>
      </c>
      <c r="N1679" t="inlineStr">
        <is>
          <t>-</t>
        </is>
      </c>
      <c r="O1679" t="inlineStr">
        <is>
          <t>-</t>
        </is>
      </c>
      <c r="P1679" t="n">
        <v>5.2</v>
      </c>
      <c r="Q1679" t="inlineStr">
        <is>
          <t>701+</t>
        </is>
      </c>
      <c r="R1679" t="n">
        <v>5.2</v>
      </c>
      <c r="S1679" t="inlineStr">
        <is>
          <t>701+</t>
        </is>
      </c>
      <c r="T1679" t="n">
        <v>47.8</v>
      </c>
      <c r="U1679" t="inlineStr">
        <is>
          <t>407</t>
        </is>
      </c>
      <c r="V1679" t="n">
        <v>5.8</v>
      </c>
      <c r="W1679" t="inlineStr">
        <is>
          <t>801+</t>
        </is>
      </c>
      <c r="X1679" t="n">
        <v>12.3</v>
      </c>
      <c r="Y1679" t="inlineStr">
        <is>
          <t>801+</t>
        </is>
      </c>
      <c r="Z1679" t="n">
        <v>15.5</v>
      </c>
      <c r="AA1679" t="inlineStr">
        <is>
          <t>801+</t>
        </is>
      </c>
      <c r="AB1679" t="n">
        <v>19.7</v>
      </c>
      <c r="AC1679" t="inlineStr">
        <is>
          <t>768</t>
        </is>
      </c>
      <c r="AD1679" t="n">
        <v>36.2</v>
      </c>
      <c r="AE1679" t="inlineStr">
        <is>
          <t>801+</t>
        </is>
      </c>
      <c r="AF1679" t="n">
        <v>2.5</v>
      </c>
      <c r="AG1679" t="inlineStr">
        <is>
          <t>801+</t>
        </is>
      </c>
      <c r="AH1679" t="n">
        <v>15.8</v>
      </c>
      <c r="AI1679" t="inlineStr">
        <is>
          <t>801+</t>
        </is>
      </c>
      <c r="AJ1679" t="inlineStr">
        <is>
          <t>4.8</t>
        </is>
      </c>
      <c r="AK1679" t="inlineStr">
        <is>
          <t>601+</t>
        </is>
      </c>
      <c r="AL1679" t="inlineStr">
        <is>
          <t>2.6</t>
        </is>
      </c>
      <c r="AM1679" t="inlineStr">
        <is>
          <t>601+</t>
        </is>
      </c>
      <c r="AN1679" t="inlineStr">
        <is>
          <t>39.8</t>
        </is>
      </c>
      <c r="AO1679" t="inlineStr">
        <is>
          <t>398</t>
        </is>
      </c>
      <c r="AP1679" t="inlineStr">
        <is>
          <t>3.3</t>
        </is>
      </c>
      <c r="AQ1679" t="inlineStr">
        <is>
          <t>701+</t>
        </is>
      </c>
      <c r="AR1679" t="inlineStr">
        <is>
          <t>11.5</t>
        </is>
      </c>
      <c r="AS1679" t="inlineStr">
        <is>
          <t>701+</t>
        </is>
      </c>
      <c r="AT1679" t="inlineStr">
        <is>
          <t>11.1</t>
        </is>
      </c>
      <c r="AU1679" t="inlineStr">
        <is>
          <t>689</t>
        </is>
      </c>
      <c r="AV1679" t="inlineStr">
        <is>
          <t>1.1</t>
        </is>
      </c>
      <c r="AW1679" t="inlineStr">
        <is>
          <t>701+</t>
        </is>
      </c>
      <c r="AX1679" t="inlineStr">
        <is>
          <t>7.8</t>
        </is>
      </c>
      <c r="AY1679" t="inlineStr">
        <is>
          <t>701+</t>
        </is>
      </c>
      <c r="AZ1679" t="inlineStr">
        <is>
          <t>1</t>
        </is>
      </c>
      <c r="BA1679" t="inlineStr">
        <is>
          <t>701+</t>
        </is>
      </c>
    </row>
    <row r="1680">
      <c r="A1680" t="inlineStr">
        <is>
          <t>University of Parma</t>
        </is>
      </c>
      <c r="B1680" t="inlineStr">
        <is>
          <t>Italy</t>
        </is>
      </c>
      <c r="C1680" t="inlineStr">
        <is>
          <t>IT</t>
        </is>
      </c>
      <c r="D1680" t="inlineStr">
        <is>
          <t>Europe</t>
        </is>
      </c>
      <c r="E1680" t="inlineStr">
        <is>
          <t>XL</t>
        </is>
      </c>
      <c r="F1680" t="inlineStr">
        <is>
          <t>FC</t>
        </is>
      </c>
      <c r="G1680" t="inlineStr">
        <is>
          <t>HI</t>
        </is>
      </c>
      <c r="H1680" t="inlineStr">
        <is>
          <t>5</t>
        </is>
      </c>
      <c r="I1680" t="inlineStr">
        <is>
          <t>Public</t>
        </is>
      </c>
      <c r="J1680" t="inlineStr">
        <is>
          <t>1001-1200</t>
        </is>
      </c>
      <c r="K1680" t="inlineStr">
        <is>
          <t>951-1000</t>
        </is>
      </c>
      <c r="L1680" t="inlineStr">
        <is>
          <t>851-900</t>
        </is>
      </c>
      <c r="M1680" t="inlineStr">
        <is>
          <t>801-1000</t>
        </is>
      </c>
      <c r="N1680" t="inlineStr">
        <is>
          <t>-</t>
        </is>
      </c>
      <c r="O1680" t="inlineStr">
        <is>
          <t>-</t>
        </is>
      </c>
      <c r="P1680" t="n">
        <v>13.6</v>
      </c>
      <c r="Q1680" t="inlineStr">
        <is>
          <t>701+</t>
        </is>
      </c>
      <c r="R1680" t="n">
        <v>5.8</v>
      </c>
      <c r="S1680" t="inlineStr">
        <is>
          <t>701+</t>
        </is>
      </c>
      <c r="T1680" t="n">
        <v>4.5</v>
      </c>
      <c r="U1680" t="inlineStr">
        <is>
          <t>801+</t>
        </is>
      </c>
      <c r="V1680" t="n">
        <v>33</v>
      </c>
      <c r="W1680" t="inlineStr">
        <is>
          <t>551</t>
        </is>
      </c>
      <c r="X1680" t="n">
        <v>5.2</v>
      </c>
      <c r="Y1680" t="inlineStr">
        <is>
          <t>801+</t>
        </is>
      </c>
      <c r="Z1680" t="n">
        <v>16.8</v>
      </c>
      <c r="AA1680" t="inlineStr">
        <is>
          <t>784</t>
        </is>
      </c>
      <c r="AB1680" t="n">
        <v>22.9</v>
      </c>
      <c r="AC1680" t="inlineStr">
        <is>
          <t>722</t>
        </is>
      </c>
      <c r="AD1680" t="n">
        <v>63</v>
      </c>
      <c r="AE1680" t="inlineStr">
        <is>
          <t>651</t>
        </is>
      </c>
      <c r="AF1680" t="n">
        <v>12.5</v>
      </c>
      <c r="AG1680" t="inlineStr">
        <is>
          <t>801+</t>
        </is>
      </c>
      <c r="AH1680" t="n">
        <v>37</v>
      </c>
      <c r="AI1680" t="inlineStr">
        <is>
          <t>801+</t>
        </is>
      </c>
      <c r="AJ1680" t="inlineStr">
        <is>
          <t>9.4</t>
        </is>
      </c>
      <c r="AK1680" t="inlineStr">
        <is>
          <t>601+</t>
        </is>
      </c>
      <c r="AL1680" t="inlineStr">
        <is>
          <t>2.7</t>
        </is>
      </c>
      <c r="AM1680" t="inlineStr">
        <is>
          <t>601+</t>
        </is>
      </c>
      <c r="AN1680" t="inlineStr">
        <is>
          <t>2.6</t>
        </is>
      </c>
      <c r="AO1680" t="inlineStr">
        <is>
          <t>701+</t>
        </is>
      </c>
      <c r="AP1680" t="inlineStr">
        <is>
          <t>34.6</t>
        </is>
      </c>
      <c r="AQ1680" t="inlineStr">
        <is>
          <t>393</t>
        </is>
      </c>
      <c r="AR1680" t="inlineStr">
        <is>
          <t>2.0</t>
        </is>
      </c>
      <c r="AS1680" t="inlineStr">
        <is>
          <t>701+</t>
        </is>
      </c>
      <c r="AT1680" t="inlineStr">
        <is>
          <t>6.3</t>
        </is>
      </c>
      <c r="AU1680" t="inlineStr">
        <is>
          <t>701+</t>
        </is>
      </c>
      <c r="AV1680" t="inlineStr">
        <is>
          <t>35.1</t>
        </is>
      </c>
      <c r="AW1680" t="inlineStr">
        <is>
          <t>419</t>
        </is>
      </c>
      <c r="AX1680" t="inlineStr">
        <is>
          <t>10.2</t>
        </is>
      </c>
      <c r="AY1680" t="inlineStr">
        <is>
          <t>701+</t>
        </is>
      </c>
      <c r="AZ1680" t="inlineStr">
        <is>
          <t>3.7</t>
        </is>
      </c>
      <c r="BA1680" t="inlineStr">
        <is>
          <t>701+</t>
        </is>
      </c>
    </row>
    <row r="1681">
      <c r="A1681" t="inlineStr">
        <is>
          <t>University of Patras</t>
        </is>
      </c>
      <c r="B1681" t="inlineStr">
        <is>
          <t>Greece</t>
        </is>
      </c>
      <c r="C1681" t="inlineStr">
        <is>
          <t>GR</t>
        </is>
      </c>
      <c r="D1681" t="inlineStr">
        <is>
          <t>Europe</t>
        </is>
      </c>
      <c r="E1681" t="inlineStr">
        <is>
          <t>L</t>
        </is>
      </c>
      <c r="F1681" t="inlineStr">
        <is>
          <t>FC</t>
        </is>
      </c>
      <c r="G1681" t="inlineStr">
        <is>
          <t>VH</t>
        </is>
      </c>
      <c r="H1681" t="inlineStr">
        <is>
          <t>4</t>
        </is>
      </c>
      <c r="I1681" t="inlineStr">
        <is>
          <t>Public</t>
        </is>
      </c>
      <c r="J1681" t="inlineStr">
        <is>
          <t>721-730</t>
        </is>
      </c>
      <c r="K1681" t="inlineStr">
        <is>
          <t>761-770</t>
        </is>
      </c>
      <c r="L1681" t="inlineStr">
        <is>
          <t>791-800</t>
        </is>
      </c>
      <c r="M1681" t="inlineStr">
        <is>
          <t>801-1000</t>
        </is>
      </c>
      <c r="N1681" t="inlineStr">
        <is>
          <t>-</t>
        </is>
      </c>
      <c r="O1681" t="inlineStr">
        <is>
          <t>-</t>
        </is>
      </c>
      <c r="P1681" t="n">
        <v>16.8</v>
      </c>
      <c r="Q1681" t="inlineStr">
        <is>
          <t>701+</t>
        </is>
      </c>
      <c r="R1681" t="n">
        <v>25.7</v>
      </c>
      <c r="S1681" t="inlineStr">
        <is>
          <t>527</t>
        </is>
      </c>
      <c r="T1681" t="n">
        <v>4.2</v>
      </c>
      <c r="U1681" t="inlineStr">
        <is>
          <t>801+</t>
        </is>
      </c>
      <c r="V1681" t="n">
        <v>44.3</v>
      </c>
      <c r="W1681" t="inlineStr">
        <is>
          <t>425</t>
        </is>
      </c>
      <c r="X1681" t="n">
        <v>2.3</v>
      </c>
      <c r="Y1681" t="inlineStr">
        <is>
          <t>801+</t>
        </is>
      </c>
      <c r="Z1681" t="n">
        <v>9.199999999999999</v>
      </c>
      <c r="AA1681" t="inlineStr">
        <is>
          <t>801+</t>
        </is>
      </c>
      <c r="AB1681" t="n">
        <v>14.3</v>
      </c>
      <c r="AC1681" t="inlineStr">
        <is>
          <t>801+</t>
        </is>
      </c>
      <c r="AD1681" t="n">
        <v>66.2</v>
      </c>
      <c r="AE1681" t="inlineStr">
        <is>
          <t>606</t>
        </is>
      </c>
      <c r="AF1681" t="n">
        <v>4.7</v>
      </c>
      <c r="AG1681" t="inlineStr">
        <is>
          <t>801+</t>
        </is>
      </c>
      <c r="AH1681" t="n">
        <v>65.3</v>
      </c>
      <c r="AI1681" t="inlineStr">
        <is>
          <t>392</t>
        </is>
      </c>
      <c r="AJ1681" t="inlineStr">
        <is>
          <t>12.1</t>
        </is>
      </c>
      <c r="AK1681" t="inlineStr">
        <is>
          <t>601+</t>
        </is>
      </c>
      <c r="AL1681" t="inlineStr">
        <is>
          <t>17.7</t>
        </is>
      </c>
      <c r="AM1681" t="inlineStr">
        <is>
          <t>496</t>
        </is>
      </c>
      <c r="AN1681" t="inlineStr">
        <is>
          <t>2.7</t>
        </is>
      </c>
      <c r="AO1681" t="inlineStr">
        <is>
          <t>701+</t>
        </is>
      </c>
      <c r="AP1681" t="inlineStr">
        <is>
          <t>24.0</t>
        </is>
      </c>
      <c r="AQ1681" t="inlineStr">
        <is>
          <t>501</t>
        </is>
      </c>
      <c r="AR1681" t="inlineStr">
        <is>
          <t>1.5</t>
        </is>
      </c>
      <c r="AS1681" t="inlineStr">
        <is>
          <t>701+</t>
        </is>
      </c>
      <c r="AT1681" t="inlineStr">
        <is>
          <t>5.1</t>
        </is>
      </c>
      <c r="AU1681" t="inlineStr">
        <is>
          <t>701+</t>
        </is>
      </c>
      <c r="AV1681" t="inlineStr">
        <is>
          <t>12.4</t>
        </is>
      </c>
      <c r="AW1681" t="inlineStr">
        <is>
          <t>631</t>
        </is>
      </c>
      <c r="AX1681" t="inlineStr">
        <is>
          <t>8.4</t>
        </is>
      </c>
      <c r="AY1681" t="inlineStr">
        <is>
          <t>701+</t>
        </is>
      </c>
      <c r="AZ1681" t="inlineStr">
        <is>
          <t>41.1</t>
        </is>
      </c>
      <c r="BA1681" t="inlineStr">
        <is>
          <t>358=</t>
        </is>
      </c>
    </row>
    <row r="1682">
      <c r="A1682" t="inlineStr">
        <is>
          <t>University of Pecs</t>
        </is>
      </c>
      <c r="B1682" t="inlineStr">
        <is>
          <t>Hungary</t>
        </is>
      </c>
      <c r="C1682" t="inlineStr">
        <is>
          <t>HU</t>
        </is>
      </c>
      <c r="D1682" t="inlineStr">
        <is>
          <t>Europe</t>
        </is>
      </c>
      <c r="E1682" t="inlineStr">
        <is>
          <t>L</t>
        </is>
      </c>
      <c r="F1682" t="inlineStr">
        <is>
          <t>FC</t>
        </is>
      </c>
      <c r="G1682" t="inlineStr">
        <is>
          <t>HI</t>
        </is>
      </c>
      <c r="H1682" t="inlineStr">
        <is>
          <t>5</t>
        </is>
      </c>
      <c r="I1682" t="inlineStr">
        <is>
          <t>Public</t>
        </is>
      </c>
      <c r="J1682" t="inlineStr">
        <is>
          <t>741-750</t>
        </is>
      </c>
      <c r="K1682" t="inlineStr">
        <is>
          <t>771-780</t>
        </is>
      </c>
      <c r="L1682" t="inlineStr">
        <is>
          <t>801-850</t>
        </is>
      </c>
      <c r="M1682" t="inlineStr">
        <is>
          <t>701-750</t>
        </is>
      </c>
      <c r="N1682" t="inlineStr">
        <is>
          <t>-</t>
        </is>
      </c>
      <c r="O1682" t="inlineStr">
        <is>
          <t>-</t>
        </is>
      </c>
      <c r="P1682" t="n">
        <v>20.1</v>
      </c>
      <c r="Q1682" t="inlineStr">
        <is>
          <t>613</t>
        </is>
      </c>
      <c r="R1682" t="n">
        <v>20.1</v>
      </c>
      <c r="S1682" t="inlineStr">
        <is>
          <t>653</t>
        </is>
      </c>
      <c r="T1682" t="n">
        <v>52.3</v>
      </c>
      <c r="U1682" t="inlineStr">
        <is>
          <t>357</t>
        </is>
      </c>
      <c r="V1682" t="n">
        <v>5</v>
      </c>
      <c r="W1682" t="inlineStr">
        <is>
          <t>801+</t>
        </is>
      </c>
      <c r="X1682" t="n">
        <v>12.8</v>
      </c>
      <c r="Y1682" t="inlineStr">
        <is>
          <t>801+</t>
        </is>
      </c>
      <c r="Z1682" t="n">
        <v>77.3</v>
      </c>
      <c r="AA1682" t="inlineStr">
        <is>
          <t>240</t>
        </is>
      </c>
      <c r="AB1682" t="n">
        <v>79.5</v>
      </c>
      <c r="AC1682" t="inlineStr">
        <is>
          <t>211</t>
        </is>
      </c>
      <c r="AD1682" t="n">
        <v>42.4</v>
      </c>
      <c r="AE1682" t="inlineStr">
        <is>
          <t>801+</t>
        </is>
      </c>
      <c r="AF1682" t="n">
        <v>12.8</v>
      </c>
      <c r="AG1682" t="inlineStr">
        <is>
          <t>801+</t>
        </is>
      </c>
      <c r="AH1682" t="n">
        <v>53.7</v>
      </c>
      <c r="AI1682" t="inlineStr">
        <is>
          <t>627=</t>
        </is>
      </c>
      <c r="AJ1682" t="inlineStr">
        <is>
          <t>13.2</t>
        </is>
      </c>
      <c r="AK1682" t="inlineStr">
        <is>
          <t>601+</t>
        </is>
      </c>
      <c r="AL1682" t="inlineStr">
        <is>
          <t>8.8</t>
        </is>
      </c>
      <c r="AM1682" t="inlineStr">
        <is>
          <t>601+</t>
        </is>
      </c>
      <c r="AN1682" t="inlineStr">
        <is>
          <t>38.1</t>
        </is>
      </c>
      <c r="AO1682" t="inlineStr">
        <is>
          <t>414</t>
        </is>
      </c>
      <c r="AP1682" t="inlineStr">
        <is>
          <t>2.7</t>
        </is>
      </c>
      <c r="AQ1682" t="inlineStr">
        <is>
          <t>701+</t>
        </is>
      </c>
      <c r="AR1682" t="inlineStr">
        <is>
          <t>9.1</t>
        </is>
      </c>
      <c r="AS1682" t="inlineStr">
        <is>
          <t>701+</t>
        </is>
      </c>
      <c r="AT1682" t="inlineStr">
        <is>
          <t>62.4</t>
        </is>
      </c>
      <c r="AU1682" t="inlineStr">
        <is>
          <t>240</t>
        </is>
      </c>
      <c r="AV1682" t="inlineStr">
        <is>
          <t>4.8</t>
        </is>
      </c>
      <c r="AW1682" t="inlineStr">
        <is>
          <t>701+</t>
        </is>
      </c>
      <c r="AX1682" t="inlineStr">
        <is>
          <t>9.6</t>
        </is>
      </c>
      <c r="AY1682" t="inlineStr">
        <is>
          <t>701+</t>
        </is>
      </c>
      <c r="AZ1682" t="inlineStr">
        <is>
          <t>3</t>
        </is>
      </c>
      <c r="BA1682" t="inlineStr">
        <is>
          <t>701+</t>
        </is>
      </c>
    </row>
    <row r="1683">
      <c r="A1683" t="inlineStr">
        <is>
          <t>University of Pennsylvania</t>
        </is>
      </c>
      <c r="B1683" t="inlineStr">
        <is>
          <t>United States</t>
        </is>
      </c>
      <c r="C1683" t="inlineStr">
        <is>
          <t>US</t>
        </is>
      </c>
      <c r="D1683" t="inlineStr">
        <is>
          <t>Americas</t>
        </is>
      </c>
      <c r="E1683" t="inlineStr">
        <is>
          <t>L</t>
        </is>
      </c>
      <c r="F1683" t="inlineStr">
        <is>
          <t>FC</t>
        </is>
      </c>
      <c r="G1683" t="inlineStr">
        <is>
          <t>VH</t>
        </is>
      </c>
      <c r="H1683" t="inlineStr">
        <is>
          <t>5</t>
        </is>
      </c>
      <c r="I1683" t="inlineStr">
        <is>
          <t>Private not for Profit</t>
        </is>
      </c>
      <c r="J1683" t="inlineStr">
        <is>
          <t>15</t>
        </is>
      </c>
      <c r="K1683" t="inlineStr">
        <is>
          <t>11</t>
        </is>
      </c>
      <c r="L1683" t="inlineStr">
        <is>
          <t>12</t>
        </is>
      </c>
      <c r="M1683" t="inlineStr">
        <is>
          <t>13</t>
        </is>
      </c>
      <c r="N1683" t="inlineStr">
        <is>
          <t>92.5</t>
        </is>
      </c>
      <c r="O1683" t="inlineStr">
        <is>
          <t>89.4</t>
        </is>
      </c>
      <c r="P1683" t="n">
        <v>98.90000000000001</v>
      </c>
      <c r="Q1683" t="inlineStr">
        <is>
          <t>30</t>
        </is>
      </c>
      <c r="R1683" t="n">
        <v>98.7</v>
      </c>
      <c r="S1683" t="inlineStr">
        <is>
          <t>28</t>
        </is>
      </c>
      <c r="T1683" t="n">
        <v>99.90000000000001</v>
      </c>
      <c r="U1683" t="inlineStr">
        <is>
          <t>29</t>
        </is>
      </c>
      <c r="V1683" t="n">
        <v>72</v>
      </c>
      <c r="W1683" t="inlineStr">
        <is>
          <t>199</t>
        </is>
      </c>
      <c r="X1683" t="n">
        <v>96.90000000000001</v>
      </c>
      <c r="Y1683" t="inlineStr">
        <is>
          <t>151</t>
        </is>
      </c>
      <c r="Z1683" t="n">
        <v>76.3</v>
      </c>
      <c r="AA1683" t="inlineStr">
        <is>
          <t>249</t>
        </is>
      </c>
      <c r="AB1683" t="n">
        <v>78.59999999999999</v>
      </c>
      <c r="AC1683" t="inlineStr">
        <is>
          <t>221</t>
        </is>
      </c>
      <c r="AD1683" t="n">
        <v>89.40000000000001</v>
      </c>
      <c r="AE1683" t="inlineStr">
        <is>
          <t>182</t>
        </is>
      </c>
      <c r="AF1683" t="n">
        <v>100</v>
      </c>
      <c r="AG1683" t="inlineStr">
        <is>
          <t>4</t>
        </is>
      </c>
      <c r="AH1683" t="n">
        <v>95</v>
      </c>
      <c r="AI1683" t="inlineStr">
        <is>
          <t>24</t>
        </is>
      </c>
      <c r="AJ1683" t="inlineStr">
        <is>
          <t>96.4</t>
        </is>
      </c>
      <c r="AK1683" t="inlineStr">
        <is>
          <t>29</t>
        </is>
      </c>
      <c r="AL1683" t="inlineStr">
        <is>
          <t>89.1</t>
        </is>
      </c>
      <c r="AM1683" t="inlineStr">
        <is>
          <t>52</t>
        </is>
      </c>
      <c r="AN1683" t="inlineStr">
        <is>
          <t>99.9</t>
        </is>
      </c>
      <c r="AO1683" t="inlineStr">
        <is>
          <t>24</t>
        </is>
      </c>
      <c r="AP1683" t="inlineStr">
        <is>
          <t>68.4</t>
        </is>
      </c>
      <c r="AQ1683" t="inlineStr">
        <is>
          <t>153</t>
        </is>
      </c>
      <c r="AR1683" t="inlineStr">
        <is>
          <t>96.0</t>
        </is>
      </c>
      <c r="AS1683" t="inlineStr">
        <is>
          <t>140</t>
        </is>
      </c>
      <c r="AT1683" t="inlineStr">
        <is>
          <t>70.3</t>
        </is>
      </c>
      <c r="AU1683" t="inlineStr">
        <is>
          <t>208</t>
        </is>
      </c>
      <c r="AV1683" t="inlineStr">
        <is>
          <t>83.3</t>
        </is>
      </c>
      <c r="AW1683" t="inlineStr">
        <is>
          <t>129</t>
        </is>
      </c>
      <c r="AX1683" t="inlineStr">
        <is>
          <t>100</t>
        </is>
      </c>
      <c r="AY1683" t="inlineStr">
        <is>
          <t>5</t>
        </is>
      </c>
      <c r="AZ1683" t="inlineStr">
        <is>
          <t>99.9</t>
        </is>
      </c>
      <c r="BA1683" t="inlineStr">
        <is>
          <t>3=</t>
        </is>
      </c>
    </row>
    <row r="1684">
      <c r="A1684" t="inlineStr">
        <is>
          <t>University of Peradeniya</t>
        </is>
      </c>
      <c r="B1684" t="inlineStr">
        <is>
          <t>Sri Lanka</t>
        </is>
      </c>
      <c r="C1684" t="inlineStr">
        <is>
          <t>LK</t>
        </is>
      </c>
      <c r="D1684" t="inlineStr">
        <is>
          <t>Asia</t>
        </is>
      </c>
      <c r="E1684" t="inlineStr">
        <is>
          <t>L</t>
        </is>
      </c>
      <c r="F1684" t="inlineStr">
        <is>
          <t>CO</t>
        </is>
      </c>
      <c r="G1684" t="inlineStr">
        <is>
          <t>HI</t>
        </is>
      </c>
      <c r="H1684" t="inlineStr">
        <is>
          <t>3</t>
        </is>
      </c>
      <c r="I1684" t="inlineStr">
        <is>
          <t>Public</t>
        </is>
      </c>
      <c r="J1684" t="inlineStr">
        <is>
          <t>1201-1400</t>
        </is>
      </c>
      <c r="K1684" t="inlineStr">
        <is>
          <t>1201-1400</t>
        </is>
      </c>
      <c r="L1684" t="inlineStr">
        <is>
          <t>1201-1400</t>
        </is>
      </c>
      <c r="M1684" t="inlineStr">
        <is>
          <t>1001-1200</t>
        </is>
      </c>
      <c r="N1684" t="inlineStr">
        <is>
          <t>-</t>
        </is>
      </c>
      <c r="O1684" t="inlineStr">
        <is>
          <t>-</t>
        </is>
      </c>
      <c r="P1684" t="n">
        <v>10.4</v>
      </c>
      <c r="Q1684" t="inlineStr">
        <is>
          <t>701+</t>
        </is>
      </c>
      <c r="R1684" t="n">
        <v>13.6</v>
      </c>
      <c r="S1684" t="inlineStr">
        <is>
          <t>701+</t>
        </is>
      </c>
      <c r="T1684" t="n">
        <v>14.3</v>
      </c>
      <c r="U1684" t="inlineStr">
        <is>
          <t>801+</t>
        </is>
      </c>
      <c r="V1684" t="n">
        <v>3.7</v>
      </c>
      <c r="W1684" t="inlineStr">
        <is>
          <t>801+</t>
        </is>
      </c>
      <c r="X1684" t="inlineStr"/>
      <c r="Y1684" t="inlineStr"/>
      <c r="Z1684" t="n">
        <v>1.6</v>
      </c>
      <c r="AA1684" t="inlineStr">
        <is>
          <t>801+</t>
        </is>
      </c>
      <c r="AB1684" t="n">
        <v>6</v>
      </c>
      <c r="AC1684" t="inlineStr">
        <is>
          <t>801+</t>
        </is>
      </c>
      <c r="AD1684" t="n">
        <v>39.5</v>
      </c>
      <c r="AE1684" t="inlineStr">
        <is>
          <t>801+</t>
        </is>
      </c>
      <c r="AF1684" t="n">
        <v>17.7</v>
      </c>
      <c r="AG1684" t="inlineStr">
        <is>
          <t>765</t>
        </is>
      </c>
      <c r="AH1684" t="n">
        <v>50.6</v>
      </c>
      <c r="AI1684" t="inlineStr">
        <is>
          <t>693=</t>
        </is>
      </c>
      <c r="AJ1684" t="inlineStr">
        <is>
          <t>7.8</t>
        </is>
      </c>
      <c r="AK1684" t="inlineStr">
        <is>
          <t>601+</t>
        </is>
      </c>
      <c r="AL1684" t="inlineStr">
        <is>
          <t>9.9</t>
        </is>
      </c>
      <c r="AM1684" t="inlineStr">
        <is>
          <t>601+</t>
        </is>
      </c>
      <c r="AN1684" t="inlineStr">
        <is>
          <t>14.9</t>
        </is>
      </c>
      <c r="AO1684" t="inlineStr">
        <is>
          <t>701+</t>
        </is>
      </c>
      <c r="AP1684" t="inlineStr">
        <is>
          <t>2.0</t>
        </is>
      </c>
      <c r="AQ1684" t="inlineStr">
        <is>
          <t>701+</t>
        </is>
      </c>
      <c r="AR1684" t="inlineStr">
        <is>
          <t>1.0</t>
        </is>
      </c>
      <c r="AS1684" t="inlineStr">
        <is>
          <t>701+</t>
        </is>
      </c>
      <c r="AT1684" t="inlineStr">
        <is>
          <t>1.3</t>
        </is>
      </c>
      <c r="AU1684" t="inlineStr">
        <is>
          <t>701+</t>
        </is>
      </c>
      <c r="AV1684" t="inlineStr">
        <is>
          <t>2.2</t>
        </is>
      </c>
      <c r="AW1684" t="inlineStr">
        <is>
          <t>701+</t>
        </is>
      </c>
      <c r="AX1684" t="inlineStr">
        <is>
          <t>10.8</t>
        </is>
      </c>
      <c r="AY1684" t="inlineStr">
        <is>
          <t>701+</t>
        </is>
      </c>
      <c r="AZ1684" t="inlineStr">
        <is>
          <t>2.2</t>
        </is>
      </c>
      <c r="BA1684" t="inlineStr">
        <is>
          <t>701+</t>
        </is>
      </c>
    </row>
    <row r="1685">
      <c r="A1685" t="inlineStr">
        <is>
          <t>University of Peshawar</t>
        </is>
      </c>
      <c r="B1685" t="inlineStr">
        <is>
          <t>Pakistan</t>
        </is>
      </c>
      <c r="C1685" t="inlineStr">
        <is>
          <t>PK</t>
        </is>
      </c>
      <c r="D1685" t="inlineStr">
        <is>
          <t>Asia</t>
        </is>
      </c>
      <c r="E1685" t="inlineStr">
        <is>
          <t>L</t>
        </is>
      </c>
      <c r="F1685" t="inlineStr">
        <is>
          <t>FO</t>
        </is>
      </c>
      <c r="G1685" t="inlineStr">
        <is>
          <t>VH</t>
        </is>
      </c>
      <c r="H1685" t="inlineStr">
        <is>
          <t>4</t>
        </is>
      </c>
      <c r="I1685" t="inlineStr">
        <is>
          <t>Public</t>
        </is>
      </c>
      <c r="J1685" t="inlineStr">
        <is>
          <t>901-950</t>
        </is>
      </c>
      <c r="K1685" t="inlineStr">
        <is>
          <t>901-950</t>
        </is>
      </c>
      <c r="L1685" t="inlineStr">
        <is>
          <t>951-1000</t>
        </is>
      </c>
      <c r="M1685" t="inlineStr">
        <is>
          <t>801-1000</t>
        </is>
      </c>
      <c r="N1685" t="inlineStr">
        <is>
          <t>-</t>
        </is>
      </c>
      <c r="O1685" t="inlineStr">
        <is>
          <t>-</t>
        </is>
      </c>
      <c r="P1685" t="n">
        <v>9.4</v>
      </c>
      <c r="Q1685" t="inlineStr">
        <is>
          <t>701+</t>
        </is>
      </c>
      <c r="R1685" t="n">
        <v>11.9</v>
      </c>
      <c r="S1685" t="inlineStr">
        <is>
          <t>701+</t>
        </is>
      </c>
      <c r="T1685" t="n">
        <v>87.2</v>
      </c>
      <c r="U1685" t="inlineStr">
        <is>
          <t>119</t>
        </is>
      </c>
      <c r="V1685" t="n">
        <v>12.3</v>
      </c>
      <c r="W1685" t="inlineStr">
        <is>
          <t>801+</t>
        </is>
      </c>
      <c r="X1685" t="inlineStr"/>
      <c r="Y1685" t="inlineStr"/>
      <c r="Z1685" t="n">
        <v>2</v>
      </c>
      <c r="AA1685" t="inlineStr">
        <is>
          <t>801+</t>
        </is>
      </c>
      <c r="AB1685" t="n">
        <v>1.7</v>
      </c>
      <c r="AC1685" t="inlineStr">
        <is>
          <t>801+</t>
        </is>
      </c>
      <c r="AD1685" t="n">
        <v>49</v>
      </c>
      <c r="AE1685" t="inlineStr">
        <is>
          <t>801+</t>
        </is>
      </c>
      <c r="AF1685" t="n">
        <v>19.2</v>
      </c>
      <c r="AG1685" t="inlineStr">
        <is>
          <t>742</t>
        </is>
      </c>
      <c r="AH1685" t="n">
        <v>25.8</v>
      </c>
      <c r="AI1685" t="inlineStr">
        <is>
          <t>801+</t>
        </is>
      </c>
      <c r="AJ1685" t="inlineStr">
        <is>
          <t>6.0</t>
        </is>
      </c>
      <c r="AK1685" t="inlineStr">
        <is>
          <t>601+</t>
        </is>
      </c>
      <c r="AL1685" t="inlineStr">
        <is>
          <t>9.0</t>
        </is>
      </c>
      <c r="AM1685" t="inlineStr">
        <is>
          <t>601+</t>
        </is>
      </c>
      <c r="AN1685" t="inlineStr">
        <is>
          <t>36.0</t>
        </is>
      </c>
      <c r="AO1685" t="inlineStr">
        <is>
          <t>442</t>
        </is>
      </c>
      <c r="AP1685" t="inlineStr">
        <is>
          <t>17.4</t>
        </is>
      </c>
      <c r="AQ1685" t="inlineStr">
        <is>
          <t>592</t>
        </is>
      </c>
      <c r="AR1685" t="inlineStr"/>
      <c r="AS1685" t="inlineStr"/>
      <c r="AT1685" t="inlineStr">
        <is>
          <t>2.0</t>
        </is>
      </c>
      <c r="AU1685" t="inlineStr">
        <is>
          <t>701+</t>
        </is>
      </c>
      <c r="AV1685" t="inlineStr">
        <is>
          <t>3.7</t>
        </is>
      </c>
      <c r="AW1685" t="inlineStr">
        <is>
          <t>701+</t>
        </is>
      </c>
      <c r="AX1685" t="inlineStr">
        <is>
          <t>5.9</t>
        </is>
      </c>
      <c r="AY1685" t="inlineStr">
        <is>
          <t>701+</t>
        </is>
      </c>
      <c r="AZ1685" t="inlineStr">
        <is>
          <t>1.2</t>
        </is>
      </c>
      <c r="BA1685" t="inlineStr">
        <is>
          <t>701+</t>
        </is>
      </c>
    </row>
    <row r="1686">
      <c r="A1686" t="inlineStr">
        <is>
          <t>University of Petra</t>
        </is>
      </c>
      <c r="B1686" t="inlineStr">
        <is>
          <t>Jordan</t>
        </is>
      </c>
      <c r="C1686" t="inlineStr"/>
      <c r="D1686" t="inlineStr">
        <is>
          <t>Asia</t>
        </is>
      </c>
      <c r="E1686" t="inlineStr">
        <is>
          <t>M</t>
        </is>
      </c>
      <c r="F1686" t="inlineStr">
        <is>
          <t>CO</t>
        </is>
      </c>
      <c r="G1686" t="inlineStr">
        <is>
          <t>HI</t>
        </is>
      </c>
      <c r="H1686" t="inlineStr"/>
      <c r="I1686" t="inlineStr">
        <is>
          <t>Private for Profit</t>
        </is>
      </c>
      <c r="J1686" t="inlineStr">
        <is>
          <t>1201-1400</t>
        </is>
      </c>
      <c r="K1686" t="inlineStr"/>
      <c r="L1686" t="inlineStr"/>
      <c r="M1686" t="inlineStr"/>
      <c r="N1686" t="inlineStr">
        <is>
          <t>-</t>
        </is>
      </c>
      <c r="O1686" t="inlineStr"/>
      <c r="P1686" t="n">
        <v>8.800000000000001</v>
      </c>
      <c r="Q1686" t="inlineStr">
        <is>
          <t>701+</t>
        </is>
      </c>
      <c r="R1686" t="n">
        <v>8.1</v>
      </c>
      <c r="S1686" t="inlineStr">
        <is>
          <t>701+</t>
        </is>
      </c>
      <c r="T1686" t="n">
        <v>10</v>
      </c>
      <c r="U1686" t="inlineStr">
        <is>
          <t>801+</t>
        </is>
      </c>
      <c r="V1686" t="n">
        <v>6.2</v>
      </c>
      <c r="W1686" t="inlineStr">
        <is>
          <t>801+</t>
        </is>
      </c>
      <c r="X1686" t="n">
        <v>25.9</v>
      </c>
      <c r="Y1686" t="inlineStr">
        <is>
          <t>635</t>
        </is>
      </c>
      <c r="Z1686" t="n">
        <v>47.1</v>
      </c>
      <c r="AA1686" t="inlineStr">
        <is>
          <t>429</t>
        </is>
      </c>
      <c r="AB1686" t="n">
        <v>44.2</v>
      </c>
      <c r="AC1686" t="inlineStr">
        <is>
          <t>472</t>
        </is>
      </c>
      <c r="AD1686" t="n">
        <v>9.9</v>
      </c>
      <c r="AE1686" t="inlineStr">
        <is>
          <t>801+</t>
        </is>
      </c>
      <c r="AF1686" t="n">
        <v>5.7</v>
      </c>
      <c r="AG1686" t="inlineStr">
        <is>
          <t>801+</t>
        </is>
      </c>
      <c r="AH1686" t="n">
        <v>34.6</v>
      </c>
      <c r="AI1686" t="inlineStr">
        <is>
          <t>801+</t>
        </is>
      </c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</row>
    <row r="1687">
      <c r="A1687" t="inlineStr">
        <is>
          <t>University of Petroleum and Energy Studies (UPES)</t>
        </is>
      </c>
      <c r="B1687" t="inlineStr">
        <is>
          <t>India</t>
        </is>
      </c>
      <c r="C1687" t="inlineStr">
        <is>
          <t>IN</t>
        </is>
      </c>
      <c r="D1687" t="inlineStr">
        <is>
          <t>Asia</t>
        </is>
      </c>
      <c r="E1687" t="inlineStr">
        <is>
          <t>M</t>
        </is>
      </c>
      <c r="F1687" t="inlineStr">
        <is>
          <t>FO</t>
        </is>
      </c>
      <c r="G1687" t="inlineStr">
        <is>
          <t>VH</t>
        </is>
      </c>
      <c r="H1687" t="inlineStr"/>
      <c r="I1687" t="inlineStr">
        <is>
          <t>Private for Profit</t>
        </is>
      </c>
      <c r="J1687" t="inlineStr">
        <is>
          <t>901-950</t>
        </is>
      </c>
      <c r="K1687" t="inlineStr">
        <is>
          <t>801-850</t>
        </is>
      </c>
      <c r="L1687" t="inlineStr">
        <is>
          <t>901-950</t>
        </is>
      </c>
      <c r="M1687" t="inlineStr"/>
      <c r="N1687" t="inlineStr">
        <is>
          <t>-</t>
        </is>
      </c>
      <c r="O1687" t="inlineStr">
        <is>
          <t>-</t>
        </is>
      </c>
      <c r="P1687" t="n">
        <v>23.4</v>
      </c>
      <c r="Q1687" t="inlineStr">
        <is>
          <t>542</t>
        </is>
      </c>
      <c r="R1687" t="n">
        <v>7.7</v>
      </c>
      <c r="S1687" t="inlineStr">
        <is>
          <t>701+</t>
        </is>
      </c>
      <c r="T1687" t="n">
        <v>46.5</v>
      </c>
      <c r="U1687" t="inlineStr">
        <is>
          <t>423</t>
        </is>
      </c>
      <c r="V1687" t="n">
        <v>9.5</v>
      </c>
      <c r="W1687" t="inlineStr">
        <is>
          <t>801+</t>
        </is>
      </c>
      <c r="X1687" t="n">
        <v>23.7</v>
      </c>
      <c r="Y1687" t="inlineStr">
        <is>
          <t>666</t>
        </is>
      </c>
      <c r="Z1687" t="n">
        <v>1.4</v>
      </c>
      <c r="AA1687" t="inlineStr">
        <is>
          <t>801+</t>
        </is>
      </c>
      <c r="AB1687" t="n">
        <v>5.8</v>
      </c>
      <c r="AC1687" t="inlineStr">
        <is>
          <t>801+</t>
        </is>
      </c>
      <c r="AD1687" t="n">
        <v>66.5</v>
      </c>
      <c r="AE1687" t="inlineStr">
        <is>
          <t>597</t>
        </is>
      </c>
      <c r="AF1687" t="n">
        <v>1.7</v>
      </c>
      <c r="AG1687" t="inlineStr">
        <is>
          <t>801+</t>
        </is>
      </c>
      <c r="AH1687" t="n">
        <v>27.2</v>
      </c>
      <c r="AI1687" t="inlineStr">
        <is>
          <t>801+</t>
        </is>
      </c>
      <c r="AJ1687" t="inlineStr">
        <is>
          <t>18.2</t>
        </is>
      </c>
      <c r="AK1687" t="inlineStr">
        <is>
          <t>490</t>
        </is>
      </c>
      <c r="AL1687" t="inlineStr">
        <is>
          <t>3.7</t>
        </is>
      </c>
      <c r="AM1687" t="inlineStr">
        <is>
          <t>601+</t>
        </is>
      </c>
      <c r="AN1687" t="inlineStr">
        <is>
          <t>39.2</t>
        </is>
      </c>
      <c r="AO1687" t="inlineStr">
        <is>
          <t>406</t>
        </is>
      </c>
      <c r="AP1687" t="inlineStr">
        <is>
          <t>2.8</t>
        </is>
      </c>
      <c r="AQ1687" t="inlineStr">
        <is>
          <t>701+</t>
        </is>
      </c>
      <c r="AR1687" t="inlineStr">
        <is>
          <t>18.1</t>
        </is>
      </c>
      <c r="AS1687" t="inlineStr">
        <is>
          <t>613</t>
        </is>
      </c>
      <c r="AT1687" t="inlineStr">
        <is>
          <t>1.1</t>
        </is>
      </c>
      <c r="AU1687" t="inlineStr">
        <is>
          <t>701+</t>
        </is>
      </c>
      <c r="AV1687" t="inlineStr">
        <is>
          <t>1.5</t>
        </is>
      </c>
      <c r="AW1687" t="inlineStr">
        <is>
          <t>701+</t>
        </is>
      </c>
      <c r="AX1687" t="inlineStr">
        <is>
          <t>8.1</t>
        </is>
      </c>
      <c r="AY1687" t="inlineStr">
        <is>
          <t>701+</t>
        </is>
      </c>
      <c r="AZ1687" t="inlineStr"/>
      <c r="BA1687" t="inlineStr"/>
    </row>
    <row r="1688">
      <c r="A1688" t="inlineStr">
        <is>
          <t>University of Pisa</t>
        </is>
      </c>
      <c r="B1688" t="inlineStr">
        <is>
          <t>Italy</t>
        </is>
      </c>
      <c r="C1688" t="inlineStr">
        <is>
          <t>IT</t>
        </is>
      </c>
      <c r="D1688" t="inlineStr">
        <is>
          <t>Europe</t>
        </is>
      </c>
      <c r="E1688" t="inlineStr">
        <is>
          <t>L</t>
        </is>
      </c>
      <c r="F1688" t="inlineStr">
        <is>
          <t>FC</t>
        </is>
      </c>
      <c r="G1688" t="inlineStr">
        <is>
          <t>VH</t>
        </is>
      </c>
      <c r="H1688" t="inlineStr">
        <is>
          <t>5</t>
        </is>
      </c>
      <c r="I1688" t="inlineStr">
        <is>
          <t>Public</t>
        </is>
      </c>
      <c r="J1688" t="inlineStr">
        <is>
          <t>343</t>
        </is>
      </c>
      <c r="K1688" t="inlineStr">
        <is>
          <t>382</t>
        </is>
      </c>
      <c r="L1688">
        <f>349</f>
        <v/>
      </c>
      <c r="M1688" t="inlineStr">
        <is>
          <t>404</t>
        </is>
      </c>
      <c r="N1688" t="inlineStr">
        <is>
          <t>41.8</t>
        </is>
      </c>
      <c r="O1688" t="inlineStr">
        <is>
          <t>31.3</t>
        </is>
      </c>
      <c r="P1688" t="n">
        <v>51.6</v>
      </c>
      <c r="Q1688" t="inlineStr">
        <is>
          <t>216</t>
        </is>
      </c>
      <c r="R1688" t="n">
        <v>26.3</v>
      </c>
      <c r="S1688" t="inlineStr">
        <is>
          <t>517</t>
        </is>
      </c>
      <c r="T1688" t="n">
        <v>12.8</v>
      </c>
      <c r="U1688" t="inlineStr">
        <is>
          <t>801+</t>
        </is>
      </c>
      <c r="V1688" t="n">
        <v>59.6</v>
      </c>
      <c r="W1688" t="inlineStr">
        <is>
          <t>290</t>
        </is>
      </c>
      <c r="X1688" t="n">
        <v>5</v>
      </c>
      <c r="Y1688" t="inlineStr">
        <is>
          <t>801+</t>
        </is>
      </c>
      <c r="Z1688" t="n">
        <v>10.5</v>
      </c>
      <c r="AA1688" t="inlineStr">
        <is>
          <t>801+</t>
        </is>
      </c>
      <c r="AB1688" t="n">
        <v>16.3</v>
      </c>
      <c r="AC1688" t="inlineStr">
        <is>
          <t>801+</t>
        </is>
      </c>
      <c r="AD1688" t="n">
        <v>84.59999999999999</v>
      </c>
      <c r="AE1688" t="inlineStr">
        <is>
          <t>262</t>
        </is>
      </c>
      <c r="AF1688" t="n">
        <v>25.1</v>
      </c>
      <c r="AG1688" t="inlineStr">
        <is>
          <t>639</t>
        </is>
      </c>
      <c r="AH1688" t="n">
        <v>72.8</v>
      </c>
      <c r="AI1688" t="inlineStr">
        <is>
          <t>278</t>
        </is>
      </c>
      <c r="AJ1688" t="inlineStr">
        <is>
          <t>40.4</t>
        </is>
      </c>
      <c r="AK1688" t="inlineStr">
        <is>
          <t>211</t>
        </is>
      </c>
      <c r="AL1688" t="inlineStr">
        <is>
          <t>12.7</t>
        </is>
      </c>
      <c r="AM1688" t="inlineStr">
        <is>
          <t>601+</t>
        </is>
      </c>
      <c r="AN1688" t="inlineStr">
        <is>
          <t>7.5</t>
        </is>
      </c>
      <c r="AO1688" t="inlineStr">
        <is>
          <t>701+</t>
        </is>
      </c>
      <c r="AP1688" t="inlineStr">
        <is>
          <t>41.1</t>
        </is>
      </c>
      <c r="AQ1688" t="inlineStr">
        <is>
          <t>333</t>
        </is>
      </c>
      <c r="AR1688" t="inlineStr">
        <is>
          <t>5.9</t>
        </is>
      </c>
      <c r="AS1688" t="inlineStr">
        <is>
          <t>701+</t>
        </is>
      </c>
      <c r="AT1688" t="inlineStr">
        <is>
          <t>4.1</t>
        </is>
      </c>
      <c r="AU1688" t="inlineStr">
        <is>
          <t>701+</t>
        </is>
      </c>
      <c r="AV1688" t="inlineStr">
        <is>
          <t>67.6</t>
        </is>
      </c>
      <c r="AW1688" t="inlineStr">
        <is>
          <t>209</t>
        </is>
      </c>
      <c r="AX1688" t="inlineStr">
        <is>
          <t>13.4</t>
        </is>
      </c>
      <c r="AY1688" t="inlineStr">
        <is>
          <t>642</t>
        </is>
      </c>
      <c r="AZ1688" t="inlineStr">
        <is>
          <t>73.6</t>
        </is>
      </c>
      <c r="BA1688" t="inlineStr">
        <is>
          <t>182=</t>
        </is>
      </c>
    </row>
    <row r="1689">
      <c r="A1689" t="inlineStr">
        <is>
          <t>University of Pittsburgh</t>
        </is>
      </c>
      <c r="B1689" t="inlineStr">
        <is>
          <t>United States</t>
        </is>
      </c>
      <c r="C1689" t="inlineStr">
        <is>
          <t>US</t>
        </is>
      </c>
      <c r="D1689" t="inlineStr">
        <is>
          <t>Americas</t>
        </is>
      </c>
      <c r="E1689" t="inlineStr">
        <is>
          <t>L</t>
        </is>
      </c>
      <c r="F1689" t="inlineStr">
        <is>
          <t>FC</t>
        </is>
      </c>
      <c r="G1689" t="inlineStr">
        <is>
          <t>VH</t>
        </is>
      </c>
      <c r="H1689" t="inlineStr">
        <is>
          <t>5</t>
        </is>
      </c>
      <c r="I1689" t="inlineStr">
        <is>
          <t>Public</t>
        </is>
      </c>
      <c r="J1689" t="inlineStr">
        <is>
          <t>281</t>
        </is>
      </c>
      <c r="K1689" t="inlineStr">
        <is>
          <t>275</t>
        </is>
      </c>
      <c r="L1689">
        <f>222</f>
        <v/>
      </c>
      <c r="M1689" t="inlineStr">
        <is>
          <t>181=</t>
        </is>
      </c>
      <c r="N1689" t="inlineStr">
        <is>
          <t>47.3</t>
        </is>
      </c>
      <c r="O1689" t="inlineStr">
        <is>
          <t>42.5</t>
        </is>
      </c>
      <c r="P1689" t="n">
        <v>45.4</v>
      </c>
      <c r="Q1689" t="inlineStr">
        <is>
          <t>258</t>
        </is>
      </c>
      <c r="R1689" t="n">
        <v>26.4</v>
      </c>
      <c r="S1689" t="inlineStr">
        <is>
          <t>516</t>
        </is>
      </c>
      <c r="T1689" t="n">
        <v>98.09999999999999</v>
      </c>
      <c r="U1689" t="inlineStr">
        <is>
          <t>57</t>
        </is>
      </c>
      <c r="V1689" t="n">
        <v>41.7</v>
      </c>
      <c r="W1689" t="inlineStr">
        <is>
          <t>453</t>
        </is>
      </c>
      <c r="X1689" t="n">
        <v>9.9</v>
      </c>
      <c r="Y1689" t="inlineStr">
        <is>
          <t>801+</t>
        </is>
      </c>
      <c r="Z1689" t="n">
        <v>23</v>
      </c>
      <c r="AA1689" t="inlineStr">
        <is>
          <t>688</t>
        </is>
      </c>
      <c r="AB1689" t="n">
        <v>29.1</v>
      </c>
      <c r="AC1689" t="inlineStr">
        <is>
          <t>625</t>
        </is>
      </c>
      <c r="AD1689" t="n">
        <v>90.40000000000001</v>
      </c>
      <c r="AE1689" t="inlineStr">
        <is>
          <t>171</t>
        </is>
      </c>
      <c r="AF1689" t="n">
        <v>59.7</v>
      </c>
      <c r="AG1689" t="inlineStr">
        <is>
          <t>272</t>
        </is>
      </c>
      <c r="AH1689" t="n">
        <v>60.2</v>
      </c>
      <c r="AI1689" t="inlineStr">
        <is>
          <t>501</t>
        </is>
      </c>
      <c r="AJ1689" t="inlineStr">
        <is>
          <t>37.9</t>
        </is>
      </c>
      <c r="AK1689" t="inlineStr">
        <is>
          <t>228</t>
        </is>
      </c>
      <c r="AL1689" t="inlineStr">
        <is>
          <t>15.2</t>
        </is>
      </c>
      <c r="AM1689" t="inlineStr">
        <is>
          <t>541</t>
        </is>
      </c>
      <c r="AN1689" t="inlineStr">
        <is>
          <t>96.1</t>
        </is>
      </c>
      <c r="AO1689" t="inlineStr">
        <is>
          <t>56</t>
        </is>
      </c>
      <c r="AP1689" t="inlineStr">
        <is>
          <t>38.7</t>
        </is>
      </c>
      <c r="AQ1689" t="inlineStr">
        <is>
          <t>357</t>
        </is>
      </c>
      <c r="AR1689" t="inlineStr">
        <is>
          <t>7.0</t>
        </is>
      </c>
      <c r="AS1689" t="inlineStr">
        <is>
          <t>701+</t>
        </is>
      </c>
      <c r="AT1689" t="inlineStr">
        <is>
          <t>14.9</t>
        </is>
      </c>
      <c r="AU1689" t="inlineStr">
        <is>
          <t>621</t>
        </is>
      </c>
      <c r="AV1689" t="inlineStr">
        <is>
          <t>81.1</t>
        </is>
      </c>
      <c r="AW1689" t="inlineStr">
        <is>
          <t>140</t>
        </is>
      </c>
      <c r="AX1689" t="inlineStr">
        <is>
          <t>33.1</t>
        </is>
      </c>
      <c r="AY1689" t="inlineStr">
        <is>
          <t>232</t>
        </is>
      </c>
      <c r="AZ1689" t="inlineStr">
        <is>
          <t>90.5</t>
        </is>
      </c>
      <c r="BA1689" t="inlineStr">
        <is>
          <t>91</t>
        </is>
      </c>
    </row>
    <row r="1690">
      <c r="A1690" t="inlineStr">
        <is>
          <t>University of Plymouth</t>
        </is>
      </c>
      <c r="B1690" t="inlineStr">
        <is>
          <t>United Kingdom</t>
        </is>
      </c>
      <c r="C1690" t="inlineStr">
        <is>
          <t>UK</t>
        </is>
      </c>
      <c r="D1690" t="inlineStr">
        <is>
          <t>Europe</t>
        </is>
      </c>
      <c r="E1690" t="inlineStr">
        <is>
          <t>L</t>
        </is>
      </c>
      <c r="F1690" t="inlineStr">
        <is>
          <t>FC</t>
        </is>
      </c>
      <c r="G1690" t="inlineStr">
        <is>
          <t>HI</t>
        </is>
      </c>
      <c r="H1690" t="inlineStr">
        <is>
          <t>5</t>
        </is>
      </c>
      <c r="I1690" t="inlineStr">
        <is>
          <t>Public</t>
        </is>
      </c>
      <c r="J1690" t="inlineStr">
        <is>
          <t>613</t>
        </is>
      </c>
      <c r="K1690" t="inlineStr">
        <is>
          <t>661-670</t>
        </is>
      </c>
      <c r="L1690">
        <f>561</f>
        <v/>
      </c>
      <c r="M1690" t="inlineStr">
        <is>
          <t>651-700</t>
        </is>
      </c>
      <c r="N1690" t="inlineStr">
        <is>
          <t>27.8</t>
        </is>
      </c>
      <c r="O1690" t="inlineStr">
        <is>
          <t>21.0</t>
        </is>
      </c>
      <c r="P1690" t="n">
        <v>13.8</v>
      </c>
      <c r="Q1690" t="inlineStr">
        <is>
          <t>701+</t>
        </is>
      </c>
      <c r="R1690" t="n">
        <v>14.2</v>
      </c>
      <c r="S1690" t="inlineStr">
        <is>
          <t>701+</t>
        </is>
      </c>
      <c r="T1690" t="n">
        <v>15.4</v>
      </c>
      <c r="U1690" t="inlineStr">
        <is>
          <t>801+</t>
        </is>
      </c>
      <c r="V1690" t="n">
        <v>36.7</v>
      </c>
      <c r="W1690" t="inlineStr">
        <is>
          <t>508</t>
        </is>
      </c>
      <c r="X1690" t="n">
        <v>61.3</v>
      </c>
      <c r="Y1690" t="inlineStr">
        <is>
          <t>382=</t>
        </is>
      </c>
      <c r="Z1690" t="n">
        <v>61.4</v>
      </c>
      <c r="AA1690" t="inlineStr">
        <is>
          <t>332</t>
        </is>
      </c>
      <c r="AB1690" t="n">
        <v>65.09999999999999</v>
      </c>
      <c r="AC1690" t="inlineStr">
        <is>
          <t>303</t>
        </is>
      </c>
      <c r="AD1690" t="n">
        <v>82.09999999999999</v>
      </c>
      <c r="AE1690" t="inlineStr">
        <is>
          <t>311</t>
        </is>
      </c>
      <c r="AF1690" t="n">
        <v>13.8</v>
      </c>
      <c r="AG1690" t="inlineStr">
        <is>
          <t>801+</t>
        </is>
      </c>
      <c r="AH1690" t="n">
        <v>58.6</v>
      </c>
      <c r="AI1690" t="inlineStr">
        <is>
          <t>530=</t>
        </is>
      </c>
      <c r="AJ1690" t="inlineStr">
        <is>
          <t>9.0</t>
        </is>
      </c>
      <c r="AK1690" t="inlineStr">
        <is>
          <t>601+</t>
        </is>
      </c>
      <c r="AL1690" t="inlineStr">
        <is>
          <t>12.1</t>
        </is>
      </c>
      <c r="AM1690" t="inlineStr">
        <is>
          <t>601+</t>
        </is>
      </c>
      <c r="AN1690" t="inlineStr">
        <is>
          <t>12.2</t>
        </is>
      </c>
      <c r="AO1690" t="inlineStr">
        <is>
          <t>701+</t>
        </is>
      </c>
      <c r="AP1690" t="inlineStr">
        <is>
          <t>29.1</t>
        </is>
      </c>
      <c r="AQ1690" t="inlineStr">
        <is>
          <t>443</t>
        </is>
      </c>
      <c r="AR1690" t="inlineStr">
        <is>
          <t>51.3</t>
        </is>
      </c>
      <c r="AS1690" t="inlineStr">
        <is>
          <t>352</t>
        </is>
      </c>
      <c r="AT1690" t="inlineStr">
        <is>
          <t>38.9</t>
        </is>
      </c>
      <c r="AU1690" t="inlineStr">
        <is>
          <t>352</t>
        </is>
      </c>
      <c r="AV1690" t="inlineStr">
        <is>
          <t>45.4</t>
        </is>
      </c>
      <c r="AW1690" t="inlineStr">
        <is>
          <t>342</t>
        </is>
      </c>
      <c r="AX1690" t="inlineStr">
        <is>
          <t>11.2</t>
        </is>
      </c>
      <c r="AY1690" t="inlineStr">
        <is>
          <t>701+</t>
        </is>
      </c>
      <c r="AZ1690" t="inlineStr">
        <is>
          <t>45</t>
        </is>
      </c>
      <c r="BA1690" t="inlineStr">
        <is>
          <t>335</t>
        </is>
      </c>
    </row>
    <row r="1691">
      <c r="A1691" t="inlineStr">
        <is>
          <t>University of Porto</t>
        </is>
      </c>
      <c r="B1691" t="inlineStr">
        <is>
          <t>Portugal</t>
        </is>
      </c>
      <c r="C1691" t="inlineStr">
        <is>
          <t>PT</t>
        </is>
      </c>
      <c r="D1691" t="inlineStr">
        <is>
          <t>Europe</t>
        </is>
      </c>
      <c r="E1691" t="inlineStr">
        <is>
          <t>XL</t>
        </is>
      </c>
      <c r="F1691" t="inlineStr">
        <is>
          <t>FC</t>
        </is>
      </c>
      <c r="G1691" t="inlineStr">
        <is>
          <t>VH</t>
        </is>
      </c>
      <c r="H1691" t="inlineStr">
        <is>
          <t>5</t>
        </is>
      </c>
      <c r="I1691" t="inlineStr">
        <is>
          <t>Public</t>
        </is>
      </c>
      <c r="J1691" t="inlineStr">
        <is>
          <t>237</t>
        </is>
      </c>
      <c r="K1691" t="inlineStr">
        <is>
          <t>278</t>
        </is>
      </c>
      <c r="L1691" t="inlineStr">
        <is>
          <t>253</t>
        </is>
      </c>
      <c r="M1691" t="inlineStr">
        <is>
          <t>274</t>
        </is>
      </c>
      <c r="N1691" t="inlineStr">
        <is>
          <t>51.6</t>
        </is>
      </c>
      <c r="O1691" t="inlineStr">
        <is>
          <t>39.0</t>
        </is>
      </c>
      <c r="P1691" t="n">
        <v>52.5</v>
      </c>
      <c r="Q1691" t="inlineStr">
        <is>
          <t>212</t>
        </is>
      </c>
      <c r="R1691" t="n">
        <v>41.5</v>
      </c>
      <c r="S1691" t="inlineStr">
        <is>
          <t>328</t>
        </is>
      </c>
      <c r="T1691" t="n">
        <v>13.6</v>
      </c>
      <c r="U1691" t="inlineStr">
        <is>
          <t>801+</t>
        </is>
      </c>
      <c r="V1691" t="n">
        <v>73.59999999999999</v>
      </c>
      <c r="W1691" t="inlineStr">
        <is>
          <t>185</t>
        </is>
      </c>
      <c r="X1691" t="n">
        <v>9.199999999999999</v>
      </c>
      <c r="Y1691" t="inlineStr">
        <is>
          <t>801+</t>
        </is>
      </c>
      <c r="Z1691" t="n">
        <v>38.2</v>
      </c>
      <c r="AA1691" t="inlineStr">
        <is>
          <t>513</t>
        </is>
      </c>
      <c r="AB1691" t="n">
        <v>33.1</v>
      </c>
      <c r="AC1691" t="inlineStr">
        <is>
          <t>575</t>
        </is>
      </c>
      <c r="AD1691" t="n">
        <v>94.3</v>
      </c>
      <c r="AE1691" t="inlineStr">
        <is>
          <t>94</t>
        </is>
      </c>
      <c r="AF1691" t="n">
        <v>61.2</v>
      </c>
      <c r="AG1691" t="inlineStr">
        <is>
          <t>261</t>
        </is>
      </c>
      <c r="AH1691" t="n">
        <v>77.3</v>
      </c>
      <c r="AI1691" t="inlineStr">
        <is>
          <t>208=</t>
        </is>
      </c>
      <c r="AJ1691" t="inlineStr">
        <is>
          <t>39.8</t>
        </is>
      </c>
      <c r="AK1691" t="inlineStr">
        <is>
          <t>214</t>
        </is>
      </c>
      <c r="AL1691" t="inlineStr">
        <is>
          <t>22.9</t>
        </is>
      </c>
      <c r="AM1691" t="inlineStr">
        <is>
          <t>414</t>
        </is>
      </c>
      <c r="AN1691" t="inlineStr">
        <is>
          <t>11.1</t>
        </is>
      </c>
      <c r="AO1691" t="inlineStr">
        <is>
          <t>701+</t>
        </is>
      </c>
      <c r="AP1691" t="inlineStr">
        <is>
          <t>58.1</t>
        </is>
      </c>
      <c r="AQ1691" t="inlineStr">
        <is>
          <t>219</t>
        </is>
      </c>
      <c r="AR1691" t="inlineStr">
        <is>
          <t>7.3</t>
        </is>
      </c>
      <c r="AS1691" t="inlineStr">
        <is>
          <t>701+</t>
        </is>
      </c>
      <c r="AT1691" t="inlineStr">
        <is>
          <t>18.7</t>
        </is>
      </c>
      <c r="AU1691" t="inlineStr">
        <is>
          <t>564</t>
        </is>
      </c>
      <c r="AV1691" t="inlineStr">
        <is>
          <t>93.8</t>
        </is>
      </c>
      <c r="AW1691" t="inlineStr">
        <is>
          <t>60</t>
        </is>
      </c>
      <c r="AX1691" t="inlineStr">
        <is>
          <t>17.6</t>
        </is>
      </c>
      <c r="AY1691" t="inlineStr">
        <is>
          <t>473</t>
        </is>
      </c>
      <c r="AZ1691" t="inlineStr">
        <is>
          <t>77.3</t>
        </is>
      </c>
      <c r="BA1691" t="inlineStr">
        <is>
          <t>167=</t>
        </is>
      </c>
    </row>
    <row r="1692">
      <c r="A1692" t="inlineStr">
        <is>
          <t>University of Portsmouth</t>
        </is>
      </c>
      <c r="B1692" t="inlineStr">
        <is>
          <t>United Kingdom</t>
        </is>
      </c>
      <c r="C1692" t="inlineStr">
        <is>
          <t>UK</t>
        </is>
      </c>
      <c r="D1692" t="inlineStr">
        <is>
          <t>Europe</t>
        </is>
      </c>
      <c r="E1692" t="inlineStr">
        <is>
          <t>L</t>
        </is>
      </c>
      <c r="F1692" t="inlineStr">
        <is>
          <t>CO</t>
        </is>
      </c>
      <c r="G1692" t="inlineStr">
        <is>
          <t>VH</t>
        </is>
      </c>
      <c r="H1692" t="inlineStr">
        <is>
          <t>3</t>
        </is>
      </c>
      <c r="I1692" t="inlineStr">
        <is>
          <t>Public</t>
        </is>
      </c>
      <c r="J1692" t="inlineStr">
        <is>
          <t>635</t>
        </is>
      </c>
      <c r="K1692" t="inlineStr">
        <is>
          <t>631-640</t>
        </is>
      </c>
      <c r="L1692">
        <f>502</f>
        <v/>
      </c>
      <c r="M1692" t="inlineStr">
        <is>
          <t>701-750</t>
        </is>
      </c>
      <c r="N1692" t="inlineStr">
        <is>
          <t>27.2</t>
        </is>
      </c>
      <c r="O1692" t="inlineStr">
        <is>
          <t>23.1</t>
        </is>
      </c>
      <c r="P1692" t="n">
        <v>10.9</v>
      </c>
      <c r="Q1692" t="inlineStr">
        <is>
          <t>701+</t>
        </is>
      </c>
      <c r="R1692" t="n">
        <v>13.1</v>
      </c>
      <c r="S1692" t="inlineStr">
        <is>
          <t>701+</t>
        </is>
      </c>
      <c r="T1692" t="n">
        <v>12</v>
      </c>
      <c r="U1692" t="inlineStr">
        <is>
          <t>801+</t>
        </is>
      </c>
      <c r="V1692" t="n">
        <v>27.8</v>
      </c>
      <c r="W1692" t="inlineStr">
        <is>
          <t>607</t>
        </is>
      </c>
      <c r="X1692" t="n">
        <v>80.09999999999999</v>
      </c>
      <c r="Y1692" t="inlineStr">
        <is>
          <t>297</t>
        </is>
      </c>
      <c r="Z1692" t="n">
        <v>90.7</v>
      </c>
      <c r="AA1692" t="inlineStr">
        <is>
          <t>160</t>
        </is>
      </c>
      <c r="AB1692" t="n">
        <v>91.40000000000001</v>
      </c>
      <c r="AC1692" t="inlineStr">
        <is>
          <t>135</t>
        </is>
      </c>
      <c r="AD1692" t="n">
        <v>81.5</v>
      </c>
      <c r="AE1692" t="inlineStr">
        <is>
          <t>322</t>
        </is>
      </c>
      <c r="AF1692" t="n">
        <v>13.5</v>
      </c>
      <c r="AG1692" t="inlineStr">
        <is>
          <t>801+</t>
        </is>
      </c>
      <c r="AH1692" t="n">
        <v>62.6</v>
      </c>
      <c r="AI1692" t="inlineStr">
        <is>
          <t>448</t>
        </is>
      </c>
      <c r="AJ1692" t="inlineStr">
        <is>
          <t>8.4</t>
        </is>
      </c>
      <c r="AK1692" t="inlineStr">
        <is>
          <t>601+</t>
        </is>
      </c>
      <c r="AL1692" t="inlineStr">
        <is>
          <t>9.6</t>
        </is>
      </c>
      <c r="AM1692" t="inlineStr">
        <is>
          <t>601+</t>
        </is>
      </c>
      <c r="AN1692" t="inlineStr">
        <is>
          <t>8.7</t>
        </is>
      </c>
      <c r="AO1692" t="inlineStr">
        <is>
          <t>701+</t>
        </is>
      </c>
      <c r="AP1692" t="inlineStr">
        <is>
          <t>18.7</t>
        </is>
      </c>
      <c r="AQ1692" t="inlineStr">
        <is>
          <t>572</t>
        </is>
      </c>
      <c r="AR1692" t="inlineStr">
        <is>
          <t>75.1</t>
        </is>
      </c>
      <c r="AS1692" t="inlineStr">
        <is>
          <t>253</t>
        </is>
      </c>
      <c r="AT1692" t="inlineStr">
        <is>
          <t>87.3</t>
        </is>
      </c>
      <c r="AU1692" t="inlineStr">
        <is>
          <t>134</t>
        </is>
      </c>
      <c r="AV1692" t="inlineStr">
        <is>
          <t>44.8</t>
        </is>
      </c>
      <c r="AW1692" t="inlineStr">
        <is>
          <t>348</t>
        </is>
      </c>
      <c r="AX1692" t="inlineStr">
        <is>
          <t>12.6</t>
        </is>
      </c>
      <c r="AY1692" t="inlineStr">
        <is>
          <t>690</t>
        </is>
      </c>
      <c r="AZ1692" t="inlineStr">
        <is>
          <t>73.1</t>
        </is>
      </c>
      <c r="BA1692" t="inlineStr">
        <is>
          <t>187=</t>
        </is>
      </c>
    </row>
    <row r="1693">
      <c r="A1693" t="inlineStr">
        <is>
          <t>University of Pretoria</t>
        </is>
      </c>
      <c r="B1693" t="inlineStr">
        <is>
          <t>South Africa</t>
        </is>
      </c>
      <c r="C1693" t="inlineStr">
        <is>
          <t>ZA</t>
        </is>
      </c>
      <c r="D1693" t="inlineStr">
        <is>
          <t>Africa</t>
        </is>
      </c>
      <c r="E1693" t="inlineStr">
        <is>
          <t>XL</t>
        </is>
      </c>
      <c r="F1693" t="inlineStr">
        <is>
          <t>FC</t>
        </is>
      </c>
      <c r="G1693" t="inlineStr">
        <is>
          <t>VH</t>
        </is>
      </c>
      <c r="H1693" t="inlineStr">
        <is>
          <t>5</t>
        </is>
      </c>
      <c r="I1693" t="inlineStr">
        <is>
          <t>Public</t>
        </is>
      </c>
      <c r="J1693" t="inlineStr">
        <is>
          <t>362</t>
        </is>
      </c>
      <c r="K1693" t="inlineStr">
        <is>
          <t>354</t>
        </is>
      </c>
      <c r="L1693">
        <f>323</f>
        <v/>
      </c>
      <c r="M1693" t="inlineStr">
        <is>
          <t>591-600</t>
        </is>
      </c>
      <c r="N1693" t="inlineStr">
        <is>
          <t>40.9</t>
        </is>
      </c>
      <c r="O1693" t="inlineStr">
        <is>
          <t>32.8</t>
        </is>
      </c>
      <c r="P1693" t="n">
        <v>32.3</v>
      </c>
      <c r="Q1693" t="inlineStr">
        <is>
          <t>381</t>
        </is>
      </c>
      <c r="R1693" t="n">
        <v>55.1</v>
      </c>
      <c r="S1693" t="inlineStr">
        <is>
          <t>221</t>
        </is>
      </c>
      <c r="T1693" t="n">
        <v>6.2</v>
      </c>
      <c r="U1693" t="inlineStr">
        <is>
          <t>801+</t>
        </is>
      </c>
      <c r="V1693" t="n">
        <v>31.2</v>
      </c>
      <c r="W1693" t="inlineStr">
        <is>
          <t>574</t>
        </is>
      </c>
      <c r="X1693" t="n">
        <v>57.2</v>
      </c>
      <c r="Y1693" t="inlineStr">
        <is>
          <t>404</t>
        </is>
      </c>
      <c r="Z1693" t="n">
        <v>17.4</v>
      </c>
      <c r="AA1693" t="inlineStr">
        <is>
          <t>776</t>
        </is>
      </c>
      <c r="AB1693" t="n">
        <v>23.5</v>
      </c>
      <c r="AC1693" t="inlineStr">
        <is>
          <t>713</t>
        </is>
      </c>
      <c r="AD1693" t="n">
        <v>97.59999999999999</v>
      </c>
      <c r="AE1693" t="inlineStr">
        <is>
          <t>26</t>
        </is>
      </c>
      <c r="AF1693" t="n">
        <v>84.8</v>
      </c>
      <c r="AG1693" t="inlineStr">
        <is>
          <t>138</t>
        </is>
      </c>
      <c r="AH1693" t="n">
        <v>80.09999999999999</v>
      </c>
      <c r="AI1693" t="inlineStr">
        <is>
          <t>168</t>
        </is>
      </c>
      <c r="AJ1693" t="inlineStr">
        <is>
          <t>23.6</t>
        </is>
      </c>
      <c r="AK1693" t="inlineStr">
        <is>
          <t>365</t>
        </is>
      </c>
      <c r="AL1693" t="inlineStr">
        <is>
          <t>52.3</t>
        </is>
      </c>
      <c r="AM1693" t="inlineStr">
        <is>
          <t>155</t>
        </is>
      </c>
      <c r="AN1693" t="inlineStr">
        <is>
          <t>3.5</t>
        </is>
      </c>
      <c r="AO1693" t="inlineStr">
        <is>
          <t>701+</t>
        </is>
      </c>
      <c r="AP1693" t="inlineStr">
        <is>
          <t>20.7</t>
        </is>
      </c>
      <c r="AQ1693" t="inlineStr">
        <is>
          <t>550</t>
        </is>
      </c>
      <c r="AR1693" t="inlineStr">
        <is>
          <t>25.0</t>
        </is>
      </c>
      <c r="AS1693" t="inlineStr">
        <is>
          <t>535</t>
        </is>
      </c>
      <c r="AT1693" t="inlineStr">
        <is>
          <t>6.4</t>
        </is>
      </c>
      <c r="AU1693" t="inlineStr">
        <is>
          <t>701+</t>
        </is>
      </c>
      <c r="AV1693" t="inlineStr">
        <is>
          <t>97.6</t>
        </is>
      </c>
      <c r="AW1693" t="inlineStr">
        <is>
          <t>26</t>
        </is>
      </c>
      <c r="AX1693" t="inlineStr">
        <is>
          <t>58.4</t>
        </is>
      </c>
      <c r="AY1693" t="inlineStr">
        <is>
          <t>104</t>
        </is>
      </c>
      <c r="AZ1693" t="inlineStr">
        <is>
          <t>78.4</t>
        </is>
      </c>
      <c r="BA1693" t="inlineStr">
        <is>
          <t>158=</t>
        </is>
      </c>
    </row>
    <row r="1694">
      <c r="A1694" t="inlineStr">
        <is>
          <t>University of Primorska</t>
        </is>
      </c>
      <c r="B1694" t="inlineStr">
        <is>
          <t>Slovenia</t>
        </is>
      </c>
      <c r="C1694" t="inlineStr">
        <is>
          <t>SI</t>
        </is>
      </c>
      <c r="D1694" t="inlineStr">
        <is>
          <t>Europe</t>
        </is>
      </c>
      <c r="E1694" t="inlineStr">
        <is>
          <t>M</t>
        </is>
      </c>
      <c r="F1694" t="inlineStr">
        <is>
          <t>CO</t>
        </is>
      </c>
      <c r="G1694" t="inlineStr">
        <is>
          <t>HI</t>
        </is>
      </c>
      <c r="H1694" t="inlineStr">
        <is>
          <t>3</t>
        </is>
      </c>
      <c r="I1694" t="inlineStr">
        <is>
          <t>Public</t>
        </is>
      </c>
      <c r="J1694" t="inlineStr">
        <is>
          <t>1201-1400</t>
        </is>
      </c>
      <c r="K1694" t="inlineStr">
        <is>
          <t>1201-1400</t>
        </is>
      </c>
      <c r="L1694" t="inlineStr">
        <is>
          <t>1001-1200</t>
        </is>
      </c>
      <c r="M1694" t="inlineStr">
        <is>
          <t>1001-1200</t>
        </is>
      </c>
      <c r="N1694" t="inlineStr">
        <is>
          <t>-</t>
        </is>
      </c>
      <c r="O1694" t="inlineStr">
        <is>
          <t>-</t>
        </is>
      </c>
      <c r="P1694" t="n">
        <v>3.6</v>
      </c>
      <c r="Q1694" t="inlineStr">
        <is>
          <t>701+</t>
        </is>
      </c>
      <c r="R1694" t="n">
        <v>5.7</v>
      </c>
      <c r="S1694" t="inlineStr">
        <is>
          <t>701+</t>
        </is>
      </c>
      <c r="T1694" t="n">
        <v>12.3</v>
      </c>
      <c r="U1694" t="inlineStr">
        <is>
          <t>801+</t>
        </is>
      </c>
      <c r="V1694" t="n">
        <v>8.300000000000001</v>
      </c>
      <c r="W1694" t="inlineStr">
        <is>
          <t>801+</t>
        </is>
      </c>
      <c r="X1694" t="n">
        <v>31.6</v>
      </c>
      <c r="Y1694" t="inlineStr">
        <is>
          <t>567</t>
        </is>
      </c>
      <c r="Z1694" t="n">
        <v>38.9</v>
      </c>
      <c r="AA1694" t="inlineStr">
        <is>
          <t>506</t>
        </is>
      </c>
      <c r="AB1694" t="n">
        <v>37.4</v>
      </c>
      <c r="AC1694" t="inlineStr">
        <is>
          <t>523</t>
        </is>
      </c>
      <c r="AD1694" t="n">
        <v>45.4</v>
      </c>
      <c r="AE1694" t="inlineStr">
        <is>
          <t>801+</t>
        </is>
      </c>
      <c r="AF1694" t="n">
        <v>13.2</v>
      </c>
      <c r="AG1694" t="inlineStr">
        <is>
          <t>801+</t>
        </is>
      </c>
      <c r="AH1694" t="n">
        <v>21.8</v>
      </c>
      <c r="AI1694" t="inlineStr">
        <is>
          <t>801+</t>
        </is>
      </c>
      <c r="AJ1694" t="inlineStr">
        <is>
          <t>3.1</t>
        </is>
      </c>
      <c r="AK1694" t="inlineStr">
        <is>
          <t>601+</t>
        </is>
      </c>
      <c r="AL1694" t="inlineStr">
        <is>
          <t>2.3</t>
        </is>
      </c>
      <c r="AM1694" t="inlineStr">
        <is>
          <t>601+</t>
        </is>
      </c>
      <c r="AN1694" t="inlineStr">
        <is>
          <t>9.4</t>
        </is>
      </c>
      <c r="AO1694" t="inlineStr">
        <is>
          <t>701+</t>
        </is>
      </c>
      <c r="AP1694" t="inlineStr">
        <is>
          <t>5.1</t>
        </is>
      </c>
      <c r="AQ1694" t="inlineStr">
        <is>
          <t>701+</t>
        </is>
      </c>
      <c r="AR1694" t="inlineStr">
        <is>
          <t>26.3</t>
        </is>
      </c>
      <c r="AS1694" t="inlineStr">
        <is>
          <t>520</t>
        </is>
      </c>
      <c r="AT1694" t="inlineStr">
        <is>
          <t>28.6</t>
        </is>
      </c>
      <c r="AU1694" t="inlineStr">
        <is>
          <t>435</t>
        </is>
      </c>
      <c r="AV1694" t="inlineStr">
        <is>
          <t>5.7</t>
        </is>
      </c>
      <c r="AW1694" t="inlineStr">
        <is>
          <t>701+</t>
        </is>
      </c>
      <c r="AX1694" t="inlineStr">
        <is>
          <t>67.8</t>
        </is>
      </c>
      <c r="AY1694" t="inlineStr">
        <is>
          <t>80</t>
        </is>
      </c>
      <c r="AZ1694" t="inlineStr">
        <is>
          <t>1.4</t>
        </is>
      </c>
      <c r="BA1694" t="inlineStr">
        <is>
          <t>701+</t>
        </is>
      </c>
    </row>
    <row r="1695">
      <c r="A1695" t="inlineStr">
        <is>
          <t>University of Rajshahi</t>
        </is>
      </c>
      <c r="B1695" t="inlineStr">
        <is>
          <t>Bangladesh</t>
        </is>
      </c>
      <c r="C1695" t="inlineStr"/>
      <c r="D1695" t="inlineStr">
        <is>
          <t>Asia</t>
        </is>
      </c>
      <c r="E1695" t="inlineStr">
        <is>
          <t>L</t>
        </is>
      </c>
      <c r="F1695" t="inlineStr">
        <is>
          <t>CO</t>
        </is>
      </c>
      <c r="G1695" t="inlineStr">
        <is>
          <t>HI</t>
        </is>
      </c>
      <c r="H1695" t="inlineStr"/>
      <c r="I1695" t="inlineStr"/>
      <c r="J1695" t="inlineStr">
        <is>
          <t>1201-1400</t>
        </is>
      </c>
      <c r="K1695" t="inlineStr">
        <is>
          <t>1201-1400</t>
        </is>
      </c>
      <c r="L1695" t="inlineStr"/>
      <c r="M1695" t="inlineStr"/>
      <c r="N1695" t="inlineStr">
        <is>
          <t>-</t>
        </is>
      </c>
      <c r="O1695" t="inlineStr"/>
      <c r="P1695" t="n">
        <v>13.2</v>
      </c>
      <c r="Q1695" t="inlineStr">
        <is>
          <t>701+</t>
        </is>
      </c>
      <c r="R1695" t="n">
        <v>13.1</v>
      </c>
      <c r="S1695" t="inlineStr">
        <is>
          <t>701+</t>
        </is>
      </c>
      <c r="T1695" t="n">
        <v>6.2</v>
      </c>
      <c r="U1695" t="inlineStr">
        <is>
          <t>801+</t>
        </is>
      </c>
      <c r="V1695" t="n">
        <v>6.4</v>
      </c>
      <c r="W1695" t="inlineStr">
        <is>
          <t>801+</t>
        </is>
      </c>
      <c r="X1695" t="n">
        <v>1.3</v>
      </c>
      <c r="Y1695" t="inlineStr">
        <is>
          <t>801+</t>
        </is>
      </c>
      <c r="Z1695" t="n">
        <v>1.2</v>
      </c>
      <c r="AA1695" t="inlineStr">
        <is>
          <t>801+</t>
        </is>
      </c>
      <c r="AB1695" t="n">
        <v>5.6</v>
      </c>
      <c r="AC1695" t="inlineStr">
        <is>
          <t>801+</t>
        </is>
      </c>
      <c r="AD1695" t="n">
        <v>23.5</v>
      </c>
      <c r="AE1695" t="inlineStr">
        <is>
          <t>801+</t>
        </is>
      </c>
      <c r="AF1695" t="n">
        <v>4.4</v>
      </c>
      <c r="AG1695" t="inlineStr">
        <is>
          <t>801+</t>
        </is>
      </c>
      <c r="AH1695" t="n">
        <v>39.3</v>
      </c>
      <c r="AI1695" t="inlineStr">
        <is>
          <t>801+</t>
        </is>
      </c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</row>
    <row r="1696">
      <c r="A1696" t="inlineStr">
        <is>
          <t>University of Reading</t>
        </is>
      </c>
      <c r="B1696" t="inlineStr">
        <is>
          <t>United Kingdom</t>
        </is>
      </c>
      <c r="C1696" t="inlineStr">
        <is>
          <t>UK</t>
        </is>
      </c>
      <c r="D1696" t="inlineStr">
        <is>
          <t>Europe</t>
        </is>
      </c>
      <c r="E1696" t="inlineStr">
        <is>
          <t>L</t>
        </is>
      </c>
      <c r="F1696" t="inlineStr">
        <is>
          <t>CO</t>
        </is>
      </c>
      <c r="G1696" t="inlineStr">
        <is>
          <t>VH</t>
        </is>
      </c>
      <c r="H1696" t="inlineStr">
        <is>
          <t>5</t>
        </is>
      </c>
      <c r="I1696" t="inlineStr">
        <is>
          <t>Public</t>
        </is>
      </c>
      <c r="J1696" t="inlineStr">
        <is>
          <t>194</t>
        </is>
      </c>
      <c r="K1696" t="inlineStr">
        <is>
          <t>172</t>
        </is>
      </c>
      <c r="L1696">
        <f>169</f>
        <v/>
      </c>
      <c r="M1696" t="inlineStr">
        <is>
          <t>229</t>
        </is>
      </c>
      <c r="N1696" t="inlineStr">
        <is>
          <t>56.2</t>
        </is>
      </c>
      <c r="O1696" t="inlineStr">
        <is>
          <t>48.9</t>
        </is>
      </c>
      <c r="P1696" t="n">
        <v>45.7</v>
      </c>
      <c r="Q1696" t="inlineStr">
        <is>
          <t>256</t>
        </is>
      </c>
      <c r="R1696" t="n">
        <v>46.8</v>
      </c>
      <c r="S1696" t="inlineStr">
        <is>
          <t>280</t>
        </is>
      </c>
      <c r="T1696" t="n">
        <v>20.2</v>
      </c>
      <c r="U1696" t="inlineStr">
        <is>
          <t>801+</t>
        </is>
      </c>
      <c r="V1696" t="n">
        <v>63</v>
      </c>
      <c r="W1696" t="inlineStr">
        <is>
          <t>260</t>
        </is>
      </c>
      <c r="X1696" t="n">
        <v>95</v>
      </c>
      <c r="Y1696" t="inlineStr">
        <is>
          <t>178</t>
        </is>
      </c>
      <c r="Z1696" t="n">
        <v>85.8</v>
      </c>
      <c r="AA1696" t="inlineStr">
        <is>
          <t>192</t>
        </is>
      </c>
      <c r="AB1696" t="n">
        <v>87</v>
      </c>
      <c r="AC1696" t="inlineStr">
        <is>
          <t>162</t>
        </is>
      </c>
      <c r="AD1696" t="n">
        <v>93.3</v>
      </c>
      <c r="AE1696" t="inlineStr">
        <is>
          <t>121</t>
        </is>
      </c>
      <c r="AF1696" t="n">
        <v>57.6</v>
      </c>
      <c r="AG1696" t="inlineStr">
        <is>
          <t>287</t>
        </is>
      </c>
      <c r="AH1696" t="n">
        <v>92.40000000000001</v>
      </c>
      <c r="AI1696" t="inlineStr">
        <is>
          <t>42=</t>
        </is>
      </c>
      <c r="AJ1696" t="inlineStr">
        <is>
          <t>33.2</t>
        </is>
      </c>
      <c r="AK1696" t="inlineStr">
        <is>
          <t>263</t>
        </is>
      </c>
      <c r="AL1696" t="inlineStr">
        <is>
          <t>39.3</t>
        </is>
      </c>
      <c r="AM1696" t="inlineStr">
        <is>
          <t>241</t>
        </is>
      </c>
      <c r="AN1696" t="inlineStr">
        <is>
          <t>16.1</t>
        </is>
      </c>
      <c r="AO1696" t="inlineStr">
        <is>
          <t>701+</t>
        </is>
      </c>
      <c r="AP1696" t="inlineStr">
        <is>
          <t>67.4</t>
        </is>
      </c>
      <c r="AQ1696" t="inlineStr">
        <is>
          <t>161</t>
        </is>
      </c>
      <c r="AR1696" t="inlineStr">
        <is>
          <t>88.4</t>
        </is>
      </c>
      <c r="AS1696" t="inlineStr">
        <is>
          <t>189</t>
        </is>
      </c>
      <c r="AT1696" t="inlineStr">
        <is>
          <t>81.0</t>
        </is>
      </c>
      <c r="AU1696" t="inlineStr">
        <is>
          <t>158</t>
        </is>
      </c>
      <c r="AV1696" t="inlineStr">
        <is>
          <t>77.8</t>
        </is>
      </c>
      <c r="AW1696" t="inlineStr">
        <is>
          <t>158</t>
        </is>
      </c>
      <c r="AX1696" t="inlineStr">
        <is>
          <t>32.3</t>
        </is>
      </c>
      <c r="AY1696" t="inlineStr">
        <is>
          <t>237</t>
        </is>
      </c>
      <c r="AZ1696" t="inlineStr">
        <is>
          <t>72.5</t>
        </is>
      </c>
      <c r="BA1696" t="inlineStr">
        <is>
          <t>189=</t>
        </is>
      </c>
    </row>
    <row r="1697">
      <c r="A1697" t="inlineStr">
        <is>
          <t>University of Regina</t>
        </is>
      </c>
      <c r="B1697" t="inlineStr">
        <is>
          <t>Canada</t>
        </is>
      </c>
      <c r="C1697" t="inlineStr">
        <is>
          <t>CA</t>
        </is>
      </c>
      <c r="D1697" t="inlineStr">
        <is>
          <t>Americas</t>
        </is>
      </c>
      <c r="E1697" t="inlineStr">
        <is>
          <t>L</t>
        </is>
      </c>
      <c r="F1697" t="inlineStr">
        <is>
          <t>CO</t>
        </is>
      </c>
      <c r="G1697" t="inlineStr">
        <is>
          <t>HI</t>
        </is>
      </c>
      <c r="H1697" t="inlineStr">
        <is>
          <t>3</t>
        </is>
      </c>
      <c r="I1697" t="inlineStr">
        <is>
          <t>Public</t>
        </is>
      </c>
      <c r="J1697" t="inlineStr">
        <is>
          <t>1001-1200</t>
        </is>
      </c>
      <c r="K1697" t="inlineStr">
        <is>
          <t>951-1000</t>
        </is>
      </c>
      <c r="L1697" t="inlineStr">
        <is>
          <t>1001-1200</t>
        </is>
      </c>
      <c r="M1697" t="inlineStr">
        <is>
          <t>1001-1200</t>
        </is>
      </c>
      <c r="N1697" t="inlineStr">
        <is>
          <t>-</t>
        </is>
      </c>
      <c r="O1697" t="inlineStr">
        <is>
          <t>-</t>
        </is>
      </c>
      <c r="P1697" t="n">
        <v>4.7</v>
      </c>
      <c r="Q1697" t="inlineStr">
        <is>
          <t>701+</t>
        </is>
      </c>
      <c r="R1697" t="n">
        <v>2.9</v>
      </c>
      <c r="S1697" t="inlineStr">
        <is>
          <t>701+</t>
        </is>
      </c>
      <c r="T1697" t="n">
        <v>5.7</v>
      </c>
      <c r="U1697" t="inlineStr">
        <is>
          <t>801+</t>
        </is>
      </c>
      <c r="V1697" t="n">
        <v>34.3</v>
      </c>
      <c r="W1697" t="inlineStr">
        <is>
          <t>532</t>
        </is>
      </c>
      <c r="X1697" t="n">
        <v>4</v>
      </c>
      <c r="Y1697" t="inlineStr">
        <is>
          <t>801+</t>
        </is>
      </c>
      <c r="Z1697" t="n">
        <v>51.2</v>
      </c>
      <c r="AA1697" t="inlineStr">
        <is>
          <t>400</t>
        </is>
      </c>
      <c r="AB1697" t="n">
        <v>54.5</v>
      </c>
      <c r="AC1697" t="inlineStr">
        <is>
          <t>376</t>
        </is>
      </c>
      <c r="AD1697" t="n">
        <v>48.5</v>
      </c>
      <c r="AE1697" t="inlineStr">
        <is>
          <t>801+</t>
        </is>
      </c>
      <c r="AF1697" t="n">
        <v>6.4</v>
      </c>
      <c r="AG1697" t="inlineStr">
        <is>
          <t>801+</t>
        </is>
      </c>
      <c r="AH1697" t="n">
        <v>64.2</v>
      </c>
      <c r="AI1697" t="inlineStr">
        <is>
          <t>417=</t>
        </is>
      </c>
      <c r="AJ1697" t="inlineStr">
        <is>
          <t>3.5</t>
        </is>
      </c>
      <c r="AK1697" t="inlineStr">
        <is>
          <t>601+</t>
        </is>
      </c>
      <c r="AL1697" t="inlineStr">
        <is>
          <t>2.9</t>
        </is>
      </c>
      <c r="AM1697" t="inlineStr">
        <is>
          <t>601+</t>
        </is>
      </c>
      <c r="AN1697" t="inlineStr">
        <is>
          <t>4.0</t>
        </is>
      </c>
      <c r="AO1697" t="inlineStr">
        <is>
          <t>701+</t>
        </is>
      </c>
      <c r="AP1697" t="inlineStr">
        <is>
          <t>21.2</t>
        </is>
      </c>
      <c r="AQ1697" t="inlineStr">
        <is>
          <t>542</t>
        </is>
      </c>
      <c r="AR1697" t="inlineStr">
        <is>
          <t>8.8</t>
        </is>
      </c>
      <c r="AS1697" t="inlineStr">
        <is>
          <t>701+</t>
        </is>
      </c>
      <c r="AT1697" t="inlineStr">
        <is>
          <t>41.1</t>
        </is>
      </c>
      <c r="AU1697" t="inlineStr">
        <is>
          <t>338</t>
        </is>
      </c>
      <c r="AV1697" t="inlineStr">
        <is>
          <t>5.7</t>
        </is>
      </c>
      <c r="AW1697" t="inlineStr">
        <is>
          <t>701+</t>
        </is>
      </c>
      <c r="AX1697" t="inlineStr">
        <is>
          <t>8.3</t>
        </is>
      </c>
      <c r="AY1697" t="inlineStr">
        <is>
          <t>701+</t>
        </is>
      </c>
      <c r="AZ1697" t="inlineStr"/>
      <c r="BA1697" t="inlineStr"/>
    </row>
    <row r="1698">
      <c r="A1698" t="inlineStr">
        <is>
          <t>University of Rhode Island</t>
        </is>
      </c>
      <c r="B1698" t="inlineStr">
        <is>
          <t>United States</t>
        </is>
      </c>
      <c r="C1698" t="inlineStr">
        <is>
          <t>US</t>
        </is>
      </c>
      <c r="D1698" t="inlineStr">
        <is>
          <t>Americas</t>
        </is>
      </c>
      <c r="E1698" t="inlineStr">
        <is>
          <t>L</t>
        </is>
      </c>
      <c r="F1698" t="inlineStr">
        <is>
          <t>CO</t>
        </is>
      </c>
      <c r="G1698" t="inlineStr">
        <is>
          <t>VH</t>
        </is>
      </c>
      <c r="H1698" t="inlineStr">
        <is>
          <t>5</t>
        </is>
      </c>
      <c r="I1698" t="inlineStr">
        <is>
          <t>Public</t>
        </is>
      </c>
      <c r="J1698" t="inlineStr">
        <is>
          <t>1001-1200</t>
        </is>
      </c>
      <c r="K1698" t="inlineStr">
        <is>
          <t>1001-1200</t>
        </is>
      </c>
      <c r="L1698" t="inlineStr">
        <is>
          <t>1001-1200</t>
        </is>
      </c>
      <c r="M1698" t="inlineStr">
        <is>
          <t>1001-1200</t>
        </is>
      </c>
      <c r="N1698" t="inlineStr">
        <is>
          <t>-</t>
        </is>
      </c>
      <c r="O1698" t="inlineStr">
        <is>
          <t>-</t>
        </is>
      </c>
      <c r="P1698" t="n">
        <v>7.2</v>
      </c>
      <c r="Q1698" t="inlineStr">
        <is>
          <t>701+</t>
        </is>
      </c>
      <c r="R1698" t="n">
        <v>5.7</v>
      </c>
      <c r="S1698" t="inlineStr">
        <is>
          <t>701+</t>
        </is>
      </c>
      <c r="T1698" t="n">
        <v>8.699999999999999</v>
      </c>
      <c r="U1698" t="inlineStr">
        <is>
          <t>801+</t>
        </is>
      </c>
      <c r="V1698" t="n">
        <v>26.5</v>
      </c>
      <c r="W1698" t="inlineStr">
        <is>
          <t>619</t>
        </is>
      </c>
      <c r="X1698" t="n">
        <v>7.8</v>
      </c>
      <c r="Y1698" t="inlineStr">
        <is>
          <t>801+</t>
        </is>
      </c>
      <c r="Z1698" t="n">
        <v>4.3</v>
      </c>
      <c r="AA1698" t="inlineStr">
        <is>
          <t>801+</t>
        </is>
      </c>
      <c r="AB1698" t="n">
        <v>9.199999999999999</v>
      </c>
      <c r="AC1698" t="inlineStr">
        <is>
          <t>801+</t>
        </is>
      </c>
      <c r="AD1698" t="n">
        <v>53.2</v>
      </c>
      <c r="AE1698" t="inlineStr">
        <is>
          <t>793</t>
        </is>
      </c>
      <c r="AF1698" t="n">
        <v>15.8</v>
      </c>
      <c r="AG1698" t="inlineStr">
        <is>
          <t>801+</t>
        </is>
      </c>
      <c r="AH1698" t="n">
        <v>68</v>
      </c>
      <c r="AI1698" t="inlineStr">
        <is>
          <t>351=</t>
        </is>
      </c>
      <c r="AJ1698" t="inlineStr">
        <is>
          <t>5.6</t>
        </is>
      </c>
      <c r="AK1698" t="inlineStr">
        <is>
          <t>601+</t>
        </is>
      </c>
      <c r="AL1698" t="inlineStr">
        <is>
          <t>2.8</t>
        </is>
      </c>
      <c r="AM1698" t="inlineStr">
        <is>
          <t>601+</t>
        </is>
      </c>
      <c r="AN1698" t="inlineStr">
        <is>
          <t>6.9</t>
        </is>
      </c>
      <c r="AO1698" t="inlineStr">
        <is>
          <t>701+</t>
        </is>
      </c>
      <c r="AP1698" t="inlineStr">
        <is>
          <t>16.7</t>
        </is>
      </c>
      <c r="AQ1698" t="inlineStr">
        <is>
          <t>605</t>
        </is>
      </c>
      <c r="AR1698" t="inlineStr">
        <is>
          <t>5.1</t>
        </is>
      </c>
      <c r="AS1698" t="inlineStr">
        <is>
          <t>701+</t>
        </is>
      </c>
      <c r="AT1698" t="inlineStr">
        <is>
          <t>2.7</t>
        </is>
      </c>
      <c r="AU1698" t="inlineStr">
        <is>
          <t>701+</t>
        </is>
      </c>
      <c r="AV1698" t="inlineStr">
        <is>
          <t>3.3</t>
        </is>
      </c>
      <c r="AW1698" t="inlineStr">
        <is>
          <t>701+</t>
        </is>
      </c>
      <c r="AX1698" t="inlineStr">
        <is>
          <t>12.7</t>
        </is>
      </c>
      <c r="AY1698" t="inlineStr">
        <is>
          <t>684</t>
        </is>
      </c>
      <c r="AZ1698" t="inlineStr">
        <is>
          <t>58.6</t>
        </is>
      </c>
      <c r="BA1698" t="inlineStr">
        <is>
          <t>255=</t>
        </is>
      </c>
    </row>
    <row r="1699">
      <c r="A1699" t="inlineStr">
        <is>
          <t>University of Rijeka</t>
        </is>
      </c>
      <c r="B1699" t="inlineStr">
        <is>
          <t>Croatia</t>
        </is>
      </c>
      <c r="C1699" t="inlineStr">
        <is>
          <t>HR</t>
        </is>
      </c>
      <c r="D1699" t="inlineStr">
        <is>
          <t>Europe</t>
        </is>
      </c>
      <c r="E1699" t="inlineStr">
        <is>
          <t>L</t>
        </is>
      </c>
      <c r="F1699" t="inlineStr">
        <is>
          <t>CO</t>
        </is>
      </c>
      <c r="G1699" t="inlineStr">
        <is>
          <t>VH</t>
        </is>
      </c>
      <c r="H1699" t="inlineStr">
        <is>
          <t>4</t>
        </is>
      </c>
      <c r="I1699" t="inlineStr">
        <is>
          <t>Public</t>
        </is>
      </c>
      <c r="J1699" t="inlineStr">
        <is>
          <t>1201-1400</t>
        </is>
      </c>
      <c r="K1699" t="inlineStr">
        <is>
          <t>1201-1400</t>
        </is>
      </c>
      <c r="L1699" t="inlineStr">
        <is>
          <t>1201-1400</t>
        </is>
      </c>
      <c r="M1699" t="inlineStr">
        <is>
          <t>1001-1200</t>
        </is>
      </c>
      <c r="N1699" t="inlineStr">
        <is>
          <t>-</t>
        </is>
      </c>
      <c r="O1699" t="inlineStr">
        <is>
          <t>-</t>
        </is>
      </c>
      <c r="P1699" t="n">
        <v>7.3</v>
      </c>
      <c r="Q1699" t="inlineStr">
        <is>
          <t>701+</t>
        </is>
      </c>
      <c r="R1699" t="n">
        <v>8.4</v>
      </c>
      <c r="S1699" t="inlineStr">
        <is>
          <t>701+</t>
        </is>
      </c>
      <c r="T1699" t="n">
        <v>17</v>
      </c>
      <c r="U1699" t="inlineStr">
        <is>
          <t>801+</t>
        </is>
      </c>
      <c r="V1699" t="n">
        <v>8.699999999999999</v>
      </c>
      <c r="W1699" t="inlineStr">
        <is>
          <t>801+</t>
        </is>
      </c>
      <c r="X1699" t="n">
        <v>2.8</v>
      </c>
      <c r="Y1699" t="inlineStr">
        <is>
          <t>801+</t>
        </is>
      </c>
      <c r="Z1699" t="n">
        <v>5.8</v>
      </c>
      <c r="AA1699" t="inlineStr">
        <is>
          <t>801+</t>
        </is>
      </c>
      <c r="AB1699" t="n">
        <v>10.1</v>
      </c>
      <c r="AC1699" t="inlineStr">
        <is>
          <t>801+</t>
        </is>
      </c>
      <c r="AD1699" t="n">
        <v>50.2</v>
      </c>
      <c r="AE1699" t="inlineStr">
        <is>
          <t>801+</t>
        </is>
      </c>
      <c r="AF1699" t="n">
        <v>15.3</v>
      </c>
      <c r="AG1699" t="inlineStr">
        <is>
          <t>801+</t>
        </is>
      </c>
      <c r="AH1699" t="n">
        <v>42.4</v>
      </c>
      <c r="AI1699" t="inlineStr">
        <is>
          <t>801+</t>
        </is>
      </c>
      <c r="AJ1699" t="inlineStr">
        <is>
          <t>5.9</t>
        </is>
      </c>
      <c r="AK1699" t="inlineStr">
        <is>
          <t>601+</t>
        </is>
      </c>
      <c r="AL1699" t="inlineStr">
        <is>
          <t>2.7</t>
        </is>
      </c>
      <c r="AM1699" t="inlineStr">
        <is>
          <t>601+</t>
        </is>
      </c>
      <c r="AN1699" t="inlineStr">
        <is>
          <t>17.1</t>
        </is>
      </c>
      <c r="AO1699" t="inlineStr">
        <is>
          <t>701+</t>
        </is>
      </c>
      <c r="AP1699" t="inlineStr">
        <is>
          <t>4.3</t>
        </is>
      </c>
      <c r="AQ1699" t="inlineStr">
        <is>
          <t>701+</t>
        </is>
      </c>
      <c r="AR1699" t="inlineStr">
        <is>
          <t>2.6</t>
        </is>
      </c>
      <c r="AS1699" t="inlineStr">
        <is>
          <t>701+</t>
        </is>
      </c>
      <c r="AT1699" t="inlineStr">
        <is>
          <t>1.9</t>
        </is>
      </c>
      <c r="AU1699" t="inlineStr">
        <is>
          <t>701+</t>
        </is>
      </c>
      <c r="AV1699" t="inlineStr">
        <is>
          <t>5.7</t>
        </is>
      </c>
      <c r="AW1699" t="inlineStr">
        <is>
          <t>701+</t>
        </is>
      </c>
      <c r="AX1699" t="inlineStr">
        <is>
          <t>10.1</t>
        </is>
      </c>
      <c r="AY1699" t="inlineStr">
        <is>
          <t>701+</t>
        </is>
      </c>
      <c r="AZ1699" t="inlineStr">
        <is>
          <t>2.6</t>
        </is>
      </c>
      <c r="BA1699" t="inlineStr">
        <is>
          <t>701+</t>
        </is>
      </c>
    </row>
    <row r="1700">
      <c r="A1700" t="inlineStr">
        <is>
          <t>University of Rochester</t>
        </is>
      </c>
      <c r="B1700" t="inlineStr">
        <is>
          <t>United States</t>
        </is>
      </c>
      <c r="C1700" t="inlineStr">
        <is>
          <t>US</t>
        </is>
      </c>
      <c r="D1700" t="inlineStr">
        <is>
          <t>Americas</t>
        </is>
      </c>
      <c r="E1700" t="inlineStr">
        <is>
          <t>M</t>
        </is>
      </c>
      <c r="F1700" t="inlineStr">
        <is>
          <t>FC</t>
        </is>
      </c>
      <c r="G1700" t="inlineStr">
        <is>
          <t>VH</t>
        </is>
      </c>
      <c r="H1700" t="inlineStr">
        <is>
          <t>5</t>
        </is>
      </c>
      <c r="I1700" t="inlineStr">
        <is>
          <t>Private not for Profit</t>
        </is>
      </c>
      <c r="J1700" t="inlineStr">
        <is>
          <t>236</t>
        </is>
      </c>
      <c r="K1700" t="inlineStr">
        <is>
          <t>236</t>
        </is>
      </c>
      <c r="L1700" t="inlineStr">
        <is>
          <t>224</t>
        </is>
      </c>
      <c r="M1700" t="inlineStr">
        <is>
          <t>147=</t>
        </is>
      </c>
      <c r="N1700" t="inlineStr">
        <is>
          <t>51.9</t>
        </is>
      </c>
      <c r="O1700" t="inlineStr">
        <is>
          <t>42.4</t>
        </is>
      </c>
      <c r="P1700" t="n">
        <v>27.1</v>
      </c>
      <c r="Q1700" t="inlineStr">
        <is>
          <t>463</t>
        </is>
      </c>
      <c r="R1700" t="n">
        <v>32.4</v>
      </c>
      <c r="S1700" t="inlineStr">
        <is>
          <t>443</t>
        </is>
      </c>
      <c r="T1700" t="n">
        <v>98.2</v>
      </c>
      <c r="U1700" t="inlineStr">
        <is>
          <t>51</t>
        </is>
      </c>
      <c r="V1700" t="n">
        <v>56.6</v>
      </c>
      <c r="W1700" t="inlineStr">
        <is>
          <t>314</t>
        </is>
      </c>
      <c r="X1700" t="n">
        <v>80.5</v>
      </c>
      <c r="Y1700" t="inlineStr">
        <is>
          <t>294</t>
        </is>
      </c>
      <c r="Z1700" t="n">
        <v>96.2</v>
      </c>
      <c r="AA1700" t="inlineStr">
        <is>
          <t>109</t>
        </is>
      </c>
      <c r="AB1700" t="n">
        <v>96.5</v>
      </c>
      <c r="AC1700" t="inlineStr">
        <is>
          <t>94</t>
        </is>
      </c>
      <c r="AD1700" t="n">
        <v>63.7</v>
      </c>
      <c r="AE1700" t="inlineStr">
        <is>
          <t>641</t>
        </is>
      </c>
      <c r="AF1700" t="n">
        <v>51.2</v>
      </c>
      <c r="AG1700" t="inlineStr">
        <is>
          <t>333</t>
        </is>
      </c>
      <c r="AH1700" t="n">
        <v>72.3</v>
      </c>
      <c r="AI1700" t="inlineStr">
        <is>
          <t>286=</t>
        </is>
      </c>
      <c r="AJ1700" t="inlineStr">
        <is>
          <t>22.1</t>
        </is>
      </c>
      <c r="AK1700" t="inlineStr">
        <is>
          <t>398</t>
        </is>
      </c>
      <c r="AL1700" t="inlineStr">
        <is>
          <t>18.4</t>
        </is>
      </c>
      <c r="AM1700" t="inlineStr">
        <is>
          <t>477</t>
        </is>
      </c>
      <c r="AN1700" t="inlineStr">
        <is>
          <t>97.9</t>
        </is>
      </c>
      <c r="AO1700" t="inlineStr">
        <is>
          <t>48</t>
        </is>
      </c>
      <c r="AP1700" t="inlineStr">
        <is>
          <t>51.6</t>
        </is>
      </c>
      <c r="AQ1700" t="inlineStr">
        <is>
          <t>252</t>
        </is>
      </c>
      <c r="AR1700" t="inlineStr">
        <is>
          <t>71.4</t>
        </is>
      </c>
      <c r="AS1700" t="inlineStr">
        <is>
          <t>269</t>
        </is>
      </c>
      <c r="AT1700" t="inlineStr">
        <is>
          <t>91.7</t>
        </is>
      </c>
      <c r="AU1700" t="inlineStr">
        <is>
          <t>106</t>
        </is>
      </c>
      <c r="AV1700" t="inlineStr">
        <is>
          <t>31.3</t>
        </is>
      </c>
      <c r="AW1700" t="inlineStr">
        <is>
          <t>451</t>
        </is>
      </c>
      <c r="AX1700" t="inlineStr">
        <is>
          <t>26.6</t>
        </is>
      </c>
      <c r="AY1700" t="inlineStr">
        <is>
          <t>308</t>
        </is>
      </c>
      <c r="AZ1700" t="inlineStr">
        <is>
          <t>33.2</t>
        </is>
      </c>
      <c r="BA1700" t="inlineStr">
        <is>
          <t>416=</t>
        </is>
      </c>
    </row>
    <row r="1701">
      <c r="A1701" t="inlineStr">
        <is>
          <t>University of Rome "Tor Vergata"</t>
        </is>
      </c>
      <c r="B1701" t="inlineStr">
        <is>
          <t>Italy</t>
        </is>
      </c>
      <c r="C1701" t="inlineStr">
        <is>
          <t>IT</t>
        </is>
      </c>
      <c r="D1701" t="inlineStr"/>
      <c r="E1701" t="inlineStr">
        <is>
          <t>L</t>
        </is>
      </c>
      <c r="F1701" t="inlineStr">
        <is>
          <t>CO</t>
        </is>
      </c>
      <c r="G1701" t="inlineStr">
        <is>
          <t>VH</t>
        </is>
      </c>
      <c r="H1701" t="inlineStr">
        <is>
          <t>3</t>
        </is>
      </c>
      <c r="I1701" t="inlineStr">
        <is>
          <t>A</t>
        </is>
      </c>
      <c r="J1701" t="inlineStr"/>
      <c r="K1701" t="inlineStr"/>
      <c r="L1701">
        <f>489</f>
        <v/>
      </c>
      <c r="M1701" t="inlineStr">
        <is>
          <t>499=</t>
        </is>
      </c>
      <c r="N1701" t="inlineStr"/>
      <c r="O1701" t="inlineStr">
        <is>
          <t>23.6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>
        <is>
          <t>31.5</t>
        </is>
      </c>
      <c r="AK1701" t="inlineStr">
        <is>
          <t>277</t>
        </is>
      </c>
      <c r="AL1701" t="inlineStr">
        <is>
          <t>12.6</t>
        </is>
      </c>
      <c r="AM1701" t="inlineStr">
        <is>
          <t>601+</t>
        </is>
      </c>
      <c r="AN1701" t="inlineStr">
        <is>
          <t>7.6</t>
        </is>
      </c>
      <c r="AO1701" t="inlineStr">
        <is>
          <t>701+</t>
        </is>
      </c>
      <c r="AP1701" t="inlineStr">
        <is>
          <t>38.1</t>
        </is>
      </c>
      <c r="AQ1701" t="inlineStr">
        <is>
          <t>367</t>
        </is>
      </c>
      <c r="AR1701" t="inlineStr">
        <is>
          <t>7.1</t>
        </is>
      </c>
      <c r="AS1701" t="inlineStr">
        <is>
          <t>701+</t>
        </is>
      </c>
      <c r="AT1701" t="inlineStr">
        <is>
          <t>16.2</t>
        </is>
      </c>
      <c r="AU1701" t="inlineStr">
        <is>
          <t>596</t>
        </is>
      </c>
      <c r="AV1701" t="inlineStr">
        <is>
          <t>32.8</t>
        </is>
      </c>
      <c r="AW1701" t="inlineStr">
        <is>
          <t>435</t>
        </is>
      </c>
      <c r="AX1701" t="inlineStr">
        <is>
          <t>7.8</t>
        </is>
      </c>
      <c r="AY1701" t="inlineStr">
        <is>
          <t>701+</t>
        </is>
      </c>
      <c r="AZ1701" t="inlineStr">
        <is>
          <t>15.2</t>
        </is>
      </c>
      <c r="BA1701" t="inlineStr">
        <is>
          <t>608=</t>
        </is>
      </c>
    </row>
    <row r="1702">
      <c r="A1702" t="inlineStr">
        <is>
          <t>University of Rzeszów</t>
        </is>
      </c>
      <c r="B1702" t="inlineStr">
        <is>
          <t>Poland</t>
        </is>
      </c>
      <c r="C1702" t="inlineStr">
        <is>
          <t>PL</t>
        </is>
      </c>
      <c r="D1702" t="inlineStr"/>
      <c r="E1702" t="inlineStr">
        <is>
          <t>L</t>
        </is>
      </c>
      <c r="F1702" t="inlineStr">
        <is>
          <t>FC</t>
        </is>
      </c>
      <c r="G1702" t="inlineStr">
        <is>
          <t>HI</t>
        </is>
      </c>
      <c r="H1702" t="inlineStr">
        <is>
          <t>3</t>
        </is>
      </c>
      <c r="I1702" t="inlineStr">
        <is>
          <t>A</t>
        </is>
      </c>
      <c r="J1702" t="inlineStr"/>
      <c r="K1702" t="inlineStr"/>
      <c r="L1702" t="inlineStr">
        <is>
          <t>1201-1400</t>
        </is>
      </c>
      <c r="M1702" t="inlineStr">
        <is>
          <t>1201-1400</t>
        </is>
      </c>
      <c r="N1702" t="inlineStr"/>
      <c r="O1702" t="inlineStr">
        <is>
          <t>-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>
        <is>
          <t>4.3</t>
        </is>
      </c>
      <c r="AK1702" t="inlineStr">
        <is>
          <t>601+</t>
        </is>
      </c>
      <c r="AL1702" t="inlineStr">
        <is>
          <t>1.9</t>
        </is>
      </c>
      <c r="AM1702" t="inlineStr">
        <is>
          <t>601+</t>
        </is>
      </c>
      <c r="AN1702" t="inlineStr">
        <is>
          <t>17.8</t>
        </is>
      </c>
      <c r="AO1702" t="inlineStr">
        <is>
          <t>701+</t>
        </is>
      </c>
      <c r="AP1702" t="inlineStr">
        <is>
          <t>2.6</t>
        </is>
      </c>
      <c r="AQ1702" t="inlineStr">
        <is>
          <t>701+</t>
        </is>
      </c>
      <c r="AR1702" t="inlineStr"/>
      <c r="AS1702" t="inlineStr"/>
      <c r="AT1702" t="inlineStr">
        <is>
          <t>1.7</t>
        </is>
      </c>
      <c r="AU1702" t="inlineStr">
        <is>
          <t>701+</t>
        </is>
      </c>
      <c r="AV1702" t="inlineStr">
        <is>
          <t>2.0</t>
        </is>
      </c>
      <c r="AW1702" t="inlineStr">
        <is>
          <t>701+</t>
        </is>
      </c>
      <c r="AX1702" t="inlineStr">
        <is>
          <t>6.1</t>
        </is>
      </c>
      <c r="AY1702" t="inlineStr">
        <is>
          <t>701+</t>
        </is>
      </c>
      <c r="AZ1702" t="inlineStr">
        <is>
          <t>1</t>
        </is>
      </c>
      <c r="BA1702" t="inlineStr">
        <is>
          <t>701+</t>
        </is>
      </c>
    </row>
    <row r="1703">
      <c r="A1703" t="inlineStr">
        <is>
          <t>University of Salamanca</t>
        </is>
      </c>
      <c r="B1703" t="inlineStr">
        <is>
          <t>Spain</t>
        </is>
      </c>
      <c r="C1703" t="inlineStr">
        <is>
          <t>ES</t>
        </is>
      </c>
      <c r="D1703" t="inlineStr">
        <is>
          <t>Europe</t>
        </is>
      </c>
      <c r="E1703" t="inlineStr">
        <is>
          <t>L</t>
        </is>
      </c>
      <c r="F1703" t="inlineStr">
        <is>
          <t>FC</t>
        </is>
      </c>
      <c r="G1703" t="inlineStr">
        <is>
          <t>VH</t>
        </is>
      </c>
      <c r="H1703" t="inlineStr">
        <is>
          <t>5</t>
        </is>
      </c>
      <c r="I1703" t="inlineStr">
        <is>
          <t>Public</t>
        </is>
      </c>
      <c r="J1703" t="inlineStr">
        <is>
          <t>526</t>
        </is>
      </c>
      <c r="K1703" t="inlineStr">
        <is>
          <t>539</t>
        </is>
      </c>
      <c r="L1703">
        <f>534</f>
        <v/>
      </c>
      <c r="M1703" t="inlineStr">
        <is>
          <t>601-650</t>
        </is>
      </c>
      <c r="N1703" t="inlineStr">
        <is>
          <t>30.9</t>
        </is>
      </c>
      <c r="O1703" t="inlineStr">
        <is>
          <t>22.0</t>
        </is>
      </c>
      <c r="P1703" t="n">
        <v>36.9</v>
      </c>
      <c r="Q1703" t="inlineStr">
        <is>
          <t>323</t>
        </is>
      </c>
      <c r="R1703" t="n">
        <v>23.5</v>
      </c>
      <c r="S1703" t="inlineStr">
        <is>
          <t>568</t>
        </is>
      </c>
      <c r="T1703" t="n">
        <v>36.8</v>
      </c>
      <c r="U1703" t="inlineStr">
        <is>
          <t>545</t>
        </is>
      </c>
      <c r="V1703" t="n">
        <v>11.8</v>
      </c>
      <c r="W1703" t="inlineStr">
        <is>
          <t>801+</t>
        </is>
      </c>
      <c r="X1703" t="n">
        <v>10.2</v>
      </c>
      <c r="Y1703" t="inlineStr">
        <is>
          <t>801+</t>
        </is>
      </c>
      <c r="Z1703" t="n">
        <v>25.9</v>
      </c>
      <c r="AA1703" t="inlineStr">
        <is>
          <t>647</t>
        </is>
      </c>
      <c r="AB1703" t="n">
        <v>31.9</v>
      </c>
      <c r="AC1703" t="inlineStr">
        <is>
          <t>590</t>
        </is>
      </c>
      <c r="AD1703" t="n">
        <v>86.3</v>
      </c>
      <c r="AE1703" t="inlineStr">
        <is>
          <t>231</t>
        </is>
      </c>
      <c r="AF1703" t="n">
        <v>33.4</v>
      </c>
      <c r="AG1703" t="inlineStr">
        <is>
          <t>506</t>
        </is>
      </c>
      <c r="AH1703" t="n">
        <v>70.8</v>
      </c>
      <c r="AI1703" t="inlineStr">
        <is>
          <t>303=</t>
        </is>
      </c>
      <c r="AJ1703" t="inlineStr">
        <is>
          <t>26.8</t>
        </is>
      </c>
      <c r="AK1703" t="inlineStr">
        <is>
          <t>324</t>
        </is>
      </c>
      <c r="AL1703" t="inlineStr">
        <is>
          <t>15.0</t>
        </is>
      </c>
      <c r="AM1703" t="inlineStr">
        <is>
          <t>550</t>
        </is>
      </c>
      <c r="AN1703" t="inlineStr">
        <is>
          <t>23.2</t>
        </is>
      </c>
      <c r="AO1703" t="inlineStr">
        <is>
          <t>611</t>
        </is>
      </c>
      <c r="AP1703" t="inlineStr">
        <is>
          <t>6.9</t>
        </is>
      </c>
      <c r="AQ1703" t="inlineStr">
        <is>
          <t>701+</t>
        </is>
      </c>
      <c r="AR1703" t="inlineStr">
        <is>
          <t>6.7</t>
        </is>
      </c>
      <c r="AS1703" t="inlineStr">
        <is>
          <t>701+</t>
        </is>
      </c>
      <c r="AT1703" t="inlineStr">
        <is>
          <t>22.4</t>
        </is>
      </c>
      <c r="AU1703" t="inlineStr">
        <is>
          <t>510</t>
        </is>
      </c>
      <c r="AV1703" t="inlineStr">
        <is>
          <t>45.3</t>
        </is>
      </c>
      <c r="AW1703" t="inlineStr">
        <is>
          <t>343</t>
        </is>
      </c>
      <c r="AX1703" t="inlineStr">
        <is>
          <t>15.3</t>
        </is>
      </c>
      <c r="AY1703" t="inlineStr">
        <is>
          <t>550</t>
        </is>
      </c>
      <c r="AZ1703" t="inlineStr">
        <is>
          <t>72.5</t>
        </is>
      </c>
      <c r="BA1703" t="inlineStr">
        <is>
          <t>189=</t>
        </is>
      </c>
    </row>
    <row r="1704">
      <c r="A1704" t="inlineStr">
        <is>
          <t>University of Salento</t>
        </is>
      </c>
      <c r="B1704" t="inlineStr">
        <is>
          <t>Italy</t>
        </is>
      </c>
      <c r="C1704" t="inlineStr"/>
      <c r="D1704" t="inlineStr">
        <is>
          <t>Europe</t>
        </is>
      </c>
      <c r="E1704" t="inlineStr">
        <is>
          <t>L</t>
        </is>
      </c>
      <c r="F1704" t="inlineStr">
        <is>
          <t>CO</t>
        </is>
      </c>
      <c r="G1704" t="inlineStr">
        <is>
          <t>VH</t>
        </is>
      </c>
      <c r="H1704" t="inlineStr"/>
      <c r="I1704" t="inlineStr">
        <is>
          <t>Public</t>
        </is>
      </c>
      <c r="J1704" t="inlineStr">
        <is>
          <t>1001-1200</t>
        </is>
      </c>
      <c r="K1704" t="inlineStr">
        <is>
          <t>1001-1200</t>
        </is>
      </c>
      <c r="L1704" t="inlineStr"/>
      <c r="M1704" t="inlineStr"/>
      <c r="N1704" t="inlineStr">
        <is>
          <t>-</t>
        </is>
      </c>
      <c r="O1704" t="inlineStr"/>
      <c r="P1704" t="n">
        <v>6.8</v>
      </c>
      <c r="Q1704" t="inlineStr">
        <is>
          <t>701+</t>
        </is>
      </c>
      <c r="R1704" t="n">
        <v>1.9</v>
      </c>
      <c r="S1704" t="inlineStr">
        <is>
          <t>701+</t>
        </is>
      </c>
      <c r="T1704" t="n">
        <v>8.199999999999999</v>
      </c>
      <c r="U1704" t="inlineStr">
        <is>
          <t>801+</t>
        </is>
      </c>
      <c r="V1704" t="n">
        <v>41.5</v>
      </c>
      <c r="W1704" t="inlineStr">
        <is>
          <t>454</t>
        </is>
      </c>
      <c r="X1704" t="n">
        <v>1.5</v>
      </c>
      <c r="Y1704" t="inlineStr">
        <is>
          <t>801+</t>
        </is>
      </c>
      <c r="Z1704" t="n">
        <v>4.5</v>
      </c>
      <c r="AA1704" t="inlineStr">
        <is>
          <t>801+</t>
        </is>
      </c>
      <c r="AB1704" t="n">
        <v>9.5</v>
      </c>
      <c r="AC1704" t="inlineStr">
        <is>
          <t>801+</t>
        </is>
      </c>
      <c r="AD1704" t="n">
        <v>71.90000000000001</v>
      </c>
      <c r="AE1704" t="inlineStr">
        <is>
          <t>501</t>
        </is>
      </c>
      <c r="AF1704" t="n">
        <v>3.4</v>
      </c>
      <c r="AG1704" t="inlineStr">
        <is>
          <t>801+</t>
        </is>
      </c>
      <c r="AH1704" t="n">
        <v>31.9</v>
      </c>
      <c r="AI1704" t="inlineStr">
        <is>
          <t>801+</t>
        </is>
      </c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</row>
    <row r="1705">
      <c r="A1705" t="inlineStr">
        <is>
          <t>University of Salerno</t>
        </is>
      </c>
      <c r="B1705" t="inlineStr">
        <is>
          <t>Italy</t>
        </is>
      </c>
      <c r="C1705" t="inlineStr">
        <is>
          <t>IT</t>
        </is>
      </c>
      <c r="D1705" t="inlineStr"/>
      <c r="E1705" t="inlineStr">
        <is>
          <t>L</t>
        </is>
      </c>
      <c r="F1705" t="inlineStr">
        <is>
          <t>FC</t>
        </is>
      </c>
      <c r="G1705" t="inlineStr">
        <is>
          <t>VH</t>
        </is>
      </c>
      <c r="H1705" t="inlineStr">
        <is>
          <t>4</t>
        </is>
      </c>
      <c r="I1705" t="inlineStr">
        <is>
          <t>A</t>
        </is>
      </c>
      <c r="J1705" t="inlineStr"/>
      <c r="K1705" t="inlineStr"/>
      <c r="L1705" t="inlineStr">
        <is>
          <t>801-850</t>
        </is>
      </c>
      <c r="M1705" t="inlineStr">
        <is>
          <t>1001-1200</t>
        </is>
      </c>
      <c r="N1705" t="inlineStr"/>
      <c r="O1705" t="inlineStr">
        <is>
          <t>-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>
        <is>
          <t>7.9</t>
        </is>
      </c>
      <c r="AK1705" t="inlineStr">
        <is>
          <t>601+</t>
        </is>
      </c>
      <c r="AL1705" t="inlineStr">
        <is>
          <t>2.1</t>
        </is>
      </c>
      <c r="AM1705" t="inlineStr">
        <is>
          <t>601+</t>
        </is>
      </c>
      <c r="AN1705" t="inlineStr">
        <is>
          <t>4.8</t>
        </is>
      </c>
      <c r="AO1705" t="inlineStr">
        <is>
          <t>701+</t>
        </is>
      </c>
      <c r="AP1705" t="inlineStr">
        <is>
          <t>31.9</t>
        </is>
      </c>
      <c r="AQ1705" t="inlineStr">
        <is>
          <t>421</t>
        </is>
      </c>
      <c r="AR1705" t="inlineStr">
        <is>
          <t>3.4</t>
        </is>
      </c>
      <c r="AS1705" t="inlineStr">
        <is>
          <t>701+</t>
        </is>
      </c>
      <c r="AT1705" t="inlineStr">
        <is>
          <t>1.8</t>
        </is>
      </c>
      <c r="AU1705" t="inlineStr">
        <is>
          <t>701+</t>
        </is>
      </c>
      <c r="AV1705" t="inlineStr">
        <is>
          <t>64.8</t>
        </is>
      </c>
      <c r="AW1705" t="inlineStr">
        <is>
          <t>217</t>
        </is>
      </c>
      <c r="AX1705" t="inlineStr">
        <is>
          <t>5.4</t>
        </is>
      </c>
      <c r="AY1705" t="inlineStr">
        <is>
          <t>701+</t>
        </is>
      </c>
      <c r="AZ1705" t="inlineStr">
        <is>
          <t>7.6</t>
        </is>
      </c>
      <c r="BA1705" t="inlineStr">
        <is>
          <t>701+</t>
        </is>
      </c>
    </row>
    <row r="1706">
      <c r="A1706" t="inlineStr">
        <is>
          <t>University of Salford</t>
        </is>
      </c>
      <c r="B1706" t="inlineStr">
        <is>
          <t>United Kingdom</t>
        </is>
      </c>
      <c r="C1706" t="inlineStr">
        <is>
          <t>UK</t>
        </is>
      </c>
      <c r="D1706" t="inlineStr">
        <is>
          <t>Europe</t>
        </is>
      </c>
      <c r="E1706" t="inlineStr">
        <is>
          <t>L</t>
        </is>
      </c>
      <c r="F1706" t="inlineStr">
        <is>
          <t>CO</t>
        </is>
      </c>
      <c r="G1706" t="inlineStr">
        <is>
          <t>HI</t>
        </is>
      </c>
      <c r="H1706" t="inlineStr">
        <is>
          <t>4</t>
        </is>
      </c>
      <c r="I1706" t="inlineStr">
        <is>
          <t>Public</t>
        </is>
      </c>
      <c r="J1706" t="inlineStr">
        <is>
          <t>901-950</t>
        </is>
      </c>
      <c r="K1706" t="inlineStr">
        <is>
          <t>901-950</t>
        </is>
      </c>
      <c r="L1706" t="inlineStr">
        <is>
          <t>851-900</t>
        </is>
      </c>
      <c r="M1706" t="inlineStr">
        <is>
          <t>801-1000</t>
        </is>
      </c>
      <c r="N1706" t="inlineStr">
        <is>
          <t>-</t>
        </is>
      </c>
      <c r="O1706" t="inlineStr">
        <is>
          <t>-</t>
        </is>
      </c>
      <c r="P1706" t="n">
        <v>10.8</v>
      </c>
      <c r="Q1706" t="inlineStr">
        <is>
          <t>701+</t>
        </is>
      </c>
      <c r="R1706" t="n">
        <v>7.9</v>
      </c>
      <c r="S1706" t="inlineStr">
        <is>
          <t>701+</t>
        </is>
      </c>
      <c r="T1706" t="n">
        <v>9.1</v>
      </c>
      <c r="U1706" t="inlineStr">
        <is>
          <t>801+</t>
        </is>
      </c>
      <c r="V1706" t="n">
        <v>12</v>
      </c>
      <c r="W1706" t="inlineStr">
        <is>
          <t>801+</t>
        </is>
      </c>
      <c r="X1706" t="n">
        <v>55.6</v>
      </c>
      <c r="Y1706" t="inlineStr">
        <is>
          <t>408</t>
        </is>
      </c>
      <c r="Z1706" t="n">
        <v>88.2</v>
      </c>
      <c r="AA1706" t="inlineStr">
        <is>
          <t>182</t>
        </is>
      </c>
      <c r="AB1706" t="n">
        <v>89.2</v>
      </c>
      <c r="AC1706" t="inlineStr">
        <is>
          <t>153</t>
        </is>
      </c>
      <c r="AD1706" t="n">
        <v>61.6</v>
      </c>
      <c r="AE1706" t="inlineStr">
        <is>
          <t>670</t>
        </is>
      </c>
      <c r="AF1706" t="n">
        <v>13.8</v>
      </c>
      <c r="AG1706" t="inlineStr">
        <is>
          <t>801+</t>
        </is>
      </c>
      <c r="AH1706" t="n">
        <v>43.4</v>
      </c>
      <c r="AI1706" t="inlineStr">
        <is>
          <t>801+</t>
        </is>
      </c>
      <c r="AJ1706" t="inlineStr">
        <is>
          <t>7.4</t>
        </is>
      </c>
      <c r="AK1706" t="inlineStr">
        <is>
          <t>601+</t>
        </is>
      </c>
      <c r="AL1706" t="inlineStr">
        <is>
          <t>4.0</t>
        </is>
      </c>
      <c r="AM1706" t="inlineStr">
        <is>
          <t>601+</t>
        </is>
      </c>
      <c r="AN1706" t="inlineStr">
        <is>
          <t>6.7</t>
        </is>
      </c>
      <c r="AO1706" t="inlineStr">
        <is>
          <t>701+</t>
        </is>
      </c>
      <c r="AP1706" t="inlineStr">
        <is>
          <t>7.8</t>
        </is>
      </c>
      <c r="AQ1706" t="inlineStr">
        <is>
          <t>701+</t>
        </is>
      </c>
      <c r="AR1706" t="inlineStr">
        <is>
          <t>38.1</t>
        </is>
      </c>
      <c r="AS1706" t="inlineStr">
        <is>
          <t>422</t>
        </is>
      </c>
      <c r="AT1706" t="inlineStr">
        <is>
          <t>70.1</t>
        </is>
      </c>
      <c r="AU1706" t="inlineStr">
        <is>
          <t>210</t>
        </is>
      </c>
      <c r="AV1706" t="inlineStr">
        <is>
          <t>20.8</t>
        </is>
      </c>
      <c r="AW1706" t="inlineStr">
        <is>
          <t>539</t>
        </is>
      </c>
      <c r="AX1706" t="inlineStr">
        <is>
          <t>11.8</t>
        </is>
      </c>
      <c r="AY1706" t="inlineStr">
        <is>
          <t>701+</t>
        </is>
      </c>
      <c r="AZ1706" t="inlineStr">
        <is>
          <t>9.8</t>
        </is>
      </c>
      <c r="BA1706" t="inlineStr">
        <is>
          <t>669=</t>
        </is>
      </c>
    </row>
    <row r="1707">
      <c r="A1707" t="inlineStr">
        <is>
          <t>University of San Carlos</t>
        </is>
      </c>
      <c r="B1707" t="inlineStr">
        <is>
          <t>Philippines</t>
        </is>
      </c>
      <c r="C1707" t="inlineStr">
        <is>
          <t>PH</t>
        </is>
      </c>
      <c r="D1707" t="inlineStr"/>
      <c r="E1707" t="inlineStr">
        <is>
          <t>M</t>
        </is>
      </c>
      <c r="F1707" t="inlineStr">
        <is>
          <t>FO</t>
        </is>
      </c>
      <c r="G1707" t="inlineStr">
        <is>
          <t>HI</t>
        </is>
      </c>
      <c r="H1707" t="inlineStr">
        <is>
          <t>4</t>
        </is>
      </c>
      <c r="I1707" t="inlineStr">
        <is>
          <t>C</t>
        </is>
      </c>
      <c r="J1707" t="inlineStr"/>
      <c r="K1707" t="inlineStr"/>
      <c r="L1707" t="inlineStr">
        <is>
          <t>1201-1400</t>
        </is>
      </c>
      <c r="M1707" t="inlineStr"/>
      <c r="N1707" t="inlineStr"/>
      <c r="O1707" t="inlineStr">
        <is>
          <t>-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>
        <is>
          <t>6.2</t>
        </is>
      </c>
      <c r="AK1707" t="inlineStr">
        <is>
          <t>601+</t>
        </is>
      </c>
      <c r="AL1707" t="inlineStr">
        <is>
          <t>8.6</t>
        </is>
      </c>
      <c r="AM1707" t="inlineStr">
        <is>
          <t>601+</t>
        </is>
      </c>
      <c r="AN1707" t="inlineStr">
        <is>
          <t>3.4</t>
        </is>
      </c>
      <c r="AO1707" t="inlineStr">
        <is>
          <t>701+</t>
        </is>
      </c>
      <c r="AP1707" t="inlineStr">
        <is>
          <t>1.8</t>
        </is>
      </c>
      <c r="AQ1707" t="inlineStr">
        <is>
          <t>701+</t>
        </is>
      </c>
      <c r="AR1707" t="inlineStr">
        <is>
          <t>1.9</t>
        </is>
      </c>
      <c r="AS1707" t="inlineStr">
        <is>
          <t>701+</t>
        </is>
      </c>
      <c r="AT1707" t="inlineStr">
        <is>
          <t>2.2</t>
        </is>
      </c>
      <c r="AU1707" t="inlineStr">
        <is>
          <t>701+</t>
        </is>
      </c>
      <c r="AV1707" t="inlineStr">
        <is>
          <t>1.0</t>
        </is>
      </c>
      <c r="AW1707" t="inlineStr">
        <is>
          <t>701+</t>
        </is>
      </c>
      <c r="AX1707" t="inlineStr">
        <is>
          <t>9.4</t>
        </is>
      </c>
      <c r="AY1707" t="inlineStr">
        <is>
          <t>701+</t>
        </is>
      </c>
      <c r="AZ1707" t="inlineStr"/>
      <c r="BA1707" t="inlineStr"/>
    </row>
    <row r="1708">
      <c r="A1708" t="inlineStr">
        <is>
          <t>University of San Diego</t>
        </is>
      </c>
      <c r="B1708" t="inlineStr">
        <is>
          <t>United States</t>
        </is>
      </c>
      <c r="C1708" t="inlineStr">
        <is>
          <t>US</t>
        </is>
      </c>
      <c r="D1708" t="inlineStr">
        <is>
          <t>Americas</t>
        </is>
      </c>
      <c r="E1708" t="inlineStr">
        <is>
          <t>M</t>
        </is>
      </c>
      <c r="F1708" t="inlineStr">
        <is>
          <t>CO</t>
        </is>
      </c>
      <c r="G1708" t="inlineStr">
        <is>
          <t>HI</t>
        </is>
      </c>
      <c r="H1708" t="inlineStr">
        <is>
          <t>4</t>
        </is>
      </c>
      <c r="I1708" t="inlineStr">
        <is>
          <t>Private not for Profit</t>
        </is>
      </c>
      <c r="J1708" t="inlineStr">
        <is>
          <t>1201-1400</t>
        </is>
      </c>
      <c r="K1708" t="inlineStr">
        <is>
          <t>1201-1400</t>
        </is>
      </c>
      <c r="L1708" t="inlineStr">
        <is>
          <t>1201-1400</t>
        </is>
      </c>
      <c r="M1708" t="inlineStr">
        <is>
          <t>1001-1200</t>
        </is>
      </c>
      <c r="N1708" t="inlineStr">
        <is>
          <t>-</t>
        </is>
      </c>
      <c r="O1708" t="inlineStr">
        <is>
          <t>-</t>
        </is>
      </c>
      <c r="P1708" t="n">
        <v>9</v>
      </c>
      <c r="Q1708" t="inlineStr">
        <is>
          <t>701+</t>
        </is>
      </c>
      <c r="R1708" t="n">
        <v>15.2</v>
      </c>
      <c r="S1708" t="inlineStr">
        <is>
          <t>701+</t>
        </is>
      </c>
      <c r="T1708" t="n">
        <v>27.8</v>
      </c>
      <c r="U1708" t="inlineStr">
        <is>
          <t>684</t>
        </is>
      </c>
      <c r="V1708" t="n">
        <v>4.5</v>
      </c>
      <c r="W1708" t="inlineStr">
        <is>
          <t>801+</t>
        </is>
      </c>
      <c r="X1708" t="n">
        <v>4.9</v>
      </c>
      <c r="Y1708" t="inlineStr">
        <is>
          <t>801+</t>
        </is>
      </c>
      <c r="Z1708" t="n">
        <v>10.5</v>
      </c>
      <c r="AA1708" t="inlineStr">
        <is>
          <t>801+</t>
        </is>
      </c>
      <c r="AB1708" t="n">
        <v>8</v>
      </c>
      <c r="AC1708" t="inlineStr">
        <is>
          <t>801+</t>
        </is>
      </c>
      <c r="AD1708" t="n">
        <v>6.9</v>
      </c>
      <c r="AE1708" t="inlineStr">
        <is>
          <t>801+</t>
        </is>
      </c>
      <c r="AF1708" t="n">
        <v>20.3</v>
      </c>
      <c r="AG1708" t="inlineStr">
        <is>
          <t>722</t>
        </is>
      </c>
      <c r="AH1708" t="n">
        <v>21.4</v>
      </c>
      <c r="AI1708" t="inlineStr">
        <is>
          <t>801+</t>
        </is>
      </c>
      <c r="AJ1708" t="inlineStr">
        <is>
          <t>6.8</t>
        </is>
      </c>
      <c r="AK1708" t="inlineStr">
        <is>
          <t>601+</t>
        </is>
      </c>
      <c r="AL1708" t="inlineStr">
        <is>
          <t>4.4</t>
        </is>
      </c>
      <c r="AM1708" t="inlineStr">
        <is>
          <t>601+</t>
        </is>
      </c>
      <c r="AN1708" t="inlineStr">
        <is>
          <t>24.9</t>
        </is>
      </c>
      <c r="AO1708" t="inlineStr">
        <is>
          <t>588</t>
        </is>
      </c>
      <c r="AP1708" t="inlineStr">
        <is>
          <t>2.8</t>
        </is>
      </c>
      <c r="AQ1708" t="inlineStr">
        <is>
          <t>701+</t>
        </is>
      </c>
      <c r="AR1708" t="inlineStr">
        <is>
          <t>3.1</t>
        </is>
      </c>
      <c r="AS1708" t="inlineStr">
        <is>
          <t>701+</t>
        </is>
      </c>
      <c r="AT1708" t="inlineStr">
        <is>
          <t>6.0</t>
        </is>
      </c>
      <c r="AU1708" t="inlineStr">
        <is>
          <t>701+</t>
        </is>
      </c>
      <c r="AV1708" t="inlineStr">
        <is>
          <t>1.0</t>
        </is>
      </c>
      <c r="AW1708" t="inlineStr">
        <is>
          <t>701+</t>
        </is>
      </c>
      <c r="AX1708" t="inlineStr">
        <is>
          <t>17.2</t>
        </is>
      </c>
      <c r="AY1708" t="inlineStr">
        <is>
          <t>489</t>
        </is>
      </c>
      <c r="AZ1708" t="inlineStr">
        <is>
          <t>1</t>
        </is>
      </c>
      <c r="BA1708" t="inlineStr">
        <is>
          <t>701+</t>
        </is>
      </c>
    </row>
    <row r="1709">
      <c r="A1709" t="inlineStr">
        <is>
          <t>University of San Francisco</t>
        </is>
      </c>
      <c r="B1709" t="inlineStr">
        <is>
          <t>United States</t>
        </is>
      </c>
      <c r="C1709" t="inlineStr">
        <is>
          <t>US</t>
        </is>
      </c>
      <c r="D1709" t="inlineStr">
        <is>
          <t>Americas</t>
        </is>
      </c>
      <c r="E1709" t="inlineStr">
        <is>
          <t>M</t>
        </is>
      </c>
      <c r="F1709" t="inlineStr">
        <is>
          <t>CO</t>
        </is>
      </c>
      <c r="G1709" t="inlineStr">
        <is>
          <t>HI</t>
        </is>
      </c>
      <c r="H1709" t="inlineStr">
        <is>
          <t>5</t>
        </is>
      </c>
      <c r="I1709" t="inlineStr">
        <is>
          <t>Private not for Profit</t>
        </is>
      </c>
      <c r="J1709" t="inlineStr">
        <is>
          <t>1201-1400</t>
        </is>
      </c>
      <c r="K1709" t="inlineStr">
        <is>
          <t>1201-1400</t>
        </is>
      </c>
      <c r="L1709" t="inlineStr">
        <is>
          <t>1001-1200</t>
        </is>
      </c>
      <c r="M1709" t="inlineStr">
        <is>
          <t>1001-1200</t>
        </is>
      </c>
      <c r="N1709" t="inlineStr">
        <is>
          <t>-</t>
        </is>
      </c>
      <c r="O1709" t="inlineStr">
        <is>
          <t>-</t>
        </is>
      </c>
      <c r="P1709" t="n">
        <v>6.9</v>
      </c>
      <c r="Q1709" t="inlineStr">
        <is>
          <t>701+</t>
        </is>
      </c>
      <c r="R1709" t="n">
        <v>12.1</v>
      </c>
      <c r="S1709" t="inlineStr">
        <is>
          <t>701+</t>
        </is>
      </c>
      <c r="T1709" t="n">
        <v>27.5</v>
      </c>
      <c r="U1709" t="inlineStr">
        <is>
          <t>691</t>
        </is>
      </c>
      <c r="V1709" t="n">
        <v>5.7</v>
      </c>
      <c r="W1709" t="inlineStr">
        <is>
          <t>801+</t>
        </is>
      </c>
      <c r="X1709" t="n">
        <v>3.9</v>
      </c>
      <c r="Y1709" t="inlineStr">
        <is>
          <t>801+</t>
        </is>
      </c>
      <c r="Z1709" t="n">
        <v>27.1</v>
      </c>
      <c r="AA1709" t="inlineStr">
        <is>
          <t>627</t>
        </is>
      </c>
      <c r="AB1709" t="n">
        <v>20.3</v>
      </c>
      <c r="AC1709" t="inlineStr">
        <is>
          <t>758</t>
        </is>
      </c>
      <c r="AD1709" t="n">
        <v>9.300000000000001</v>
      </c>
      <c r="AE1709" t="inlineStr">
        <is>
          <t>801+</t>
        </is>
      </c>
      <c r="AF1709" t="n">
        <v>39</v>
      </c>
      <c r="AG1709" t="inlineStr">
        <is>
          <t>444</t>
        </is>
      </c>
      <c r="AH1709" t="n">
        <v>31.8</v>
      </c>
      <c r="AI1709" t="inlineStr">
        <is>
          <t>801+</t>
        </is>
      </c>
      <c r="AJ1709" t="inlineStr">
        <is>
          <t>6.6</t>
        </is>
      </c>
      <c r="AK1709" t="inlineStr">
        <is>
          <t>601+</t>
        </is>
      </c>
      <c r="AL1709" t="inlineStr">
        <is>
          <t>4.0</t>
        </is>
      </c>
      <c r="AM1709" t="inlineStr">
        <is>
          <t>601+</t>
        </is>
      </c>
      <c r="AN1709" t="inlineStr">
        <is>
          <t>17.0</t>
        </is>
      </c>
      <c r="AO1709" t="inlineStr">
        <is>
          <t>701+</t>
        </is>
      </c>
      <c r="AP1709" t="inlineStr">
        <is>
          <t>4.5</t>
        </is>
      </c>
      <c r="AQ1709" t="inlineStr">
        <is>
          <t>701+</t>
        </is>
      </c>
      <c r="AR1709" t="inlineStr">
        <is>
          <t>1.8</t>
        </is>
      </c>
      <c r="AS1709" t="inlineStr">
        <is>
          <t>701+</t>
        </is>
      </c>
      <c r="AT1709" t="inlineStr">
        <is>
          <t>20.3</t>
        </is>
      </c>
      <c r="AU1709" t="inlineStr">
        <is>
          <t>543</t>
        </is>
      </c>
      <c r="AV1709" t="inlineStr">
        <is>
          <t>1.0</t>
        </is>
      </c>
      <c r="AW1709" t="inlineStr">
        <is>
          <t>701+</t>
        </is>
      </c>
      <c r="AX1709" t="inlineStr">
        <is>
          <t>22.8</t>
        </is>
      </c>
      <c r="AY1709" t="inlineStr">
        <is>
          <t>366</t>
        </is>
      </c>
      <c r="AZ1709" t="inlineStr">
        <is>
          <t>1.1</t>
        </is>
      </c>
      <c r="BA1709" t="inlineStr">
        <is>
          <t>701+</t>
        </is>
      </c>
    </row>
    <row r="1710">
      <c r="A1710" t="inlineStr">
        <is>
          <t>University of Santo Tomas</t>
        </is>
      </c>
      <c r="B1710" t="inlineStr">
        <is>
          <t>Philippines</t>
        </is>
      </c>
      <c r="C1710" t="inlineStr">
        <is>
          <t>PH</t>
        </is>
      </c>
      <c r="D1710" t="inlineStr">
        <is>
          <t>Asia</t>
        </is>
      </c>
      <c r="E1710" t="inlineStr">
        <is>
          <t>XL</t>
        </is>
      </c>
      <c r="F1710" t="inlineStr">
        <is>
          <t>FC</t>
        </is>
      </c>
      <c r="G1710" t="inlineStr">
        <is>
          <t>MD</t>
        </is>
      </c>
      <c r="H1710" t="inlineStr">
        <is>
          <t>5</t>
        </is>
      </c>
      <c r="I1710" t="inlineStr">
        <is>
          <t>Private not for Profit</t>
        </is>
      </c>
      <c r="J1710" t="inlineStr">
        <is>
          <t>851-900</t>
        </is>
      </c>
      <c r="K1710" t="inlineStr">
        <is>
          <t>851-900</t>
        </is>
      </c>
      <c r="L1710" t="inlineStr">
        <is>
          <t>801-850</t>
        </is>
      </c>
      <c r="M1710" t="inlineStr">
        <is>
          <t>801-1000</t>
        </is>
      </c>
      <c r="N1710" t="inlineStr">
        <is>
          <t>-</t>
        </is>
      </c>
      <c r="O1710" t="inlineStr">
        <is>
          <t>-</t>
        </is>
      </c>
      <c r="P1710" t="n">
        <v>20.3</v>
      </c>
      <c r="Q1710" t="inlineStr">
        <is>
          <t>605</t>
        </is>
      </c>
      <c r="R1710" t="n">
        <v>45.9</v>
      </c>
      <c r="S1710" t="inlineStr">
        <is>
          <t>294</t>
        </is>
      </c>
      <c r="T1710" t="n">
        <v>14.1</v>
      </c>
      <c r="U1710" t="inlineStr">
        <is>
          <t>801+</t>
        </is>
      </c>
      <c r="V1710" t="n">
        <v>1.7</v>
      </c>
      <c r="W1710" t="inlineStr">
        <is>
          <t>801+</t>
        </is>
      </c>
      <c r="X1710" t="n">
        <v>38.5</v>
      </c>
      <c r="Y1710" t="inlineStr">
        <is>
          <t>513</t>
        </is>
      </c>
      <c r="Z1710" t="n">
        <v>9</v>
      </c>
      <c r="AA1710" t="inlineStr">
        <is>
          <t>801+</t>
        </is>
      </c>
      <c r="AB1710" t="n">
        <v>7</v>
      </c>
      <c r="AC1710" t="inlineStr">
        <is>
          <t>801+</t>
        </is>
      </c>
      <c r="AD1710" t="n">
        <v>19.1</v>
      </c>
      <c r="AE1710" t="inlineStr">
        <is>
          <t>801+</t>
        </is>
      </c>
      <c r="AF1710" t="n">
        <v>25.5</v>
      </c>
      <c r="AG1710" t="inlineStr">
        <is>
          <t>631</t>
        </is>
      </c>
      <c r="AH1710" t="n">
        <v>40.2</v>
      </c>
      <c r="AI1710" t="inlineStr">
        <is>
          <t>801+</t>
        </is>
      </c>
      <c r="AJ1710" t="inlineStr">
        <is>
          <t>11.5</t>
        </is>
      </c>
      <c r="AK1710" t="inlineStr">
        <is>
          <t>601+</t>
        </is>
      </c>
      <c r="AL1710" t="inlineStr">
        <is>
          <t>33.5</t>
        </is>
      </c>
      <c r="AM1710" t="inlineStr">
        <is>
          <t>293</t>
        </is>
      </c>
      <c r="AN1710" t="inlineStr">
        <is>
          <t>15.7</t>
        </is>
      </c>
      <c r="AO1710" t="inlineStr">
        <is>
          <t>701+</t>
        </is>
      </c>
      <c r="AP1710" t="inlineStr">
        <is>
          <t>1.3</t>
        </is>
      </c>
      <c r="AQ1710" t="inlineStr">
        <is>
          <t>701+</t>
        </is>
      </c>
      <c r="AR1710" t="inlineStr">
        <is>
          <t>41.4</t>
        </is>
      </c>
      <c r="AS1710" t="inlineStr">
        <is>
          <t>401</t>
        </is>
      </c>
      <c r="AT1710" t="inlineStr">
        <is>
          <t>8.2</t>
        </is>
      </c>
      <c r="AU1710" t="inlineStr">
        <is>
          <t>701+</t>
        </is>
      </c>
      <c r="AV1710" t="inlineStr">
        <is>
          <t>1.0</t>
        </is>
      </c>
      <c r="AW1710" t="inlineStr">
        <is>
          <t>701+</t>
        </is>
      </c>
      <c r="AX1710" t="inlineStr">
        <is>
          <t>12.5</t>
        </is>
      </c>
      <c r="AY1710" t="inlineStr">
        <is>
          <t>697</t>
        </is>
      </c>
      <c r="AZ1710" t="inlineStr">
        <is>
          <t>1.1</t>
        </is>
      </c>
      <c r="BA1710" t="inlineStr">
        <is>
          <t>701+</t>
        </is>
      </c>
    </row>
    <row r="1711">
      <c r="A1711" t="inlineStr">
        <is>
          <t>University of Sarajevo</t>
        </is>
      </c>
      <c r="B1711" t="inlineStr">
        <is>
          <t>Bosnia and Herzegovina</t>
        </is>
      </c>
      <c r="C1711" t="inlineStr">
        <is>
          <t>BA</t>
        </is>
      </c>
      <c r="D1711" t="inlineStr">
        <is>
          <t>Europe</t>
        </is>
      </c>
      <c r="E1711" t="inlineStr">
        <is>
          <t>L</t>
        </is>
      </c>
      <c r="F1711" t="inlineStr">
        <is>
          <t>CO</t>
        </is>
      </c>
      <c r="G1711" t="inlineStr">
        <is>
          <t>HI</t>
        </is>
      </c>
      <c r="H1711" t="inlineStr">
        <is>
          <t>4</t>
        </is>
      </c>
      <c r="I1711" t="inlineStr">
        <is>
          <t>Public</t>
        </is>
      </c>
      <c r="J1711" t="inlineStr">
        <is>
          <t>1201-1400</t>
        </is>
      </c>
      <c r="K1711" t="inlineStr">
        <is>
          <t>1001-1200</t>
        </is>
      </c>
      <c r="L1711" t="inlineStr">
        <is>
          <t>1201-1400</t>
        </is>
      </c>
      <c r="M1711" t="inlineStr">
        <is>
          <t>1201-1400</t>
        </is>
      </c>
      <c r="N1711" t="inlineStr">
        <is>
          <t>-</t>
        </is>
      </c>
      <c r="O1711" t="inlineStr">
        <is>
          <t>-</t>
        </is>
      </c>
      <c r="P1711" t="n">
        <v>5</v>
      </c>
      <c r="Q1711" t="inlineStr">
        <is>
          <t>701+</t>
        </is>
      </c>
      <c r="R1711" t="n">
        <v>1</v>
      </c>
      <c r="S1711" t="inlineStr">
        <is>
          <t>701+</t>
        </is>
      </c>
      <c r="T1711" t="n">
        <v>6.5</v>
      </c>
      <c r="U1711" t="inlineStr">
        <is>
          <t>801+</t>
        </is>
      </c>
      <c r="V1711" t="n">
        <v>2.9</v>
      </c>
      <c r="W1711" t="inlineStr">
        <is>
          <t>801+</t>
        </is>
      </c>
      <c r="X1711" t="inlineStr"/>
      <c r="Y1711" t="inlineStr"/>
      <c r="Z1711" t="n">
        <v>5.2</v>
      </c>
      <c r="AA1711" t="inlineStr">
        <is>
          <t>801+</t>
        </is>
      </c>
      <c r="AB1711" t="n">
        <v>4.1</v>
      </c>
      <c r="AC1711" t="inlineStr">
        <is>
          <t>801+</t>
        </is>
      </c>
      <c r="AD1711" t="n">
        <v>41.3</v>
      </c>
      <c r="AE1711" t="inlineStr">
        <is>
          <t>801+</t>
        </is>
      </c>
      <c r="AF1711" t="n">
        <v>89.09999999999999</v>
      </c>
      <c r="AG1711" t="inlineStr">
        <is>
          <t>113</t>
        </is>
      </c>
      <c r="AH1711" t="n">
        <v>20.5</v>
      </c>
      <c r="AI1711" t="inlineStr">
        <is>
          <t>801+</t>
        </is>
      </c>
      <c r="AJ1711" t="inlineStr">
        <is>
          <t>4.2</t>
        </is>
      </c>
      <c r="AK1711" t="inlineStr">
        <is>
          <t>601+</t>
        </is>
      </c>
      <c r="AL1711" t="inlineStr">
        <is>
          <t>3.5</t>
        </is>
      </c>
      <c r="AM1711" t="inlineStr">
        <is>
          <t>601+</t>
        </is>
      </c>
      <c r="AN1711" t="inlineStr">
        <is>
          <t>3.8</t>
        </is>
      </c>
      <c r="AO1711" t="inlineStr">
        <is>
          <t>701+</t>
        </is>
      </c>
      <c r="AP1711" t="inlineStr">
        <is>
          <t>2.0</t>
        </is>
      </c>
      <c r="AQ1711" t="inlineStr">
        <is>
          <t>701+</t>
        </is>
      </c>
      <c r="AR1711" t="inlineStr"/>
      <c r="AS1711" t="inlineStr"/>
      <c r="AT1711" t="inlineStr">
        <is>
          <t>3.0</t>
        </is>
      </c>
      <c r="AU1711" t="inlineStr">
        <is>
          <t>701+</t>
        </is>
      </c>
      <c r="AV1711" t="inlineStr">
        <is>
          <t>7.0</t>
        </is>
      </c>
      <c r="AW1711" t="inlineStr">
        <is>
          <t>701+</t>
        </is>
      </c>
      <c r="AX1711" t="inlineStr">
        <is>
          <t>38.2</t>
        </is>
      </c>
      <c r="AY1711" t="inlineStr">
        <is>
          <t>192</t>
        </is>
      </c>
      <c r="AZ1711" t="inlineStr">
        <is>
          <t>1</t>
        </is>
      </c>
      <c r="BA1711" t="inlineStr">
        <is>
          <t>701+</t>
        </is>
      </c>
    </row>
    <row r="1712">
      <c r="A1712" t="inlineStr">
        <is>
          <t>University of Saskatchewan</t>
        </is>
      </c>
      <c r="B1712" t="inlineStr">
        <is>
          <t>Canada</t>
        </is>
      </c>
      <c r="C1712" t="inlineStr">
        <is>
          <t>CA</t>
        </is>
      </c>
      <c r="D1712" t="inlineStr">
        <is>
          <t>Americas</t>
        </is>
      </c>
      <c r="E1712" t="inlineStr">
        <is>
          <t>L</t>
        </is>
      </c>
      <c r="F1712" t="inlineStr">
        <is>
          <t>FC</t>
        </is>
      </c>
      <c r="G1712" t="inlineStr">
        <is>
          <t>VH</t>
        </is>
      </c>
      <c r="H1712" t="inlineStr">
        <is>
          <t>5</t>
        </is>
      </c>
      <c r="I1712" t="inlineStr">
        <is>
          <t>Public</t>
        </is>
      </c>
      <c r="J1712" t="inlineStr">
        <is>
          <t>378</t>
        </is>
      </c>
      <c r="K1712" t="inlineStr">
        <is>
          <t>340</t>
        </is>
      </c>
      <c r="L1712">
        <f>345</f>
        <v/>
      </c>
      <c r="M1712" t="inlineStr">
        <is>
          <t>473=</t>
        </is>
      </c>
      <c r="N1712" t="inlineStr">
        <is>
          <t>39.6</t>
        </is>
      </c>
      <c r="O1712" t="inlineStr">
        <is>
          <t>31.5</t>
        </is>
      </c>
      <c r="P1712" t="n">
        <v>16</v>
      </c>
      <c r="Q1712" t="inlineStr">
        <is>
          <t>701+</t>
        </is>
      </c>
      <c r="R1712" t="n">
        <v>10.2</v>
      </c>
      <c r="S1712" t="inlineStr">
        <is>
          <t>701+</t>
        </is>
      </c>
      <c r="T1712" t="n">
        <v>21.1</v>
      </c>
      <c r="U1712" t="inlineStr">
        <is>
          <t>801+</t>
        </is>
      </c>
      <c r="V1712" t="n">
        <v>71.90000000000001</v>
      </c>
      <c r="W1712" t="inlineStr">
        <is>
          <t>201</t>
        </is>
      </c>
      <c r="X1712" t="n">
        <v>82.40000000000001</v>
      </c>
      <c r="Y1712" t="inlineStr">
        <is>
          <t>276</t>
        </is>
      </c>
      <c r="Z1712" t="n">
        <v>65.40000000000001</v>
      </c>
      <c r="AA1712" t="inlineStr">
        <is>
          <t>305</t>
        </is>
      </c>
      <c r="AB1712" t="n">
        <v>68.7</v>
      </c>
      <c r="AC1712" t="inlineStr">
        <is>
          <t>280</t>
        </is>
      </c>
      <c r="AD1712" t="n">
        <v>77.3</v>
      </c>
      <c r="AE1712" t="inlineStr">
        <is>
          <t>397</t>
        </is>
      </c>
      <c r="AF1712" t="n">
        <v>44.3</v>
      </c>
      <c r="AG1712" t="inlineStr">
        <is>
          <t>396</t>
        </is>
      </c>
      <c r="AH1712" t="n">
        <v>83.59999999999999</v>
      </c>
      <c r="AI1712" t="inlineStr">
        <is>
          <t>131</t>
        </is>
      </c>
      <c r="AJ1712" t="inlineStr">
        <is>
          <t>12.0</t>
        </is>
      </c>
      <c r="AK1712" t="inlineStr">
        <is>
          <t>601+</t>
        </is>
      </c>
      <c r="AL1712" t="inlineStr">
        <is>
          <t>6.8</t>
        </is>
      </c>
      <c r="AM1712" t="inlineStr">
        <is>
          <t>601+</t>
        </is>
      </c>
      <c r="AN1712" t="inlineStr">
        <is>
          <t>17.3</t>
        </is>
      </c>
      <c r="AO1712" t="inlineStr">
        <is>
          <t>701+</t>
        </is>
      </c>
      <c r="AP1712" t="inlineStr">
        <is>
          <t>54.3</t>
        </is>
      </c>
      <c r="AQ1712" t="inlineStr">
        <is>
          <t>237</t>
        </is>
      </c>
      <c r="AR1712" t="inlineStr">
        <is>
          <t>70.0</t>
        </is>
      </c>
      <c r="AS1712" t="inlineStr">
        <is>
          <t>279</t>
        </is>
      </c>
      <c r="AT1712" t="inlineStr">
        <is>
          <t>51.8</t>
        </is>
      </c>
      <c r="AU1712" t="inlineStr">
        <is>
          <t>280</t>
        </is>
      </c>
      <c r="AV1712" t="inlineStr">
        <is>
          <t>47.2</t>
        </is>
      </c>
      <c r="AW1712" t="inlineStr">
        <is>
          <t>331</t>
        </is>
      </c>
      <c r="AX1712" t="inlineStr">
        <is>
          <t>20.9</t>
        </is>
      </c>
      <c r="AY1712" t="inlineStr">
        <is>
          <t>396</t>
        </is>
      </c>
      <c r="AZ1712" t="inlineStr">
        <is>
          <t>94.9</t>
        </is>
      </c>
      <c r="BA1712" t="inlineStr">
        <is>
          <t>56</t>
        </is>
      </c>
    </row>
    <row r="1713">
      <c r="A1713" t="inlineStr">
        <is>
          <t>University of Science and Technology Beijing</t>
        </is>
      </c>
      <c r="B1713" t="inlineStr">
        <is>
          <t>China (Mainland)</t>
        </is>
      </c>
      <c r="C1713" t="inlineStr">
        <is>
          <t>CN</t>
        </is>
      </c>
      <c r="D1713" t="inlineStr">
        <is>
          <t>Asia</t>
        </is>
      </c>
      <c r="E1713" t="inlineStr">
        <is>
          <t>L</t>
        </is>
      </c>
      <c r="F1713" t="inlineStr">
        <is>
          <t>CO</t>
        </is>
      </c>
      <c r="G1713" t="inlineStr">
        <is>
          <t>VH</t>
        </is>
      </c>
      <c r="H1713" t="inlineStr">
        <is>
          <t>3</t>
        </is>
      </c>
      <c r="I1713" t="inlineStr">
        <is>
          <t>Public</t>
        </is>
      </c>
      <c r="J1713" t="inlineStr">
        <is>
          <t>480</t>
        </is>
      </c>
      <c r="K1713" t="inlineStr">
        <is>
          <t>430</t>
        </is>
      </c>
      <c r="L1713">
        <f>436</f>
        <v/>
      </c>
      <c r="M1713" t="inlineStr">
        <is>
          <t>428=</t>
        </is>
      </c>
      <c r="N1713" t="inlineStr">
        <is>
          <t>33.2</t>
        </is>
      </c>
      <c r="O1713" t="inlineStr">
        <is>
          <t>26.0</t>
        </is>
      </c>
      <c r="P1713" t="n">
        <v>16.4</v>
      </c>
      <c r="Q1713" t="inlineStr">
        <is>
          <t>701+</t>
        </is>
      </c>
      <c r="R1713" t="n">
        <v>14.6</v>
      </c>
      <c r="S1713" t="inlineStr">
        <is>
          <t>701+</t>
        </is>
      </c>
      <c r="T1713" t="n">
        <v>13.9</v>
      </c>
      <c r="U1713" t="inlineStr">
        <is>
          <t>801+</t>
        </is>
      </c>
      <c r="V1713" t="n">
        <v>99.2</v>
      </c>
      <c r="W1713" t="inlineStr">
        <is>
          <t>37</t>
        </is>
      </c>
      <c r="X1713" t="n">
        <v>4.2</v>
      </c>
      <c r="Y1713" t="inlineStr">
        <is>
          <t>801+</t>
        </is>
      </c>
      <c r="Z1713" t="n">
        <v>5.1</v>
      </c>
      <c r="AA1713" t="inlineStr">
        <is>
          <t>801+</t>
        </is>
      </c>
      <c r="AB1713" t="n">
        <v>4</v>
      </c>
      <c r="AC1713" t="inlineStr">
        <is>
          <t>801+</t>
        </is>
      </c>
      <c r="AD1713" t="n">
        <v>59.1</v>
      </c>
      <c r="AE1713" t="inlineStr">
        <is>
          <t>706</t>
        </is>
      </c>
      <c r="AF1713" t="n">
        <v>8.5</v>
      </c>
      <c r="AG1713" t="inlineStr">
        <is>
          <t>801+</t>
        </is>
      </c>
      <c r="AH1713" t="n">
        <v>41.6</v>
      </c>
      <c r="AI1713" t="inlineStr">
        <is>
          <t>801+</t>
        </is>
      </c>
      <c r="AJ1713" t="inlineStr">
        <is>
          <t>12.6</t>
        </is>
      </c>
      <c r="AK1713" t="inlineStr">
        <is>
          <t>601+</t>
        </is>
      </c>
      <c r="AL1713" t="inlineStr">
        <is>
          <t>3.0</t>
        </is>
      </c>
      <c r="AM1713" t="inlineStr">
        <is>
          <t>601+</t>
        </is>
      </c>
      <c r="AN1713" t="inlineStr">
        <is>
          <t>10.7</t>
        </is>
      </c>
      <c r="AO1713" t="inlineStr">
        <is>
          <t>701+</t>
        </is>
      </c>
      <c r="AP1713" t="inlineStr">
        <is>
          <t>97.3</t>
        </is>
      </c>
      <c r="AQ1713" t="inlineStr">
        <is>
          <t>39</t>
        </is>
      </c>
      <c r="AR1713" t="inlineStr">
        <is>
          <t>3.3</t>
        </is>
      </c>
      <c r="AS1713" t="inlineStr">
        <is>
          <t>701+</t>
        </is>
      </c>
      <c r="AT1713" t="inlineStr">
        <is>
          <t>3.0</t>
        </is>
      </c>
      <c r="AU1713" t="inlineStr">
        <is>
          <t>701+</t>
        </is>
      </c>
      <c r="AV1713" t="inlineStr">
        <is>
          <t>9.2</t>
        </is>
      </c>
      <c r="AW1713" t="inlineStr">
        <is>
          <t>691</t>
        </is>
      </c>
      <c r="AX1713" t="inlineStr">
        <is>
          <t>6.2</t>
        </is>
      </c>
      <c r="AY1713" t="inlineStr">
        <is>
          <t>701+</t>
        </is>
      </c>
      <c r="AZ1713" t="inlineStr">
        <is>
          <t>3.3</t>
        </is>
      </c>
      <c r="BA1713" t="inlineStr">
        <is>
          <t>701+</t>
        </is>
      </c>
    </row>
    <row r="1714">
      <c r="A1714" t="inlineStr">
        <is>
          <t>University of Science and Technology of China</t>
        </is>
      </c>
      <c r="B1714" t="inlineStr">
        <is>
          <t>China (Mainland)</t>
        </is>
      </c>
      <c r="C1714" t="inlineStr">
        <is>
          <t>CN</t>
        </is>
      </c>
      <c r="D1714" t="inlineStr">
        <is>
          <t>Asia</t>
        </is>
      </c>
      <c r="E1714" t="inlineStr">
        <is>
          <t>L</t>
        </is>
      </c>
      <c r="F1714" t="inlineStr">
        <is>
          <t>CO</t>
        </is>
      </c>
      <c r="G1714" t="inlineStr">
        <is>
          <t>VH</t>
        </is>
      </c>
      <c r="H1714" t="inlineStr">
        <is>
          <t>4</t>
        </is>
      </c>
      <c r="I1714" t="inlineStr">
        <is>
          <t>Public</t>
        </is>
      </c>
      <c r="J1714" t="inlineStr">
        <is>
          <t>132</t>
        </is>
      </c>
      <c r="K1714" t="inlineStr">
        <is>
          <t>133</t>
        </is>
      </c>
      <c r="L1714">
        <f>137</f>
        <v/>
      </c>
      <c r="M1714" t="inlineStr">
        <is>
          <t>94</t>
        </is>
      </c>
      <c r="N1714" t="inlineStr">
        <is>
          <t>64.2</t>
        </is>
      </c>
      <c r="O1714" t="inlineStr">
        <is>
          <t>52.6</t>
        </is>
      </c>
      <c r="P1714" t="n">
        <v>57.6</v>
      </c>
      <c r="Q1714" t="inlineStr">
        <is>
          <t>188</t>
        </is>
      </c>
      <c r="R1714" t="n">
        <v>50.6</v>
      </c>
      <c r="S1714" t="inlineStr">
        <is>
          <t>248</t>
        </is>
      </c>
      <c r="T1714" t="n">
        <v>98.09999999999999</v>
      </c>
      <c r="U1714" t="inlineStr">
        <is>
          <t>56</t>
        </is>
      </c>
      <c r="V1714" t="n">
        <v>99.40000000000001</v>
      </c>
      <c r="W1714" t="inlineStr">
        <is>
          <t>30</t>
        </is>
      </c>
      <c r="X1714" t="n">
        <v>14.9</v>
      </c>
      <c r="Y1714" t="inlineStr">
        <is>
          <t>801+</t>
        </is>
      </c>
      <c r="Z1714" t="n">
        <v>7.8</v>
      </c>
      <c r="AA1714" t="inlineStr">
        <is>
          <t>801+</t>
        </is>
      </c>
      <c r="AB1714" t="n">
        <v>13.5</v>
      </c>
      <c r="AC1714" t="inlineStr">
        <is>
          <t>801+</t>
        </is>
      </c>
      <c r="AD1714" t="n">
        <v>74.40000000000001</v>
      </c>
      <c r="AE1714" t="inlineStr">
        <is>
          <t>457</t>
        </is>
      </c>
      <c r="AF1714" t="n">
        <v>42.8</v>
      </c>
      <c r="AG1714" t="inlineStr">
        <is>
          <t>410</t>
        </is>
      </c>
      <c r="AH1714" t="n">
        <v>55.3</v>
      </c>
      <c r="AI1714" t="inlineStr">
        <is>
          <t>596=</t>
        </is>
      </c>
      <c r="AJ1714" t="inlineStr">
        <is>
          <t>52.5</t>
        </is>
      </c>
      <c r="AK1714" t="inlineStr">
        <is>
          <t>149</t>
        </is>
      </c>
      <c r="AL1714" t="inlineStr">
        <is>
          <t>17.5</t>
        </is>
      </c>
      <c r="AM1714" t="inlineStr">
        <is>
          <t>500</t>
        </is>
      </c>
      <c r="AN1714" t="inlineStr">
        <is>
          <t>91.2</t>
        </is>
      </c>
      <c r="AO1714" t="inlineStr">
        <is>
          <t>80</t>
        </is>
      </c>
      <c r="AP1714" t="inlineStr">
        <is>
          <t>98.5</t>
        </is>
      </c>
      <c r="AQ1714" t="inlineStr">
        <is>
          <t>26</t>
        </is>
      </c>
      <c r="AR1714" t="inlineStr">
        <is>
          <t>16.8</t>
        </is>
      </c>
      <c r="AS1714" t="inlineStr">
        <is>
          <t>639</t>
        </is>
      </c>
      <c r="AT1714" t="inlineStr">
        <is>
          <t>5.2</t>
        </is>
      </c>
      <c r="AU1714" t="inlineStr">
        <is>
          <t>701+</t>
        </is>
      </c>
      <c r="AV1714" t="inlineStr">
        <is>
          <t>32.2</t>
        </is>
      </c>
      <c r="AW1714" t="inlineStr">
        <is>
          <t>444</t>
        </is>
      </c>
      <c r="AX1714" t="inlineStr">
        <is>
          <t>24.8</t>
        </is>
      </c>
      <c r="AY1714" t="inlineStr">
        <is>
          <t>335</t>
        </is>
      </c>
      <c r="AZ1714" t="inlineStr">
        <is>
          <t>21.6</t>
        </is>
      </c>
      <c r="BA1714" t="inlineStr">
        <is>
          <t>528=</t>
        </is>
      </c>
    </row>
    <row r="1715">
      <c r="A1715" t="inlineStr">
        <is>
          <t>University of Seoul</t>
        </is>
      </c>
      <c r="B1715" t="inlineStr">
        <is>
          <t>Republic of Korea</t>
        </is>
      </c>
      <c r="C1715" t="inlineStr"/>
      <c r="D1715" t="inlineStr">
        <is>
          <t>Asia</t>
        </is>
      </c>
      <c r="E1715" t="inlineStr">
        <is>
          <t>M</t>
        </is>
      </c>
      <c r="F1715" t="inlineStr">
        <is>
          <t>CO</t>
        </is>
      </c>
      <c r="G1715" t="inlineStr">
        <is>
          <t>VH</t>
        </is>
      </c>
      <c r="H1715" t="inlineStr"/>
      <c r="I1715" t="inlineStr">
        <is>
          <t>Public</t>
        </is>
      </c>
      <c r="J1715" t="inlineStr">
        <is>
          <t>851-900</t>
        </is>
      </c>
      <c r="K1715" t="inlineStr">
        <is>
          <t>1001-1200</t>
        </is>
      </c>
      <c r="L1715" t="inlineStr"/>
      <c r="M1715" t="inlineStr"/>
      <c r="N1715" t="inlineStr">
        <is>
          <t>-</t>
        </is>
      </c>
      <c r="O1715" t="inlineStr"/>
      <c r="P1715" t="n">
        <v>17.6</v>
      </c>
      <c r="Q1715" t="inlineStr">
        <is>
          <t>695</t>
        </is>
      </c>
      <c r="R1715" t="n">
        <v>15.6</v>
      </c>
      <c r="S1715" t="inlineStr">
        <is>
          <t>701+</t>
        </is>
      </c>
      <c r="T1715" t="n">
        <v>49.2</v>
      </c>
      <c r="U1715" t="inlineStr">
        <is>
          <t>390</t>
        </is>
      </c>
      <c r="V1715" t="n">
        <v>16.5</v>
      </c>
      <c r="W1715" t="inlineStr">
        <is>
          <t>773</t>
        </is>
      </c>
      <c r="X1715" t="n">
        <v>6.4</v>
      </c>
      <c r="Y1715" t="inlineStr">
        <is>
          <t>801+</t>
        </is>
      </c>
      <c r="Z1715" t="n">
        <v>12</v>
      </c>
      <c r="AA1715" t="inlineStr">
        <is>
          <t>801+</t>
        </is>
      </c>
      <c r="AB1715" t="n">
        <v>16.3</v>
      </c>
      <c r="AC1715" t="inlineStr">
        <is>
          <t>801+</t>
        </is>
      </c>
      <c r="AD1715" t="n">
        <v>38.4</v>
      </c>
      <c r="AE1715" t="inlineStr">
        <is>
          <t>801+</t>
        </is>
      </c>
      <c r="AF1715" t="n">
        <v>6.9</v>
      </c>
      <c r="AG1715" t="inlineStr">
        <is>
          <t>801+</t>
        </is>
      </c>
      <c r="AH1715" t="n">
        <v>48.5</v>
      </c>
      <c r="AI1715" t="inlineStr">
        <is>
          <t>743=</t>
        </is>
      </c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</row>
    <row r="1716">
      <c r="A1716" t="inlineStr">
        <is>
          <t xml:space="preserve">University of Seoul </t>
        </is>
      </c>
      <c r="B1716" t="inlineStr">
        <is>
          <t>South Korea</t>
        </is>
      </c>
      <c r="C1716" t="inlineStr">
        <is>
          <t>KR</t>
        </is>
      </c>
      <c r="D1716" t="inlineStr"/>
      <c r="E1716" t="inlineStr">
        <is>
          <t>M</t>
        </is>
      </c>
      <c r="F1716" t="inlineStr">
        <is>
          <t>CO</t>
        </is>
      </c>
      <c r="G1716" t="inlineStr">
        <is>
          <t>VH</t>
        </is>
      </c>
      <c r="H1716" t="inlineStr">
        <is>
          <t>3</t>
        </is>
      </c>
      <c r="I1716" t="inlineStr">
        <is>
          <t>A</t>
        </is>
      </c>
      <c r="J1716" t="inlineStr"/>
      <c r="K1716" t="inlineStr"/>
      <c r="L1716" t="inlineStr">
        <is>
          <t>951-1000</t>
        </is>
      </c>
      <c r="M1716" t="inlineStr">
        <is>
          <t>801-1000</t>
        </is>
      </c>
      <c r="N1716" t="inlineStr"/>
      <c r="O1716" t="inlineStr">
        <is>
          <t>-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>
        <is>
          <t>12.1</t>
        </is>
      </c>
      <c r="AK1716" t="inlineStr">
        <is>
          <t>601+</t>
        </is>
      </c>
      <c r="AL1716" t="inlineStr">
        <is>
          <t>10.0</t>
        </is>
      </c>
      <c r="AM1716" t="inlineStr">
        <is>
          <t>601+</t>
        </is>
      </c>
      <c r="AN1716" t="inlineStr">
        <is>
          <t>37.2</t>
        </is>
      </c>
      <c r="AO1716" t="inlineStr">
        <is>
          <t>424</t>
        </is>
      </c>
      <c r="AP1716" t="inlineStr">
        <is>
          <t>8.2</t>
        </is>
      </c>
      <c r="AQ1716" t="inlineStr">
        <is>
          <t>701+</t>
        </is>
      </c>
      <c r="AR1716" t="inlineStr">
        <is>
          <t>3.2</t>
        </is>
      </c>
      <c r="AS1716" t="inlineStr">
        <is>
          <t>701+</t>
        </is>
      </c>
      <c r="AT1716" t="inlineStr">
        <is>
          <t>5.8</t>
        </is>
      </c>
      <c r="AU1716" t="inlineStr">
        <is>
          <t>701+</t>
        </is>
      </c>
      <c r="AV1716" t="inlineStr">
        <is>
          <t>1.3</t>
        </is>
      </c>
      <c r="AW1716" t="inlineStr">
        <is>
          <t>701+</t>
        </is>
      </c>
      <c r="AX1716" t="inlineStr">
        <is>
          <t>9.2</t>
        </is>
      </c>
      <c r="AY1716" t="inlineStr">
        <is>
          <t>701+</t>
        </is>
      </c>
      <c r="AZ1716" t="inlineStr">
        <is>
          <t>1.4</t>
        </is>
      </c>
      <c r="BA1716" t="inlineStr">
        <is>
          <t>701+</t>
        </is>
      </c>
    </row>
    <row r="1717">
      <c r="A1717" t="inlineStr">
        <is>
          <t>University of Sharjah</t>
        </is>
      </c>
      <c r="B1717" t="inlineStr">
        <is>
          <t>United Arab Emirates</t>
        </is>
      </c>
      <c r="C1717" t="inlineStr">
        <is>
          <t>AE</t>
        </is>
      </c>
      <c r="D1717" t="inlineStr">
        <is>
          <t>Asia</t>
        </is>
      </c>
      <c r="E1717" t="inlineStr">
        <is>
          <t>L</t>
        </is>
      </c>
      <c r="F1717" t="inlineStr">
        <is>
          <t>CO</t>
        </is>
      </c>
      <c r="G1717" t="inlineStr">
        <is>
          <t>VH</t>
        </is>
      </c>
      <c r="H1717" t="inlineStr">
        <is>
          <t>3</t>
        </is>
      </c>
      <c r="I1717" t="inlineStr">
        <is>
          <t>Private not for Profit</t>
        </is>
      </c>
      <c r="J1717" t="inlineStr">
        <is>
          <t>328</t>
        </is>
      </c>
      <c r="K1717" t="inlineStr">
        <is>
          <t>434</t>
        </is>
      </c>
      <c r="L1717">
        <f>465</f>
        <v/>
      </c>
      <c r="M1717" t="inlineStr">
        <is>
          <t>601-650</t>
        </is>
      </c>
      <c r="N1717" t="inlineStr">
        <is>
          <t>42.6</t>
        </is>
      </c>
      <c r="O1717" t="inlineStr">
        <is>
          <t>24.7</t>
        </is>
      </c>
      <c r="P1717" t="n">
        <v>28.5</v>
      </c>
      <c r="Q1717" t="inlineStr">
        <is>
          <t>440</t>
        </is>
      </c>
      <c r="R1717" t="n">
        <v>34.9</v>
      </c>
      <c r="S1717" t="inlineStr">
        <is>
          <t>411</t>
        </is>
      </c>
      <c r="T1717" t="n">
        <v>9.300000000000001</v>
      </c>
      <c r="U1717" t="inlineStr">
        <is>
          <t>801+</t>
        </is>
      </c>
      <c r="V1717" t="n">
        <v>52.2</v>
      </c>
      <c r="W1717" t="inlineStr">
        <is>
          <t>362</t>
        </is>
      </c>
      <c r="X1717" t="n">
        <v>100</v>
      </c>
      <c r="Y1717" t="inlineStr">
        <is>
          <t>15</t>
        </is>
      </c>
      <c r="Z1717" t="n">
        <v>100</v>
      </c>
      <c r="AA1717" t="inlineStr">
        <is>
          <t>40</t>
        </is>
      </c>
      <c r="AB1717" t="n">
        <v>100</v>
      </c>
      <c r="AC1717" t="inlineStr">
        <is>
          <t>28</t>
        </is>
      </c>
      <c r="AD1717" t="n">
        <v>84.8</v>
      </c>
      <c r="AE1717" t="inlineStr">
        <is>
          <t>259</t>
        </is>
      </c>
      <c r="AF1717" t="n">
        <v>19.3</v>
      </c>
      <c r="AG1717" t="inlineStr">
        <is>
          <t>740</t>
        </is>
      </c>
      <c r="AH1717" t="n">
        <v>58.8</v>
      </c>
      <c r="AI1717" t="inlineStr">
        <is>
          <t>525=</t>
        </is>
      </c>
      <c r="AJ1717" t="inlineStr">
        <is>
          <t>16.7</t>
        </is>
      </c>
      <c r="AK1717" t="inlineStr">
        <is>
          <t>530</t>
        </is>
      </c>
      <c r="AL1717" t="inlineStr">
        <is>
          <t>18.8</t>
        </is>
      </c>
      <c r="AM1717" t="inlineStr">
        <is>
          <t>473</t>
        </is>
      </c>
      <c r="AN1717" t="inlineStr">
        <is>
          <t>5.5</t>
        </is>
      </c>
      <c r="AO1717" t="inlineStr">
        <is>
          <t>701+</t>
        </is>
      </c>
      <c r="AP1717" t="inlineStr">
        <is>
          <t>13.5</t>
        </is>
      </c>
      <c r="AQ1717" t="inlineStr">
        <is>
          <t>668</t>
        </is>
      </c>
      <c r="AR1717" t="inlineStr">
        <is>
          <t>100.0</t>
        </is>
      </c>
      <c r="AS1717" t="inlineStr">
        <is>
          <t>9</t>
        </is>
      </c>
      <c r="AT1717" t="inlineStr">
        <is>
          <t>99.7</t>
        </is>
      </c>
      <c r="AU1717" t="inlineStr">
        <is>
          <t>35</t>
        </is>
      </c>
      <c r="AV1717" t="inlineStr">
        <is>
          <t>35.9</t>
        </is>
      </c>
      <c r="AW1717" t="inlineStr">
        <is>
          <t>413</t>
        </is>
      </c>
      <c r="AX1717" t="inlineStr">
        <is>
          <t>14.1</t>
        </is>
      </c>
      <c r="AY1717" t="inlineStr">
        <is>
          <t>600</t>
        </is>
      </c>
      <c r="AZ1717" t="inlineStr">
        <is>
          <t>24.6</t>
        </is>
      </c>
      <c r="BA1717" t="inlineStr">
        <is>
          <t>495=</t>
        </is>
      </c>
    </row>
    <row r="1718">
      <c r="A1718" t="inlineStr">
        <is>
          <t>University of Siena</t>
        </is>
      </c>
      <c r="B1718" t="inlineStr">
        <is>
          <t>Italy</t>
        </is>
      </c>
      <c r="C1718" t="inlineStr">
        <is>
          <t>IT</t>
        </is>
      </c>
      <c r="D1718" t="inlineStr">
        <is>
          <t>Europe</t>
        </is>
      </c>
      <c r="E1718" t="inlineStr">
        <is>
          <t>M</t>
        </is>
      </c>
      <c r="F1718" t="inlineStr">
        <is>
          <t>FC</t>
        </is>
      </c>
      <c r="G1718" t="inlineStr">
        <is>
          <t>VH</t>
        </is>
      </c>
      <c r="H1718" t="inlineStr">
        <is>
          <t>5</t>
        </is>
      </c>
      <c r="I1718" t="inlineStr">
        <is>
          <t>Public</t>
        </is>
      </c>
      <c r="J1718" t="inlineStr">
        <is>
          <t>607</t>
        </is>
      </c>
      <c r="K1718" t="inlineStr">
        <is>
          <t>691-700</t>
        </is>
      </c>
      <c r="L1718" t="inlineStr">
        <is>
          <t>731-740</t>
        </is>
      </c>
      <c r="M1718" t="inlineStr">
        <is>
          <t>751-800</t>
        </is>
      </c>
      <c r="N1718" t="inlineStr">
        <is>
          <t>28</t>
        </is>
      </c>
      <c r="O1718" t="inlineStr">
        <is>
          <t>-</t>
        </is>
      </c>
      <c r="P1718" t="n">
        <v>21.4</v>
      </c>
      <c r="Q1718" t="inlineStr">
        <is>
          <t>580</t>
        </is>
      </c>
      <c r="R1718" t="n">
        <v>7.8</v>
      </c>
      <c r="S1718" t="inlineStr">
        <is>
          <t>701+</t>
        </is>
      </c>
      <c r="T1718" t="n">
        <v>15.3</v>
      </c>
      <c r="U1718" t="inlineStr">
        <is>
          <t>801+</t>
        </is>
      </c>
      <c r="V1718" t="n">
        <v>60.2</v>
      </c>
      <c r="W1718" t="inlineStr">
        <is>
          <t>288</t>
        </is>
      </c>
      <c r="X1718" t="n">
        <v>4.6</v>
      </c>
      <c r="Y1718" t="inlineStr">
        <is>
          <t>801+</t>
        </is>
      </c>
      <c r="Z1718" t="n">
        <v>19.7</v>
      </c>
      <c r="AA1718" t="inlineStr">
        <is>
          <t>734</t>
        </is>
      </c>
      <c r="AB1718" t="n">
        <v>25.8</v>
      </c>
      <c r="AC1718" t="inlineStr">
        <is>
          <t>673</t>
        </is>
      </c>
      <c r="AD1718" t="n">
        <v>61.2</v>
      </c>
      <c r="AE1718" t="inlineStr">
        <is>
          <t>675</t>
        </is>
      </c>
      <c r="AF1718" t="n">
        <v>12.3</v>
      </c>
      <c r="AG1718" t="inlineStr">
        <is>
          <t>801+</t>
        </is>
      </c>
      <c r="AH1718" t="n">
        <v>63.4</v>
      </c>
      <c r="AI1718" t="inlineStr">
        <is>
          <t>433=</t>
        </is>
      </c>
      <c r="AJ1718" t="inlineStr">
        <is>
          <t>12.5</t>
        </is>
      </c>
      <c r="AK1718" t="inlineStr">
        <is>
          <t>601+</t>
        </is>
      </c>
      <c r="AL1718" t="inlineStr">
        <is>
          <t>2.6</t>
        </is>
      </c>
      <c r="AM1718" t="inlineStr">
        <is>
          <t>601+</t>
        </is>
      </c>
      <c r="AN1718" t="inlineStr">
        <is>
          <t>8.6</t>
        </is>
      </c>
      <c r="AO1718" t="inlineStr">
        <is>
          <t>701+</t>
        </is>
      </c>
      <c r="AP1718" t="inlineStr">
        <is>
          <t>33.2</t>
        </is>
      </c>
      <c r="AQ1718" t="inlineStr">
        <is>
          <t>411</t>
        </is>
      </c>
      <c r="AR1718" t="inlineStr">
        <is>
          <t>2.1</t>
        </is>
      </c>
      <c r="AS1718" t="inlineStr">
        <is>
          <t>701+</t>
        </is>
      </c>
      <c r="AT1718" t="inlineStr">
        <is>
          <t>15.1</t>
        </is>
      </c>
      <c r="AU1718" t="inlineStr">
        <is>
          <t>617</t>
        </is>
      </c>
      <c r="AV1718" t="inlineStr">
        <is>
          <t>16.0</t>
        </is>
      </c>
      <c r="AW1718" t="inlineStr">
        <is>
          <t>585</t>
        </is>
      </c>
      <c r="AX1718" t="inlineStr">
        <is>
          <t>8.3</t>
        </is>
      </c>
      <c r="AY1718" t="inlineStr">
        <is>
          <t>701+</t>
        </is>
      </c>
      <c r="AZ1718" t="inlineStr">
        <is>
          <t>49.4</t>
        </is>
      </c>
      <c r="BA1718" t="inlineStr">
        <is>
          <t>312=</t>
        </is>
      </c>
    </row>
    <row r="1719">
      <c r="A1719" t="inlineStr">
        <is>
          <t>University of Silesia in Katowice</t>
        </is>
      </c>
      <c r="B1719" t="inlineStr">
        <is>
          <t>Poland</t>
        </is>
      </c>
      <c r="C1719" t="inlineStr">
        <is>
          <t>PL</t>
        </is>
      </c>
      <c r="D1719" t="inlineStr">
        <is>
          <t>Europe</t>
        </is>
      </c>
      <c r="E1719" t="inlineStr">
        <is>
          <t>L</t>
        </is>
      </c>
      <c r="F1719" t="inlineStr">
        <is>
          <t>CO</t>
        </is>
      </c>
      <c r="G1719" t="inlineStr">
        <is>
          <t>VH</t>
        </is>
      </c>
      <c r="H1719" t="inlineStr">
        <is>
          <t>4</t>
        </is>
      </c>
      <c r="I1719" t="inlineStr">
        <is>
          <t>Public</t>
        </is>
      </c>
      <c r="J1719" t="inlineStr">
        <is>
          <t>1201-1400</t>
        </is>
      </c>
      <c r="K1719" t="inlineStr">
        <is>
          <t>1201-1400</t>
        </is>
      </c>
      <c r="L1719" t="inlineStr">
        <is>
          <t>1201-1400</t>
        </is>
      </c>
      <c r="M1719" t="inlineStr">
        <is>
          <t>1201-1400</t>
        </is>
      </c>
      <c r="N1719" t="inlineStr">
        <is>
          <t>-</t>
        </is>
      </c>
      <c r="O1719" t="inlineStr">
        <is>
          <t>-</t>
        </is>
      </c>
      <c r="P1719" t="n">
        <v>8.6</v>
      </c>
      <c r="Q1719" t="inlineStr">
        <is>
          <t>701+</t>
        </is>
      </c>
      <c r="R1719" t="n">
        <v>6.8</v>
      </c>
      <c r="S1719" t="inlineStr">
        <is>
          <t>701+</t>
        </is>
      </c>
      <c r="T1719" t="n">
        <v>31.3</v>
      </c>
      <c r="U1719" t="inlineStr">
        <is>
          <t>611</t>
        </is>
      </c>
      <c r="V1719" t="n">
        <v>5.7</v>
      </c>
      <c r="W1719" t="inlineStr">
        <is>
          <t>801+</t>
        </is>
      </c>
      <c r="X1719" t="n">
        <v>5.1</v>
      </c>
      <c r="Y1719" t="inlineStr">
        <is>
          <t>801+</t>
        </is>
      </c>
      <c r="Z1719" t="n">
        <v>7.4</v>
      </c>
      <c r="AA1719" t="inlineStr">
        <is>
          <t>801+</t>
        </is>
      </c>
      <c r="AB1719" t="n">
        <v>12</v>
      </c>
      <c r="AC1719" t="inlineStr">
        <is>
          <t>801+</t>
        </is>
      </c>
      <c r="AD1719" t="n">
        <v>59.3</v>
      </c>
      <c r="AE1719" t="inlineStr">
        <is>
          <t>703</t>
        </is>
      </c>
      <c r="AF1719" t="n">
        <v>10.1</v>
      </c>
      <c r="AG1719" t="inlineStr">
        <is>
          <t>801+</t>
        </is>
      </c>
      <c r="AH1719" t="n">
        <v>44.4</v>
      </c>
      <c r="AI1719" t="inlineStr">
        <is>
          <t>801+</t>
        </is>
      </c>
      <c r="AJ1719" t="inlineStr">
        <is>
          <t>5.3</t>
        </is>
      </c>
      <c r="AK1719" t="inlineStr">
        <is>
          <t>601+</t>
        </is>
      </c>
      <c r="AL1719" t="inlineStr">
        <is>
          <t>4.3</t>
        </is>
      </c>
      <c r="AM1719" t="inlineStr">
        <is>
          <t>601+</t>
        </is>
      </c>
      <c r="AN1719" t="inlineStr">
        <is>
          <t>17.2</t>
        </is>
      </c>
      <c r="AO1719" t="inlineStr">
        <is>
          <t>701+</t>
        </is>
      </c>
      <c r="AP1719" t="inlineStr">
        <is>
          <t>3.3</t>
        </is>
      </c>
      <c r="AQ1719" t="inlineStr">
        <is>
          <t>701+</t>
        </is>
      </c>
      <c r="AR1719" t="inlineStr">
        <is>
          <t>3.3</t>
        </is>
      </c>
      <c r="AS1719" t="inlineStr">
        <is>
          <t>701+</t>
        </is>
      </c>
      <c r="AT1719" t="inlineStr">
        <is>
          <t>3.3</t>
        </is>
      </c>
      <c r="AU1719" t="inlineStr">
        <is>
          <t>701+</t>
        </is>
      </c>
      <c r="AV1719" t="inlineStr">
        <is>
          <t>11.5</t>
        </is>
      </c>
      <c r="AW1719" t="inlineStr">
        <is>
          <t>644</t>
        </is>
      </c>
      <c r="AX1719" t="inlineStr">
        <is>
          <t>8.3</t>
        </is>
      </c>
      <c r="AY1719" t="inlineStr">
        <is>
          <t>701+</t>
        </is>
      </c>
      <c r="AZ1719" t="inlineStr">
        <is>
          <t>1.4</t>
        </is>
      </c>
      <c r="BA1719" t="inlineStr">
        <is>
          <t>701+</t>
        </is>
      </c>
    </row>
    <row r="1720">
      <c r="A1720" t="inlineStr">
        <is>
          <t>University of South Africa</t>
        </is>
      </c>
      <c r="B1720" t="inlineStr">
        <is>
          <t>South Africa</t>
        </is>
      </c>
      <c r="C1720" t="inlineStr">
        <is>
          <t>ZA</t>
        </is>
      </c>
      <c r="D1720" t="inlineStr">
        <is>
          <t>Africa</t>
        </is>
      </c>
      <c r="E1720" t="inlineStr">
        <is>
          <t>XL</t>
        </is>
      </c>
      <c r="F1720" t="inlineStr">
        <is>
          <t>CO</t>
        </is>
      </c>
      <c r="G1720" t="inlineStr">
        <is>
          <t>VH</t>
        </is>
      </c>
      <c r="H1720" t="inlineStr">
        <is>
          <t>5</t>
        </is>
      </c>
      <c r="I1720" t="inlineStr">
        <is>
          <t>Public</t>
        </is>
      </c>
      <c r="J1720" t="inlineStr">
        <is>
          <t>901-950</t>
        </is>
      </c>
      <c r="K1720" t="inlineStr">
        <is>
          <t>851-900</t>
        </is>
      </c>
      <c r="L1720" t="inlineStr">
        <is>
          <t>851-900</t>
        </is>
      </c>
      <c r="M1720" t="inlineStr"/>
      <c r="N1720" t="inlineStr">
        <is>
          <t>-</t>
        </is>
      </c>
      <c r="O1720" t="inlineStr">
        <is>
          <t>-</t>
        </is>
      </c>
      <c r="P1720" t="n">
        <v>13.8</v>
      </c>
      <c r="Q1720" t="inlineStr">
        <is>
          <t>701+</t>
        </is>
      </c>
      <c r="R1720" t="n">
        <v>13.6</v>
      </c>
      <c r="S1720" t="inlineStr">
        <is>
          <t>701+</t>
        </is>
      </c>
      <c r="T1720" t="n">
        <v>1.2</v>
      </c>
      <c r="U1720" t="inlineStr">
        <is>
          <t>801+</t>
        </is>
      </c>
      <c r="V1720" t="n">
        <v>11.7</v>
      </c>
      <c r="W1720" t="inlineStr">
        <is>
          <t>801+</t>
        </is>
      </c>
      <c r="X1720" t="inlineStr"/>
      <c r="Y1720" t="inlineStr"/>
      <c r="Z1720" t="n">
        <v>13.3</v>
      </c>
      <c r="AA1720" t="inlineStr">
        <is>
          <t>801+</t>
        </is>
      </c>
      <c r="AB1720" t="n">
        <v>10.1</v>
      </c>
      <c r="AC1720" t="inlineStr">
        <is>
          <t>801+</t>
        </is>
      </c>
      <c r="AD1720" t="n">
        <v>92.5</v>
      </c>
      <c r="AE1720" t="inlineStr">
        <is>
          <t>138</t>
        </is>
      </c>
      <c r="AF1720" t="n">
        <v>96</v>
      </c>
      <c r="AG1720" t="inlineStr">
        <is>
          <t>66</t>
        </is>
      </c>
      <c r="AH1720" t="n">
        <v>43.3</v>
      </c>
      <c r="AI1720" t="inlineStr">
        <is>
          <t>801+</t>
        </is>
      </c>
      <c r="AJ1720" t="inlineStr">
        <is>
          <t>9.6</t>
        </is>
      </c>
      <c r="AK1720" t="inlineStr">
        <is>
          <t>601+</t>
        </is>
      </c>
      <c r="AL1720" t="inlineStr">
        <is>
          <t>4.9</t>
        </is>
      </c>
      <c r="AM1720" t="inlineStr">
        <is>
          <t>601+</t>
        </is>
      </c>
      <c r="AN1720" t="inlineStr">
        <is>
          <t>1.0</t>
        </is>
      </c>
      <c r="AO1720" t="inlineStr">
        <is>
          <t>701+</t>
        </is>
      </c>
      <c r="AP1720" t="inlineStr">
        <is>
          <t>8.8</t>
        </is>
      </c>
      <c r="AQ1720" t="inlineStr">
        <is>
          <t>701+</t>
        </is>
      </c>
      <c r="AR1720" t="inlineStr"/>
      <c r="AS1720" t="inlineStr"/>
      <c r="AT1720" t="inlineStr">
        <is>
          <t>8.0</t>
        </is>
      </c>
      <c r="AU1720" t="inlineStr">
        <is>
          <t>701+</t>
        </is>
      </c>
      <c r="AV1720" t="inlineStr">
        <is>
          <t>81.8</t>
        </is>
      </c>
      <c r="AW1720" t="inlineStr">
        <is>
          <t>136</t>
        </is>
      </c>
      <c r="AX1720" t="inlineStr">
        <is>
          <t>66.6</t>
        </is>
      </c>
      <c r="AY1720" t="inlineStr">
        <is>
          <t>81</t>
        </is>
      </c>
      <c r="AZ1720" t="inlineStr"/>
      <c r="BA1720" t="inlineStr"/>
    </row>
    <row r="1721">
      <c r="A1721" t="inlineStr">
        <is>
          <t>University of South Alabama (USA)</t>
        </is>
      </c>
      <c r="B1721" t="inlineStr">
        <is>
          <t>United States</t>
        </is>
      </c>
      <c r="C1721" t="inlineStr">
        <is>
          <t>US</t>
        </is>
      </c>
      <c r="D1721" t="inlineStr">
        <is>
          <t>Americas</t>
        </is>
      </c>
      <c r="E1721" t="inlineStr">
        <is>
          <t>L</t>
        </is>
      </c>
      <c r="F1721" t="inlineStr">
        <is>
          <t>CO</t>
        </is>
      </c>
      <c r="G1721" t="inlineStr">
        <is>
          <t>HI</t>
        </is>
      </c>
      <c r="H1721" t="inlineStr">
        <is>
          <t>4</t>
        </is>
      </c>
      <c r="I1721" t="inlineStr">
        <is>
          <t>Public</t>
        </is>
      </c>
      <c r="J1721" t="inlineStr">
        <is>
          <t>1201-1400</t>
        </is>
      </c>
      <c r="K1721" t="inlineStr">
        <is>
          <t>1201-1400</t>
        </is>
      </c>
      <c r="L1721" t="inlineStr">
        <is>
          <t>1201-1400</t>
        </is>
      </c>
      <c r="M1721" t="inlineStr">
        <is>
          <t>1201-1400</t>
        </is>
      </c>
      <c r="N1721" t="inlineStr">
        <is>
          <t>-</t>
        </is>
      </c>
      <c r="O1721" t="inlineStr">
        <is>
          <t>-</t>
        </is>
      </c>
      <c r="P1721" t="n">
        <v>5.6</v>
      </c>
      <c r="Q1721" t="inlineStr">
        <is>
          <t>701+</t>
        </is>
      </c>
      <c r="R1721" t="n">
        <v>11.1</v>
      </c>
      <c r="S1721" t="inlineStr">
        <is>
          <t>701+</t>
        </is>
      </c>
      <c r="T1721" t="n">
        <v>23.1</v>
      </c>
      <c r="U1721" t="inlineStr">
        <is>
          <t>772</t>
        </is>
      </c>
      <c r="V1721" t="n">
        <v>13.1</v>
      </c>
      <c r="W1721" t="inlineStr">
        <is>
          <t>801+</t>
        </is>
      </c>
      <c r="X1721" t="inlineStr"/>
      <c r="Y1721" t="inlineStr"/>
      <c r="Z1721" t="n">
        <v>2.7</v>
      </c>
      <c r="AA1721" t="inlineStr">
        <is>
          <t>801+</t>
        </is>
      </c>
      <c r="AB1721" t="n">
        <v>2.3</v>
      </c>
      <c r="AC1721" t="inlineStr">
        <is>
          <t>801+</t>
        </is>
      </c>
      <c r="AD1721" t="n">
        <v>13.7</v>
      </c>
      <c r="AE1721" t="inlineStr">
        <is>
          <t>801+</t>
        </is>
      </c>
      <c r="AF1721" t="n">
        <v>3.2</v>
      </c>
      <c r="AG1721" t="inlineStr">
        <is>
          <t>801+</t>
        </is>
      </c>
      <c r="AH1721" t="n">
        <v>28.9</v>
      </c>
      <c r="AI1721" t="inlineStr">
        <is>
          <t>801+</t>
        </is>
      </c>
      <c r="AJ1721" t="inlineStr">
        <is>
          <t>5.3</t>
        </is>
      </c>
      <c r="AK1721" t="inlineStr">
        <is>
          <t>601+</t>
        </is>
      </c>
      <c r="AL1721" t="inlineStr">
        <is>
          <t>4.4</t>
        </is>
      </c>
      <c r="AM1721" t="inlineStr">
        <is>
          <t>601+</t>
        </is>
      </c>
      <c r="AN1721" t="inlineStr">
        <is>
          <t>17.3</t>
        </is>
      </c>
      <c r="AO1721" t="inlineStr">
        <is>
          <t>701+</t>
        </is>
      </c>
      <c r="AP1721" t="inlineStr">
        <is>
          <t>6.5</t>
        </is>
      </c>
      <c r="AQ1721" t="inlineStr">
        <is>
          <t>701+</t>
        </is>
      </c>
      <c r="AR1721" t="inlineStr"/>
      <c r="AS1721" t="inlineStr"/>
      <c r="AT1721" t="inlineStr">
        <is>
          <t>1.8</t>
        </is>
      </c>
      <c r="AU1721" t="inlineStr">
        <is>
          <t>701+</t>
        </is>
      </c>
      <c r="AV1721" t="inlineStr">
        <is>
          <t>1.1</t>
        </is>
      </c>
      <c r="AW1721" t="inlineStr">
        <is>
          <t>701+</t>
        </is>
      </c>
      <c r="AX1721" t="inlineStr">
        <is>
          <t>7.6</t>
        </is>
      </c>
      <c r="AY1721" t="inlineStr">
        <is>
          <t>701+</t>
        </is>
      </c>
      <c r="AZ1721" t="inlineStr">
        <is>
          <t>1.2</t>
        </is>
      </c>
      <c r="BA1721" t="inlineStr">
        <is>
          <t>701+</t>
        </is>
      </c>
    </row>
    <row r="1722">
      <c r="A1722" t="inlineStr">
        <is>
          <t>University of South Australia</t>
        </is>
      </c>
      <c r="B1722" t="inlineStr">
        <is>
          <t>Australia</t>
        </is>
      </c>
      <c r="C1722" t="inlineStr">
        <is>
          <t>AU</t>
        </is>
      </c>
      <c r="D1722" t="inlineStr"/>
      <c r="E1722" t="inlineStr">
        <is>
          <t>L</t>
        </is>
      </c>
      <c r="F1722" t="inlineStr">
        <is>
          <t>CO</t>
        </is>
      </c>
      <c r="G1722" t="inlineStr">
        <is>
          <t>VH</t>
        </is>
      </c>
      <c r="H1722" t="inlineStr">
        <is>
          <t>3</t>
        </is>
      </c>
      <c r="I1722" t="inlineStr">
        <is>
          <t>A</t>
        </is>
      </c>
      <c r="J1722" t="inlineStr"/>
      <c r="K1722" t="inlineStr"/>
      <c r="L1722">
        <f>326</f>
        <v/>
      </c>
      <c r="M1722" t="inlineStr">
        <is>
          <t>363=</t>
        </is>
      </c>
      <c r="N1722" t="inlineStr"/>
      <c r="O1722" t="inlineStr">
        <is>
          <t>32.7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>
        <is>
          <t>22.5</t>
        </is>
      </c>
      <c r="AK1722" t="inlineStr">
        <is>
          <t>390</t>
        </is>
      </c>
      <c r="AL1722" t="inlineStr">
        <is>
          <t>14.0</t>
        </is>
      </c>
      <c r="AM1722" t="inlineStr">
        <is>
          <t>580</t>
        </is>
      </c>
      <c r="AN1722" t="inlineStr">
        <is>
          <t>22.4</t>
        </is>
      </c>
      <c r="AO1722" t="inlineStr">
        <is>
          <t>625</t>
        </is>
      </c>
      <c r="AP1722" t="inlineStr">
        <is>
          <t>32.8</t>
        </is>
      </c>
      <c r="AQ1722" t="inlineStr">
        <is>
          <t>415</t>
        </is>
      </c>
      <c r="AR1722" t="inlineStr">
        <is>
          <t>99.8</t>
        </is>
      </c>
      <c r="AS1722" t="inlineStr">
        <is>
          <t>80</t>
        </is>
      </c>
      <c r="AT1722" t="inlineStr">
        <is>
          <t>45.1</t>
        </is>
      </c>
      <c r="AU1722" t="inlineStr">
        <is>
          <t>322</t>
        </is>
      </c>
      <c r="AV1722" t="inlineStr">
        <is>
          <t>58.6</t>
        </is>
      </c>
      <c r="AW1722" t="inlineStr">
        <is>
          <t>256</t>
        </is>
      </c>
      <c r="AX1722" t="inlineStr">
        <is>
          <t>15.4</t>
        </is>
      </c>
      <c r="AY1722" t="inlineStr">
        <is>
          <t>544</t>
        </is>
      </c>
      <c r="AZ1722" t="inlineStr">
        <is>
          <t>81.7</t>
        </is>
      </c>
      <c r="BA1722" t="inlineStr">
        <is>
          <t>137=</t>
        </is>
      </c>
    </row>
    <row r="1723">
      <c r="A1723" t="inlineStr">
        <is>
          <t>University of South Bohemia</t>
        </is>
      </c>
      <c r="B1723" t="inlineStr">
        <is>
          <t>Czech Republic</t>
        </is>
      </c>
      <c r="C1723" t="inlineStr">
        <is>
          <t>CZ</t>
        </is>
      </c>
      <c r="D1723" t="inlineStr">
        <is>
          <t>Europe</t>
        </is>
      </c>
      <c r="E1723" t="inlineStr">
        <is>
          <t>M</t>
        </is>
      </c>
      <c r="F1723" t="inlineStr">
        <is>
          <t>CO</t>
        </is>
      </c>
      <c r="G1723" t="inlineStr">
        <is>
          <t>VH</t>
        </is>
      </c>
      <c r="H1723" t="inlineStr">
        <is>
          <t>3</t>
        </is>
      </c>
      <c r="I1723" t="inlineStr">
        <is>
          <t>Public</t>
        </is>
      </c>
      <c r="J1723" t="inlineStr">
        <is>
          <t>1001-1200</t>
        </is>
      </c>
      <c r="K1723" t="inlineStr">
        <is>
          <t>951-1000</t>
        </is>
      </c>
      <c r="L1723" t="inlineStr">
        <is>
          <t>1001-1200</t>
        </is>
      </c>
      <c r="M1723" t="inlineStr">
        <is>
          <t>701-750</t>
        </is>
      </c>
      <c r="N1723" t="inlineStr">
        <is>
          <t>-</t>
        </is>
      </c>
      <c r="O1723" t="inlineStr">
        <is>
          <t>-</t>
        </is>
      </c>
      <c r="P1723" t="n">
        <v>7.1</v>
      </c>
      <c r="Q1723" t="inlineStr">
        <is>
          <t>701+</t>
        </is>
      </c>
      <c r="R1723" t="n">
        <v>5.8</v>
      </c>
      <c r="S1723" t="inlineStr">
        <is>
          <t>701+</t>
        </is>
      </c>
      <c r="T1723" t="n">
        <v>53.7</v>
      </c>
      <c r="U1723" t="inlineStr">
        <is>
          <t>350</t>
        </is>
      </c>
      <c r="V1723" t="n">
        <v>12.5</v>
      </c>
      <c r="W1723" t="inlineStr">
        <is>
          <t>801+</t>
        </is>
      </c>
      <c r="X1723" t="n">
        <v>27.7</v>
      </c>
      <c r="Y1723" t="inlineStr">
        <is>
          <t>618</t>
        </is>
      </c>
      <c r="Z1723" t="n">
        <v>19.8</v>
      </c>
      <c r="AA1723" t="inlineStr">
        <is>
          <t>730</t>
        </is>
      </c>
      <c r="AB1723" t="n">
        <v>26</v>
      </c>
      <c r="AC1723" t="inlineStr">
        <is>
          <t>670</t>
        </is>
      </c>
      <c r="AD1723" t="n">
        <v>57.2</v>
      </c>
      <c r="AE1723" t="inlineStr">
        <is>
          <t>731</t>
        </is>
      </c>
      <c r="AF1723" t="n">
        <v>2.5</v>
      </c>
      <c r="AG1723" t="inlineStr">
        <is>
          <t>801+</t>
        </is>
      </c>
      <c r="AH1723" t="n">
        <v>47</v>
      </c>
      <c r="AI1723" t="inlineStr">
        <is>
          <t>789=</t>
        </is>
      </c>
      <c r="AJ1723" t="inlineStr">
        <is>
          <t>5.5</t>
        </is>
      </c>
      <c r="AK1723" t="inlineStr">
        <is>
          <t>601+</t>
        </is>
      </c>
      <c r="AL1723" t="inlineStr">
        <is>
          <t>2.6</t>
        </is>
      </c>
      <c r="AM1723" t="inlineStr">
        <is>
          <t>601+</t>
        </is>
      </c>
      <c r="AN1723" t="inlineStr">
        <is>
          <t>68.7</t>
        </is>
      </c>
      <c r="AO1723" t="inlineStr">
        <is>
          <t>190</t>
        </is>
      </c>
      <c r="AP1723" t="inlineStr">
        <is>
          <t>4.8</t>
        </is>
      </c>
      <c r="AQ1723" t="inlineStr">
        <is>
          <t>701+</t>
        </is>
      </c>
      <c r="AR1723" t="inlineStr"/>
      <c r="AS1723" t="inlineStr"/>
      <c r="AT1723" t="inlineStr"/>
      <c r="AU1723" t="inlineStr"/>
      <c r="AV1723" t="inlineStr">
        <is>
          <t>5.9</t>
        </is>
      </c>
      <c r="AW1723" t="inlineStr">
        <is>
          <t>701+</t>
        </is>
      </c>
      <c r="AX1723" t="inlineStr">
        <is>
          <t>7.7</t>
        </is>
      </c>
      <c r="AY1723" t="inlineStr">
        <is>
          <t>701+</t>
        </is>
      </c>
      <c r="AZ1723" t="inlineStr">
        <is>
          <t>1.2</t>
        </is>
      </c>
      <c r="BA1723" t="inlineStr">
        <is>
          <t>701+</t>
        </is>
      </c>
    </row>
    <row r="1724">
      <c r="A1724" t="inlineStr">
        <is>
          <t>University of South Carolina</t>
        </is>
      </c>
      <c r="B1724" t="inlineStr">
        <is>
          <t>United States</t>
        </is>
      </c>
      <c r="C1724" t="inlineStr">
        <is>
          <t>US</t>
        </is>
      </c>
      <c r="D1724" t="inlineStr">
        <is>
          <t>Americas</t>
        </is>
      </c>
      <c r="E1724" t="inlineStr">
        <is>
          <t>L</t>
        </is>
      </c>
      <c r="F1724" t="inlineStr">
        <is>
          <t>FC</t>
        </is>
      </c>
      <c r="G1724" t="inlineStr">
        <is>
          <t>VH</t>
        </is>
      </c>
      <c r="H1724" t="inlineStr">
        <is>
          <t>5</t>
        </is>
      </c>
      <c r="I1724" t="inlineStr">
        <is>
          <t>Public</t>
        </is>
      </c>
      <c r="J1724" t="inlineStr">
        <is>
          <t>628</t>
        </is>
      </c>
      <c r="K1724" t="inlineStr">
        <is>
          <t>601-610</t>
        </is>
      </c>
      <c r="L1724">
        <f>575</f>
        <v/>
      </c>
      <c r="M1724" t="inlineStr">
        <is>
          <t>701-750</t>
        </is>
      </c>
      <c r="N1724" t="inlineStr">
        <is>
          <t>27.4</t>
        </is>
      </c>
      <c r="O1724" t="inlineStr">
        <is>
          <t>20.6</t>
        </is>
      </c>
      <c r="P1724" t="n">
        <v>17.7</v>
      </c>
      <c r="Q1724" t="inlineStr">
        <is>
          <t>693</t>
        </is>
      </c>
      <c r="R1724" t="n">
        <v>21.9</v>
      </c>
      <c r="S1724" t="inlineStr">
        <is>
          <t>605</t>
        </is>
      </c>
      <c r="T1724" t="n">
        <v>13.5</v>
      </c>
      <c r="U1724" t="inlineStr">
        <is>
          <t>801+</t>
        </is>
      </c>
      <c r="V1724" t="n">
        <v>37.1</v>
      </c>
      <c r="W1724" t="inlineStr">
        <is>
          <t>502</t>
        </is>
      </c>
      <c r="X1724" t="n">
        <v>54.6</v>
      </c>
      <c r="Y1724" t="inlineStr">
        <is>
          <t>414</t>
        </is>
      </c>
      <c r="Z1724" t="n">
        <v>5.9</v>
      </c>
      <c r="AA1724" t="inlineStr">
        <is>
          <t>801+</t>
        </is>
      </c>
      <c r="AB1724" t="n">
        <v>10</v>
      </c>
      <c r="AC1724" t="inlineStr">
        <is>
          <t>801+</t>
        </is>
      </c>
      <c r="AD1724" t="n">
        <v>68</v>
      </c>
      <c r="AE1724" t="inlineStr">
        <is>
          <t>568</t>
        </is>
      </c>
      <c r="AF1724" t="n">
        <v>28</v>
      </c>
      <c r="AG1724" t="inlineStr">
        <is>
          <t>593</t>
        </is>
      </c>
      <c r="AH1724" t="n">
        <v>68.90000000000001</v>
      </c>
      <c r="AI1724" t="inlineStr">
        <is>
          <t>331=</t>
        </is>
      </c>
      <c r="AJ1724" t="inlineStr">
        <is>
          <t>14.7</t>
        </is>
      </c>
      <c r="AK1724" t="inlineStr">
        <is>
          <t>590</t>
        </is>
      </c>
      <c r="AL1724" t="inlineStr">
        <is>
          <t>11.8</t>
        </is>
      </c>
      <c r="AM1724" t="inlineStr">
        <is>
          <t>601+</t>
        </is>
      </c>
      <c r="AN1724" t="inlineStr">
        <is>
          <t>8.9</t>
        </is>
      </c>
      <c r="AO1724" t="inlineStr">
        <is>
          <t>701+</t>
        </is>
      </c>
      <c r="AP1724" t="inlineStr">
        <is>
          <t>33.6</t>
        </is>
      </c>
      <c r="AQ1724" t="inlineStr">
        <is>
          <t>407</t>
        </is>
      </c>
      <c r="AR1724" t="inlineStr">
        <is>
          <t>37.8</t>
        </is>
      </c>
      <c r="AS1724" t="inlineStr">
        <is>
          <t>424</t>
        </is>
      </c>
      <c r="AT1724" t="inlineStr">
        <is>
          <t>3.5</t>
        </is>
      </c>
      <c r="AU1724" t="inlineStr">
        <is>
          <t>701+</t>
        </is>
      </c>
      <c r="AV1724" t="inlineStr">
        <is>
          <t>40.8</t>
        </is>
      </c>
      <c r="AW1724" t="inlineStr">
        <is>
          <t>370</t>
        </is>
      </c>
      <c r="AX1724" t="inlineStr">
        <is>
          <t>17.1</t>
        </is>
      </c>
      <c r="AY1724" t="inlineStr">
        <is>
          <t>494</t>
        </is>
      </c>
      <c r="AZ1724" t="inlineStr">
        <is>
          <t>39.6</t>
        </is>
      </c>
      <c r="BA1724" t="inlineStr">
        <is>
          <t>365</t>
        </is>
      </c>
    </row>
    <row r="1725">
      <c r="A1725" t="inlineStr">
        <is>
          <t>University of South Florida</t>
        </is>
      </c>
      <c r="B1725" t="inlineStr">
        <is>
          <t>United States</t>
        </is>
      </c>
      <c r="C1725" t="inlineStr">
        <is>
          <t>US</t>
        </is>
      </c>
      <c r="D1725" t="inlineStr">
        <is>
          <t>Americas</t>
        </is>
      </c>
      <c r="E1725" t="inlineStr">
        <is>
          <t>XL</t>
        </is>
      </c>
      <c r="F1725" t="inlineStr">
        <is>
          <t>CO</t>
        </is>
      </c>
      <c r="G1725" t="inlineStr">
        <is>
          <t>VH</t>
        </is>
      </c>
      <c r="H1725" t="inlineStr">
        <is>
          <t>4</t>
        </is>
      </c>
      <c r="I1725" t="inlineStr">
        <is>
          <t>Public</t>
        </is>
      </c>
      <c r="J1725" t="inlineStr">
        <is>
          <t>654</t>
        </is>
      </c>
      <c r="K1725" t="inlineStr">
        <is>
          <t>621-630</t>
        </is>
      </c>
      <c r="L1725">
        <f>563</f>
        <v/>
      </c>
      <c r="M1725" t="inlineStr">
        <is>
          <t>601-650</t>
        </is>
      </c>
      <c r="N1725" t="inlineStr">
        <is>
          <t>26.6</t>
        </is>
      </c>
      <c r="O1725" t="inlineStr">
        <is>
          <t>20.9</t>
        </is>
      </c>
      <c r="P1725" t="n">
        <v>17.4</v>
      </c>
      <c r="Q1725" t="inlineStr">
        <is>
          <t>701+</t>
        </is>
      </c>
      <c r="R1725" t="n">
        <v>20.4</v>
      </c>
      <c r="S1725" t="inlineStr">
        <is>
          <t>646</t>
        </is>
      </c>
      <c r="T1725" t="n">
        <v>13.8</v>
      </c>
      <c r="U1725" t="inlineStr">
        <is>
          <t>801+</t>
        </is>
      </c>
      <c r="V1725" t="n">
        <v>36.7</v>
      </c>
      <c r="W1725" t="inlineStr">
        <is>
          <t>507</t>
        </is>
      </c>
      <c r="X1725" t="n">
        <v>14.3</v>
      </c>
      <c r="Y1725" t="inlineStr">
        <is>
          <t>801+</t>
        </is>
      </c>
      <c r="Z1725" t="n">
        <v>41.4</v>
      </c>
      <c r="AA1725" t="inlineStr">
        <is>
          <t>480</t>
        </is>
      </c>
      <c r="AB1725" t="n">
        <v>46.7</v>
      </c>
      <c r="AC1725" t="inlineStr">
        <is>
          <t>444</t>
        </is>
      </c>
      <c r="AD1725" t="n">
        <v>81.90000000000001</v>
      </c>
      <c r="AE1725" t="inlineStr">
        <is>
          <t>314</t>
        </is>
      </c>
      <c r="AF1725" t="n">
        <v>13.5</v>
      </c>
      <c r="AG1725" t="inlineStr">
        <is>
          <t>801+</t>
        </is>
      </c>
      <c r="AH1725" t="n">
        <v>66.40000000000001</v>
      </c>
      <c r="AI1725" t="inlineStr">
        <is>
          <t>371=</t>
        </is>
      </c>
      <c r="AJ1725" t="inlineStr">
        <is>
          <t>13.2</t>
        </is>
      </c>
      <c r="AK1725" t="inlineStr">
        <is>
          <t>601+</t>
        </is>
      </c>
      <c r="AL1725" t="inlineStr">
        <is>
          <t>10.2</t>
        </is>
      </c>
      <c r="AM1725" t="inlineStr">
        <is>
          <t>601+</t>
        </is>
      </c>
      <c r="AN1725" t="inlineStr">
        <is>
          <t>7.9</t>
        </is>
      </c>
      <c r="AO1725" t="inlineStr">
        <is>
          <t>701+</t>
        </is>
      </c>
      <c r="AP1725" t="inlineStr">
        <is>
          <t>36.6</t>
        </is>
      </c>
      <c r="AQ1725" t="inlineStr">
        <is>
          <t>381</t>
        </is>
      </c>
      <c r="AR1725" t="inlineStr">
        <is>
          <t>30.7</t>
        </is>
      </c>
      <c r="AS1725" t="inlineStr">
        <is>
          <t>485</t>
        </is>
      </c>
      <c r="AT1725" t="inlineStr">
        <is>
          <t>13.8</t>
        </is>
      </c>
      <c r="AU1725" t="inlineStr">
        <is>
          <t>646</t>
        </is>
      </c>
      <c r="AV1725" t="inlineStr">
        <is>
          <t>57.8</t>
        </is>
      </c>
      <c r="AW1725" t="inlineStr">
        <is>
          <t>261</t>
        </is>
      </c>
      <c r="AX1725" t="inlineStr">
        <is>
          <t>10.6</t>
        </is>
      </c>
      <c r="AY1725" t="inlineStr">
        <is>
          <t>701+</t>
        </is>
      </c>
      <c r="AZ1725" t="inlineStr">
        <is>
          <t>34.9</t>
        </is>
      </c>
      <c r="BA1725" t="inlineStr">
        <is>
          <t>400=</t>
        </is>
      </c>
    </row>
    <row r="1726">
      <c r="A1726" t="inlineStr">
        <is>
          <t>University of Southampton</t>
        </is>
      </c>
      <c r="B1726" t="inlineStr">
        <is>
          <t>United Kingdom</t>
        </is>
      </c>
      <c r="C1726" t="inlineStr">
        <is>
          <t>UK</t>
        </is>
      </c>
      <c r="D1726" t="inlineStr">
        <is>
          <t>Europe</t>
        </is>
      </c>
      <c r="E1726" t="inlineStr">
        <is>
          <t>L</t>
        </is>
      </c>
      <c r="F1726" t="inlineStr">
        <is>
          <t>FC</t>
        </is>
      </c>
      <c r="G1726" t="inlineStr">
        <is>
          <t>VH</t>
        </is>
      </c>
      <c r="H1726" t="inlineStr">
        <is>
          <t>5</t>
        </is>
      </c>
      <c r="I1726" t="inlineStr">
        <is>
          <t>Public</t>
        </is>
      </c>
      <c r="J1726" t="inlineStr">
        <is>
          <t>87</t>
        </is>
      </c>
      <c r="K1726" t="inlineStr">
        <is>
          <t>80</t>
        </is>
      </c>
      <c r="L1726">
        <f>81</f>
        <v/>
      </c>
      <c r="M1726" t="inlineStr">
        <is>
          <t>78</t>
        </is>
      </c>
      <c r="N1726" t="inlineStr">
        <is>
          <t>71.2</t>
        </is>
      </c>
      <c r="O1726" t="inlineStr">
        <is>
          <t>63.5</t>
        </is>
      </c>
      <c r="P1726" t="n">
        <v>62.6</v>
      </c>
      <c r="Q1726" t="inlineStr">
        <is>
          <t>163</t>
        </is>
      </c>
      <c r="R1726" t="n">
        <v>55.9</v>
      </c>
      <c r="S1726" t="inlineStr">
        <is>
          <t>214</t>
        </is>
      </c>
      <c r="T1726" t="n">
        <v>40.1</v>
      </c>
      <c r="U1726" t="inlineStr">
        <is>
          <t>504</t>
        </is>
      </c>
      <c r="V1726" t="n">
        <v>87.8</v>
      </c>
      <c r="W1726" t="inlineStr">
        <is>
          <t>111</t>
        </is>
      </c>
      <c r="X1726" t="n">
        <v>96.8</v>
      </c>
      <c r="Y1726" t="inlineStr">
        <is>
          <t>153</t>
        </is>
      </c>
      <c r="Z1726" t="n">
        <v>98.59999999999999</v>
      </c>
      <c r="AA1726" t="inlineStr">
        <is>
          <t>82</t>
        </is>
      </c>
      <c r="AB1726" t="n">
        <v>98.59999999999999</v>
      </c>
      <c r="AC1726" t="inlineStr">
        <is>
          <t>69</t>
        </is>
      </c>
      <c r="AD1726" t="n">
        <v>97.40000000000001</v>
      </c>
      <c r="AE1726" t="inlineStr">
        <is>
          <t>32</t>
        </is>
      </c>
      <c r="AF1726" t="n">
        <v>58.6</v>
      </c>
      <c r="AG1726" t="inlineStr">
        <is>
          <t>279</t>
        </is>
      </c>
      <c r="AH1726" t="n">
        <v>95.09999999999999</v>
      </c>
      <c r="AI1726" t="inlineStr">
        <is>
          <t>23</t>
        </is>
      </c>
      <c r="AJ1726" t="inlineStr">
        <is>
          <t>51.5</t>
        </is>
      </c>
      <c r="AK1726" t="inlineStr">
        <is>
          <t>154</t>
        </is>
      </c>
      <c r="AL1726" t="inlineStr">
        <is>
          <t>51.2</t>
        </is>
      </c>
      <c r="AM1726" t="inlineStr">
        <is>
          <t>160</t>
        </is>
      </c>
      <c r="AN1726" t="inlineStr">
        <is>
          <t>52.8</t>
        </is>
      </c>
      <c r="AO1726" t="inlineStr">
        <is>
          <t>298</t>
        </is>
      </c>
      <c r="AP1726" t="inlineStr">
        <is>
          <t>71.4</t>
        </is>
      </c>
      <c r="AQ1726" t="inlineStr">
        <is>
          <t>140</t>
        </is>
      </c>
      <c r="AR1726" t="inlineStr">
        <is>
          <t>96.1</t>
        </is>
      </c>
      <c r="AS1726" t="inlineStr">
        <is>
          <t>138</t>
        </is>
      </c>
      <c r="AT1726" t="inlineStr">
        <is>
          <t>97.4</t>
        </is>
      </c>
      <c r="AU1726" t="inlineStr">
        <is>
          <t>70</t>
        </is>
      </c>
      <c r="AV1726" t="inlineStr">
        <is>
          <t>97.0</t>
        </is>
      </c>
      <c r="AW1726" t="inlineStr">
        <is>
          <t>31</t>
        </is>
      </c>
      <c r="AX1726" t="inlineStr">
        <is>
          <t>32.5</t>
        </is>
      </c>
      <c r="AY1726" t="inlineStr">
        <is>
          <t>235</t>
        </is>
      </c>
      <c r="AZ1726" t="inlineStr">
        <is>
          <t>82.7</t>
        </is>
      </c>
      <c r="BA1726" t="inlineStr">
        <is>
          <t>133=</t>
        </is>
      </c>
    </row>
    <row r="1727">
      <c r="A1727" t="inlineStr">
        <is>
          <t>University of Southern California</t>
        </is>
      </c>
      <c r="B1727" t="inlineStr">
        <is>
          <t>United States</t>
        </is>
      </c>
      <c r="C1727" t="inlineStr">
        <is>
          <t>US</t>
        </is>
      </c>
      <c r="D1727" t="inlineStr">
        <is>
          <t>Americas</t>
        </is>
      </c>
      <c r="E1727" t="inlineStr">
        <is>
          <t>XL</t>
        </is>
      </c>
      <c r="F1727" t="inlineStr">
        <is>
          <t>FC</t>
        </is>
      </c>
      <c r="G1727" t="inlineStr">
        <is>
          <t>VH</t>
        </is>
      </c>
      <c r="H1727" t="inlineStr">
        <is>
          <t>5</t>
        </is>
      </c>
      <c r="I1727" t="inlineStr">
        <is>
          <t>Private not for Profit</t>
        </is>
      </c>
      <c r="J1727" t="inlineStr">
        <is>
          <t>146</t>
        </is>
      </c>
      <c r="K1727" t="inlineStr">
        <is>
          <t>125</t>
        </is>
      </c>
      <c r="L1727" t="inlineStr">
        <is>
          <t>116</t>
        </is>
      </c>
      <c r="M1727" t="inlineStr">
        <is>
          <t>134</t>
        </is>
      </c>
      <c r="N1727" t="inlineStr">
        <is>
          <t>62.6</t>
        </is>
      </c>
      <c r="O1727" t="inlineStr">
        <is>
          <t>57.1</t>
        </is>
      </c>
      <c r="P1727" t="n">
        <v>61.2</v>
      </c>
      <c r="Q1727" t="inlineStr">
        <is>
          <t>167</t>
        </is>
      </c>
      <c r="R1727" t="n">
        <v>69.59999999999999</v>
      </c>
      <c r="S1727" t="inlineStr">
        <is>
          <t>150</t>
        </is>
      </c>
      <c r="T1727" t="n">
        <v>19.6</v>
      </c>
      <c r="U1727" t="inlineStr">
        <is>
          <t>801+</t>
        </is>
      </c>
      <c r="V1727" t="n">
        <v>66.2</v>
      </c>
      <c r="W1727" t="inlineStr">
        <is>
          <t>240</t>
        </is>
      </c>
      <c r="X1727" t="n">
        <v>15.8</v>
      </c>
      <c r="Y1727" t="inlineStr">
        <is>
          <t>786</t>
        </is>
      </c>
      <c r="Z1727" t="n">
        <v>81.2</v>
      </c>
      <c r="AA1727" t="inlineStr">
        <is>
          <t>219</t>
        </is>
      </c>
      <c r="AB1727" t="n">
        <v>82.90000000000001</v>
      </c>
      <c r="AC1727" t="inlineStr">
        <is>
          <t>184</t>
        </is>
      </c>
      <c r="AD1727" t="n">
        <v>87.8</v>
      </c>
      <c r="AE1727" t="inlineStr">
        <is>
          <t>204</t>
        </is>
      </c>
      <c r="AF1727" t="n">
        <v>98</v>
      </c>
      <c r="AG1727" t="inlineStr">
        <is>
          <t>45</t>
        </is>
      </c>
      <c r="AH1727" t="n">
        <v>92.09999999999999</v>
      </c>
      <c r="AI1727" t="inlineStr">
        <is>
          <t>45=</t>
        </is>
      </c>
      <c r="AJ1727" t="inlineStr">
        <is>
          <t>52.5</t>
        </is>
      </c>
      <c r="AK1727" t="inlineStr">
        <is>
          <t>150</t>
        </is>
      </c>
      <c r="AL1727" t="inlineStr">
        <is>
          <t>47.6</t>
        </is>
      </c>
      <c r="AM1727" t="inlineStr">
        <is>
          <t>183</t>
        </is>
      </c>
      <c r="AN1727" t="inlineStr">
        <is>
          <t>21.7</t>
        </is>
      </c>
      <c r="AO1727" t="inlineStr">
        <is>
          <t>634</t>
        </is>
      </c>
      <c r="AP1727" t="inlineStr">
        <is>
          <t>68.0</t>
        </is>
      </c>
      <c r="AQ1727" t="inlineStr">
        <is>
          <t>157</t>
        </is>
      </c>
      <c r="AR1727" t="inlineStr">
        <is>
          <t>31.8</t>
        </is>
      </c>
      <c r="AS1727" t="inlineStr">
        <is>
          <t>474</t>
        </is>
      </c>
      <c r="AT1727" t="inlineStr">
        <is>
          <t>73.5</t>
        </is>
      </c>
      <c r="AU1727" t="inlineStr">
        <is>
          <t>191</t>
        </is>
      </c>
      <c r="AV1727" t="inlineStr">
        <is>
          <t>62.8</t>
        </is>
      </c>
      <c r="AW1727" t="inlineStr">
        <is>
          <t>228</t>
        </is>
      </c>
      <c r="AX1727" t="inlineStr">
        <is>
          <t>93.1</t>
        </is>
      </c>
      <c r="AY1727" t="inlineStr">
        <is>
          <t>32</t>
        </is>
      </c>
      <c r="AZ1727" t="inlineStr">
        <is>
          <t>98.9</t>
        </is>
      </c>
      <c r="BA1727" t="inlineStr">
        <is>
          <t>15</t>
        </is>
      </c>
    </row>
    <row r="1728">
      <c r="A1728" t="inlineStr">
        <is>
          <t>University of Southern Denmark</t>
        </is>
      </c>
      <c r="B1728" t="inlineStr">
        <is>
          <t>Denmark</t>
        </is>
      </c>
      <c r="C1728" t="inlineStr"/>
      <c r="D1728" t="inlineStr">
        <is>
          <t>Europe</t>
        </is>
      </c>
      <c r="E1728" t="inlineStr">
        <is>
          <t>L</t>
        </is>
      </c>
      <c r="F1728" t="inlineStr">
        <is>
          <t>CO</t>
        </is>
      </c>
      <c r="G1728" t="inlineStr">
        <is>
          <t>VH</t>
        </is>
      </c>
      <c r="H1728" t="inlineStr"/>
      <c r="I1728" t="inlineStr">
        <is>
          <t>Public</t>
        </is>
      </c>
      <c r="J1728" t="inlineStr">
        <is>
          <t>303</t>
        </is>
      </c>
      <c r="K1728" t="inlineStr">
        <is>
          <t>324</t>
        </is>
      </c>
      <c r="L1728" t="inlineStr"/>
      <c r="M1728" t="inlineStr"/>
      <c r="N1728" t="inlineStr">
        <is>
          <t>45.1</t>
        </is>
      </c>
      <c r="O1728" t="inlineStr"/>
      <c r="P1728" t="n">
        <v>29.2</v>
      </c>
      <c r="Q1728" t="inlineStr">
        <is>
          <t>425</t>
        </is>
      </c>
      <c r="R1728" t="n">
        <v>24.9</v>
      </c>
      <c r="S1728" t="inlineStr">
        <is>
          <t>540</t>
        </is>
      </c>
      <c r="T1728" t="n">
        <v>31.9</v>
      </c>
      <c r="U1728" t="inlineStr">
        <is>
          <t>602</t>
        </is>
      </c>
      <c r="V1728" t="n">
        <v>68.40000000000001</v>
      </c>
      <c r="W1728" t="inlineStr">
        <is>
          <t>227</t>
        </is>
      </c>
      <c r="X1728" t="n">
        <v>91.7</v>
      </c>
      <c r="Y1728" t="inlineStr">
        <is>
          <t>212</t>
        </is>
      </c>
      <c r="Z1728" t="n">
        <v>46.4</v>
      </c>
      <c r="AA1728" t="inlineStr">
        <is>
          <t>435</t>
        </is>
      </c>
      <c r="AB1728" t="n">
        <v>51.3</v>
      </c>
      <c r="AC1728" t="inlineStr">
        <is>
          <t>403</t>
        </is>
      </c>
      <c r="AD1728" t="n">
        <v>77.40000000000001</v>
      </c>
      <c r="AE1728" t="inlineStr">
        <is>
          <t>394</t>
        </is>
      </c>
      <c r="AF1728" t="n">
        <v>27</v>
      </c>
      <c r="AG1728" t="inlineStr">
        <is>
          <t>607</t>
        </is>
      </c>
      <c r="AH1728" t="n">
        <v>85</v>
      </c>
      <c r="AI1728" t="inlineStr">
        <is>
          <t>110=</t>
        </is>
      </c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</row>
    <row r="1729">
      <c r="A1729" t="inlineStr">
        <is>
          <t>University of Southern Denmark (SDU)</t>
        </is>
      </c>
      <c r="B1729" t="inlineStr">
        <is>
          <t>Denmark</t>
        </is>
      </c>
      <c r="C1729" t="inlineStr">
        <is>
          <t>DK</t>
        </is>
      </c>
      <c r="D1729" t="inlineStr"/>
      <c r="E1729" t="inlineStr">
        <is>
          <t>L</t>
        </is>
      </c>
      <c r="F1729" t="inlineStr">
        <is>
          <t>CO</t>
        </is>
      </c>
      <c r="G1729" t="inlineStr">
        <is>
          <t>VH</t>
        </is>
      </c>
      <c r="H1729" t="inlineStr">
        <is>
          <t>4</t>
        </is>
      </c>
      <c r="I1729" t="inlineStr">
        <is>
          <t>A</t>
        </is>
      </c>
      <c r="J1729" t="inlineStr"/>
      <c r="K1729" t="inlineStr"/>
      <c r="L1729">
        <f>326</f>
        <v/>
      </c>
      <c r="M1729" t="inlineStr">
        <is>
          <t>347=</t>
        </is>
      </c>
      <c r="N1729" t="inlineStr"/>
      <c r="O1729" t="inlineStr">
        <is>
          <t>32.7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>
        <is>
          <t>20.0</t>
        </is>
      </c>
      <c r="AK1729" t="inlineStr">
        <is>
          <t>441</t>
        </is>
      </c>
      <c r="AL1729" t="inlineStr">
        <is>
          <t>18.0</t>
        </is>
      </c>
      <c r="AM1729" t="inlineStr">
        <is>
          <t>485</t>
        </is>
      </c>
      <c r="AN1729" t="inlineStr">
        <is>
          <t>27.1</t>
        </is>
      </c>
      <c r="AO1729" t="inlineStr">
        <is>
          <t>558</t>
        </is>
      </c>
      <c r="AP1729" t="inlineStr">
        <is>
          <t>40.7</t>
        </is>
      </c>
      <c r="AQ1729" t="inlineStr">
        <is>
          <t>337</t>
        </is>
      </c>
      <c r="AR1729" t="inlineStr">
        <is>
          <t>83.2</t>
        </is>
      </c>
      <c r="AS1729" t="inlineStr">
        <is>
          <t>220</t>
        </is>
      </c>
      <c r="AT1729" t="inlineStr">
        <is>
          <t>22.7</t>
        </is>
      </c>
      <c r="AU1729" t="inlineStr">
        <is>
          <t>503</t>
        </is>
      </c>
      <c r="AV1729" t="inlineStr">
        <is>
          <t>49.7</t>
        </is>
      </c>
      <c r="AW1729" t="inlineStr">
        <is>
          <t>315</t>
        </is>
      </c>
      <c r="AX1729" t="inlineStr">
        <is>
          <t>17.7</t>
        </is>
      </c>
      <c r="AY1729" t="inlineStr">
        <is>
          <t>469</t>
        </is>
      </c>
      <c r="AZ1729" t="inlineStr">
        <is>
          <t>88.7</t>
        </is>
      </c>
      <c r="BA1729" t="inlineStr">
        <is>
          <t>100</t>
        </is>
      </c>
    </row>
    <row r="1730">
      <c r="A1730" t="inlineStr">
        <is>
          <t>University of Southern Queensland</t>
        </is>
      </c>
      <c r="B1730" t="inlineStr">
        <is>
          <t>Australia</t>
        </is>
      </c>
      <c r="C1730" t="inlineStr">
        <is>
          <t>AU</t>
        </is>
      </c>
      <c r="D1730" t="inlineStr">
        <is>
          <t>Oceania</t>
        </is>
      </c>
      <c r="E1730" t="inlineStr">
        <is>
          <t>M</t>
        </is>
      </c>
      <c r="F1730" t="inlineStr">
        <is>
          <t>CO</t>
        </is>
      </c>
      <c r="G1730" t="inlineStr">
        <is>
          <t>VH</t>
        </is>
      </c>
      <c r="H1730" t="inlineStr">
        <is>
          <t>3</t>
        </is>
      </c>
      <c r="I1730" t="inlineStr">
        <is>
          <t>Public</t>
        </is>
      </c>
      <c r="J1730" t="inlineStr">
        <is>
          <t>410</t>
        </is>
      </c>
      <c r="K1730" t="inlineStr">
        <is>
          <t>396</t>
        </is>
      </c>
      <c r="L1730">
        <f>410</f>
        <v/>
      </c>
      <c r="M1730" t="inlineStr">
        <is>
          <t>651-700</t>
        </is>
      </c>
      <c r="N1730" t="inlineStr">
        <is>
          <t>36.7</t>
        </is>
      </c>
      <c r="O1730" t="inlineStr">
        <is>
          <t>27.2</t>
        </is>
      </c>
      <c r="P1730" t="n">
        <v>11</v>
      </c>
      <c r="Q1730" t="inlineStr">
        <is>
          <t>701+</t>
        </is>
      </c>
      <c r="R1730" t="n">
        <v>8.199999999999999</v>
      </c>
      <c r="S1730" t="inlineStr">
        <is>
          <t>701+</t>
        </is>
      </c>
      <c r="T1730" t="n">
        <v>7.9</v>
      </c>
      <c r="U1730" t="inlineStr">
        <is>
          <t>801+</t>
        </is>
      </c>
      <c r="V1730" t="n">
        <v>90.09999999999999</v>
      </c>
      <c r="W1730" t="inlineStr">
        <is>
          <t>103</t>
        </is>
      </c>
      <c r="X1730" t="n">
        <v>78.5</v>
      </c>
      <c r="Y1730" t="inlineStr">
        <is>
          <t>304</t>
        </is>
      </c>
      <c r="Z1730" t="n">
        <v>48.7</v>
      </c>
      <c r="AA1730" t="inlineStr">
        <is>
          <t>416</t>
        </is>
      </c>
      <c r="AB1730" t="n">
        <v>52</v>
      </c>
      <c r="AC1730" t="inlineStr">
        <is>
          <t>398</t>
        </is>
      </c>
      <c r="AD1730" t="n">
        <v>82.2</v>
      </c>
      <c r="AE1730" t="inlineStr">
        <is>
          <t>307</t>
        </is>
      </c>
      <c r="AF1730" t="n">
        <v>11</v>
      </c>
      <c r="AG1730" t="inlineStr">
        <is>
          <t>801+</t>
        </is>
      </c>
      <c r="AH1730" t="n">
        <v>65.5</v>
      </c>
      <c r="AI1730" t="inlineStr">
        <is>
          <t>387=</t>
        </is>
      </c>
      <c r="AJ1730" t="inlineStr">
        <is>
          <t>8.5</t>
        </is>
      </c>
      <c r="AK1730" t="inlineStr">
        <is>
          <t>601+</t>
        </is>
      </c>
      <c r="AL1730" t="inlineStr">
        <is>
          <t>6.8</t>
        </is>
      </c>
      <c r="AM1730" t="inlineStr">
        <is>
          <t>601+</t>
        </is>
      </c>
      <c r="AN1730" t="inlineStr">
        <is>
          <t>4.5</t>
        </is>
      </c>
      <c r="AO1730" t="inlineStr">
        <is>
          <t>701+</t>
        </is>
      </c>
      <c r="AP1730" t="inlineStr">
        <is>
          <t>59.6</t>
        </is>
      </c>
      <c r="AQ1730" t="inlineStr">
        <is>
          <t>209</t>
        </is>
      </c>
      <c r="AR1730" t="inlineStr">
        <is>
          <t>76.1</t>
        </is>
      </c>
      <c r="AS1730" t="inlineStr">
        <is>
          <t>245</t>
        </is>
      </c>
      <c r="AT1730" t="inlineStr">
        <is>
          <t>26.3</t>
        </is>
      </c>
      <c r="AU1730" t="inlineStr">
        <is>
          <t>462</t>
        </is>
      </c>
      <c r="AV1730" t="inlineStr">
        <is>
          <t>60.6</t>
        </is>
      </c>
      <c r="AW1730" t="inlineStr">
        <is>
          <t>240</t>
        </is>
      </c>
      <c r="AX1730" t="inlineStr">
        <is>
          <t>12</t>
        </is>
      </c>
      <c r="AY1730" t="inlineStr">
        <is>
          <t>701+</t>
        </is>
      </c>
      <c r="AZ1730" t="inlineStr">
        <is>
          <t>51.2</t>
        </is>
      </c>
      <c r="BA1730" t="inlineStr">
        <is>
          <t>299=</t>
        </is>
      </c>
    </row>
    <row r="1731">
      <c r="A1731" t="inlineStr">
        <is>
          <t>University of Split</t>
        </is>
      </c>
      <c r="B1731" t="inlineStr">
        <is>
          <t>Croatia</t>
        </is>
      </c>
      <c r="C1731" t="inlineStr">
        <is>
          <t>HR</t>
        </is>
      </c>
      <c r="D1731" t="inlineStr">
        <is>
          <t>Europe</t>
        </is>
      </c>
      <c r="E1731" t="inlineStr">
        <is>
          <t>L</t>
        </is>
      </c>
      <c r="F1731" t="inlineStr">
        <is>
          <t>FC</t>
        </is>
      </c>
      <c r="G1731" t="inlineStr">
        <is>
          <t>HI</t>
        </is>
      </c>
      <c r="H1731" t="inlineStr">
        <is>
          <t>3</t>
        </is>
      </c>
      <c r="I1731" t="inlineStr">
        <is>
          <t>Public</t>
        </is>
      </c>
      <c r="J1731" t="inlineStr">
        <is>
          <t>1201-1400</t>
        </is>
      </c>
      <c r="K1731" t="inlineStr">
        <is>
          <t>1201-1400</t>
        </is>
      </c>
      <c r="L1731" t="inlineStr">
        <is>
          <t>1201-1400</t>
        </is>
      </c>
      <c r="M1731" t="inlineStr">
        <is>
          <t>1201-1400</t>
        </is>
      </c>
      <c r="N1731" t="inlineStr">
        <is>
          <t>-</t>
        </is>
      </c>
      <c r="O1731" t="inlineStr">
        <is>
          <t>-</t>
        </is>
      </c>
      <c r="P1731" t="n">
        <v>7.6</v>
      </c>
      <c r="Q1731" t="inlineStr">
        <is>
          <t>701+</t>
        </is>
      </c>
      <c r="R1731" t="n">
        <v>9.199999999999999</v>
      </c>
      <c r="S1731" t="inlineStr">
        <is>
          <t>701+</t>
        </is>
      </c>
      <c r="T1731" t="n">
        <v>8.699999999999999</v>
      </c>
      <c r="U1731" t="inlineStr">
        <is>
          <t>801+</t>
        </is>
      </c>
      <c r="V1731" t="n">
        <v>8.800000000000001</v>
      </c>
      <c r="W1731" t="inlineStr">
        <is>
          <t>801+</t>
        </is>
      </c>
      <c r="X1731" t="n">
        <v>1.6</v>
      </c>
      <c r="Y1731" t="inlineStr">
        <is>
          <t>801+</t>
        </is>
      </c>
      <c r="Z1731" t="n">
        <v>3.3</v>
      </c>
      <c r="AA1731" t="inlineStr">
        <is>
          <t>801+</t>
        </is>
      </c>
      <c r="AB1731" t="n">
        <v>7.5</v>
      </c>
      <c r="AC1731" t="inlineStr">
        <is>
          <t>801+</t>
        </is>
      </c>
      <c r="AD1731" t="n">
        <v>52.3</v>
      </c>
      <c r="AE1731" t="inlineStr">
        <is>
          <t>801+</t>
        </is>
      </c>
      <c r="AF1731" t="n">
        <v>22.4</v>
      </c>
      <c r="AG1731" t="inlineStr">
        <is>
          <t>687</t>
        </is>
      </c>
      <c r="AH1731" t="n">
        <v>44.8</v>
      </c>
      <c r="AI1731" t="inlineStr">
        <is>
          <t>801+</t>
        </is>
      </c>
      <c r="AJ1731" t="inlineStr">
        <is>
          <t>5.9</t>
        </is>
      </c>
      <c r="AK1731" t="inlineStr">
        <is>
          <t>601+</t>
        </is>
      </c>
      <c r="AL1731" t="inlineStr">
        <is>
          <t>2.5</t>
        </is>
      </c>
      <c r="AM1731" t="inlineStr">
        <is>
          <t>601+</t>
        </is>
      </c>
      <c r="AN1731" t="inlineStr">
        <is>
          <t>4.2</t>
        </is>
      </c>
      <c r="AO1731" t="inlineStr">
        <is>
          <t>701+</t>
        </is>
      </c>
      <c r="AP1731" t="inlineStr">
        <is>
          <t>3.9</t>
        </is>
      </c>
      <c r="AQ1731" t="inlineStr">
        <is>
          <t>701+</t>
        </is>
      </c>
      <c r="AR1731" t="inlineStr">
        <is>
          <t>1.5</t>
        </is>
      </c>
      <c r="AS1731" t="inlineStr">
        <is>
          <t>701+</t>
        </is>
      </c>
      <c r="AT1731" t="inlineStr">
        <is>
          <t>2.1</t>
        </is>
      </c>
      <c r="AU1731" t="inlineStr">
        <is>
          <t>701+</t>
        </is>
      </c>
      <c r="AV1731" t="inlineStr">
        <is>
          <t>5.9</t>
        </is>
      </c>
      <c r="AW1731" t="inlineStr">
        <is>
          <t>701+</t>
        </is>
      </c>
      <c r="AX1731" t="inlineStr">
        <is>
          <t>11</t>
        </is>
      </c>
      <c r="AY1731" t="inlineStr">
        <is>
          <t>701+</t>
        </is>
      </c>
      <c r="AZ1731" t="inlineStr">
        <is>
          <t>1.4</t>
        </is>
      </c>
      <c r="BA1731" t="inlineStr">
        <is>
          <t>701+</t>
        </is>
      </c>
    </row>
    <row r="1732">
      <c r="A1732" t="inlineStr">
        <is>
          <t>University of Sri Jayewardenepura</t>
        </is>
      </c>
      <c r="B1732" t="inlineStr">
        <is>
          <t>Sri Lanka</t>
        </is>
      </c>
      <c r="C1732" t="inlineStr"/>
      <c r="D1732" t="inlineStr">
        <is>
          <t>Asia</t>
        </is>
      </c>
      <c r="E1732" t="inlineStr">
        <is>
          <t>L</t>
        </is>
      </c>
      <c r="F1732" t="inlineStr">
        <is>
          <t>CO</t>
        </is>
      </c>
      <c r="G1732" t="inlineStr">
        <is>
          <t>HI</t>
        </is>
      </c>
      <c r="H1732" t="inlineStr"/>
      <c r="I1732" t="inlineStr">
        <is>
          <t>Public</t>
        </is>
      </c>
      <c r="J1732" t="inlineStr">
        <is>
          <t>1401+</t>
        </is>
      </c>
      <c r="K1732" t="inlineStr">
        <is>
          <t>1201-1400</t>
        </is>
      </c>
      <c r="L1732" t="inlineStr"/>
      <c r="M1732" t="inlineStr"/>
      <c r="N1732" t="inlineStr">
        <is>
          <t>-</t>
        </is>
      </c>
      <c r="O1732" t="inlineStr"/>
      <c r="P1732" t="n">
        <v>8</v>
      </c>
      <c r="Q1732" t="inlineStr">
        <is>
          <t>701+</t>
        </is>
      </c>
      <c r="R1732" t="n">
        <v>12.2</v>
      </c>
      <c r="S1732" t="inlineStr">
        <is>
          <t>701+</t>
        </is>
      </c>
      <c r="T1732" t="n">
        <v>5.7</v>
      </c>
      <c r="U1732" t="inlineStr">
        <is>
          <t>801+</t>
        </is>
      </c>
      <c r="V1732" t="n">
        <v>7</v>
      </c>
      <c r="W1732" t="inlineStr">
        <is>
          <t>801+</t>
        </is>
      </c>
      <c r="X1732" t="inlineStr"/>
      <c r="Y1732" t="inlineStr"/>
      <c r="Z1732" t="n">
        <v>1.3</v>
      </c>
      <c r="AA1732" t="inlineStr">
        <is>
          <t>801+</t>
        </is>
      </c>
      <c r="AB1732" t="n">
        <v>5.7</v>
      </c>
      <c r="AC1732" t="inlineStr">
        <is>
          <t>801+</t>
        </is>
      </c>
      <c r="AD1732" t="n">
        <v>27.8</v>
      </c>
      <c r="AE1732" t="inlineStr">
        <is>
          <t>801+</t>
        </is>
      </c>
      <c r="AF1732" t="n">
        <v>22.8</v>
      </c>
      <c r="AG1732" t="inlineStr">
        <is>
          <t>674</t>
        </is>
      </c>
      <c r="AH1732" t="n">
        <v>27.4</v>
      </c>
      <c r="AI1732" t="inlineStr">
        <is>
          <t>801+</t>
        </is>
      </c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</row>
    <row r="1733">
      <c r="A1733" t="inlineStr">
        <is>
          <t>University of St Andrews</t>
        </is>
      </c>
      <c r="B1733" t="inlineStr">
        <is>
          <t>United Kingdom</t>
        </is>
      </c>
      <c r="C1733" t="inlineStr">
        <is>
          <t>UK</t>
        </is>
      </c>
      <c r="D1733" t="inlineStr">
        <is>
          <t>Europe</t>
        </is>
      </c>
      <c r="E1733" t="inlineStr">
        <is>
          <t>M</t>
        </is>
      </c>
      <c r="F1733" t="inlineStr">
        <is>
          <t>FO</t>
        </is>
      </c>
      <c r="G1733" t="inlineStr">
        <is>
          <t>VH</t>
        </is>
      </c>
      <c r="H1733" t="inlineStr">
        <is>
          <t>5</t>
        </is>
      </c>
      <c r="I1733" t="inlineStr">
        <is>
          <t>Public</t>
        </is>
      </c>
      <c r="J1733" t="inlineStr">
        <is>
          <t>113</t>
        </is>
      </c>
      <c r="K1733" t="inlineStr">
        <is>
          <t>104</t>
        </is>
      </c>
      <c r="L1733">
        <f>95</f>
        <v/>
      </c>
      <c r="M1733" t="inlineStr">
        <is>
          <t>96=</t>
        </is>
      </c>
      <c r="N1733" t="inlineStr">
        <is>
          <t>66.4</t>
        </is>
      </c>
      <c r="O1733" t="inlineStr">
        <is>
          <t>61.0</t>
        </is>
      </c>
      <c r="P1733" t="n">
        <v>61.5</v>
      </c>
      <c r="Q1733" t="inlineStr">
        <is>
          <t>165</t>
        </is>
      </c>
      <c r="R1733" t="n">
        <v>74.90000000000001</v>
      </c>
      <c r="S1733" t="inlineStr">
        <is>
          <t>127</t>
        </is>
      </c>
      <c r="T1733" t="n">
        <v>63.8</v>
      </c>
      <c r="U1733" t="inlineStr">
        <is>
          <t>278</t>
        </is>
      </c>
      <c r="V1733" t="n">
        <v>51.3</v>
      </c>
      <c r="W1733" t="inlineStr">
        <is>
          <t>368</t>
        </is>
      </c>
      <c r="X1733" t="n">
        <v>98.8</v>
      </c>
      <c r="Y1733" t="inlineStr">
        <is>
          <t>131</t>
        </is>
      </c>
      <c r="Z1733" t="n">
        <v>99.7</v>
      </c>
      <c r="AA1733" t="inlineStr">
        <is>
          <t>47</t>
        </is>
      </c>
      <c r="AB1733" t="n">
        <v>99.7</v>
      </c>
      <c r="AC1733" t="inlineStr">
        <is>
          <t>36</t>
        </is>
      </c>
      <c r="AD1733" t="n">
        <v>87.7</v>
      </c>
      <c r="AE1733" t="inlineStr">
        <is>
          <t>208</t>
        </is>
      </c>
      <c r="AF1733" t="n">
        <v>28.9</v>
      </c>
      <c r="AG1733" t="inlineStr">
        <is>
          <t>575</t>
        </is>
      </c>
      <c r="AH1733" t="n">
        <v>86.2</v>
      </c>
      <c r="AI1733" t="inlineStr">
        <is>
          <t>97</t>
        </is>
      </c>
      <c r="AJ1733" t="inlineStr">
        <is>
          <t>47.3</t>
        </is>
      </c>
      <c r="AK1733" t="inlineStr">
        <is>
          <t>173</t>
        </is>
      </c>
      <c r="AL1733" t="inlineStr">
        <is>
          <t>67.2</t>
        </is>
      </c>
      <c r="AM1733" t="inlineStr">
        <is>
          <t>114</t>
        </is>
      </c>
      <c r="AN1733" t="inlineStr">
        <is>
          <t>64.9</t>
        </is>
      </c>
      <c r="AO1733" t="inlineStr">
        <is>
          <t>212</t>
        </is>
      </c>
      <c r="AP1733" t="inlineStr">
        <is>
          <t>57.7</t>
        </is>
      </c>
      <c r="AQ1733" t="inlineStr">
        <is>
          <t>223</t>
        </is>
      </c>
      <c r="AR1733" t="inlineStr">
        <is>
          <t>98.7</t>
        </is>
      </c>
      <c r="AS1733" t="inlineStr">
        <is>
          <t>103</t>
        </is>
      </c>
      <c r="AT1733" t="inlineStr">
        <is>
          <t>100.0</t>
        </is>
      </c>
      <c r="AU1733" t="inlineStr">
        <is>
          <t>29</t>
        </is>
      </c>
      <c r="AV1733" t="inlineStr">
        <is>
          <t>51.1</t>
        </is>
      </c>
      <c r="AW1733" t="inlineStr">
        <is>
          <t>306</t>
        </is>
      </c>
      <c r="AX1733" t="inlineStr">
        <is>
          <t>22.4</t>
        </is>
      </c>
      <c r="AY1733" t="inlineStr">
        <is>
          <t>370</t>
        </is>
      </c>
      <c r="AZ1733" t="inlineStr">
        <is>
          <t>92.1</t>
        </is>
      </c>
      <c r="BA1733" t="inlineStr">
        <is>
          <t>77=</t>
        </is>
      </c>
    </row>
    <row r="1734">
      <c r="A1734" t="inlineStr">
        <is>
          <t>University of St.Gallen (HSG)</t>
        </is>
      </c>
      <c r="B1734" t="inlineStr">
        <is>
          <t>Switzerland</t>
        </is>
      </c>
      <c r="C1734" t="inlineStr">
        <is>
          <t>CH</t>
        </is>
      </c>
      <c r="D1734" t="inlineStr"/>
      <c r="E1734" t="inlineStr">
        <is>
          <t>M</t>
        </is>
      </c>
      <c r="F1734" t="inlineStr">
        <is>
          <t>SP</t>
        </is>
      </c>
      <c r="G1734" t="inlineStr"/>
      <c r="H1734" t="inlineStr">
        <is>
          <t>5</t>
        </is>
      </c>
      <c r="I1734" t="inlineStr">
        <is>
          <t>A</t>
        </is>
      </c>
      <c r="J1734" t="inlineStr"/>
      <c r="K1734" t="inlineStr"/>
      <c r="L1734">
        <f>436</f>
        <v/>
      </c>
      <c r="M1734" t="inlineStr">
        <is>
          <t>501-510</t>
        </is>
      </c>
      <c r="N1734" t="inlineStr"/>
      <c r="O1734" t="inlineStr">
        <is>
          <t>26.0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>
        <is>
          <t>9.0</t>
        </is>
      </c>
      <c r="AK1734" t="inlineStr">
        <is>
          <t>601+</t>
        </is>
      </c>
      <c r="AL1734" t="inlineStr">
        <is>
          <t>27.6</t>
        </is>
      </c>
      <c r="AM1734" t="inlineStr">
        <is>
          <t>350</t>
        </is>
      </c>
      <c r="AN1734" t="inlineStr">
        <is>
          <t>6.2</t>
        </is>
      </c>
      <c r="AO1734" t="inlineStr">
        <is>
          <t>701+</t>
        </is>
      </c>
      <c r="AP1734" t="inlineStr">
        <is>
          <t>22.8</t>
        </is>
      </c>
      <c r="AQ1734" t="inlineStr">
        <is>
          <t>515</t>
        </is>
      </c>
      <c r="AR1734" t="inlineStr">
        <is>
          <t>100.0</t>
        </is>
      </c>
      <c r="AS1734" t="inlineStr">
        <is>
          <t>52</t>
        </is>
      </c>
      <c r="AT1734" t="inlineStr">
        <is>
          <t>83.1</t>
        </is>
      </c>
      <c r="AU1734" t="inlineStr">
        <is>
          <t>150</t>
        </is>
      </c>
      <c r="AV1734" t="inlineStr">
        <is>
          <t>1.0</t>
        </is>
      </c>
      <c r="AW1734" t="inlineStr">
        <is>
          <t>701+</t>
        </is>
      </c>
      <c r="AX1734" t="inlineStr">
        <is>
          <t>94.8</t>
        </is>
      </c>
      <c r="AY1734" t="inlineStr">
        <is>
          <t>26</t>
        </is>
      </c>
      <c r="AZ1734" t="inlineStr">
        <is>
          <t>1.6</t>
        </is>
      </c>
      <c r="BA1734" t="inlineStr">
        <is>
          <t>701+</t>
        </is>
      </c>
    </row>
    <row r="1735">
      <c r="A1735" t="inlineStr">
        <is>
          <t>University of Stavanger</t>
        </is>
      </c>
      <c r="B1735" t="inlineStr">
        <is>
          <t>Norway</t>
        </is>
      </c>
      <c r="C1735" t="inlineStr">
        <is>
          <t>NO</t>
        </is>
      </c>
      <c r="D1735" t="inlineStr">
        <is>
          <t>Europe</t>
        </is>
      </c>
      <c r="E1735" t="inlineStr">
        <is>
          <t>M</t>
        </is>
      </c>
      <c r="F1735" t="inlineStr">
        <is>
          <t>CO</t>
        </is>
      </c>
      <c r="G1735" t="inlineStr">
        <is>
          <t>VH</t>
        </is>
      </c>
      <c r="H1735" t="inlineStr">
        <is>
          <t>2</t>
        </is>
      </c>
      <c r="I1735" t="inlineStr"/>
      <c r="J1735" t="inlineStr">
        <is>
          <t>851-900</t>
        </is>
      </c>
      <c r="K1735" t="inlineStr">
        <is>
          <t>801-850</t>
        </is>
      </c>
      <c r="L1735" t="inlineStr">
        <is>
          <t>1401+</t>
        </is>
      </c>
      <c r="M1735" t="inlineStr"/>
      <c r="N1735" t="inlineStr">
        <is>
          <t>-</t>
        </is>
      </c>
      <c r="O1735" t="inlineStr">
        <is>
          <t>-</t>
        </is>
      </c>
      <c r="P1735" t="n">
        <v>10.4</v>
      </c>
      <c r="Q1735" t="inlineStr">
        <is>
          <t>701+</t>
        </is>
      </c>
      <c r="R1735" t="n">
        <v>11.2</v>
      </c>
      <c r="S1735" t="inlineStr">
        <is>
          <t>701+</t>
        </is>
      </c>
      <c r="T1735" t="n">
        <v>83.2</v>
      </c>
      <c r="U1735" t="inlineStr">
        <is>
          <t>151</t>
        </is>
      </c>
      <c r="V1735" t="n">
        <v>10.9</v>
      </c>
      <c r="W1735" t="inlineStr">
        <is>
          <t>801+</t>
        </is>
      </c>
      <c r="X1735" t="inlineStr"/>
      <c r="Y1735" t="inlineStr"/>
      <c r="Z1735" t="inlineStr"/>
      <c r="AA1735" t="inlineStr"/>
      <c r="AB1735" t="inlineStr"/>
      <c r="AC1735" t="inlineStr"/>
      <c r="AD1735" t="n">
        <v>72.2</v>
      </c>
      <c r="AE1735" t="inlineStr">
        <is>
          <t>496</t>
        </is>
      </c>
      <c r="AF1735" t="n">
        <v>12.9</v>
      </c>
      <c r="AG1735" t="inlineStr">
        <is>
          <t>801+</t>
        </is>
      </c>
      <c r="AH1735" t="n">
        <v>45.2</v>
      </c>
      <c r="AI1735" t="inlineStr">
        <is>
          <t>801+</t>
        </is>
      </c>
      <c r="AJ1735" t="inlineStr">
        <is>
          <t>7.2</t>
        </is>
      </c>
      <c r="AK1735" t="inlineStr">
        <is>
          <t>601+</t>
        </is>
      </c>
      <c r="AL1735" t="inlineStr">
        <is>
          <t>5.7</t>
        </is>
      </c>
      <c r="AM1735" t="inlineStr">
        <is>
          <t>601+</t>
        </is>
      </c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>
        <is>
          <t>26.3</t>
        </is>
      </c>
      <c r="AW1735" t="inlineStr">
        <is>
          <t>489</t>
        </is>
      </c>
      <c r="AX1735" t="inlineStr"/>
      <c r="AY1735" t="inlineStr"/>
      <c r="AZ1735" t="inlineStr"/>
      <c r="BA1735" t="inlineStr"/>
    </row>
    <row r="1736">
      <c r="A1736" t="inlineStr">
        <is>
          <t>University of Stirling</t>
        </is>
      </c>
      <c r="B1736" t="inlineStr">
        <is>
          <t>United Kingdom</t>
        </is>
      </c>
      <c r="C1736" t="inlineStr">
        <is>
          <t>UK</t>
        </is>
      </c>
      <c r="D1736" t="inlineStr">
        <is>
          <t>Europe</t>
        </is>
      </c>
      <c r="E1736" t="inlineStr">
        <is>
          <t>M</t>
        </is>
      </c>
      <c r="F1736" t="inlineStr">
        <is>
          <t>CO</t>
        </is>
      </c>
      <c r="G1736" t="inlineStr">
        <is>
          <t>VH</t>
        </is>
      </c>
      <c r="H1736" t="inlineStr">
        <is>
          <t>4</t>
        </is>
      </c>
      <c r="I1736" t="inlineStr">
        <is>
          <t>Public</t>
        </is>
      </c>
      <c r="J1736" t="inlineStr">
        <is>
          <t>517</t>
        </is>
      </c>
      <c r="K1736" t="inlineStr">
        <is>
          <t>452</t>
        </is>
      </c>
      <c r="L1736">
        <f>431</f>
        <v/>
      </c>
      <c r="M1736" t="inlineStr">
        <is>
          <t>501-510</t>
        </is>
      </c>
      <c r="N1736" t="inlineStr">
        <is>
          <t>31.4</t>
        </is>
      </c>
      <c r="O1736" t="inlineStr">
        <is>
          <t>26.2</t>
        </is>
      </c>
      <c r="P1736" t="n">
        <v>16.8</v>
      </c>
      <c r="Q1736" t="inlineStr">
        <is>
          <t>701+</t>
        </is>
      </c>
      <c r="R1736" t="n">
        <v>13.1</v>
      </c>
      <c r="S1736" t="inlineStr">
        <is>
          <t>701+</t>
        </is>
      </c>
      <c r="T1736" t="n">
        <v>14.6</v>
      </c>
      <c r="U1736" t="inlineStr">
        <is>
          <t>801+</t>
        </is>
      </c>
      <c r="V1736" t="n">
        <v>38.3</v>
      </c>
      <c r="W1736" t="inlineStr">
        <is>
          <t>489</t>
        </is>
      </c>
      <c r="X1736" t="n">
        <v>79.5</v>
      </c>
      <c r="Y1736" t="inlineStr">
        <is>
          <t>299</t>
        </is>
      </c>
      <c r="Z1736" t="n">
        <v>81.3</v>
      </c>
      <c r="AA1736" t="inlineStr">
        <is>
          <t>218</t>
        </is>
      </c>
      <c r="AB1736" t="n">
        <v>83</v>
      </c>
      <c r="AC1736" t="inlineStr">
        <is>
          <t>183</t>
        </is>
      </c>
      <c r="AD1736" t="n">
        <v>62.7</v>
      </c>
      <c r="AE1736" t="inlineStr">
        <is>
          <t>655</t>
        </is>
      </c>
      <c r="AF1736" t="n">
        <v>22.4</v>
      </c>
      <c r="AG1736" t="inlineStr">
        <is>
          <t>685</t>
        </is>
      </c>
      <c r="AH1736" t="n">
        <v>81.2</v>
      </c>
      <c r="AI1736" t="inlineStr">
        <is>
          <t>158=</t>
        </is>
      </c>
      <c r="AJ1736" t="inlineStr">
        <is>
          <t>11.5</t>
        </is>
      </c>
      <c r="AK1736" t="inlineStr">
        <is>
          <t>601+</t>
        </is>
      </c>
      <c r="AL1736" t="inlineStr">
        <is>
          <t>10.2</t>
        </is>
      </c>
      <c r="AM1736" t="inlineStr">
        <is>
          <t>601+</t>
        </is>
      </c>
      <c r="AN1736" t="inlineStr">
        <is>
          <t>10.5</t>
        </is>
      </c>
      <c r="AO1736" t="inlineStr">
        <is>
          <t>701+</t>
        </is>
      </c>
      <c r="AP1736" t="inlineStr">
        <is>
          <t>34.7</t>
        </is>
      </c>
      <c r="AQ1736" t="inlineStr">
        <is>
          <t>391</t>
        </is>
      </c>
      <c r="AR1736" t="inlineStr">
        <is>
          <t>71.9</t>
        </is>
      </c>
      <c r="AS1736" t="inlineStr">
        <is>
          <t>266</t>
        </is>
      </c>
      <c r="AT1736" t="inlineStr">
        <is>
          <t>83.5</t>
        </is>
      </c>
      <c r="AU1736" t="inlineStr">
        <is>
          <t>149</t>
        </is>
      </c>
      <c r="AV1736" t="inlineStr">
        <is>
          <t>14.4</t>
        </is>
      </c>
      <c r="AW1736" t="inlineStr">
        <is>
          <t>607</t>
        </is>
      </c>
      <c r="AX1736" t="inlineStr">
        <is>
          <t>14.8</t>
        </is>
      </c>
      <c r="AY1736" t="inlineStr">
        <is>
          <t>566</t>
        </is>
      </c>
      <c r="AZ1736" t="inlineStr">
        <is>
          <t>79.8</t>
        </is>
      </c>
      <c r="BA1736" t="inlineStr">
        <is>
          <t>152=</t>
        </is>
      </c>
    </row>
    <row r="1737">
      <c r="A1737" t="inlineStr">
        <is>
          <t>University of Strathclyde</t>
        </is>
      </c>
      <c r="B1737" t="inlineStr">
        <is>
          <t>United Kingdom</t>
        </is>
      </c>
      <c r="C1737" t="inlineStr">
        <is>
          <t>UK</t>
        </is>
      </c>
      <c r="D1737" t="inlineStr">
        <is>
          <t>Europe</t>
        </is>
      </c>
      <c r="E1737" t="inlineStr">
        <is>
          <t>L</t>
        </is>
      </c>
      <c r="F1737" t="inlineStr">
        <is>
          <t>CO</t>
        </is>
      </c>
      <c r="G1737" t="inlineStr">
        <is>
          <t>VH</t>
        </is>
      </c>
      <c r="H1737" t="inlineStr">
        <is>
          <t>4</t>
        </is>
      </c>
      <c r="I1737" t="inlineStr">
        <is>
          <t>Public</t>
        </is>
      </c>
      <c r="J1737" t="inlineStr">
        <is>
          <t>251</t>
        </is>
      </c>
      <c r="K1737" t="inlineStr">
        <is>
          <t>281</t>
        </is>
      </c>
      <c r="L1737">
        <f>276</f>
        <v/>
      </c>
      <c r="M1737" t="inlineStr">
        <is>
          <t>325=</t>
        </is>
      </c>
      <c r="N1737" t="inlineStr">
        <is>
          <t>50.2</t>
        </is>
      </c>
      <c r="O1737" t="inlineStr">
        <is>
          <t>37.0</t>
        </is>
      </c>
      <c r="P1737" t="n">
        <v>37.5</v>
      </c>
      <c r="Q1737" t="inlineStr">
        <is>
          <t>319</t>
        </is>
      </c>
      <c r="R1737" t="n">
        <v>40.5</v>
      </c>
      <c r="S1737" t="inlineStr">
        <is>
          <t>335</t>
        </is>
      </c>
      <c r="T1737" t="n">
        <v>17.8</v>
      </c>
      <c r="U1737" t="inlineStr">
        <is>
          <t>801+</t>
        </is>
      </c>
      <c r="V1737" t="n">
        <v>57.2</v>
      </c>
      <c r="W1737" t="inlineStr">
        <is>
          <t>306</t>
        </is>
      </c>
      <c r="X1737" t="n">
        <v>99.2</v>
      </c>
      <c r="Y1737" t="inlineStr">
        <is>
          <t>122</t>
        </is>
      </c>
      <c r="Z1737" t="n">
        <v>89</v>
      </c>
      <c r="AA1737" t="inlineStr">
        <is>
          <t>175</t>
        </is>
      </c>
      <c r="AB1737" t="n">
        <v>90</v>
      </c>
      <c r="AC1737" t="inlineStr">
        <is>
          <t>149</t>
        </is>
      </c>
      <c r="AD1737" t="n">
        <v>84.5</v>
      </c>
      <c r="AE1737" t="inlineStr">
        <is>
          <t>263</t>
        </is>
      </c>
      <c r="AF1737" t="n">
        <v>46</v>
      </c>
      <c r="AG1737" t="inlineStr">
        <is>
          <t>379</t>
        </is>
      </c>
      <c r="AH1737" t="n">
        <v>84.59999999999999</v>
      </c>
      <c r="AI1737" t="inlineStr">
        <is>
          <t>117=</t>
        </is>
      </c>
      <c r="AJ1737" t="inlineStr">
        <is>
          <t>26.3</t>
        </is>
      </c>
      <c r="AK1737" t="inlineStr">
        <is>
          <t>334</t>
        </is>
      </c>
      <c r="AL1737" t="inlineStr">
        <is>
          <t>34.6</t>
        </is>
      </c>
      <c r="AM1737" t="inlineStr">
        <is>
          <t>281</t>
        </is>
      </c>
      <c r="AN1737" t="inlineStr">
        <is>
          <t>17.7</t>
        </is>
      </c>
      <c r="AO1737" t="inlineStr">
        <is>
          <t>701+</t>
        </is>
      </c>
      <c r="AP1737" t="inlineStr">
        <is>
          <t>33.7</t>
        </is>
      </c>
      <c r="AQ1737" t="inlineStr">
        <is>
          <t>405</t>
        </is>
      </c>
      <c r="AR1737" t="inlineStr">
        <is>
          <t>93.3</t>
        </is>
      </c>
      <c r="AS1737" t="inlineStr">
        <is>
          <t>161</t>
        </is>
      </c>
      <c r="AT1737" t="inlineStr">
        <is>
          <t>67.0</t>
        </is>
      </c>
      <c r="AU1737" t="inlineStr">
        <is>
          <t>222</t>
        </is>
      </c>
      <c r="AV1737" t="inlineStr">
        <is>
          <t>61.6</t>
        </is>
      </c>
      <c r="AW1737" t="inlineStr">
        <is>
          <t>235</t>
        </is>
      </c>
      <c r="AX1737" t="inlineStr">
        <is>
          <t>24</t>
        </is>
      </c>
      <c r="AY1737" t="inlineStr">
        <is>
          <t>353</t>
        </is>
      </c>
      <c r="AZ1737" t="inlineStr">
        <is>
          <t>59.2</t>
        </is>
      </c>
      <c r="BA1737" t="inlineStr">
        <is>
          <t>252=</t>
        </is>
      </c>
    </row>
    <row r="1738">
      <c r="A1738" t="inlineStr">
        <is>
          <t>University of Surrey</t>
        </is>
      </c>
      <c r="B1738" t="inlineStr">
        <is>
          <t>United Kingdom</t>
        </is>
      </c>
      <c r="C1738" t="inlineStr">
        <is>
          <t>UK</t>
        </is>
      </c>
      <c r="D1738" t="inlineStr">
        <is>
          <t>Europe</t>
        </is>
      </c>
      <c r="E1738" t="inlineStr">
        <is>
          <t>L</t>
        </is>
      </c>
      <c r="F1738" t="inlineStr">
        <is>
          <t>CO</t>
        </is>
      </c>
      <c r="G1738" t="inlineStr">
        <is>
          <t>VH</t>
        </is>
      </c>
      <c r="H1738" t="inlineStr">
        <is>
          <t>4</t>
        </is>
      </c>
      <c r="I1738" t="inlineStr">
        <is>
          <t>Public</t>
        </is>
      </c>
      <c r="J1738" t="inlineStr">
        <is>
          <t>262</t>
        </is>
      </c>
      <c r="K1738" t="inlineStr">
        <is>
          <t>285</t>
        </is>
      </c>
      <c r="L1738" t="inlineStr">
        <is>
          <t>244</t>
        </is>
      </c>
      <c r="M1738" t="inlineStr">
        <is>
          <t>305</t>
        </is>
      </c>
      <c r="N1738" t="inlineStr">
        <is>
          <t>49.3</t>
        </is>
      </c>
      <c r="O1738" t="inlineStr">
        <is>
          <t>39.9</t>
        </is>
      </c>
      <c r="P1738" t="n">
        <v>29.7</v>
      </c>
      <c r="Q1738" t="inlineStr">
        <is>
          <t>411</t>
        </is>
      </c>
      <c r="R1738" t="n">
        <v>30</v>
      </c>
      <c r="S1738" t="inlineStr">
        <is>
          <t>475</t>
        </is>
      </c>
      <c r="T1738" t="n">
        <v>33.4</v>
      </c>
      <c r="U1738" t="inlineStr">
        <is>
          <t>583</t>
        </is>
      </c>
      <c r="V1738" t="n">
        <v>74.40000000000001</v>
      </c>
      <c r="W1738" t="inlineStr">
        <is>
          <t>182</t>
        </is>
      </c>
      <c r="X1738" t="n">
        <v>98</v>
      </c>
      <c r="Y1738" t="inlineStr">
        <is>
          <t>139</t>
        </is>
      </c>
      <c r="Z1738" t="n">
        <v>88.7</v>
      </c>
      <c r="AA1738" t="inlineStr">
        <is>
          <t>181</t>
        </is>
      </c>
      <c r="AB1738" t="n">
        <v>89.7</v>
      </c>
      <c r="AC1738" t="inlineStr">
        <is>
          <t>152</t>
        </is>
      </c>
      <c r="AD1738" t="n">
        <v>86.59999999999999</v>
      </c>
      <c r="AE1738" t="inlineStr">
        <is>
          <t>227</t>
        </is>
      </c>
      <c r="AF1738" t="n">
        <v>30.7</v>
      </c>
      <c r="AG1738" t="inlineStr">
        <is>
          <t>539</t>
        </is>
      </c>
      <c r="AH1738" t="n">
        <v>60.4</v>
      </c>
      <c r="AI1738" t="inlineStr">
        <is>
          <t>499=</t>
        </is>
      </c>
      <c r="AJ1738" t="inlineStr">
        <is>
          <t>20.4</t>
        </is>
      </c>
      <c r="AK1738" t="inlineStr">
        <is>
          <t>428</t>
        </is>
      </c>
      <c r="AL1738" t="inlineStr">
        <is>
          <t>23.4</t>
        </is>
      </c>
      <c r="AM1738" t="inlineStr">
        <is>
          <t>409</t>
        </is>
      </c>
      <c r="AN1738" t="inlineStr">
        <is>
          <t>23.2</t>
        </is>
      </c>
      <c r="AO1738" t="inlineStr">
        <is>
          <t>613</t>
        </is>
      </c>
      <c r="AP1738" t="inlineStr">
        <is>
          <t>56.2</t>
        </is>
      </c>
      <c r="AQ1738" t="inlineStr">
        <is>
          <t>230</t>
        </is>
      </c>
      <c r="AR1738" t="inlineStr">
        <is>
          <t>96.8</t>
        </is>
      </c>
      <c r="AS1738" t="inlineStr">
        <is>
          <t>129</t>
        </is>
      </c>
      <c r="AT1738" t="inlineStr">
        <is>
          <t>88.3</t>
        </is>
      </c>
      <c r="AU1738" t="inlineStr">
        <is>
          <t>127</t>
        </is>
      </c>
      <c r="AV1738" t="inlineStr">
        <is>
          <t>71.1</t>
        </is>
      </c>
      <c r="AW1738" t="inlineStr">
        <is>
          <t>192</t>
        </is>
      </c>
      <c r="AX1738" t="inlineStr">
        <is>
          <t>16.8</t>
        </is>
      </c>
      <c r="AY1738" t="inlineStr">
        <is>
          <t>503</t>
        </is>
      </c>
      <c r="AZ1738" t="inlineStr">
        <is>
          <t>57.7</t>
        </is>
      </c>
      <c r="BA1738" t="inlineStr">
        <is>
          <t>259=</t>
        </is>
      </c>
    </row>
    <row r="1739">
      <c r="A1739" t="inlineStr">
        <is>
          <t>University of Sussex</t>
        </is>
      </c>
      <c r="B1739" t="inlineStr">
        <is>
          <t>United Kingdom</t>
        </is>
      </c>
      <c r="C1739" t="inlineStr">
        <is>
          <t>UK</t>
        </is>
      </c>
      <c r="D1739" t="inlineStr">
        <is>
          <t>Europe</t>
        </is>
      </c>
      <c r="E1739" t="inlineStr">
        <is>
          <t>L</t>
        </is>
      </c>
      <c r="F1739" t="inlineStr">
        <is>
          <t>FC</t>
        </is>
      </c>
      <c r="G1739" t="inlineStr">
        <is>
          <t>VH</t>
        </is>
      </c>
      <c r="H1739" t="inlineStr">
        <is>
          <t>4</t>
        </is>
      </c>
      <c r="I1739" t="inlineStr">
        <is>
          <t>Public</t>
        </is>
      </c>
      <c r="J1739" t="inlineStr">
        <is>
          <t>278</t>
        </is>
      </c>
      <c r="K1739" t="inlineStr">
        <is>
          <t>246</t>
        </is>
      </c>
      <c r="L1739" t="inlineStr">
        <is>
          <t>218</t>
        </is>
      </c>
      <c r="M1739" t="inlineStr">
        <is>
          <t>240=</t>
        </is>
      </c>
      <c r="N1739" t="inlineStr">
        <is>
          <t>47.9</t>
        </is>
      </c>
      <c r="O1739" t="inlineStr">
        <is>
          <t>43.1</t>
        </is>
      </c>
      <c r="P1739" t="n">
        <v>33.8</v>
      </c>
      <c r="Q1739" t="inlineStr">
        <is>
          <t>360</t>
        </is>
      </c>
      <c r="R1739" t="n">
        <v>21</v>
      </c>
      <c r="S1739" t="inlineStr">
        <is>
          <t>624</t>
        </is>
      </c>
      <c r="T1739" t="n">
        <v>21.4</v>
      </c>
      <c r="U1739" t="inlineStr">
        <is>
          <t>801+</t>
        </is>
      </c>
      <c r="V1739" t="n">
        <v>60.7</v>
      </c>
      <c r="W1739" t="inlineStr">
        <is>
          <t>283</t>
        </is>
      </c>
      <c r="X1739" t="n">
        <v>99</v>
      </c>
      <c r="Y1739" t="inlineStr">
        <is>
          <t>129</t>
        </is>
      </c>
      <c r="Z1739" t="n">
        <v>89.5</v>
      </c>
      <c r="AA1739" t="inlineStr">
        <is>
          <t>172</t>
        </is>
      </c>
      <c r="AB1739" t="n">
        <v>90.40000000000001</v>
      </c>
      <c r="AC1739" t="inlineStr">
        <is>
          <t>146</t>
        </is>
      </c>
      <c r="AD1739" t="n">
        <v>86.3</v>
      </c>
      <c r="AE1739" t="inlineStr">
        <is>
          <t>232</t>
        </is>
      </c>
      <c r="AF1739" t="n">
        <v>53.6</v>
      </c>
      <c r="AG1739" t="inlineStr">
        <is>
          <t>314</t>
        </is>
      </c>
      <c r="AH1739" t="n">
        <v>90</v>
      </c>
      <c r="AI1739" t="inlineStr">
        <is>
          <t>63=</t>
        </is>
      </c>
      <c r="AJ1739" t="inlineStr">
        <is>
          <t>22.9</t>
        </is>
      </c>
      <c r="AK1739" t="inlineStr">
        <is>
          <t>380</t>
        </is>
      </c>
      <c r="AL1739" t="inlineStr">
        <is>
          <t>8.9</t>
        </is>
      </c>
      <c r="AM1739" t="inlineStr">
        <is>
          <t>601+</t>
        </is>
      </c>
      <c r="AN1739" t="inlineStr">
        <is>
          <t>14.6</t>
        </is>
      </c>
      <c r="AO1739" t="inlineStr">
        <is>
          <t>701+</t>
        </is>
      </c>
      <c r="AP1739" t="inlineStr">
        <is>
          <t>70.9</t>
        </is>
      </c>
      <c r="AQ1739" t="inlineStr">
        <is>
          <t>142</t>
        </is>
      </c>
      <c r="AR1739" t="inlineStr">
        <is>
          <t>96.1</t>
        </is>
      </c>
      <c r="AS1739" t="inlineStr">
        <is>
          <t>137</t>
        </is>
      </c>
      <c r="AT1739" t="inlineStr">
        <is>
          <t>93.0</t>
        </is>
      </c>
      <c r="AU1739" t="inlineStr">
        <is>
          <t>100</t>
        </is>
      </c>
      <c r="AV1739" t="inlineStr">
        <is>
          <t>62.9</t>
        </is>
      </c>
      <c r="AW1739" t="inlineStr">
        <is>
          <t>226</t>
        </is>
      </c>
      <c r="AX1739" t="inlineStr">
        <is>
          <t>30.6</t>
        </is>
      </c>
      <c r="AY1739" t="inlineStr">
        <is>
          <t>251</t>
        </is>
      </c>
      <c r="AZ1739" t="inlineStr">
        <is>
          <t>97.2</t>
        </is>
      </c>
      <c r="BA1739" t="inlineStr">
        <is>
          <t>35</t>
        </is>
      </c>
    </row>
    <row r="1740">
      <c r="A1740" t="inlineStr">
        <is>
          <t>University of Szeged</t>
        </is>
      </c>
      <c r="B1740" t="inlineStr">
        <is>
          <t>Hungary</t>
        </is>
      </c>
      <c r="C1740" t="inlineStr">
        <is>
          <t>HU</t>
        </is>
      </c>
      <c r="D1740" t="inlineStr">
        <is>
          <t>Europe</t>
        </is>
      </c>
      <c r="E1740" t="inlineStr">
        <is>
          <t>L</t>
        </is>
      </c>
      <c r="F1740" t="inlineStr">
        <is>
          <t>FC</t>
        </is>
      </c>
      <c r="G1740" t="inlineStr">
        <is>
          <t>HI</t>
        </is>
      </c>
      <c r="H1740" t="inlineStr">
        <is>
          <t>5</t>
        </is>
      </c>
      <c r="I1740" t="inlineStr">
        <is>
          <t>Private not for Profit</t>
        </is>
      </c>
      <c r="J1740" t="inlineStr">
        <is>
          <t>597</t>
        </is>
      </c>
      <c r="K1740" t="inlineStr">
        <is>
          <t>570</t>
        </is>
      </c>
      <c r="L1740" t="inlineStr">
        <is>
          <t>601-610</t>
        </is>
      </c>
      <c r="M1740" t="inlineStr">
        <is>
          <t>551-560</t>
        </is>
      </c>
      <c r="N1740" t="inlineStr">
        <is>
          <t>28.3</t>
        </is>
      </c>
      <c r="O1740" t="inlineStr">
        <is>
          <t>-</t>
        </is>
      </c>
      <c r="P1740" t="n">
        <v>26.2</v>
      </c>
      <c r="Q1740" t="inlineStr">
        <is>
          <t>484</t>
        </is>
      </c>
      <c r="R1740" t="n">
        <v>22.7</v>
      </c>
      <c r="S1740" t="inlineStr">
        <is>
          <t>583</t>
        </is>
      </c>
      <c r="T1740" t="n">
        <v>41.9</v>
      </c>
      <c r="U1740" t="inlineStr">
        <is>
          <t>482</t>
        </is>
      </c>
      <c r="V1740" t="n">
        <v>8.9</v>
      </c>
      <c r="W1740" t="inlineStr">
        <is>
          <t>801+</t>
        </is>
      </c>
      <c r="X1740" t="n">
        <v>15.4</v>
      </c>
      <c r="Y1740" t="inlineStr">
        <is>
          <t>801+</t>
        </is>
      </c>
      <c r="Z1740" t="n">
        <v>56.4</v>
      </c>
      <c r="AA1740" t="inlineStr">
        <is>
          <t>368</t>
        </is>
      </c>
      <c r="AB1740" t="n">
        <v>60.6</v>
      </c>
      <c r="AC1740" t="inlineStr">
        <is>
          <t>336</t>
        </is>
      </c>
      <c r="AD1740" t="n">
        <v>75.3</v>
      </c>
      <c r="AE1740" t="inlineStr">
        <is>
          <t>438</t>
        </is>
      </c>
      <c r="AF1740" t="n">
        <v>29</v>
      </c>
      <c r="AG1740" t="inlineStr">
        <is>
          <t>574</t>
        </is>
      </c>
      <c r="AH1740" t="n">
        <v>69.40000000000001</v>
      </c>
      <c r="AI1740" t="inlineStr">
        <is>
          <t>323=</t>
        </is>
      </c>
      <c r="AJ1740" t="inlineStr">
        <is>
          <t>18.0</t>
        </is>
      </c>
      <c r="AK1740" t="inlineStr">
        <is>
          <t>498</t>
        </is>
      </c>
      <c r="AL1740" t="inlineStr">
        <is>
          <t>12.0</t>
        </is>
      </c>
      <c r="AM1740" t="inlineStr">
        <is>
          <t>601+</t>
        </is>
      </c>
      <c r="AN1740" t="inlineStr">
        <is>
          <t>44.6</t>
        </is>
      </c>
      <c r="AO1740" t="inlineStr">
        <is>
          <t>352</t>
        </is>
      </c>
      <c r="AP1740" t="inlineStr">
        <is>
          <t>4.9</t>
        </is>
      </c>
      <c r="AQ1740" t="inlineStr">
        <is>
          <t>701+</t>
        </is>
      </c>
      <c r="AR1740" t="inlineStr">
        <is>
          <t>11.9</t>
        </is>
      </c>
      <c r="AS1740" t="inlineStr">
        <is>
          <t>701+</t>
        </is>
      </c>
      <c r="AT1740" t="inlineStr">
        <is>
          <t>50.5</t>
        </is>
      </c>
      <c r="AU1740" t="inlineStr">
        <is>
          <t>288</t>
        </is>
      </c>
      <c r="AV1740" t="inlineStr">
        <is>
          <t>34.6</t>
        </is>
      </c>
      <c r="AW1740" t="inlineStr">
        <is>
          <t>420</t>
        </is>
      </c>
      <c r="AX1740" t="inlineStr">
        <is>
          <t>9.1</t>
        </is>
      </c>
      <c r="AY1740" t="inlineStr">
        <is>
          <t>701+</t>
        </is>
      </c>
      <c r="AZ1740" t="inlineStr">
        <is>
          <t>34.9</t>
        </is>
      </c>
      <c r="BA1740" t="inlineStr">
        <is>
          <t>400=</t>
        </is>
      </c>
    </row>
    <row r="1741">
      <c r="A1741" t="inlineStr">
        <is>
          <t>University of Tabriz</t>
        </is>
      </c>
      <c r="B1741" t="inlineStr">
        <is>
          <t>Iran (Islamic Republic of)</t>
        </is>
      </c>
      <c r="C1741" t="inlineStr"/>
      <c r="D1741" t="inlineStr">
        <is>
          <t>Asia</t>
        </is>
      </c>
      <c r="E1741" t="inlineStr">
        <is>
          <t>L</t>
        </is>
      </c>
      <c r="F1741" t="inlineStr">
        <is>
          <t>CO</t>
        </is>
      </c>
      <c r="G1741" t="inlineStr">
        <is>
          <t>VH</t>
        </is>
      </c>
      <c r="H1741" t="inlineStr"/>
      <c r="I1741" t="inlineStr">
        <is>
          <t>Public</t>
        </is>
      </c>
      <c r="J1741" t="inlineStr">
        <is>
          <t>578</t>
        </is>
      </c>
      <c r="K1741" t="inlineStr">
        <is>
          <t>552</t>
        </is>
      </c>
      <c r="L1741" t="inlineStr"/>
      <c r="M1741" t="inlineStr"/>
      <c r="N1741" t="inlineStr">
        <is>
          <t>29</t>
        </is>
      </c>
      <c r="O1741" t="inlineStr"/>
      <c r="P1741" t="n">
        <v>9.699999999999999</v>
      </c>
      <c r="Q1741" t="inlineStr">
        <is>
          <t>701+</t>
        </is>
      </c>
      <c r="R1741" t="n">
        <v>11.2</v>
      </c>
      <c r="S1741" t="inlineStr">
        <is>
          <t>701+</t>
        </is>
      </c>
      <c r="T1741" t="n">
        <v>2.9</v>
      </c>
      <c r="U1741" t="inlineStr">
        <is>
          <t>801+</t>
        </is>
      </c>
      <c r="V1741" t="n">
        <v>91.7</v>
      </c>
      <c r="W1741" t="inlineStr">
        <is>
          <t>94</t>
        </is>
      </c>
      <c r="X1741" t="n">
        <v>1.7</v>
      </c>
      <c r="Y1741" t="inlineStr">
        <is>
          <t>801+</t>
        </is>
      </c>
      <c r="Z1741" t="n">
        <v>25.4</v>
      </c>
      <c r="AA1741" t="inlineStr">
        <is>
          <t>655</t>
        </is>
      </c>
      <c r="AB1741" t="n">
        <v>24.4</v>
      </c>
      <c r="AC1741" t="inlineStr">
        <is>
          <t>697</t>
        </is>
      </c>
      <c r="AD1741" t="n">
        <v>76.90000000000001</v>
      </c>
      <c r="AE1741" t="inlineStr">
        <is>
          <t>408</t>
        </is>
      </c>
      <c r="AF1741" t="n">
        <v>5.1</v>
      </c>
      <c r="AG1741" t="inlineStr">
        <is>
          <t>801+</t>
        </is>
      </c>
      <c r="AH1741" t="n">
        <v>29.6</v>
      </c>
      <c r="AI1741" t="inlineStr">
        <is>
          <t>801+</t>
        </is>
      </c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</row>
    <row r="1742">
      <c r="A1742" t="inlineStr">
        <is>
          <t>University of Tabuk</t>
        </is>
      </c>
      <c r="B1742" t="inlineStr">
        <is>
          <t>Saudi Arabia</t>
        </is>
      </c>
      <c r="C1742" t="inlineStr"/>
      <c r="D1742" t="inlineStr">
        <is>
          <t>Asia</t>
        </is>
      </c>
      <c r="E1742" t="inlineStr">
        <is>
          <t>L</t>
        </is>
      </c>
      <c r="F1742" t="inlineStr">
        <is>
          <t>FC</t>
        </is>
      </c>
      <c r="G1742" t="inlineStr">
        <is>
          <t>HI</t>
        </is>
      </c>
      <c r="H1742" t="inlineStr"/>
      <c r="I1742" t="inlineStr">
        <is>
          <t>Public</t>
        </is>
      </c>
      <c r="J1742" t="inlineStr">
        <is>
          <t>1001-1200</t>
        </is>
      </c>
      <c r="K1742" t="inlineStr">
        <is>
          <t>1001-1200</t>
        </is>
      </c>
      <c r="L1742" t="inlineStr"/>
      <c r="M1742" t="inlineStr"/>
      <c r="N1742" t="inlineStr">
        <is>
          <t>-</t>
        </is>
      </c>
      <c r="O1742" t="inlineStr"/>
      <c r="P1742" t="n">
        <v>8.800000000000001</v>
      </c>
      <c r="Q1742" t="inlineStr">
        <is>
          <t>701+</t>
        </is>
      </c>
      <c r="R1742" t="n">
        <v>3.5</v>
      </c>
      <c r="S1742" t="inlineStr">
        <is>
          <t>701+</t>
        </is>
      </c>
      <c r="T1742" t="n">
        <v>27.3</v>
      </c>
      <c r="U1742" t="inlineStr">
        <is>
          <t>693</t>
        </is>
      </c>
      <c r="V1742" t="n">
        <v>6.7</v>
      </c>
      <c r="W1742" t="inlineStr">
        <is>
          <t>801+</t>
        </is>
      </c>
      <c r="X1742" t="n">
        <v>93.7</v>
      </c>
      <c r="Y1742" t="inlineStr">
        <is>
          <t>197</t>
        </is>
      </c>
      <c r="Z1742" t="n">
        <v>5.5</v>
      </c>
      <c r="AA1742" t="inlineStr">
        <is>
          <t>801+</t>
        </is>
      </c>
      <c r="AB1742" t="n">
        <v>9.9</v>
      </c>
      <c r="AC1742" t="inlineStr">
        <is>
          <t>801+</t>
        </is>
      </c>
      <c r="AD1742" t="n">
        <v>42.7</v>
      </c>
      <c r="AE1742" t="inlineStr">
        <is>
          <t>801+</t>
        </is>
      </c>
      <c r="AF1742" t="n">
        <v>2.8</v>
      </c>
      <c r="AG1742" t="inlineStr">
        <is>
          <t>801+</t>
        </is>
      </c>
      <c r="AH1742" t="n">
        <v>34.7</v>
      </c>
      <c r="AI1742" t="inlineStr">
        <is>
          <t>801+</t>
        </is>
      </c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</row>
    <row r="1743">
      <c r="A1743" t="inlineStr">
        <is>
          <t>University of Tartu</t>
        </is>
      </c>
      <c r="B1743" t="inlineStr">
        <is>
          <t>Estonia</t>
        </is>
      </c>
      <c r="C1743" t="inlineStr">
        <is>
          <t>EE</t>
        </is>
      </c>
      <c r="D1743" t="inlineStr">
        <is>
          <t>Europe</t>
        </is>
      </c>
      <c r="E1743" t="inlineStr">
        <is>
          <t>M</t>
        </is>
      </c>
      <c r="F1743" t="inlineStr">
        <is>
          <t>FC</t>
        </is>
      </c>
      <c r="G1743" t="inlineStr">
        <is>
          <t>VH</t>
        </is>
      </c>
      <c r="H1743" t="inlineStr">
        <is>
          <t>5</t>
        </is>
      </c>
      <c r="I1743" t="inlineStr">
        <is>
          <t>Public</t>
        </is>
      </c>
      <c r="J1743" t="inlineStr">
        <is>
          <t>362</t>
        </is>
      </c>
      <c r="K1743" t="inlineStr">
        <is>
          <t>358</t>
        </is>
      </c>
      <c r="L1743">
        <f>358</f>
        <v/>
      </c>
      <c r="M1743" t="inlineStr">
        <is>
          <t>296=</t>
        </is>
      </c>
      <c r="N1743" t="inlineStr">
        <is>
          <t>40.9</t>
        </is>
      </c>
      <c r="O1743" t="inlineStr">
        <is>
          <t>30.8</t>
        </is>
      </c>
      <c r="P1743" t="n">
        <v>28.6</v>
      </c>
      <c r="Q1743" t="inlineStr">
        <is>
          <t>437</t>
        </is>
      </c>
      <c r="R1743" t="n">
        <v>23.7</v>
      </c>
      <c r="S1743" t="inlineStr">
        <is>
          <t>567</t>
        </is>
      </c>
      <c r="T1743" t="n">
        <v>94.59999999999999</v>
      </c>
      <c r="U1743" t="inlineStr">
        <is>
          <t>79</t>
        </is>
      </c>
      <c r="V1743" t="n">
        <v>19.1</v>
      </c>
      <c r="W1743" t="inlineStr">
        <is>
          <t>728</t>
        </is>
      </c>
      <c r="X1743" t="n">
        <v>62.1</v>
      </c>
      <c r="Y1743" t="inlineStr">
        <is>
          <t>374</t>
        </is>
      </c>
      <c r="Z1743" t="n">
        <v>20.8</v>
      </c>
      <c r="AA1743" t="inlineStr">
        <is>
          <t>712</t>
        </is>
      </c>
      <c r="AB1743" t="n">
        <v>26.9</v>
      </c>
      <c r="AC1743" t="inlineStr">
        <is>
          <t>654</t>
        </is>
      </c>
      <c r="AD1743" t="n">
        <v>89</v>
      </c>
      <c r="AE1743" t="inlineStr">
        <is>
          <t>186</t>
        </is>
      </c>
      <c r="AF1743" t="n">
        <v>89.2</v>
      </c>
      <c r="AG1743" t="inlineStr">
        <is>
          <t>112</t>
        </is>
      </c>
      <c r="AH1743" t="n">
        <v>64.2</v>
      </c>
      <c r="AI1743" t="inlineStr">
        <is>
          <t>417=</t>
        </is>
      </c>
      <c r="AJ1743" t="inlineStr">
        <is>
          <t>24.4</t>
        </is>
      </c>
      <c r="AK1743" t="inlineStr">
        <is>
          <t>355</t>
        </is>
      </c>
      <c r="AL1743" t="inlineStr">
        <is>
          <t>9.0</t>
        </is>
      </c>
      <c r="AM1743" t="inlineStr">
        <is>
          <t>601+</t>
        </is>
      </c>
      <c r="AN1743" t="inlineStr">
        <is>
          <t>91.5</t>
        </is>
      </c>
      <c r="AO1743" t="inlineStr">
        <is>
          <t>78</t>
        </is>
      </c>
      <c r="AP1743" t="inlineStr">
        <is>
          <t>11.5</t>
        </is>
      </c>
      <c r="AQ1743" t="inlineStr">
        <is>
          <t>701+</t>
        </is>
      </c>
      <c r="AR1743" t="inlineStr">
        <is>
          <t>46.5</t>
        </is>
      </c>
      <c r="AS1743" t="inlineStr">
        <is>
          <t>372</t>
        </is>
      </c>
      <c r="AT1743" t="inlineStr">
        <is>
          <t>22.2</t>
        </is>
      </c>
      <c r="AU1743" t="inlineStr">
        <is>
          <t>513</t>
        </is>
      </c>
      <c r="AV1743" t="inlineStr">
        <is>
          <t>73.7</t>
        </is>
      </c>
      <c r="AW1743" t="inlineStr">
        <is>
          <t>177</t>
        </is>
      </c>
      <c r="AX1743" t="inlineStr">
        <is>
          <t>42.1</t>
        </is>
      </c>
      <c r="AY1743" t="inlineStr">
        <is>
          <t>171</t>
        </is>
      </c>
      <c r="AZ1743" t="inlineStr">
        <is>
          <t>27.6</t>
        </is>
      </c>
      <c r="BA1743" t="inlineStr">
        <is>
          <t>471=</t>
        </is>
      </c>
    </row>
    <row r="1744">
      <c r="A1744" t="inlineStr">
        <is>
          <t>University of Tasmania</t>
        </is>
      </c>
      <c r="B1744" t="inlineStr">
        <is>
          <t>Australia</t>
        </is>
      </c>
      <c r="C1744" t="inlineStr">
        <is>
          <t>AU</t>
        </is>
      </c>
      <c r="D1744" t="inlineStr">
        <is>
          <t>Oceania</t>
        </is>
      </c>
      <c r="E1744" t="inlineStr">
        <is>
          <t>M</t>
        </is>
      </c>
      <c r="F1744" t="inlineStr">
        <is>
          <t>CO</t>
        </is>
      </c>
      <c r="G1744" t="inlineStr">
        <is>
          <t>VH</t>
        </is>
      </c>
      <c r="H1744" t="inlineStr">
        <is>
          <t>5</t>
        </is>
      </c>
      <c r="I1744" t="inlineStr">
        <is>
          <t>Public</t>
        </is>
      </c>
      <c r="J1744" t="inlineStr">
        <is>
          <t>314</t>
        </is>
      </c>
      <c r="K1744" t="inlineStr">
        <is>
          <t>293</t>
        </is>
      </c>
      <c r="L1744">
        <f>307</f>
        <v/>
      </c>
      <c r="M1744" t="inlineStr">
        <is>
          <t>293=</t>
        </is>
      </c>
      <c r="N1744" t="inlineStr">
        <is>
          <t>44.3</t>
        </is>
      </c>
      <c r="O1744" t="inlineStr">
        <is>
          <t>33.9</t>
        </is>
      </c>
      <c r="P1744" t="n">
        <v>22.5</v>
      </c>
      <c r="Q1744" t="inlineStr">
        <is>
          <t>556</t>
        </is>
      </c>
      <c r="R1744" t="n">
        <v>12.2</v>
      </c>
      <c r="S1744" t="inlineStr">
        <is>
          <t>701+</t>
        </is>
      </c>
      <c r="T1744" t="n">
        <v>34.3</v>
      </c>
      <c r="U1744" t="inlineStr">
        <is>
          <t>572</t>
        </is>
      </c>
      <c r="V1744" t="n">
        <v>72.8</v>
      </c>
      <c r="W1744" t="inlineStr">
        <is>
          <t>192</t>
        </is>
      </c>
      <c r="X1744" t="n">
        <v>87.09999999999999</v>
      </c>
      <c r="Y1744" t="inlineStr">
        <is>
          <t>244</t>
        </is>
      </c>
      <c r="Z1744" t="n">
        <v>91.7</v>
      </c>
      <c r="AA1744" t="inlineStr">
        <is>
          <t>152</t>
        </is>
      </c>
      <c r="AB1744" t="n">
        <v>92.3</v>
      </c>
      <c r="AC1744" t="inlineStr">
        <is>
          <t>129</t>
        </is>
      </c>
      <c r="AD1744" t="n">
        <v>80.40000000000001</v>
      </c>
      <c r="AE1744" t="inlineStr">
        <is>
          <t>348</t>
        </is>
      </c>
      <c r="AF1744" t="n">
        <v>25</v>
      </c>
      <c r="AG1744" t="inlineStr">
        <is>
          <t>640</t>
        </is>
      </c>
      <c r="AH1744" t="n">
        <v>84</v>
      </c>
      <c r="AI1744" t="inlineStr">
        <is>
          <t>124=</t>
        </is>
      </c>
      <c r="AJ1744" t="inlineStr">
        <is>
          <t>17.2</t>
        </is>
      </c>
      <c r="AK1744" t="inlineStr">
        <is>
          <t>520</t>
        </is>
      </c>
      <c r="AL1744" t="inlineStr">
        <is>
          <t>7.8</t>
        </is>
      </c>
      <c r="AM1744" t="inlineStr">
        <is>
          <t>601+</t>
        </is>
      </c>
      <c r="AN1744" t="inlineStr">
        <is>
          <t>17.7</t>
        </is>
      </c>
      <c r="AO1744" t="inlineStr">
        <is>
          <t>701+</t>
        </is>
      </c>
      <c r="AP1744" t="inlineStr">
        <is>
          <t>58.1</t>
        </is>
      </c>
      <c r="AQ1744" t="inlineStr">
        <is>
          <t>220</t>
        </is>
      </c>
      <c r="AR1744" t="inlineStr">
        <is>
          <t>75.1</t>
        </is>
      </c>
      <c r="AS1744" t="inlineStr">
        <is>
          <t>254</t>
        </is>
      </c>
      <c r="AT1744" t="inlineStr">
        <is>
          <t>95.8</t>
        </is>
      </c>
      <c r="AU1744" t="inlineStr">
        <is>
          <t>84</t>
        </is>
      </c>
      <c r="AV1744" t="inlineStr">
        <is>
          <t>48.8</t>
        </is>
      </c>
      <c r="AW1744" t="inlineStr">
        <is>
          <t>320</t>
        </is>
      </c>
      <c r="AX1744" t="inlineStr">
        <is>
          <t>14.8</t>
        </is>
      </c>
      <c r="AY1744" t="inlineStr">
        <is>
          <t>562</t>
        </is>
      </c>
      <c r="AZ1744" t="inlineStr">
        <is>
          <t>47.2</t>
        </is>
      </c>
      <c r="BA1744" t="inlineStr">
        <is>
          <t>323=</t>
        </is>
      </c>
    </row>
    <row r="1745">
      <c r="A1745" t="inlineStr">
        <is>
          <t>University of Technology Sydney</t>
        </is>
      </c>
      <c r="B1745" t="inlineStr">
        <is>
          <t>Australia</t>
        </is>
      </c>
      <c r="C1745" t="inlineStr">
        <is>
          <t>AU</t>
        </is>
      </c>
      <c r="D1745" t="inlineStr">
        <is>
          <t>Oceania</t>
        </is>
      </c>
      <c r="E1745" t="inlineStr">
        <is>
          <t>L</t>
        </is>
      </c>
      <c r="F1745" t="inlineStr">
        <is>
          <t>CO</t>
        </is>
      </c>
      <c r="G1745" t="inlineStr">
        <is>
          <t>VH</t>
        </is>
      </c>
      <c r="H1745" t="inlineStr">
        <is>
          <t>3</t>
        </is>
      </c>
      <c r="I1745" t="inlineStr">
        <is>
          <t>Public</t>
        </is>
      </c>
      <c r="J1745" t="inlineStr">
        <is>
          <t>96</t>
        </is>
      </c>
      <c r="K1745" t="inlineStr">
        <is>
          <t>88</t>
        </is>
      </c>
      <c r="L1745" t="inlineStr">
        <is>
          <t>90</t>
        </is>
      </c>
      <c r="M1745" t="inlineStr">
        <is>
          <t>137</t>
        </is>
      </c>
      <c r="N1745" t="inlineStr">
        <is>
          <t>69.9</t>
        </is>
      </c>
      <c r="O1745" t="inlineStr">
        <is>
          <t>61.8</t>
        </is>
      </c>
      <c r="P1745" t="n">
        <v>58.7</v>
      </c>
      <c r="Q1745" t="inlineStr">
        <is>
          <t>180</t>
        </is>
      </c>
      <c r="R1745" t="n">
        <v>66.7</v>
      </c>
      <c r="S1745" t="inlineStr">
        <is>
          <t>159</t>
        </is>
      </c>
      <c r="T1745" t="n">
        <v>11.8</v>
      </c>
      <c r="U1745" t="inlineStr">
        <is>
          <t>801+</t>
        </is>
      </c>
      <c r="V1745" t="n">
        <v>99.3</v>
      </c>
      <c r="W1745" t="inlineStr">
        <is>
          <t>33</t>
        </is>
      </c>
      <c r="X1745" t="n">
        <v>97.59999999999999</v>
      </c>
      <c r="Y1745" t="inlineStr">
        <is>
          <t>146</t>
        </is>
      </c>
      <c r="Z1745" t="n">
        <v>91.7</v>
      </c>
      <c r="AA1745" t="inlineStr">
        <is>
          <t>151</t>
        </is>
      </c>
      <c r="AB1745" t="n">
        <v>92.3</v>
      </c>
      <c r="AC1745" t="inlineStr">
        <is>
          <t>128</t>
        </is>
      </c>
      <c r="AD1745" t="n">
        <v>89.7</v>
      </c>
      <c r="AE1745" t="inlineStr">
        <is>
          <t>177</t>
        </is>
      </c>
      <c r="AF1745" t="n">
        <v>52.3</v>
      </c>
      <c r="AG1745" t="inlineStr">
        <is>
          <t>323</t>
        </is>
      </c>
      <c r="AH1745" t="n">
        <v>92</v>
      </c>
      <c r="AI1745" t="inlineStr">
        <is>
          <t>47</t>
        </is>
      </c>
      <c r="AJ1745" t="inlineStr">
        <is>
          <t>43.4</t>
        </is>
      </c>
      <c r="AK1745" t="inlineStr">
        <is>
          <t>195</t>
        </is>
      </c>
      <c r="AL1745" t="inlineStr">
        <is>
          <t>57.8</t>
        </is>
      </c>
      <c r="AM1745" t="inlineStr">
        <is>
          <t>143</t>
        </is>
      </c>
      <c r="AN1745" t="inlineStr">
        <is>
          <t>9.0</t>
        </is>
      </c>
      <c r="AO1745" t="inlineStr">
        <is>
          <t>701+</t>
        </is>
      </c>
      <c r="AP1745" t="inlineStr">
        <is>
          <t>95.3</t>
        </is>
      </c>
      <c r="AQ1745" t="inlineStr">
        <is>
          <t>52</t>
        </is>
      </c>
      <c r="AR1745" t="inlineStr">
        <is>
          <t>96.6</t>
        </is>
      </c>
      <c r="AS1745" t="inlineStr">
        <is>
          <t>132</t>
        </is>
      </c>
      <c r="AT1745" t="inlineStr">
        <is>
          <t>93.6</t>
        </is>
      </c>
      <c r="AU1745" t="inlineStr">
        <is>
          <t>95</t>
        </is>
      </c>
      <c r="AV1745" t="inlineStr">
        <is>
          <t>79.7</t>
        </is>
      </c>
      <c r="AW1745" t="inlineStr">
        <is>
          <t>146</t>
        </is>
      </c>
      <c r="AX1745" t="inlineStr">
        <is>
          <t>30.1</t>
        </is>
      </c>
      <c r="AY1745" t="inlineStr">
        <is>
          <t>260</t>
        </is>
      </c>
      <c r="AZ1745" t="inlineStr">
        <is>
          <t>93.1</t>
        </is>
      </c>
      <c r="BA1745" t="inlineStr">
        <is>
          <t>72</t>
        </is>
      </c>
    </row>
    <row r="1746">
      <c r="A1746" t="inlineStr">
        <is>
          <t>University of Tehran</t>
        </is>
      </c>
      <c r="B1746" t="inlineStr">
        <is>
          <t>Iran (Islamic Republic of)</t>
        </is>
      </c>
      <c r="C1746" t="inlineStr"/>
      <c r="D1746" t="inlineStr">
        <is>
          <t>Asia</t>
        </is>
      </c>
      <c r="E1746" t="inlineStr">
        <is>
          <t>XL</t>
        </is>
      </c>
      <c r="F1746" t="inlineStr">
        <is>
          <t>CO</t>
        </is>
      </c>
      <c r="G1746" t="inlineStr">
        <is>
          <t>VH</t>
        </is>
      </c>
      <c r="H1746" t="inlineStr"/>
      <c r="I1746" t="inlineStr">
        <is>
          <t>Public</t>
        </is>
      </c>
      <c r="J1746" t="inlineStr">
        <is>
          <t>322</t>
        </is>
      </c>
      <c r="K1746" t="inlineStr">
        <is>
          <t>368</t>
        </is>
      </c>
      <c r="L1746" t="inlineStr"/>
      <c r="M1746" t="inlineStr"/>
      <c r="N1746" t="inlineStr">
        <is>
          <t>43.3</t>
        </is>
      </c>
      <c r="O1746" t="inlineStr"/>
      <c r="P1746" t="n">
        <v>31</v>
      </c>
      <c r="Q1746" t="inlineStr">
        <is>
          <t>394</t>
        </is>
      </c>
      <c r="R1746" t="n">
        <v>41.8</v>
      </c>
      <c r="S1746" t="inlineStr">
        <is>
          <t>322</t>
        </is>
      </c>
      <c r="T1746" t="n">
        <v>4.2</v>
      </c>
      <c r="U1746" t="inlineStr">
        <is>
          <t>801+</t>
        </is>
      </c>
      <c r="V1746" t="n">
        <v>91.09999999999999</v>
      </c>
      <c r="W1746" t="inlineStr">
        <is>
          <t>97</t>
        </is>
      </c>
      <c r="X1746" t="n">
        <v>2.5</v>
      </c>
      <c r="Y1746" t="inlineStr">
        <is>
          <t>801+</t>
        </is>
      </c>
      <c r="Z1746" t="n">
        <v>3.3</v>
      </c>
      <c r="AA1746" t="inlineStr">
        <is>
          <t>801+</t>
        </is>
      </c>
      <c r="AB1746" t="n">
        <v>2.7</v>
      </c>
      <c r="AC1746" t="inlineStr">
        <is>
          <t>801+</t>
        </is>
      </c>
      <c r="AD1746" t="n">
        <v>86.8</v>
      </c>
      <c r="AE1746" t="inlineStr">
        <is>
          <t>223</t>
        </is>
      </c>
      <c r="AF1746" t="n">
        <v>58.1</v>
      </c>
      <c r="AG1746" t="inlineStr">
        <is>
          <t>284</t>
        </is>
      </c>
      <c r="AH1746" t="n">
        <v>45.5</v>
      </c>
      <c r="AI1746" t="inlineStr">
        <is>
          <t>801+</t>
        </is>
      </c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</row>
    <row r="1747">
      <c r="A1747" t="inlineStr">
        <is>
          <t>University of Tehran</t>
        </is>
      </c>
      <c r="B1747" t="inlineStr">
        <is>
          <t>Iran, Islamic Republic of</t>
        </is>
      </c>
      <c r="C1747" t="inlineStr">
        <is>
          <t>IR</t>
        </is>
      </c>
      <c r="D1747" t="inlineStr"/>
      <c r="E1747" t="inlineStr">
        <is>
          <t>XL</t>
        </is>
      </c>
      <c r="F1747" t="inlineStr">
        <is>
          <t>CO</t>
        </is>
      </c>
      <c r="G1747" t="inlineStr">
        <is>
          <t>VH</t>
        </is>
      </c>
      <c r="H1747" t="inlineStr">
        <is>
          <t>4</t>
        </is>
      </c>
      <c r="I1747" t="inlineStr">
        <is>
          <t>A</t>
        </is>
      </c>
      <c r="J1747" t="inlineStr"/>
      <c r="K1747" t="inlineStr"/>
      <c r="L1747">
        <f>360</f>
        <v/>
      </c>
      <c r="M1747" t="inlineStr">
        <is>
          <t>501-510</t>
        </is>
      </c>
      <c r="N1747" t="inlineStr"/>
      <c r="O1747" t="inlineStr">
        <is>
          <t>30.7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>
        <is>
          <t>18.7</t>
        </is>
      </c>
      <c r="AK1747" t="inlineStr">
        <is>
          <t>476</t>
        </is>
      </c>
      <c r="AL1747" t="inlineStr">
        <is>
          <t>38.8</t>
        </is>
      </c>
      <c r="AM1747" t="inlineStr">
        <is>
          <t>249</t>
        </is>
      </c>
      <c r="AN1747" t="inlineStr">
        <is>
          <t>3.4</t>
        </is>
      </c>
      <c r="AO1747" t="inlineStr">
        <is>
          <t>701+</t>
        </is>
      </c>
      <c r="AP1747" t="inlineStr">
        <is>
          <t>67.5</t>
        </is>
      </c>
      <c r="AQ1747" t="inlineStr">
        <is>
          <t>159</t>
        </is>
      </c>
      <c r="AR1747" t="inlineStr">
        <is>
          <t>2.1</t>
        </is>
      </c>
      <c r="AS1747" t="inlineStr">
        <is>
          <t>701+</t>
        </is>
      </c>
      <c r="AT1747" t="inlineStr">
        <is>
          <t>1.8</t>
        </is>
      </c>
      <c r="AU1747" t="inlineStr">
        <is>
          <t>701+</t>
        </is>
      </c>
      <c r="AV1747" t="inlineStr">
        <is>
          <t>68.6</t>
        </is>
      </c>
      <c r="AW1747" t="inlineStr">
        <is>
          <t>203</t>
        </is>
      </c>
      <c r="AX1747" t="inlineStr">
        <is>
          <t>17.5</t>
        </is>
      </c>
      <c r="AY1747" t="inlineStr">
        <is>
          <t>475</t>
        </is>
      </c>
      <c r="AZ1747" t="inlineStr">
        <is>
          <t>18.4</t>
        </is>
      </c>
      <c r="BA1747" t="inlineStr">
        <is>
          <t>560=</t>
        </is>
      </c>
    </row>
    <row r="1748">
      <c r="A1748" t="inlineStr">
        <is>
          <t>University of Tennessee</t>
        </is>
      </c>
      <c r="B1748" t="inlineStr">
        <is>
          <t>United States</t>
        </is>
      </c>
      <c r="C1748" t="inlineStr"/>
      <c r="D1748" t="inlineStr">
        <is>
          <t>Americas</t>
        </is>
      </c>
      <c r="E1748" t="inlineStr">
        <is>
          <t>XL</t>
        </is>
      </c>
      <c r="F1748" t="inlineStr">
        <is>
          <t>FC</t>
        </is>
      </c>
      <c r="G1748" t="inlineStr">
        <is>
          <t>VH</t>
        </is>
      </c>
      <c r="H1748" t="inlineStr"/>
      <c r="I1748" t="inlineStr">
        <is>
          <t>Public</t>
        </is>
      </c>
      <c r="J1748" t="inlineStr">
        <is>
          <t>607</t>
        </is>
      </c>
      <c r="K1748" t="inlineStr">
        <is>
          <t>481</t>
        </is>
      </c>
      <c r="L1748" t="inlineStr"/>
      <c r="M1748" t="inlineStr"/>
      <c r="N1748" t="inlineStr">
        <is>
          <t>28</t>
        </is>
      </c>
      <c r="O1748" t="inlineStr"/>
      <c r="P1748" t="n">
        <v>14.3</v>
      </c>
      <c r="Q1748" t="inlineStr">
        <is>
          <t>701+</t>
        </is>
      </c>
      <c r="R1748" t="n">
        <v>11.7</v>
      </c>
      <c r="S1748" t="inlineStr">
        <is>
          <t>701+</t>
        </is>
      </c>
      <c r="T1748" t="n">
        <v>12.9</v>
      </c>
      <c r="U1748" t="inlineStr">
        <is>
          <t>801+</t>
        </is>
      </c>
      <c r="V1748" t="n">
        <v>69.3</v>
      </c>
      <c r="W1748" t="inlineStr">
        <is>
          <t>220</t>
        </is>
      </c>
      <c r="X1748" t="n">
        <v>6.9</v>
      </c>
      <c r="Y1748" t="inlineStr">
        <is>
          <t>801+</t>
        </is>
      </c>
      <c r="Z1748" t="n">
        <v>4.6</v>
      </c>
      <c r="AA1748" t="inlineStr">
        <is>
          <t>801+</t>
        </is>
      </c>
      <c r="AB1748" t="n">
        <v>9.800000000000001</v>
      </c>
      <c r="AC1748" t="inlineStr">
        <is>
          <t>801+</t>
        </is>
      </c>
      <c r="AD1748" t="n">
        <v>68.59999999999999</v>
      </c>
      <c r="AE1748" t="inlineStr">
        <is>
          <t>557</t>
        </is>
      </c>
      <c r="AF1748" t="n">
        <v>25.2</v>
      </c>
      <c r="AG1748" t="inlineStr">
        <is>
          <t>636</t>
        </is>
      </c>
      <c r="AH1748" t="n">
        <v>54.8</v>
      </c>
      <c r="AI1748" t="inlineStr">
        <is>
          <t>606=</t>
        </is>
      </c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</row>
    <row r="1749">
      <c r="A1749" t="inlineStr">
        <is>
          <t>University of Texas Arlington</t>
        </is>
      </c>
      <c r="B1749" t="inlineStr">
        <is>
          <t>United States</t>
        </is>
      </c>
      <c r="C1749" t="inlineStr"/>
      <c r="D1749" t="inlineStr">
        <is>
          <t>Americas</t>
        </is>
      </c>
      <c r="E1749" t="inlineStr">
        <is>
          <t>XL</t>
        </is>
      </c>
      <c r="F1749" t="inlineStr">
        <is>
          <t>CO</t>
        </is>
      </c>
      <c r="G1749" t="inlineStr">
        <is>
          <t>VH</t>
        </is>
      </c>
      <c r="H1749" t="inlineStr"/>
      <c r="I1749" t="inlineStr">
        <is>
          <t>Public</t>
        </is>
      </c>
      <c r="J1749" t="inlineStr">
        <is>
          <t>1001-1200</t>
        </is>
      </c>
      <c r="K1749" t="inlineStr">
        <is>
          <t>1001-1200</t>
        </is>
      </c>
      <c r="L1749" t="inlineStr"/>
      <c r="M1749" t="inlineStr"/>
      <c r="N1749" t="inlineStr">
        <is>
          <t>-</t>
        </is>
      </c>
      <c r="O1749" t="inlineStr"/>
      <c r="P1749" t="n">
        <v>7</v>
      </c>
      <c r="Q1749" t="inlineStr">
        <is>
          <t>701+</t>
        </is>
      </c>
      <c r="R1749" t="n">
        <v>9.199999999999999</v>
      </c>
      <c r="S1749" t="inlineStr">
        <is>
          <t>701+</t>
        </is>
      </c>
      <c r="T1749" t="n">
        <v>6.6</v>
      </c>
      <c r="U1749" t="inlineStr">
        <is>
          <t>801+</t>
        </is>
      </c>
      <c r="V1749" t="n">
        <v>16.4</v>
      </c>
      <c r="W1749" t="inlineStr">
        <is>
          <t>776</t>
        </is>
      </c>
      <c r="X1749" t="n">
        <v>12.7</v>
      </c>
      <c r="Y1749" t="inlineStr">
        <is>
          <t>801+</t>
        </is>
      </c>
      <c r="Z1749" t="n">
        <v>39.7</v>
      </c>
      <c r="AA1749" t="inlineStr">
        <is>
          <t>492</t>
        </is>
      </c>
      <c r="AB1749" t="n">
        <v>45.2</v>
      </c>
      <c r="AC1749" t="inlineStr">
        <is>
          <t>460</t>
        </is>
      </c>
      <c r="AD1749" t="n">
        <v>57.7</v>
      </c>
      <c r="AE1749" t="inlineStr">
        <is>
          <t>722</t>
        </is>
      </c>
      <c r="AF1749" t="n">
        <v>14.9</v>
      </c>
      <c r="AG1749" t="inlineStr">
        <is>
          <t>801+</t>
        </is>
      </c>
      <c r="AH1749" t="n">
        <v>64.5</v>
      </c>
      <c r="AI1749" t="inlineStr">
        <is>
          <t>409=</t>
        </is>
      </c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</row>
    <row r="1750">
      <c r="A1750" t="inlineStr">
        <is>
          <t>University of Texas at Austin</t>
        </is>
      </c>
      <c r="B1750" t="inlineStr">
        <is>
          <t>United States</t>
        </is>
      </c>
      <c r="C1750" t="inlineStr">
        <is>
          <t>US</t>
        </is>
      </c>
      <c r="D1750" t="inlineStr">
        <is>
          <t>Americas</t>
        </is>
      </c>
      <c r="E1750" t="inlineStr">
        <is>
          <t>XL</t>
        </is>
      </c>
      <c r="F1750" t="inlineStr">
        <is>
          <t>FC</t>
        </is>
      </c>
      <c r="G1750" t="inlineStr">
        <is>
          <t>VH</t>
        </is>
      </c>
      <c r="H1750" t="inlineStr">
        <is>
          <t>5</t>
        </is>
      </c>
      <c r="I1750" t="inlineStr">
        <is>
          <t>Public</t>
        </is>
      </c>
      <c r="J1750" t="inlineStr">
        <is>
          <t>68</t>
        </is>
      </c>
      <c r="K1750" t="inlineStr">
        <is>
          <t>66</t>
        </is>
      </c>
      <c r="L1750" t="inlineStr">
        <is>
          <t>58</t>
        </is>
      </c>
      <c r="M1750" t="inlineStr">
        <is>
          <t>72</t>
        </is>
      </c>
      <c r="N1750" t="inlineStr">
        <is>
          <t>76.4</t>
        </is>
      </c>
      <c r="O1750" t="inlineStr">
        <is>
          <t>71.8</t>
        </is>
      </c>
      <c r="P1750" t="n">
        <v>97.59999999999999</v>
      </c>
      <c r="Q1750" t="inlineStr">
        <is>
          <t>39</t>
        </is>
      </c>
      <c r="R1750" t="n">
        <v>96.8</v>
      </c>
      <c r="S1750" t="inlineStr">
        <is>
          <t>38</t>
        </is>
      </c>
      <c r="T1750" t="n">
        <v>10.7</v>
      </c>
      <c r="U1750" t="inlineStr">
        <is>
          <t>801+</t>
        </is>
      </c>
      <c r="V1750" t="n">
        <v>85.40000000000001</v>
      </c>
      <c r="W1750" t="inlineStr">
        <is>
          <t>122</t>
        </is>
      </c>
      <c r="X1750" t="n">
        <v>9.1</v>
      </c>
      <c r="Y1750" t="inlineStr">
        <is>
          <t>801+</t>
        </is>
      </c>
      <c r="Z1750" t="n">
        <v>19.1</v>
      </c>
      <c r="AA1750" t="inlineStr">
        <is>
          <t>742</t>
        </is>
      </c>
      <c r="AB1750" t="n">
        <v>14.4</v>
      </c>
      <c r="AC1750" t="inlineStr">
        <is>
          <t>801+</t>
        </is>
      </c>
      <c r="AD1750" t="n">
        <v>90.5</v>
      </c>
      <c r="AE1750" t="inlineStr">
        <is>
          <t>169</t>
        </is>
      </c>
      <c r="AF1750" t="n">
        <v>93.90000000000001</v>
      </c>
      <c r="AG1750" t="inlineStr">
        <is>
          <t>82</t>
        </is>
      </c>
      <c r="AH1750" t="n">
        <v>70.59999999999999</v>
      </c>
      <c r="AI1750" t="inlineStr">
        <is>
          <t>308=</t>
        </is>
      </c>
      <c r="AJ1750" t="inlineStr">
        <is>
          <t>93.5</t>
        </is>
      </c>
      <c r="AK1750" t="inlineStr">
        <is>
          <t>35</t>
        </is>
      </c>
      <c r="AL1750" t="inlineStr">
        <is>
          <t>83.2</t>
        </is>
      </c>
      <c r="AM1750" t="inlineStr">
        <is>
          <t>65</t>
        </is>
      </c>
      <c r="AN1750" t="inlineStr">
        <is>
          <t>8.9</t>
        </is>
      </c>
      <c r="AO1750" t="inlineStr">
        <is>
          <t>701+</t>
        </is>
      </c>
      <c r="AP1750" t="inlineStr">
        <is>
          <t>86.7</t>
        </is>
      </c>
      <c r="AQ1750" t="inlineStr">
        <is>
          <t>85</t>
        </is>
      </c>
      <c r="AR1750" t="inlineStr">
        <is>
          <t>9.3</t>
        </is>
      </c>
      <c r="AS1750" t="inlineStr">
        <is>
          <t>701+</t>
        </is>
      </c>
      <c r="AT1750" t="inlineStr">
        <is>
          <t>11.0</t>
        </is>
      </c>
      <c r="AU1750" t="inlineStr">
        <is>
          <t>691</t>
        </is>
      </c>
      <c r="AV1750" t="inlineStr">
        <is>
          <t>79.4</t>
        </is>
      </c>
      <c r="AW1750" t="inlineStr">
        <is>
          <t>147</t>
        </is>
      </c>
      <c r="AX1750" t="inlineStr">
        <is>
          <t>70</t>
        </is>
      </c>
      <c r="AY1750" t="inlineStr">
        <is>
          <t>73</t>
        </is>
      </c>
      <c r="AZ1750" t="inlineStr">
        <is>
          <t>77.7</t>
        </is>
      </c>
      <c r="BA1750" t="inlineStr">
        <is>
          <t>163=</t>
        </is>
      </c>
    </row>
    <row r="1751">
      <c r="A1751" t="inlineStr">
        <is>
          <t>University of Texas at Dallas</t>
        </is>
      </c>
      <c r="B1751" t="inlineStr">
        <is>
          <t>United States</t>
        </is>
      </c>
      <c r="C1751" t="inlineStr"/>
      <c r="D1751" t="inlineStr">
        <is>
          <t>Americas</t>
        </is>
      </c>
      <c r="E1751" t="inlineStr">
        <is>
          <t>L</t>
        </is>
      </c>
      <c r="F1751" t="inlineStr">
        <is>
          <t>FC</t>
        </is>
      </c>
      <c r="G1751" t="inlineStr">
        <is>
          <t>VH</t>
        </is>
      </c>
      <c r="H1751" t="inlineStr"/>
      <c r="I1751" t="inlineStr">
        <is>
          <t>Public</t>
        </is>
      </c>
      <c r="J1751" t="inlineStr">
        <is>
          <t>597</t>
        </is>
      </c>
      <c r="K1751" t="inlineStr">
        <is>
          <t>596</t>
        </is>
      </c>
      <c r="L1751" t="inlineStr"/>
      <c r="M1751" t="inlineStr"/>
      <c r="N1751" t="inlineStr">
        <is>
          <t>28.3</t>
        </is>
      </c>
      <c r="O1751" t="inlineStr"/>
      <c r="P1751" t="n">
        <v>19.3</v>
      </c>
      <c r="Q1751" t="inlineStr">
        <is>
          <t>641</t>
        </is>
      </c>
      <c r="R1751" t="n">
        <v>33.7</v>
      </c>
      <c r="S1751" t="inlineStr">
        <is>
          <t>426</t>
        </is>
      </c>
      <c r="T1751" t="n">
        <v>5.5</v>
      </c>
      <c r="U1751" t="inlineStr">
        <is>
          <t>801+</t>
        </is>
      </c>
      <c r="V1751" t="n">
        <v>43</v>
      </c>
      <c r="W1751" t="inlineStr">
        <is>
          <t>438</t>
        </is>
      </c>
      <c r="X1751" t="n">
        <v>14.4</v>
      </c>
      <c r="Y1751" t="inlineStr">
        <is>
          <t>801+</t>
        </is>
      </c>
      <c r="Z1751" t="n">
        <v>61.1</v>
      </c>
      <c r="AA1751" t="inlineStr">
        <is>
          <t>335</t>
        </is>
      </c>
      <c r="AB1751" t="n">
        <v>64.90000000000001</v>
      </c>
      <c r="AC1751" t="inlineStr">
        <is>
          <t>305</t>
        </is>
      </c>
      <c r="AD1751" t="n">
        <v>55.3</v>
      </c>
      <c r="AE1751" t="inlineStr">
        <is>
          <t>765</t>
        </is>
      </c>
      <c r="AF1751" t="n">
        <v>9.1</v>
      </c>
      <c r="AG1751" t="inlineStr">
        <is>
          <t>801+</t>
        </is>
      </c>
      <c r="AH1751" t="n">
        <v>48.9</v>
      </c>
      <c r="AI1751" t="inlineStr">
        <is>
          <t>733</t>
        </is>
      </c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</row>
    <row r="1752">
      <c r="A1752" t="inlineStr">
        <is>
          <t>University of Texas at San Antonio</t>
        </is>
      </c>
      <c r="B1752" t="inlineStr">
        <is>
          <t>United States</t>
        </is>
      </c>
      <c r="C1752" t="inlineStr">
        <is>
          <t>US</t>
        </is>
      </c>
      <c r="D1752" t="inlineStr">
        <is>
          <t>Americas</t>
        </is>
      </c>
      <c r="E1752" t="inlineStr">
        <is>
          <t>L</t>
        </is>
      </c>
      <c r="F1752" t="inlineStr">
        <is>
          <t>FC</t>
        </is>
      </c>
      <c r="G1752" t="inlineStr">
        <is>
          <t>HI</t>
        </is>
      </c>
      <c r="H1752" t="inlineStr">
        <is>
          <t>4</t>
        </is>
      </c>
      <c r="I1752" t="inlineStr">
        <is>
          <t>Public</t>
        </is>
      </c>
      <c r="J1752" t="inlineStr">
        <is>
          <t>1001-1200</t>
        </is>
      </c>
      <c r="K1752" t="inlineStr">
        <is>
          <t>1001-1200</t>
        </is>
      </c>
      <c r="L1752" t="inlineStr">
        <is>
          <t>1001-1200</t>
        </is>
      </c>
      <c r="M1752" t="inlineStr">
        <is>
          <t>1001-1200</t>
        </is>
      </c>
      <c r="N1752" t="inlineStr">
        <is>
          <t>-</t>
        </is>
      </c>
      <c r="O1752" t="inlineStr">
        <is>
          <t>-</t>
        </is>
      </c>
      <c r="P1752" t="n">
        <v>6.7</v>
      </c>
      <c r="Q1752" t="inlineStr">
        <is>
          <t>701+</t>
        </is>
      </c>
      <c r="R1752" t="n">
        <v>6</v>
      </c>
      <c r="S1752" t="inlineStr">
        <is>
          <t>701+</t>
        </is>
      </c>
      <c r="T1752" t="n">
        <v>5.8</v>
      </c>
      <c r="U1752" t="inlineStr">
        <is>
          <t>801+</t>
        </is>
      </c>
      <c r="V1752" t="n">
        <v>30.6</v>
      </c>
      <c r="W1752" t="inlineStr">
        <is>
          <t>581</t>
        </is>
      </c>
      <c r="X1752" t="n">
        <v>14.1</v>
      </c>
      <c r="Y1752" t="inlineStr">
        <is>
          <t>801+</t>
        </is>
      </c>
      <c r="Z1752" t="n">
        <v>4.6</v>
      </c>
      <c r="AA1752" t="inlineStr">
        <is>
          <t>801+</t>
        </is>
      </c>
      <c r="AB1752" t="n">
        <v>3.7</v>
      </c>
      <c r="AC1752" t="inlineStr">
        <is>
          <t>801+</t>
        </is>
      </c>
      <c r="AD1752" t="n">
        <v>59.9</v>
      </c>
      <c r="AE1752" t="inlineStr">
        <is>
          <t>694</t>
        </is>
      </c>
      <c r="AF1752" t="n">
        <v>8</v>
      </c>
      <c r="AG1752" t="inlineStr">
        <is>
          <t>801+</t>
        </is>
      </c>
      <c r="AH1752" t="n">
        <v>44.5</v>
      </c>
      <c r="AI1752" t="inlineStr">
        <is>
          <t>801+</t>
        </is>
      </c>
      <c r="AJ1752" t="inlineStr">
        <is>
          <t>6.2</t>
        </is>
      </c>
      <c r="AK1752" t="inlineStr">
        <is>
          <t>601+</t>
        </is>
      </c>
      <c r="AL1752" t="inlineStr">
        <is>
          <t>3.0</t>
        </is>
      </c>
      <c r="AM1752" t="inlineStr">
        <is>
          <t>601+</t>
        </is>
      </c>
      <c r="AN1752" t="inlineStr">
        <is>
          <t>3.7</t>
        </is>
      </c>
      <c r="AO1752" t="inlineStr">
        <is>
          <t>701+</t>
        </is>
      </c>
      <c r="AP1752" t="inlineStr">
        <is>
          <t>25.2</t>
        </is>
      </c>
      <c r="AQ1752" t="inlineStr">
        <is>
          <t>482</t>
        </is>
      </c>
      <c r="AR1752" t="inlineStr">
        <is>
          <t>13.5</t>
        </is>
      </c>
      <c r="AS1752" t="inlineStr">
        <is>
          <t>695</t>
        </is>
      </c>
      <c r="AT1752" t="inlineStr">
        <is>
          <t>2.8</t>
        </is>
      </c>
      <c r="AU1752" t="inlineStr">
        <is>
          <t>701+</t>
        </is>
      </c>
      <c r="AV1752" t="inlineStr">
        <is>
          <t>17.6</t>
        </is>
      </c>
      <c r="AW1752" t="inlineStr">
        <is>
          <t>567</t>
        </is>
      </c>
      <c r="AX1752" t="inlineStr">
        <is>
          <t>8.8</t>
        </is>
      </c>
      <c r="AY1752" t="inlineStr">
        <is>
          <t>701+</t>
        </is>
      </c>
      <c r="AZ1752" t="inlineStr">
        <is>
          <t>5.9</t>
        </is>
      </c>
      <c r="BA1752" t="inlineStr">
        <is>
          <t>701+</t>
        </is>
      </c>
    </row>
    <row r="1753">
      <c r="A1753" t="inlineStr">
        <is>
          <t>University of Texas Dallas</t>
        </is>
      </c>
      <c r="B1753" t="inlineStr">
        <is>
          <t>United States</t>
        </is>
      </c>
      <c r="C1753" t="inlineStr">
        <is>
          <t>US</t>
        </is>
      </c>
      <c r="D1753" t="inlineStr"/>
      <c r="E1753" t="inlineStr">
        <is>
          <t>L</t>
        </is>
      </c>
      <c r="F1753" t="inlineStr">
        <is>
          <t>FC</t>
        </is>
      </c>
      <c r="G1753" t="inlineStr">
        <is>
          <t>VH</t>
        </is>
      </c>
      <c r="H1753" t="inlineStr">
        <is>
          <t>4</t>
        </is>
      </c>
      <c r="I1753" t="inlineStr">
        <is>
          <t>A</t>
        </is>
      </c>
      <c r="J1753" t="inlineStr"/>
      <c r="K1753" t="inlineStr"/>
      <c r="L1753">
        <f>520</f>
        <v/>
      </c>
      <c r="M1753" t="inlineStr">
        <is>
          <t>521-530</t>
        </is>
      </c>
      <c r="N1753" t="inlineStr"/>
      <c r="O1753" t="inlineStr">
        <is>
          <t>22.6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>
        <is>
          <t>13.3</t>
        </is>
      </c>
      <c r="AK1753" t="inlineStr">
        <is>
          <t>601+</t>
        </is>
      </c>
      <c r="AL1753" t="inlineStr">
        <is>
          <t>11.6</t>
        </is>
      </c>
      <c r="AM1753" t="inlineStr">
        <is>
          <t>601+</t>
        </is>
      </c>
      <c r="AN1753" t="inlineStr">
        <is>
          <t>3.8</t>
        </is>
      </c>
      <c r="AO1753" t="inlineStr">
        <is>
          <t>701+</t>
        </is>
      </c>
      <c r="AP1753" t="inlineStr">
        <is>
          <t>54.5</t>
        </is>
      </c>
      <c r="AQ1753" t="inlineStr">
        <is>
          <t>236</t>
        </is>
      </c>
      <c r="AR1753" t="inlineStr">
        <is>
          <t>5.4</t>
        </is>
      </c>
      <c r="AS1753" t="inlineStr">
        <is>
          <t>701+</t>
        </is>
      </c>
      <c r="AT1753" t="inlineStr">
        <is>
          <t>35.5</t>
        </is>
      </c>
      <c r="AU1753" t="inlineStr">
        <is>
          <t>376</t>
        </is>
      </c>
      <c r="AV1753" t="inlineStr">
        <is>
          <t>23.8</t>
        </is>
      </c>
      <c r="AW1753" t="inlineStr">
        <is>
          <t>509</t>
        </is>
      </c>
      <c r="AX1753" t="inlineStr">
        <is>
          <t>8.4</t>
        </is>
      </c>
      <c r="AY1753" t="inlineStr">
        <is>
          <t>701+</t>
        </is>
      </c>
      <c r="AZ1753" t="inlineStr">
        <is>
          <t>41.1</t>
        </is>
      </c>
      <c r="BA1753" t="inlineStr">
        <is>
          <t>358=</t>
        </is>
      </c>
    </row>
    <row r="1754">
      <c r="A1754" t="inlineStr">
        <is>
          <t>University of Texas El Paso</t>
        </is>
      </c>
      <c r="B1754" t="inlineStr">
        <is>
          <t>United States</t>
        </is>
      </c>
      <c r="C1754" t="inlineStr">
        <is>
          <t>US</t>
        </is>
      </c>
      <c r="D1754" t="inlineStr">
        <is>
          <t>Americas</t>
        </is>
      </c>
      <c r="E1754" t="inlineStr">
        <is>
          <t>L</t>
        </is>
      </c>
      <c r="F1754" t="inlineStr">
        <is>
          <t>CO</t>
        </is>
      </c>
      <c r="G1754" t="inlineStr">
        <is>
          <t>VH</t>
        </is>
      </c>
      <c r="H1754" t="inlineStr">
        <is>
          <t>5</t>
        </is>
      </c>
      <c r="I1754" t="inlineStr">
        <is>
          <t>Public</t>
        </is>
      </c>
      <c r="J1754" t="inlineStr">
        <is>
          <t>1201-1400</t>
        </is>
      </c>
      <c r="K1754" t="inlineStr">
        <is>
          <t>1001-1200</t>
        </is>
      </c>
      <c r="L1754" t="inlineStr">
        <is>
          <t>1001-1200</t>
        </is>
      </c>
      <c r="M1754" t="inlineStr">
        <is>
          <t>1201-1400</t>
        </is>
      </c>
      <c r="N1754" t="inlineStr">
        <is>
          <t>-</t>
        </is>
      </c>
      <c r="O1754" t="inlineStr">
        <is>
          <t>-</t>
        </is>
      </c>
      <c r="P1754" t="n">
        <v>6.8</v>
      </c>
      <c r="Q1754" t="inlineStr">
        <is>
          <t>701+</t>
        </is>
      </c>
      <c r="R1754" t="n">
        <v>3.7</v>
      </c>
      <c r="S1754" t="inlineStr">
        <is>
          <t>701+</t>
        </is>
      </c>
      <c r="T1754" t="n">
        <v>7.6</v>
      </c>
      <c r="U1754" t="inlineStr">
        <is>
          <t>801+</t>
        </is>
      </c>
      <c r="V1754" t="n">
        <v>21.5</v>
      </c>
      <c r="W1754" t="inlineStr">
        <is>
          <t>690</t>
        </is>
      </c>
      <c r="X1754" t="n">
        <v>13.9</v>
      </c>
      <c r="Y1754" t="inlineStr">
        <is>
          <t>801+</t>
        </is>
      </c>
      <c r="Z1754" t="n">
        <v>10.1</v>
      </c>
      <c r="AA1754" t="inlineStr">
        <is>
          <t>801+</t>
        </is>
      </c>
      <c r="AB1754" t="n">
        <v>7.8</v>
      </c>
      <c r="AC1754" t="inlineStr">
        <is>
          <t>801+</t>
        </is>
      </c>
      <c r="AD1754" t="n">
        <v>61.6</v>
      </c>
      <c r="AE1754" t="inlineStr">
        <is>
          <t>669</t>
        </is>
      </c>
      <c r="AF1754" t="n">
        <v>9.1</v>
      </c>
      <c r="AG1754" t="inlineStr">
        <is>
          <t>801+</t>
        </is>
      </c>
      <c r="AH1754" t="n">
        <v>41.5</v>
      </c>
      <c r="AI1754" t="inlineStr">
        <is>
          <t>801+</t>
        </is>
      </c>
      <c r="AJ1754" t="inlineStr">
        <is>
          <t>4.8</t>
        </is>
      </c>
      <c r="AK1754" t="inlineStr">
        <is>
          <t>601+</t>
        </is>
      </c>
      <c r="AL1754" t="inlineStr">
        <is>
          <t>2.1</t>
        </is>
      </c>
      <c r="AM1754" t="inlineStr">
        <is>
          <t>601+</t>
        </is>
      </c>
      <c r="AN1754" t="inlineStr">
        <is>
          <t>5.6</t>
        </is>
      </c>
      <c r="AO1754" t="inlineStr">
        <is>
          <t>701+</t>
        </is>
      </c>
      <c r="AP1754" t="inlineStr">
        <is>
          <t>15.6</t>
        </is>
      </c>
      <c r="AQ1754" t="inlineStr">
        <is>
          <t>623</t>
        </is>
      </c>
      <c r="AR1754" t="inlineStr">
        <is>
          <t>10.5</t>
        </is>
      </c>
      <c r="AS1754" t="inlineStr">
        <is>
          <t>701+</t>
        </is>
      </c>
      <c r="AT1754" t="inlineStr">
        <is>
          <t>5.9</t>
        </is>
      </c>
      <c r="AU1754" t="inlineStr">
        <is>
          <t>701+</t>
        </is>
      </c>
      <c r="AV1754" t="inlineStr">
        <is>
          <t>15.5</t>
        </is>
      </c>
      <c r="AW1754" t="inlineStr">
        <is>
          <t>588</t>
        </is>
      </c>
      <c r="AX1754" t="inlineStr">
        <is>
          <t>7.5</t>
        </is>
      </c>
      <c r="AY1754" t="inlineStr">
        <is>
          <t>701+</t>
        </is>
      </c>
      <c r="AZ1754" t="inlineStr">
        <is>
          <t>3.4</t>
        </is>
      </c>
      <c r="BA1754" t="inlineStr">
        <is>
          <t>701+</t>
        </is>
      </c>
    </row>
    <row r="1755">
      <c r="A1755" t="inlineStr">
        <is>
          <t>University of the Algarve</t>
        </is>
      </c>
      <c r="B1755" t="inlineStr">
        <is>
          <t>Portugal</t>
        </is>
      </c>
      <c r="C1755" t="inlineStr"/>
      <c r="D1755" t="inlineStr">
        <is>
          <t>Europe</t>
        </is>
      </c>
      <c r="E1755" t="inlineStr">
        <is>
          <t>M</t>
        </is>
      </c>
      <c r="F1755" t="inlineStr">
        <is>
          <t>CO</t>
        </is>
      </c>
      <c r="G1755" t="inlineStr">
        <is>
          <t>VH</t>
        </is>
      </c>
      <c r="H1755" t="inlineStr"/>
      <c r="I1755" t="inlineStr"/>
      <c r="J1755" t="inlineStr">
        <is>
          <t>1001-1200</t>
        </is>
      </c>
      <c r="K1755" t="inlineStr"/>
      <c r="L1755" t="inlineStr"/>
      <c r="M1755" t="inlineStr"/>
      <c r="N1755" t="inlineStr">
        <is>
          <t>-</t>
        </is>
      </c>
      <c r="O1755" t="inlineStr"/>
      <c r="P1755" t="n">
        <v>7.2</v>
      </c>
      <c r="Q1755" t="inlineStr">
        <is>
          <t>701+</t>
        </is>
      </c>
      <c r="R1755" t="n">
        <v>3.2</v>
      </c>
      <c r="S1755" t="inlineStr">
        <is>
          <t>701+</t>
        </is>
      </c>
      <c r="T1755" t="n">
        <v>13.6</v>
      </c>
      <c r="U1755" t="inlineStr">
        <is>
          <t>801+</t>
        </is>
      </c>
      <c r="V1755" t="n">
        <v>28.3</v>
      </c>
      <c r="W1755" t="inlineStr">
        <is>
          <t>604</t>
        </is>
      </c>
      <c r="X1755" t="n">
        <v>6.6</v>
      </c>
      <c r="Y1755" t="inlineStr">
        <is>
          <t>801+</t>
        </is>
      </c>
      <c r="Z1755" t="n">
        <v>53</v>
      </c>
      <c r="AA1755" t="inlineStr">
        <is>
          <t>388</t>
        </is>
      </c>
      <c r="AB1755" t="n">
        <v>57.4</v>
      </c>
      <c r="AC1755" t="inlineStr">
        <is>
          <t>355</t>
        </is>
      </c>
      <c r="AD1755" t="n">
        <v>66.3</v>
      </c>
      <c r="AE1755" t="inlineStr">
        <is>
          <t>604</t>
        </is>
      </c>
      <c r="AF1755" t="n">
        <v>3</v>
      </c>
      <c r="AG1755" t="inlineStr">
        <is>
          <t>801+</t>
        </is>
      </c>
      <c r="AH1755" t="n">
        <v>45</v>
      </c>
      <c r="AI1755" t="inlineStr">
        <is>
          <t>801+</t>
        </is>
      </c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</row>
    <row r="1756">
      <c r="A1756" t="inlineStr">
        <is>
          <t>University of the Basque Country</t>
        </is>
      </c>
      <c r="B1756" t="inlineStr">
        <is>
          <t>Spain</t>
        </is>
      </c>
      <c r="C1756" t="inlineStr">
        <is>
          <t>ES</t>
        </is>
      </c>
      <c r="D1756" t="inlineStr"/>
      <c r="E1756" t="inlineStr">
        <is>
          <t>XL</t>
        </is>
      </c>
      <c r="F1756" t="inlineStr">
        <is>
          <t>CO</t>
        </is>
      </c>
      <c r="G1756" t="inlineStr">
        <is>
          <t>VH</t>
        </is>
      </c>
      <c r="H1756" t="inlineStr">
        <is>
          <t>3</t>
        </is>
      </c>
      <c r="I1756" t="inlineStr">
        <is>
          <t>A</t>
        </is>
      </c>
      <c r="J1756" t="inlineStr"/>
      <c r="K1756" t="inlineStr"/>
      <c r="L1756" t="inlineStr">
        <is>
          <t>621-630</t>
        </is>
      </c>
      <c r="M1756" t="inlineStr">
        <is>
          <t>701-750</t>
        </is>
      </c>
      <c r="N1756" t="inlineStr"/>
      <c r="O1756" t="inlineStr">
        <is>
          <t>-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>
        <is>
          <t>19.4</t>
        </is>
      </c>
      <c r="AK1756" t="inlineStr">
        <is>
          <t>457</t>
        </is>
      </c>
      <c r="AL1756" t="inlineStr">
        <is>
          <t>6.4</t>
        </is>
      </c>
      <c r="AM1756" t="inlineStr">
        <is>
          <t>601+</t>
        </is>
      </c>
      <c r="AN1756" t="inlineStr">
        <is>
          <t>34.7</t>
        </is>
      </c>
      <c r="AO1756" t="inlineStr">
        <is>
          <t>462</t>
        </is>
      </c>
      <c r="AP1756" t="inlineStr">
        <is>
          <t>17.4</t>
        </is>
      </c>
      <c r="AQ1756" t="inlineStr">
        <is>
          <t>593</t>
        </is>
      </c>
      <c r="AR1756" t="inlineStr">
        <is>
          <t>2.5</t>
        </is>
      </c>
      <c r="AS1756" t="inlineStr">
        <is>
          <t>701+</t>
        </is>
      </c>
      <c r="AT1756" t="inlineStr">
        <is>
          <t>3.8</t>
        </is>
      </c>
      <c r="AU1756" t="inlineStr">
        <is>
          <t>701+</t>
        </is>
      </c>
      <c r="AV1756" t="inlineStr">
        <is>
          <t>73.6</t>
        </is>
      </c>
      <c r="AW1756" t="inlineStr">
        <is>
          <t>178</t>
        </is>
      </c>
      <c r="AX1756" t="inlineStr">
        <is>
          <t>7</t>
        </is>
      </c>
      <c r="AY1756" t="inlineStr">
        <is>
          <t>701+</t>
        </is>
      </c>
      <c r="AZ1756" t="inlineStr">
        <is>
          <t>21.2</t>
        </is>
      </c>
      <c r="BA1756" t="inlineStr">
        <is>
          <t>533=</t>
        </is>
      </c>
    </row>
    <row r="1757">
      <c r="A1757" t="inlineStr">
        <is>
          <t>University of the Free State</t>
        </is>
      </c>
      <c r="B1757" t="inlineStr">
        <is>
          <t>South Africa</t>
        </is>
      </c>
      <c r="C1757" t="inlineStr">
        <is>
          <t>ZA</t>
        </is>
      </c>
      <c r="D1757" t="inlineStr">
        <is>
          <t>Africa</t>
        </is>
      </c>
      <c r="E1757" t="inlineStr">
        <is>
          <t>L</t>
        </is>
      </c>
      <c r="F1757" t="inlineStr">
        <is>
          <t>FO</t>
        </is>
      </c>
      <c r="G1757" t="inlineStr">
        <is>
          <t>VH</t>
        </is>
      </c>
      <c r="H1757" t="inlineStr">
        <is>
          <t>5</t>
        </is>
      </c>
      <c r="I1757" t="inlineStr">
        <is>
          <t>Public</t>
        </is>
      </c>
      <c r="J1757" t="inlineStr">
        <is>
          <t>1001-1200</t>
        </is>
      </c>
      <c r="K1757" t="inlineStr">
        <is>
          <t>1001-1200</t>
        </is>
      </c>
      <c r="L1757" t="inlineStr">
        <is>
          <t>1001-1200</t>
        </is>
      </c>
      <c r="M1757" t="inlineStr"/>
      <c r="N1757" t="inlineStr">
        <is>
          <t>-</t>
        </is>
      </c>
      <c r="O1757" t="inlineStr">
        <is>
          <t>-</t>
        </is>
      </c>
      <c r="P1757" t="n">
        <v>7.2</v>
      </c>
      <c r="Q1757" t="inlineStr">
        <is>
          <t>701+</t>
        </is>
      </c>
      <c r="R1757" t="n">
        <v>12.1</v>
      </c>
      <c r="S1757" t="inlineStr">
        <is>
          <t>701+</t>
        </is>
      </c>
      <c r="T1757" t="n">
        <v>4.9</v>
      </c>
      <c r="U1757" t="inlineStr">
        <is>
          <t>801+</t>
        </is>
      </c>
      <c r="V1757" t="n">
        <v>13.8</v>
      </c>
      <c r="W1757" t="inlineStr">
        <is>
          <t>801+</t>
        </is>
      </c>
      <c r="X1757" t="inlineStr"/>
      <c r="Y1757" t="inlineStr"/>
      <c r="Z1757" t="n">
        <v>8.300000000000001</v>
      </c>
      <c r="AA1757" t="inlineStr">
        <is>
          <t>801+</t>
        </is>
      </c>
      <c r="AB1757" t="n">
        <v>6.4</v>
      </c>
      <c r="AC1757" t="inlineStr">
        <is>
          <t>801+</t>
        </is>
      </c>
      <c r="AD1757" t="n">
        <v>93.7</v>
      </c>
      <c r="AE1757" t="inlineStr">
        <is>
          <t>107</t>
        </is>
      </c>
      <c r="AF1757" t="n">
        <v>18.4</v>
      </c>
      <c r="AG1757" t="inlineStr">
        <is>
          <t>751</t>
        </is>
      </c>
      <c r="AH1757" t="n">
        <v>41.7</v>
      </c>
      <c r="AI1757" t="inlineStr">
        <is>
          <t>801+</t>
        </is>
      </c>
      <c r="AJ1757" t="inlineStr">
        <is>
          <t>5.6</t>
        </is>
      </c>
      <c r="AK1757" t="inlineStr">
        <is>
          <t>601+</t>
        </is>
      </c>
      <c r="AL1757" t="inlineStr">
        <is>
          <t>6.6</t>
        </is>
      </c>
      <c r="AM1757" t="inlineStr">
        <is>
          <t>601+</t>
        </is>
      </c>
      <c r="AN1757" t="inlineStr">
        <is>
          <t>3.5</t>
        </is>
      </c>
      <c r="AO1757" t="inlineStr">
        <is>
          <t>701+</t>
        </is>
      </c>
      <c r="AP1757" t="inlineStr">
        <is>
          <t>7.9</t>
        </is>
      </c>
      <c r="AQ1757" t="inlineStr">
        <is>
          <t>701+</t>
        </is>
      </c>
      <c r="AR1757" t="inlineStr"/>
      <c r="AS1757" t="inlineStr"/>
      <c r="AT1757" t="inlineStr">
        <is>
          <t>4.9</t>
        </is>
      </c>
      <c r="AU1757" t="inlineStr">
        <is>
          <t>701+</t>
        </is>
      </c>
      <c r="AV1757" t="inlineStr">
        <is>
          <t>66.4</t>
        </is>
      </c>
      <c r="AW1757" t="inlineStr">
        <is>
          <t>211</t>
        </is>
      </c>
      <c r="AX1757" t="inlineStr">
        <is>
          <t>9.6</t>
        </is>
      </c>
      <c r="AY1757" t="inlineStr">
        <is>
          <t>701+</t>
        </is>
      </c>
      <c r="AZ1757" t="inlineStr"/>
      <c r="BA1757" t="inlineStr"/>
    </row>
    <row r="1758">
      <c r="A1758" t="inlineStr">
        <is>
          <t>University of the Pacific</t>
        </is>
      </c>
      <c r="B1758" t="inlineStr">
        <is>
          <t>United States</t>
        </is>
      </c>
      <c r="C1758" t="inlineStr">
        <is>
          <t>US</t>
        </is>
      </c>
      <c r="D1758" t="inlineStr">
        <is>
          <t>Americas</t>
        </is>
      </c>
      <c r="E1758" t="inlineStr">
        <is>
          <t>M</t>
        </is>
      </c>
      <c r="F1758" t="inlineStr">
        <is>
          <t>CO</t>
        </is>
      </c>
      <c r="G1758" t="inlineStr">
        <is>
          <t>HI</t>
        </is>
      </c>
      <c r="H1758" t="inlineStr">
        <is>
          <t>5</t>
        </is>
      </c>
      <c r="I1758" t="inlineStr">
        <is>
          <t>Private not for Profit</t>
        </is>
      </c>
      <c r="J1758" t="inlineStr">
        <is>
          <t>1401+</t>
        </is>
      </c>
      <c r="K1758" t="inlineStr">
        <is>
          <t>1201-1400</t>
        </is>
      </c>
      <c r="L1758" t="inlineStr">
        <is>
          <t>1201-1400</t>
        </is>
      </c>
      <c r="M1758" t="inlineStr">
        <is>
          <t>1001-1200</t>
        </is>
      </c>
      <c r="N1758" t="inlineStr">
        <is>
          <t>-</t>
        </is>
      </c>
      <c r="O1758" t="inlineStr">
        <is>
          <t>-</t>
        </is>
      </c>
      <c r="P1758" t="n">
        <v>1.8</v>
      </c>
      <c r="Q1758" t="inlineStr">
        <is>
          <t>701+</t>
        </is>
      </c>
      <c r="R1758" t="n">
        <v>7.2</v>
      </c>
      <c r="S1758" t="inlineStr">
        <is>
          <t>701+</t>
        </is>
      </c>
      <c r="T1758" t="n">
        <v>40.1</v>
      </c>
      <c r="U1758" t="inlineStr">
        <is>
          <t>503</t>
        </is>
      </c>
      <c r="V1758" t="n">
        <v>4.8</v>
      </c>
      <c r="W1758" t="inlineStr">
        <is>
          <t>801+</t>
        </is>
      </c>
      <c r="X1758" t="n">
        <v>3.5</v>
      </c>
      <c r="Y1758" t="inlineStr">
        <is>
          <t>801+</t>
        </is>
      </c>
      <c r="Z1758" t="n">
        <v>21</v>
      </c>
      <c r="AA1758" t="inlineStr">
        <is>
          <t>711</t>
        </is>
      </c>
      <c r="AB1758" t="n">
        <v>15.8</v>
      </c>
      <c r="AC1758" t="inlineStr">
        <is>
          <t>801+</t>
        </is>
      </c>
      <c r="AD1758" t="n">
        <v>9.6</v>
      </c>
      <c r="AE1758" t="inlineStr">
        <is>
          <t>801+</t>
        </is>
      </c>
      <c r="AF1758" t="n">
        <v>13</v>
      </c>
      <c r="AG1758" t="inlineStr">
        <is>
          <t>801+</t>
        </is>
      </c>
      <c r="AH1758" t="n">
        <v>9.9</v>
      </c>
      <c r="AI1758" t="inlineStr">
        <is>
          <t>801+</t>
        </is>
      </c>
      <c r="AJ1758" t="inlineStr">
        <is>
          <t>2.2</t>
        </is>
      </c>
      <c r="AK1758" t="inlineStr">
        <is>
          <t>601+</t>
        </is>
      </c>
      <c r="AL1758" t="inlineStr">
        <is>
          <t>3.7</t>
        </is>
      </c>
      <c r="AM1758" t="inlineStr">
        <is>
          <t>601+</t>
        </is>
      </c>
      <c r="AN1758" t="inlineStr">
        <is>
          <t>34.3</t>
        </is>
      </c>
      <c r="AO1758" t="inlineStr">
        <is>
          <t>466</t>
        </is>
      </c>
      <c r="AP1758" t="inlineStr">
        <is>
          <t>3.4</t>
        </is>
      </c>
      <c r="AQ1758" t="inlineStr">
        <is>
          <t>701+</t>
        </is>
      </c>
      <c r="AR1758" t="inlineStr">
        <is>
          <t>4.2</t>
        </is>
      </c>
      <c r="AS1758" t="inlineStr">
        <is>
          <t>701+</t>
        </is>
      </c>
      <c r="AT1758" t="inlineStr">
        <is>
          <t>7.2</t>
        </is>
      </c>
      <c r="AU1758" t="inlineStr">
        <is>
          <t>701+</t>
        </is>
      </c>
      <c r="AV1758" t="inlineStr">
        <is>
          <t>1.0</t>
        </is>
      </c>
      <c r="AW1758" t="inlineStr">
        <is>
          <t>701+</t>
        </is>
      </c>
      <c r="AX1758" t="inlineStr">
        <is>
          <t>10.8</t>
        </is>
      </c>
      <c r="AY1758" t="inlineStr">
        <is>
          <t>701+</t>
        </is>
      </c>
      <c r="AZ1758" t="inlineStr">
        <is>
          <t>1</t>
        </is>
      </c>
      <c r="BA1758" t="inlineStr">
        <is>
          <t>701+</t>
        </is>
      </c>
    </row>
    <row r="1759">
      <c r="A1759" t="inlineStr">
        <is>
          <t>University of the Philippines</t>
        </is>
      </c>
      <c r="B1759" t="inlineStr">
        <is>
          <t>Philippines</t>
        </is>
      </c>
      <c r="C1759" t="inlineStr">
        <is>
          <t>PH</t>
        </is>
      </c>
      <c r="D1759" t="inlineStr">
        <is>
          <t>Asia</t>
        </is>
      </c>
      <c r="E1759" t="inlineStr">
        <is>
          <t>XL</t>
        </is>
      </c>
      <c r="F1759" t="inlineStr">
        <is>
          <t>FC</t>
        </is>
      </c>
      <c r="G1759" t="inlineStr">
        <is>
          <t>HI</t>
        </is>
      </c>
      <c r="H1759" t="inlineStr">
        <is>
          <t>5</t>
        </is>
      </c>
      <c r="I1759" t="inlineStr">
        <is>
          <t>Public</t>
        </is>
      </c>
      <c r="J1759" t="inlineStr">
        <is>
          <t>362</t>
        </is>
      </c>
      <c r="K1759" t="inlineStr">
        <is>
          <t>336</t>
        </is>
      </c>
      <c r="L1759">
        <f>404</f>
        <v/>
      </c>
      <c r="M1759" t="inlineStr">
        <is>
          <t>412=</t>
        </is>
      </c>
      <c r="N1759" t="inlineStr">
        <is>
          <t>40.9</t>
        </is>
      </c>
      <c r="O1759" t="inlineStr">
        <is>
          <t>27.6</t>
        </is>
      </c>
      <c r="P1759" t="n">
        <v>50.6</v>
      </c>
      <c r="Q1759" t="inlineStr">
        <is>
          <t>220</t>
        </is>
      </c>
      <c r="R1759" t="n">
        <v>71.09999999999999</v>
      </c>
      <c r="S1759" t="inlineStr">
        <is>
          <t>143</t>
        </is>
      </c>
      <c r="T1759" t="n">
        <v>42.7</v>
      </c>
      <c r="U1759" t="inlineStr">
        <is>
          <t>467</t>
        </is>
      </c>
      <c r="V1759" t="n">
        <v>3.2</v>
      </c>
      <c r="W1759" t="inlineStr">
        <is>
          <t>801+</t>
        </is>
      </c>
      <c r="X1759" t="n">
        <v>2.4</v>
      </c>
      <c r="Y1759" t="inlineStr">
        <is>
          <t>801+</t>
        </is>
      </c>
      <c r="Z1759" t="n">
        <v>1.2</v>
      </c>
      <c r="AA1759" t="inlineStr">
        <is>
          <t>801+</t>
        </is>
      </c>
      <c r="AB1759" t="n">
        <v>5.7</v>
      </c>
      <c r="AC1759" t="inlineStr">
        <is>
          <t>801+</t>
        </is>
      </c>
      <c r="AD1759" t="n">
        <v>66.40000000000001</v>
      </c>
      <c r="AE1759" t="inlineStr">
        <is>
          <t>600</t>
        </is>
      </c>
      <c r="AF1759" t="n">
        <v>80.8</v>
      </c>
      <c r="AG1759" t="inlineStr">
        <is>
          <t>155</t>
        </is>
      </c>
      <c r="AH1759" t="n">
        <v>68.90000000000001</v>
      </c>
      <c r="AI1759" t="inlineStr">
        <is>
          <t>331=</t>
        </is>
      </c>
      <c r="AJ1759" t="inlineStr">
        <is>
          <t>34.4</t>
        </is>
      </c>
      <c r="AK1759" t="inlineStr">
        <is>
          <t>250</t>
        </is>
      </c>
      <c r="AL1759" t="inlineStr">
        <is>
          <t>58.9</t>
        </is>
      </c>
      <c r="AM1759" t="inlineStr">
        <is>
          <t>136</t>
        </is>
      </c>
      <c r="AN1759" t="inlineStr">
        <is>
          <t>38.0</t>
        </is>
      </c>
      <c r="AO1759" t="inlineStr">
        <is>
          <t>415</t>
        </is>
      </c>
      <c r="AP1759" t="inlineStr">
        <is>
          <t>1.9</t>
        </is>
      </c>
      <c r="AQ1759" t="inlineStr">
        <is>
          <t>701+</t>
        </is>
      </c>
      <c r="AR1759" t="inlineStr">
        <is>
          <t>1.6</t>
        </is>
      </c>
      <c r="AS1759" t="inlineStr">
        <is>
          <t>701+</t>
        </is>
      </c>
      <c r="AT1759" t="inlineStr">
        <is>
          <t>1.1</t>
        </is>
      </c>
      <c r="AU1759" t="inlineStr">
        <is>
          <t>701+</t>
        </is>
      </c>
      <c r="AV1759" t="inlineStr">
        <is>
          <t>9.3</t>
        </is>
      </c>
      <c r="AW1759" t="inlineStr">
        <is>
          <t>685</t>
        </is>
      </c>
      <c r="AX1759" t="inlineStr">
        <is>
          <t>35.3</t>
        </is>
      </c>
      <c r="AY1759" t="inlineStr">
        <is>
          <t>213</t>
        </is>
      </c>
      <c r="AZ1759" t="inlineStr">
        <is>
          <t>38.7</t>
        </is>
      </c>
      <c r="BA1759" t="inlineStr">
        <is>
          <t>370=</t>
        </is>
      </c>
    </row>
    <row r="1760">
      <c r="A1760" t="inlineStr">
        <is>
          <t>University of the Punjab</t>
        </is>
      </c>
      <c r="B1760" t="inlineStr">
        <is>
          <t>Pakistan</t>
        </is>
      </c>
      <c r="C1760" t="inlineStr">
        <is>
          <t>PK</t>
        </is>
      </c>
      <c r="D1760" t="inlineStr">
        <is>
          <t>Asia</t>
        </is>
      </c>
      <c r="E1760" t="inlineStr">
        <is>
          <t>XL</t>
        </is>
      </c>
      <c r="F1760" t="inlineStr">
        <is>
          <t>CO</t>
        </is>
      </c>
      <c r="G1760" t="inlineStr">
        <is>
          <t>VH</t>
        </is>
      </c>
      <c r="H1760" t="inlineStr">
        <is>
          <t>5</t>
        </is>
      </c>
      <c r="I1760" t="inlineStr">
        <is>
          <t>Public</t>
        </is>
      </c>
      <c r="J1760" t="inlineStr">
        <is>
          <t>542</t>
        </is>
      </c>
      <c r="K1760" t="inlineStr">
        <is>
          <t>570</t>
        </is>
      </c>
      <c r="L1760" t="inlineStr">
        <is>
          <t>741-750</t>
        </is>
      </c>
      <c r="M1760" t="inlineStr">
        <is>
          <t>801-1000</t>
        </is>
      </c>
      <c r="N1760" t="inlineStr">
        <is>
          <t>30.3</t>
        </is>
      </c>
      <c r="O1760" t="inlineStr">
        <is>
          <t>-</t>
        </is>
      </c>
      <c r="P1760" t="n">
        <v>22.5</v>
      </c>
      <c r="Q1760" t="inlineStr">
        <is>
          <t>559</t>
        </is>
      </c>
      <c r="R1760" t="n">
        <v>57.6</v>
      </c>
      <c r="S1760" t="inlineStr">
        <is>
          <t>203</t>
        </is>
      </c>
      <c r="T1760" t="n">
        <v>5.7</v>
      </c>
      <c r="U1760" t="inlineStr">
        <is>
          <t>801+</t>
        </is>
      </c>
      <c r="V1760" t="n">
        <v>24.4</v>
      </c>
      <c r="W1760" t="inlineStr">
        <is>
          <t>649</t>
        </is>
      </c>
      <c r="X1760" t="n">
        <v>4</v>
      </c>
      <c r="Y1760" t="inlineStr">
        <is>
          <t>801+</t>
        </is>
      </c>
      <c r="Z1760" t="n">
        <v>1.7</v>
      </c>
      <c r="AA1760" t="inlineStr">
        <is>
          <t>801+</t>
        </is>
      </c>
      <c r="AB1760" t="n">
        <v>6.1</v>
      </c>
      <c r="AC1760" t="inlineStr">
        <is>
          <t>801+</t>
        </is>
      </c>
      <c r="AD1760" t="n">
        <v>71.8</v>
      </c>
      <c r="AE1760" t="inlineStr">
        <is>
          <t>504</t>
        </is>
      </c>
      <c r="AF1760" t="n">
        <v>89.40000000000001</v>
      </c>
      <c r="AG1760" t="inlineStr">
        <is>
          <t>109</t>
        </is>
      </c>
      <c r="AH1760" t="n">
        <v>44.3</v>
      </c>
      <c r="AI1760" t="inlineStr">
        <is>
          <t>801+</t>
        </is>
      </c>
      <c r="AJ1760" t="inlineStr">
        <is>
          <t>14.2</t>
        </is>
      </c>
      <c r="AK1760" t="inlineStr">
        <is>
          <t>601+</t>
        </is>
      </c>
      <c r="AL1760" t="inlineStr">
        <is>
          <t>52.3</t>
        </is>
      </c>
      <c r="AM1760" t="inlineStr">
        <is>
          <t>154</t>
        </is>
      </c>
      <c r="AN1760" t="inlineStr">
        <is>
          <t>5.3</t>
        </is>
      </c>
      <c r="AO1760" t="inlineStr">
        <is>
          <t>701+</t>
        </is>
      </c>
      <c r="AP1760" t="inlineStr">
        <is>
          <t>9.8</t>
        </is>
      </c>
      <c r="AQ1760" t="inlineStr">
        <is>
          <t>701+</t>
        </is>
      </c>
      <c r="AR1760" t="inlineStr">
        <is>
          <t>2.9</t>
        </is>
      </c>
      <c r="AS1760" t="inlineStr">
        <is>
          <t>701+</t>
        </is>
      </c>
      <c r="AT1760" t="inlineStr">
        <is>
          <t>1.3</t>
        </is>
      </c>
      <c r="AU1760" t="inlineStr">
        <is>
          <t>701+</t>
        </is>
      </c>
      <c r="AV1760" t="inlineStr">
        <is>
          <t>5.2</t>
        </is>
      </c>
      <c r="AW1760" t="inlineStr">
        <is>
          <t>701+</t>
        </is>
      </c>
      <c r="AX1760" t="inlineStr">
        <is>
          <t>14.6</t>
        </is>
      </c>
      <c r="AY1760" t="inlineStr">
        <is>
          <t>574</t>
        </is>
      </c>
      <c r="AZ1760" t="inlineStr">
        <is>
          <t>4.9</t>
        </is>
      </c>
      <c r="BA1760" t="inlineStr">
        <is>
          <t>701+</t>
        </is>
      </c>
    </row>
    <row r="1761">
      <c r="A1761" t="inlineStr">
        <is>
          <t xml:space="preserve">University of the Sunshine Coast </t>
        </is>
      </c>
      <c r="B1761" t="inlineStr">
        <is>
          <t>Australia</t>
        </is>
      </c>
      <c r="C1761" t="inlineStr">
        <is>
          <t>AU</t>
        </is>
      </c>
      <c r="D1761" t="inlineStr"/>
      <c r="E1761" t="inlineStr">
        <is>
          <t>L</t>
        </is>
      </c>
      <c r="F1761" t="inlineStr">
        <is>
          <t>CO</t>
        </is>
      </c>
      <c r="G1761" t="inlineStr">
        <is>
          <t>HI</t>
        </is>
      </c>
      <c r="H1761" t="inlineStr">
        <is>
          <t>3</t>
        </is>
      </c>
      <c r="I1761" t="inlineStr">
        <is>
          <t>A</t>
        </is>
      </c>
      <c r="J1761" t="inlineStr"/>
      <c r="K1761" t="inlineStr"/>
      <c r="L1761" t="inlineStr">
        <is>
          <t>1001-1200</t>
        </is>
      </c>
      <c r="M1761" t="inlineStr">
        <is>
          <t>1001-1200</t>
        </is>
      </c>
      <c r="N1761" t="inlineStr"/>
      <c r="O1761" t="inlineStr">
        <is>
          <t>-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>
        <is>
          <t>3.0</t>
        </is>
      </c>
      <c r="AK1761" t="inlineStr">
        <is>
          <t>601+</t>
        </is>
      </c>
      <c r="AL1761" t="inlineStr">
        <is>
          <t>2.2</t>
        </is>
      </c>
      <c r="AM1761" t="inlineStr">
        <is>
          <t>601+</t>
        </is>
      </c>
      <c r="AN1761" t="inlineStr">
        <is>
          <t>2.3</t>
        </is>
      </c>
      <c r="AO1761" t="inlineStr">
        <is>
          <t>701+</t>
        </is>
      </c>
      <c r="AP1761" t="inlineStr">
        <is>
          <t>22.8</t>
        </is>
      </c>
      <c r="AQ1761" t="inlineStr">
        <is>
          <t>517</t>
        </is>
      </c>
      <c r="AR1761" t="inlineStr">
        <is>
          <t>2.9</t>
        </is>
      </c>
      <c r="AS1761" t="inlineStr">
        <is>
          <t>701+</t>
        </is>
      </c>
      <c r="AT1761" t="inlineStr">
        <is>
          <t>18.5</t>
        </is>
      </c>
      <c r="AU1761" t="inlineStr">
        <is>
          <t>565</t>
        </is>
      </c>
      <c r="AV1761" t="inlineStr">
        <is>
          <t>6.4</t>
        </is>
      </c>
      <c r="AW1761" t="inlineStr">
        <is>
          <t>701+</t>
        </is>
      </c>
      <c r="AX1761" t="inlineStr">
        <is>
          <t>6.1</t>
        </is>
      </c>
      <c r="AY1761" t="inlineStr">
        <is>
          <t>701+</t>
        </is>
      </c>
      <c r="AZ1761" t="inlineStr">
        <is>
          <t>7.1</t>
        </is>
      </c>
      <c r="BA1761" t="inlineStr">
        <is>
          <t>701+</t>
        </is>
      </c>
    </row>
    <row r="1762">
      <c r="A1762" t="inlineStr">
        <is>
          <t>University of the West of England</t>
        </is>
      </c>
      <c r="B1762" t="inlineStr">
        <is>
          <t>United Kingdom</t>
        </is>
      </c>
      <c r="C1762" t="inlineStr">
        <is>
          <t>UK</t>
        </is>
      </c>
      <c r="D1762" t="inlineStr"/>
      <c r="E1762" t="inlineStr">
        <is>
          <t>XL</t>
        </is>
      </c>
      <c r="F1762" t="inlineStr">
        <is>
          <t>CO</t>
        </is>
      </c>
      <c r="G1762" t="inlineStr">
        <is>
          <t>HI</t>
        </is>
      </c>
      <c r="H1762" t="inlineStr">
        <is>
          <t>3</t>
        </is>
      </c>
      <c r="I1762" t="inlineStr">
        <is>
          <t>A</t>
        </is>
      </c>
      <c r="J1762" t="inlineStr"/>
      <c r="K1762" t="inlineStr"/>
      <c r="L1762" t="inlineStr">
        <is>
          <t>741-750</t>
        </is>
      </c>
      <c r="M1762" t="inlineStr">
        <is>
          <t>801-1000</t>
        </is>
      </c>
      <c r="N1762" t="inlineStr"/>
      <c r="O1762" t="inlineStr">
        <is>
          <t>-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>
        <is>
          <t>9.2</t>
        </is>
      </c>
      <c r="AK1762" t="inlineStr">
        <is>
          <t>601+</t>
        </is>
      </c>
      <c r="AL1762" t="inlineStr">
        <is>
          <t>9.4</t>
        </is>
      </c>
      <c r="AM1762" t="inlineStr">
        <is>
          <t>601+</t>
        </is>
      </c>
      <c r="AN1762" t="inlineStr">
        <is>
          <t>8.4</t>
        </is>
      </c>
      <c r="AO1762" t="inlineStr">
        <is>
          <t>701+</t>
        </is>
      </c>
      <c r="AP1762" t="inlineStr">
        <is>
          <t>10.8</t>
        </is>
      </c>
      <c r="AQ1762" t="inlineStr">
        <is>
          <t>701+</t>
        </is>
      </c>
      <c r="AR1762" t="inlineStr">
        <is>
          <t>48.4</t>
        </is>
      </c>
      <c r="AS1762" t="inlineStr">
        <is>
          <t>363</t>
        </is>
      </c>
      <c r="AT1762" t="inlineStr">
        <is>
          <t>75.8</t>
        </is>
      </c>
      <c r="AU1762" t="inlineStr">
        <is>
          <t>183</t>
        </is>
      </c>
      <c r="AV1762" t="inlineStr">
        <is>
          <t>24.8</t>
        </is>
      </c>
      <c r="AW1762" t="inlineStr">
        <is>
          <t>499</t>
        </is>
      </c>
      <c r="AX1762" t="inlineStr">
        <is>
          <t>8.9</t>
        </is>
      </c>
      <c r="AY1762" t="inlineStr">
        <is>
          <t>701+</t>
        </is>
      </c>
      <c r="AZ1762" t="inlineStr">
        <is>
          <t>21.6</t>
        </is>
      </c>
      <c r="BA1762" t="inlineStr">
        <is>
          <t>528=</t>
        </is>
      </c>
    </row>
    <row r="1763">
      <c r="A1763" t="inlineStr">
        <is>
          <t>University of the Western Cape</t>
        </is>
      </c>
      <c r="B1763" t="inlineStr">
        <is>
          <t>South Africa</t>
        </is>
      </c>
      <c r="C1763" t="inlineStr">
        <is>
          <t>ZA</t>
        </is>
      </c>
      <c r="D1763" t="inlineStr">
        <is>
          <t>Africa</t>
        </is>
      </c>
      <c r="E1763" t="inlineStr">
        <is>
          <t>L</t>
        </is>
      </c>
      <c r="F1763" t="inlineStr">
        <is>
          <t>CO</t>
        </is>
      </c>
      <c r="G1763" t="inlineStr">
        <is>
          <t>VH</t>
        </is>
      </c>
      <c r="H1763" t="inlineStr">
        <is>
          <t>4</t>
        </is>
      </c>
      <c r="I1763" t="inlineStr">
        <is>
          <t>Public</t>
        </is>
      </c>
      <c r="J1763" t="inlineStr">
        <is>
          <t>951-1000</t>
        </is>
      </c>
      <c r="K1763" t="inlineStr">
        <is>
          <t>951-1000</t>
        </is>
      </c>
      <c r="L1763" t="inlineStr">
        <is>
          <t>951-1000</t>
        </is>
      </c>
      <c r="M1763" t="inlineStr">
        <is>
          <t>1001-1200</t>
        </is>
      </c>
      <c r="N1763" t="inlineStr">
        <is>
          <t>-</t>
        </is>
      </c>
      <c r="O1763" t="inlineStr">
        <is>
          <t>-</t>
        </is>
      </c>
      <c r="P1763" t="n">
        <v>12</v>
      </c>
      <c r="Q1763" t="inlineStr">
        <is>
          <t>701+</t>
        </is>
      </c>
      <c r="R1763" t="n">
        <v>6.4</v>
      </c>
      <c r="S1763" t="inlineStr">
        <is>
          <t>701+</t>
        </is>
      </c>
      <c r="T1763" t="n">
        <v>6.1</v>
      </c>
      <c r="U1763" t="inlineStr">
        <is>
          <t>801+</t>
        </is>
      </c>
      <c r="V1763" t="n">
        <v>23.9</v>
      </c>
      <c r="W1763" t="inlineStr">
        <is>
          <t>656</t>
        </is>
      </c>
      <c r="X1763" t="n">
        <v>30.3</v>
      </c>
      <c r="Y1763" t="inlineStr">
        <is>
          <t>583</t>
        </is>
      </c>
      <c r="Z1763" t="n">
        <v>5.5</v>
      </c>
      <c r="AA1763" t="inlineStr">
        <is>
          <t>801+</t>
        </is>
      </c>
      <c r="AB1763" t="n">
        <v>10.5</v>
      </c>
      <c r="AC1763" t="inlineStr">
        <is>
          <t>801+</t>
        </is>
      </c>
      <c r="AD1763" t="n">
        <v>84.40000000000001</v>
      </c>
      <c r="AE1763" t="inlineStr">
        <is>
          <t>267</t>
        </is>
      </c>
      <c r="AF1763" t="n">
        <v>28.1</v>
      </c>
      <c r="AG1763" t="inlineStr">
        <is>
          <t>592</t>
        </is>
      </c>
      <c r="AH1763" t="n">
        <v>35.7</v>
      </c>
      <c r="AI1763" t="inlineStr">
        <is>
          <t>801+</t>
        </is>
      </c>
      <c r="AJ1763" t="inlineStr">
        <is>
          <t>8.4</t>
        </is>
      </c>
      <c r="AK1763" t="inlineStr">
        <is>
          <t>601+</t>
        </is>
      </c>
      <c r="AL1763" t="inlineStr">
        <is>
          <t>7.8</t>
        </is>
      </c>
      <c r="AM1763" t="inlineStr">
        <is>
          <t>601+</t>
        </is>
      </c>
      <c r="AN1763" t="inlineStr">
        <is>
          <t>4.2</t>
        </is>
      </c>
      <c r="AO1763" t="inlineStr">
        <is>
          <t>701+</t>
        </is>
      </c>
      <c r="AP1763" t="inlineStr">
        <is>
          <t>15.1</t>
        </is>
      </c>
      <c r="AQ1763" t="inlineStr">
        <is>
          <t>634</t>
        </is>
      </c>
      <c r="AR1763" t="inlineStr">
        <is>
          <t>26.4</t>
        </is>
      </c>
      <c r="AS1763" t="inlineStr">
        <is>
          <t>516</t>
        </is>
      </c>
      <c r="AT1763" t="inlineStr">
        <is>
          <t>4.0</t>
        </is>
      </c>
      <c r="AU1763" t="inlineStr">
        <is>
          <t>701+</t>
        </is>
      </c>
      <c r="AV1763" t="inlineStr">
        <is>
          <t>40.5</t>
        </is>
      </c>
      <c r="AW1763" t="inlineStr">
        <is>
          <t>372</t>
        </is>
      </c>
      <c r="AX1763" t="inlineStr">
        <is>
          <t>11.7</t>
        </is>
      </c>
      <c r="AY1763" t="inlineStr">
        <is>
          <t>701+</t>
        </is>
      </c>
      <c r="AZ1763" t="inlineStr">
        <is>
          <t>4.9</t>
        </is>
      </c>
      <c r="BA1763" t="inlineStr">
        <is>
          <t>701+</t>
        </is>
      </c>
    </row>
    <row r="1764">
      <c r="A1764" t="inlineStr">
        <is>
          <t>University of The Witwatersrand</t>
        </is>
      </c>
      <c r="B1764" t="inlineStr">
        <is>
          <t>South Africa</t>
        </is>
      </c>
      <c r="C1764" t="inlineStr"/>
      <c r="D1764" t="inlineStr">
        <is>
          <t>Africa</t>
        </is>
      </c>
      <c r="E1764" t="inlineStr">
        <is>
          <t>L</t>
        </is>
      </c>
      <c r="F1764" t="inlineStr">
        <is>
          <t>FC</t>
        </is>
      </c>
      <c r="G1764" t="inlineStr">
        <is>
          <t>VH</t>
        </is>
      </c>
      <c r="H1764" t="inlineStr"/>
      <c r="I1764" t="inlineStr">
        <is>
          <t>Public</t>
        </is>
      </c>
      <c r="J1764" t="inlineStr">
        <is>
          <t>291</t>
        </is>
      </c>
      <c r="K1764" t="inlineStr">
        <is>
          <t>267</t>
        </is>
      </c>
      <c r="L1764" t="inlineStr"/>
      <c r="M1764" t="inlineStr"/>
      <c r="N1764" t="inlineStr">
        <is>
          <t>46.4</t>
        </is>
      </c>
      <c r="O1764" t="inlineStr"/>
      <c r="P1764" t="n">
        <v>36.8</v>
      </c>
      <c r="Q1764" t="inlineStr">
        <is>
          <t>328</t>
        </is>
      </c>
      <c r="R1764" t="n">
        <v>50.9</v>
      </c>
      <c r="S1764" t="inlineStr">
        <is>
          <t>246</t>
        </is>
      </c>
      <c r="T1764" t="n">
        <v>14</v>
      </c>
      <c r="U1764" t="inlineStr">
        <is>
          <t>801+</t>
        </is>
      </c>
      <c r="V1764" t="n">
        <v>40.2</v>
      </c>
      <c r="W1764" t="inlineStr">
        <is>
          <t>468</t>
        </is>
      </c>
      <c r="X1764" t="n">
        <v>86.8</v>
      </c>
      <c r="Y1764" t="inlineStr">
        <is>
          <t>246</t>
        </is>
      </c>
      <c r="Z1764" t="n">
        <v>9.4</v>
      </c>
      <c r="AA1764" t="inlineStr">
        <is>
          <t>801+</t>
        </is>
      </c>
      <c r="AB1764" t="n">
        <v>15.1</v>
      </c>
      <c r="AC1764" t="inlineStr">
        <is>
          <t>801+</t>
        </is>
      </c>
      <c r="AD1764" t="n">
        <v>96.7</v>
      </c>
      <c r="AE1764" t="inlineStr">
        <is>
          <t>44</t>
        </is>
      </c>
      <c r="AF1764" t="n">
        <v>99.5</v>
      </c>
      <c r="AG1764" t="inlineStr">
        <is>
          <t>21</t>
        </is>
      </c>
      <c r="AH1764" t="n">
        <v>85.59999999999999</v>
      </c>
      <c r="AI1764" t="inlineStr">
        <is>
          <t>104=</t>
        </is>
      </c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</row>
    <row r="1765">
      <c r="A1765" t="inlineStr">
        <is>
          <t>University of Toledo</t>
        </is>
      </c>
      <c r="B1765" t="inlineStr">
        <is>
          <t>United States</t>
        </is>
      </c>
      <c r="C1765" t="inlineStr">
        <is>
          <t>US</t>
        </is>
      </c>
      <c r="D1765" t="inlineStr">
        <is>
          <t>Americas</t>
        </is>
      </c>
      <c r="E1765" t="inlineStr">
        <is>
          <t>L</t>
        </is>
      </c>
      <c r="F1765" t="inlineStr">
        <is>
          <t>FC</t>
        </is>
      </c>
      <c r="G1765" t="inlineStr">
        <is>
          <t>HI</t>
        </is>
      </c>
      <c r="H1765" t="inlineStr"/>
      <c r="I1765" t="inlineStr">
        <is>
          <t>Public</t>
        </is>
      </c>
      <c r="J1765" t="inlineStr">
        <is>
          <t>1001-1200</t>
        </is>
      </c>
      <c r="K1765" t="inlineStr">
        <is>
          <t>1001-1200</t>
        </is>
      </c>
      <c r="L1765" t="inlineStr">
        <is>
          <t>1001-1200</t>
        </is>
      </c>
      <c r="M1765" t="inlineStr">
        <is>
          <t>1001-1200</t>
        </is>
      </c>
      <c r="N1765" t="inlineStr">
        <is>
          <t>-</t>
        </is>
      </c>
      <c r="O1765" t="inlineStr">
        <is>
          <t>-</t>
        </is>
      </c>
      <c r="P1765" t="n">
        <v>4.2</v>
      </c>
      <c r="Q1765" t="inlineStr">
        <is>
          <t>701+</t>
        </is>
      </c>
      <c r="R1765" t="n">
        <v>4.5</v>
      </c>
      <c r="S1765" t="inlineStr">
        <is>
          <t>701+</t>
        </is>
      </c>
      <c r="T1765" t="n">
        <v>13.8</v>
      </c>
      <c r="U1765" t="inlineStr">
        <is>
          <t>801+</t>
        </is>
      </c>
      <c r="V1765" t="n">
        <v>28.8</v>
      </c>
      <c r="W1765" t="inlineStr">
        <is>
          <t>598</t>
        </is>
      </c>
      <c r="X1765" t="n">
        <v>7.7</v>
      </c>
      <c r="Y1765" t="inlineStr">
        <is>
          <t>801+</t>
        </is>
      </c>
      <c r="Z1765" t="n">
        <v>21.6</v>
      </c>
      <c r="AA1765" t="inlineStr">
        <is>
          <t>702</t>
        </is>
      </c>
      <c r="AB1765" t="n">
        <v>16.3</v>
      </c>
      <c r="AC1765" t="inlineStr">
        <is>
          <t>801+</t>
        </is>
      </c>
      <c r="AD1765" t="n">
        <v>45.4</v>
      </c>
      <c r="AE1765" t="inlineStr">
        <is>
          <t>801+</t>
        </is>
      </c>
      <c r="AF1765" t="n">
        <v>14.5</v>
      </c>
      <c r="AG1765" t="inlineStr">
        <is>
          <t>801+</t>
        </is>
      </c>
      <c r="AH1765" t="n">
        <v>39.9</v>
      </c>
      <c r="AI1765" t="inlineStr">
        <is>
          <t>801+</t>
        </is>
      </c>
      <c r="AJ1765" t="inlineStr">
        <is>
          <t>3.8</t>
        </is>
      </c>
      <c r="AK1765" t="inlineStr">
        <is>
          <t>601+</t>
        </is>
      </c>
      <c r="AL1765" t="inlineStr">
        <is>
          <t>4.4</t>
        </is>
      </c>
      <c r="AM1765" t="inlineStr">
        <is>
          <t>601+</t>
        </is>
      </c>
      <c r="AN1765" t="inlineStr">
        <is>
          <t>8.7</t>
        </is>
      </c>
      <c r="AO1765" t="inlineStr">
        <is>
          <t>701+</t>
        </is>
      </c>
      <c r="AP1765" t="inlineStr">
        <is>
          <t>21.4</t>
        </is>
      </c>
      <c r="AQ1765" t="inlineStr">
        <is>
          <t>538</t>
        </is>
      </c>
      <c r="AR1765" t="inlineStr">
        <is>
          <t>9.6</t>
        </is>
      </c>
      <c r="AS1765" t="inlineStr">
        <is>
          <t>701+</t>
        </is>
      </c>
      <c r="AT1765" t="inlineStr">
        <is>
          <t>8.8</t>
        </is>
      </c>
      <c r="AU1765" t="inlineStr">
        <is>
          <t>701+</t>
        </is>
      </c>
      <c r="AV1765" t="inlineStr">
        <is>
          <t>5.1</t>
        </is>
      </c>
      <c r="AW1765" t="inlineStr">
        <is>
          <t>701+</t>
        </is>
      </c>
      <c r="AX1765" t="inlineStr">
        <is>
          <t>10.3</t>
        </is>
      </c>
      <c r="AY1765" t="inlineStr">
        <is>
          <t>701+</t>
        </is>
      </c>
      <c r="AZ1765" t="inlineStr"/>
      <c r="BA1765" t="inlineStr"/>
    </row>
    <row r="1766">
      <c r="A1766" t="inlineStr">
        <is>
          <t>University of Toronto</t>
        </is>
      </c>
      <c r="B1766" t="inlineStr">
        <is>
          <t>Canada</t>
        </is>
      </c>
      <c r="C1766" t="inlineStr">
        <is>
          <t>CA</t>
        </is>
      </c>
      <c r="D1766" t="inlineStr">
        <is>
          <t>Americas</t>
        </is>
      </c>
      <c r="E1766" t="inlineStr">
        <is>
          <t>XL</t>
        </is>
      </c>
      <c r="F1766" t="inlineStr">
        <is>
          <t>FC</t>
        </is>
      </c>
      <c r="G1766" t="inlineStr">
        <is>
          <t>VH</t>
        </is>
      </c>
      <c r="H1766" t="inlineStr">
        <is>
          <t>5</t>
        </is>
      </c>
      <c r="I1766" t="inlineStr">
        <is>
          <t>Public</t>
        </is>
      </c>
      <c r="J1766" t="inlineStr">
        <is>
          <t>29</t>
        </is>
      </c>
      <c r="K1766" t="inlineStr">
        <is>
          <t>25</t>
        </is>
      </c>
      <c r="L1766" t="inlineStr">
        <is>
          <t>21</t>
        </is>
      </c>
      <c r="M1766" t="inlineStr">
        <is>
          <t>34=</t>
        </is>
      </c>
      <c r="N1766" t="inlineStr">
        <is>
          <t>88.5</t>
        </is>
      </c>
      <c r="O1766" t="inlineStr">
        <is>
          <t>86.3</t>
        </is>
      </c>
      <c r="P1766" t="n">
        <v>100</v>
      </c>
      <c r="Q1766" t="inlineStr">
        <is>
          <t>11</t>
        </is>
      </c>
      <c r="R1766" t="n">
        <v>99.09999999999999</v>
      </c>
      <c r="S1766" t="inlineStr">
        <is>
          <t>25</t>
        </is>
      </c>
      <c r="T1766" t="n">
        <v>45.7</v>
      </c>
      <c r="U1766" t="inlineStr">
        <is>
          <t>428</t>
        </is>
      </c>
      <c r="V1766" t="n">
        <v>68.8</v>
      </c>
      <c r="W1766" t="inlineStr">
        <is>
          <t>224</t>
        </is>
      </c>
      <c r="X1766" t="n">
        <v>97.90000000000001</v>
      </c>
      <c r="Y1766" t="inlineStr">
        <is>
          <t>143</t>
        </is>
      </c>
      <c r="Z1766" t="n">
        <v>97.90000000000001</v>
      </c>
      <c r="AA1766" t="inlineStr">
        <is>
          <t>91</t>
        </is>
      </c>
      <c r="AB1766" t="n">
        <v>98</v>
      </c>
      <c r="AC1766" t="inlineStr">
        <is>
          <t>78</t>
        </is>
      </c>
      <c r="AD1766" t="n">
        <v>97</v>
      </c>
      <c r="AE1766" t="inlineStr">
        <is>
          <t>37</t>
        </is>
      </c>
      <c r="AF1766" t="n">
        <v>99.40000000000001</v>
      </c>
      <c r="AG1766" t="inlineStr">
        <is>
          <t>22</t>
        </is>
      </c>
      <c r="AH1766" t="n">
        <v>100</v>
      </c>
      <c r="AI1766" t="inlineStr">
        <is>
          <t>1</t>
        </is>
      </c>
      <c r="AJ1766" t="inlineStr">
        <is>
          <t>99.7</t>
        </is>
      </c>
      <c r="AK1766" t="inlineStr">
        <is>
          <t>11</t>
        </is>
      </c>
      <c r="AL1766" t="inlineStr">
        <is>
          <t>96.0</t>
        </is>
      </c>
      <c r="AM1766" t="inlineStr">
        <is>
          <t>33</t>
        </is>
      </c>
      <c r="AN1766" t="inlineStr">
        <is>
          <t>54.2</t>
        </is>
      </c>
      <c r="AO1766" t="inlineStr">
        <is>
          <t>283</t>
        </is>
      </c>
      <c r="AP1766" t="inlineStr">
        <is>
          <t>57.2</t>
        </is>
      </c>
      <c r="AQ1766" t="inlineStr">
        <is>
          <t>226</t>
        </is>
      </c>
      <c r="AR1766" t="inlineStr">
        <is>
          <t>95.7</t>
        </is>
      </c>
      <c r="AS1766" t="inlineStr">
        <is>
          <t>145</t>
        </is>
      </c>
      <c r="AT1766" t="inlineStr">
        <is>
          <t>96.4</t>
        </is>
      </c>
      <c r="AU1766" t="inlineStr">
        <is>
          <t>80</t>
        </is>
      </c>
      <c r="AV1766" t="inlineStr">
        <is>
          <t>95.5</t>
        </is>
      </c>
      <c r="AW1766" t="inlineStr">
        <is>
          <t>46</t>
        </is>
      </c>
      <c r="AX1766" t="inlineStr">
        <is>
          <t>96.4</t>
        </is>
      </c>
      <c r="AY1766" t="inlineStr">
        <is>
          <t>22</t>
        </is>
      </c>
      <c r="AZ1766" t="inlineStr">
        <is>
          <t>99.9</t>
        </is>
      </c>
      <c r="BA1766" t="inlineStr">
        <is>
          <t>2</t>
        </is>
      </c>
    </row>
    <row r="1767">
      <c r="A1767" t="inlineStr">
        <is>
          <t>University of Trento</t>
        </is>
      </c>
      <c r="B1767" t="inlineStr">
        <is>
          <t>Italy</t>
        </is>
      </c>
      <c r="C1767" t="inlineStr">
        <is>
          <t>IT</t>
        </is>
      </c>
      <c r="D1767" t="inlineStr">
        <is>
          <t>Europe</t>
        </is>
      </c>
      <c r="E1767" t="inlineStr">
        <is>
          <t>L</t>
        </is>
      </c>
      <c r="F1767" t="inlineStr">
        <is>
          <t>CO</t>
        </is>
      </c>
      <c r="G1767" t="inlineStr">
        <is>
          <t>VH</t>
        </is>
      </c>
      <c r="H1767" t="inlineStr">
        <is>
          <t>4</t>
        </is>
      </c>
      <c r="I1767" t="inlineStr">
        <is>
          <t>Public</t>
        </is>
      </c>
      <c r="J1767" t="inlineStr">
        <is>
          <t>485</t>
        </is>
      </c>
      <c r="K1767" t="inlineStr">
        <is>
          <t>506</t>
        </is>
      </c>
      <c r="L1767">
        <f>429</f>
        <v/>
      </c>
      <c r="M1767" t="inlineStr">
        <is>
          <t>457=</t>
        </is>
      </c>
      <c r="N1767" t="inlineStr">
        <is>
          <t>32.9</t>
        </is>
      </c>
      <c r="O1767" t="inlineStr">
        <is>
          <t>26.3</t>
        </is>
      </c>
      <c r="P1767" t="n">
        <v>34.8</v>
      </c>
      <c r="Q1767" t="inlineStr">
        <is>
          <t>346</t>
        </is>
      </c>
      <c r="R1767" t="n">
        <v>18.6</v>
      </c>
      <c r="S1767" t="inlineStr">
        <is>
          <t>693</t>
        </is>
      </c>
      <c r="T1767" t="n">
        <v>32.9</v>
      </c>
      <c r="U1767" t="inlineStr">
        <is>
          <t>589</t>
        </is>
      </c>
      <c r="V1767" t="n">
        <v>40</v>
      </c>
      <c r="W1767" t="inlineStr">
        <is>
          <t>470</t>
        </is>
      </c>
      <c r="X1767" t="n">
        <v>32.3</v>
      </c>
      <c r="Y1767" t="inlineStr">
        <is>
          <t>560</t>
        </is>
      </c>
      <c r="Z1767" t="n">
        <v>11.3</v>
      </c>
      <c r="AA1767" t="inlineStr">
        <is>
          <t>801+</t>
        </is>
      </c>
      <c r="AB1767" t="n">
        <v>17.2</v>
      </c>
      <c r="AC1767" t="inlineStr">
        <is>
          <t>801+</t>
        </is>
      </c>
      <c r="AD1767" t="n">
        <v>85.59999999999999</v>
      </c>
      <c r="AE1767" t="inlineStr">
        <is>
          <t>244</t>
        </is>
      </c>
      <c r="AF1767" t="n">
        <v>7.1</v>
      </c>
      <c r="AG1767" t="inlineStr">
        <is>
          <t>801+</t>
        </is>
      </c>
      <c r="AH1767" t="n">
        <v>51.8</v>
      </c>
      <c r="AI1767" t="inlineStr">
        <is>
          <t>665=</t>
        </is>
      </c>
      <c r="AJ1767" t="inlineStr">
        <is>
          <t>24.6</t>
        </is>
      </c>
      <c r="AK1767" t="inlineStr">
        <is>
          <t>352</t>
        </is>
      </c>
      <c r="AL1767" t="inlineStr">
        <is>
          <t>8.9</t>
        </is>
      </c>
      <c r="AM1767" t="inlineStr">
        <is>
          <t>601+</t>
        </is>
      </c>
      <c r="AN1767" t="inlineStr">
        <is>
          <t>19.3</t>
        </is>
      </c>
      <c r="AO1767" t="inlineStr">
        <is>
          <t>685</t>
        </is>
      </c>
      <c r="AP1767" t="inlineStr">
        <is>
          <t>44.0</t>
        </is>
      </c>
      <c r="AQ1767" t="inlineStr">
        <is>
          <t>305</t>
        </is>
      </c>
      <c r="AR1767" t="inlineStr">
        <is>
          <t>26.9</t>
        </is>
      </c>
      <c r="AS1767" t="inlineStr">
        <is>
          <t>509</t>
        </is>
      </c>
      <c r="AT1767" t="inlineStr">
        <is>
          <t>6.2</t>
        </is>
      </c>
      <c r="AU1767" t="inlineStr">
        <is>
          <t>701+</t>
        </is>
      </c>
      <c r="AV1767" t="inlineStr">
        <is>
          <t>61.0</t>
        </is>
      </c>
      <c r="AW1767" t="inlineStr">
        <is>
          <t>238</t>
        </is>
      </c>
      <c r="AX1767" t="inlineStr">
        <is>
          <t>9.3</t>
        </is>
      </c>
      <c r="AY1767" t="inlineStr">
        <is>
          <t>701+</t>
        </is>
      </c>
      <c r="AZ1767" t="inlineStr">
        <is>
          <t>34.9</t>
        </is>
      </c>
      <c r="BA1767" t="inlineStr">
        <is>
          <t>400=</t>
        </is>
      </c>
    </row>
    <row r="1768">
      <c r="A1768" t="inlineStr">
        <is>
          <t>University of Trieste</t>
        </is>
      </c>
      <c r="B1768" t="inlineStr">
        <is>
          <t>Italy</t>
        </is>
      </c>
      <c r="C1768" t="inlineStr">
        <is>
          <t>IT</t>
        </is>
      </c>
      <c r="D1768" t="inlineStr">
        <is>
          <t>Europe</t>
        </is>
      </c>
      <c r="E1768" t="inlineStr">
        <is>
          <t>L</t>
        </is>
      </c>
      <c r="F1768" t="inlineStr">
        <is>
          <t>FC</t>
        </is>
      </c>
      <c r="G1768" t="inlineStr">
        <is>
          <t>VH</t>
        </is>
      </c>
      <c r="H1768" t="inlineStr">
        <is>
          <t>4</t>
        </is>
      </c>
      <c r="I1768" t="inlineStr">
        <is>
          <t>Public</t>
        </is>
      </c>
      <c r="J1768" t="inlineStr">
        <is>
          <t>751-760</t>
        </is>
      </c>
      <c r="K1768" t="inlineStr">
        <is>
          <t>721-730</t>
        </is>
      </c>
      <c r="L1768" t="inlineStr">
        <is>
          <t>691-700</t>
        </is>
      </c>
      <c r="M1768" t="inlineStr">
        <is>
          <t>701-750</t>
        </is>
      </c>
      <c r="N1768" t="inlineStr">
        <is>
          <t>-</t>
        </is>
      </c>
      <c r="O1768" t="inlineStr">
        <is>
          <t>-</t>
        </is>
      </c>
      <c r="P1768" t="n">
        <v>16.1</v>
      </c>
      <c r="Q1768" t="inlineStr">
        <is>
          <t>701+</t>
        </is>
      </c>
      <c r="R1768" t="n">
        <v>7.8</v>
      </c>
      <c r="S1768" t="inlineStr">
        <is>
          <t>701+</t>
        </is>
      </c>
      <c r="T1768" t="n">
        <v>5.5</v>
      </c>
      <c r="U1768" t="inlineStr">
        <is>
          <t>801+</t>
        </is>
      </c>
      <c r="V1768" t="n">
        <v>53.8</v>
      </c>
      <c r="W1768" t="inlineStr">
        <is>
          <t>345</t>
        </is>
      </c>
      <c r="X1768" t="n">
        <v>11.6</v>
      </c>
      <c r="Y1768" t="inlineStr">
        <is>
          <t>801+</t>
        </is>
      </c>
      <c r="Z1768" t="n">
        <v>16.8</v>
      </c>
      <c r="AA1768" t="inlineStr">
        <is>
          <t>783</t>
        </is>
      </c>
      <c r="AB1768" t="n">
        <v>22.9</v>
      </c>
      <c r="AC1768" t="inlineStr">
        <is>
          <t>721</t>
        </is>
      </c>
      <c r="AD1768" t="n">
        <v>70.8</v>
      </c>
      <c r="AE1768" t="inlineStr">
        <is>
          <t>514</t>
        </is>
      </c>
      <c r="AF1768" t="n">
        <v>18.7</v>
      </c>
      <c r="AG1768" t="inlineStr">
        <is>
          <t>746</t>
        </is>
      </c>
      <c r="AH1768" t="n">
        <v>36.4</v>
      </c>
      <c r="AI1768" t="inlineStr">
        <is>
          <t>801+</t>
        </is>
      </c>
      <c r="AJ1768" t="inlineStr">
        <is>
          <t>11.9</t>
        </is>
      </c>
      <c r="AK1768" t="inlineStr">
        <is>
          <t>601+</t>
        </is>
      </c>
      <c r="AL1768" t="inlineStr">
        <is>
          <t>3.6</t>
        </is>
      </c>
      <c r="AM1768" t="inlineStr">
        <is>
          <t>601+</t>
        </is>
      </c>
      <c r="AN1768" t="inlineStr">
        <is>
          <t>4.0</t>
        </is>
      </c>
      <c r="AO1768" t="inlineStr">
        <is>
          <t>701+</t>
        </is>
      </c>
      <c r="AP1768" t="inlineStr">
        <is>
          <t>45.5</t>
        </is>
      </c>
      <c r="AQ1768" t="inlineStr">
        <is>
          <t>297</t>
        </is>
      </c>
      <c r="AR1768" t="inlineStr">
        <is>
          <t>6.4</t>
        </is>
      </c>
      <c r="AS1768" t="inlineStr">
        <is>
          <t>701+</t>
        </is>
      </c>
      <c r="AT1768" t="inlineStr">
        <is>
          <t>7.6</t>
        </is>
      </c>
      <c r="AU1768" t="inlineStr">
        <is>
          <t>701+</t>
        </is>
      </c>
      <c r="AV1768" t="inlineStr">
        <is>
          <t>37.6</t>
        </is>
      </c>
      <c r="AW1768" t="inlineStr">
        <is>
          <t>397</t>
        </is>
      </c>
      <c r="AX1768" t="inlineStr">
        <is>
          <t>12.9</t>
        </is>
      </c>
      <c r="AY1768" t="inlineStr">
        <is>
          <t>666</t>
        </is>
      </c>
      <c r="AZ1768" t="inlineStr">
        <is>
          <t>4</t>
        </is>
      </c>
      <c r="BA1768" t="inlineStr">
        <is>
          <t>701+</t>
        </is>
      </c>
    </row>
    <row r="1769">
      <c r="A1769" t="inlineStr">
        <is>
          <t>University of Tripoli</t>
        </is>
      </c>
      <c r="B1769" t="inlineStr">
        <is>
          <t>Libya</t>
        </is>
      </c>
      <c r="C1769" t="inlineStr"/>
      <c r="D1769" t="inlineStr">
        <is>
          <t>Africa</t>
        </is>
      </c>
      <c r="E1769" t="inlineStr">
        <is>
          <t>XL</t>
        </is>
      </c>
      <c r="F1769" t="inlineStr">
        <is>
          <t>FC</t>
        </is>
      </c>
      <c r="G1769" t="inlineStr">
        <is>
          <t>MD</t>
        </is>
      </c>
      <c r="H1769" t="inlineStr"/>
      <c r="I1769" t="inlineStr">
        <is>
          <t>Public</t>
        </is>
      </c>
      <c r="J1769" t="inlineStr">
        <is>
          <t>1401+</t>
        </is>
      </c>
      <c r="K1769" t="inlineStr"/>
      <c r="L1769" t="inlineStr"/>
      <c r="M1769" t="inlineStr"/>
      <c r="N1769" t="inlineStr">
        <is>
          <t>-</t>
        </is>
      </c>
      <c r="O1769" t="inlineStr"/>
      <c r="P1769" t="n">
        <v>6.8</v>
      </c>
      <c r="Q1769" t="inlineStr">
        <is>
          <t>701+</t>
        </is>
      </c>
      <c r="R1769" t="n">
        <v>12.8</v>
      </c>
      <c r="S1769" t="inlineStr">
        <is>
          <t>701+</t>
        </is>
      </c>
      <c r="T1769" t="n">
        <v>8.6</v>
      </c>
      <c r="U1769" t="inlineStr">
        <is>
          <t>801+</t>
        </is>
      </c>
      <c r="V1769" t="n">
        <v>1.3</v>
      </c>
      <c r="W1769" t="inlineStr">
        <is>
          <t>801+</t>
        </is>
      </c>
      <c r="X1769" t="n">
        <v>1.2</v>
      </c>
      <c r="Y1769" t="inlineStr">
        <is>
          <t>801+</t>
        </is>
      </c>
      <c r="Z1769" t="n">
        <v>3.4</v>
      </c>
      <c r="AA1769" t="inlineStr">
        <is>
          <t>801+</t>
        </is>
      </c>
      <c r="AB1769" t="n">
        <v>7.6</v>
      </c>
      <c r="AC1769" t="inlineStr">
        <is>
          <t>801+</t>
        </is>
      </c>
      <c r="AD1769" t="n">
        <v>30.6</v>
      </c>
      <c r="AE1769" t="inlineStr">
        <is>
          <t>801+</t>
        </is>
      </c>
      <c r="AF1769" t="n">
        <v>28.7</v>
      </c>
      <c r="AG1769" t="inlineStr">
        <is>
          <t>582</t>
        </is>
      </c>
      <c r="AH1769" t="n">
        <v>11.2</v>
      </c>
      <c r="AI1769" t="inlineStr">
        <is>
          <t>801+</t>
        </is>
      </c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</row>
    <row r="1770">
      <c r="A1770" t="inlineStr">
        <is>
          <t>University of Tromso, The Arctic University of Norway</t>
        </is>
      </c>
      <c r="B1770" t="inlineStr">
        <is>
          <t>Norway</t>
        </is>
      </c>
      <c r="C1770" t="inlineStr"/>
      <c r="D1770" t="inlineStr">
        <is>
          <t>Europe</t>
        </is>
      </c>
      <c r="E1770" t="inlineStr">
        <is>
          <t>L</t>
        </is>
      </c>
      <c r="F1770" t="inlineStr">
        <is>
          <t>FC</t>
        </is>
      </c>
      <c r="G1770" t="inlineStr">
        <is>
          <t>VH</t>
        </is>
      </c>
      <c r="H1770" t="inlineStr"/>
      <c r="I1770" t="inlineStr">
        <is>
          <t>Public</t>
        </is>
      </c>
      <c r="J1770" t="inlineStr">
        <is>
          <t>648</t>
        </is>
      </c>
      <c r="K1770" t="inlineStr">
        <is>
          <t>621-630</t>
        </is>
      </c>
      <c r="L1770" t="inlineStr"/>
      <c r="M1770" t="inlineStr"/>
      <c r="N1770" t="inlineStr">
        <is>
          <t>26.8</t>
        </is>
      </c>
      <c r="O1770" t="inlineStr"/>
      <c r="P1770" t="n">
        <v>15.5</v>
      </c>
      <c r="Q1770" t="inlineStr">
        <is>
          <t>701+</t>
        </is>
      </c>
      <c r="R1770" t="n">
        <v>7.9</v>
      </c>
      <c r="S1770" t="inlineStr">
        <is>
          <t>701+</t>
        </is>
      </c>
      <c r="T1770" t="n">
        <v>82.5</v>
      </c>
      <c r="U1770" t="inlineStr">
        <is>
          <t>154</t>
        </is>
      </c>
      <c r="V1770" t="n">
        <v>12</v>
      </c>
      <c r="W1770" t="inlineStr">
        <is>
          <t>801+</t>
        </is>
      </c>
      <c r="X1770" t="n">
        <v>75.90000000000001</v>
      </c>
      <c r="Y1770" t="inlineStr">
        <is>
          <t>313</t>
        </is>
      </c>
      <c r="Z1770" t="n">
        <v>12.9</v>
      </c>
      <c r="AA1770" t="inlineStr">
        <is>
          <t>801+</t>
        </is>
      </c>
      <c r="AB1770" t="n">
        <v>9.800000000000001</v>
      </c>
      <c r="AC1770" t="inlineStr">
        <is>
          <t>801+</t>
        </is>
      </c>
      <c r="AD1770" t="n">
        <v>80.8</v>
      </c>
      <c r="AE1770" t="inlineStr">
        <is>
          <t>334</t>
        </is>
      </c>
      <c r="AF1770" t="n">
        <v>9.300000000000001</v>
      </c>
      <c r="AG1770" t="inlineStr">
        <is>
          <t>801+</t>
        </is>
      </c>
      <c r="AH1770" t="n">
        <v>51.4</v>
      </c>
      <c r="AI1770" t="inlineStr">
        <is>
          <t>675=</t>
        </is>
      </c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</row>
    <row r="1771">
      <c r="A1771" t="inlineStr">
        <is>
          <t>University of Tromsø The Arctic University of Norway</t>
        </is>
      </c>
      <c r="B1771" t="inlineStr">
        <is>
          <t>Norway</t>
        </is>
      </c>
      <c r="C1771" t="inlineStr">
        <is>
          <t>NO</t>
        </is>
      </c>
      <c r="D1771" t="inlineStr"/>
      <c r="E1771" t="inlineStr">
        <is>
          <t>L</t>
        </is>
      </c>
      <c r="F1771" t="inlineStr">
        <is>
          <t>FC</t>
        </is>
      </c>
      <c r="G1771" t="inlineStr">
        <is>
          <t>HI</t>
        </is>
      </c>
      <c r="H1771" t="inlineStr">
        <is>
          <t>4</t>
        </is>
      </c>
      <c r="I1771" t="inlineStr">
        <is>
          <t>A</t>
        </is>
      </c>
      <c r="J1771" t="inlineStr"/>
      <c r="K1771" t="inlineStr"/>
      <c r="L1771">
        <f>577</f>
        <v/>
      </c>
      <c r="M1771" t="inlineStr">
        <is>
          <t>454=</t>
        </is>
      </c>
      <c r="N1771" t="inlineStr"/>
      <c r="O1771" t="inlineStr">
        <is>
          <t>20.5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>
        <is>
          <t>12.1</t>
        </is>
      </c>
      <c r="AK1771" t="inlineStr">
        <is>
          <t>601+</t>
        </is>
      </c>
      <c r="AL1771" t="inlineStr">
        <is>
          <t>3.7</t>
        </is>
      </c>
      <c r="AM1771" t="inlineStr">
        <is>
          <t>601+</t>
        </is>
      </c>
      <c r="AN1771" t="inlineStr">
        <is>
          <t>70.5</t>
        </is>
      </c>
      <c r="AO1771" t="inlineStr">
        <is>
          <t>182</t>
        </is>
      </c>
      <c r="AP1771" t="inlineStr">
        <is>
          <t>8.9</t>
        </is>
      </c>
      <c r="AQ1771" t="inlineStr">
        <is>
          <t>701+</t>
        </is>
      </c>
      <c r="AR1771" t="inlineStr">
        <is>
          <t>70.4</t>
        </is>
      </c>
      <c r="AS1771" t="inlineStr">
        <is>
          <t>273</t>
        </is>
      </c>
      <c r="AT1771" t="inlineStr">
        <is>
          <t>7.7</t>
        </is>
      </c>
      <c r="AU1771" t="inlineStr">
        <is>
          <t>701+</t>
        </is>
      </c>
      <c r="AV1771" t="inlineStr">
        <is>
          <t>42.5</t>
        </is>
      </c>
      <c r="AW1771" t="inlineStr">
        <is>
          <t>360</t>
        </is>
      </c>
      <c r="AX1771" t="inlineStr">
        <is>
          <t>9.6</t>
        </is>
      </c>
      <c r="AY1771" t="inlineStr">
        <is>
          <t>701+</t>
        </is>
      </c>
      <c r="AZ1771" t="inlineStr">
        <is>
          <t>21.8</t>
        </is>
      </c>
      <c r="BA1771" t="inlineStr">
        <is>
          <t>524=</t>
        </is>
      </c>
    </row>
    <row r="1772">
      <c r="A1772" t="inlineStr">
        <is>
          <t>University of Tsukuba</t>
        </is>
      </c>
      <c r="B1772" t="inlineStr">
        <is>
          <t>Japan</t>
        </is>
      </c>
      <c r="C1772" t="inlineStr">
        <is>
          <t>JP</t>
        </is>
      </c>
      <c r="D1772" t="inlineStr">
        <is>
          <t>Asia</t>
        </is>
      </c>
      <c r="E1772" t="inlineStr">
        <is>
          <t>L</t>
        </is>
      </c>
      <c r="F1772" t="inlineStr">
        <is>
          <t>FC</t>
        </is>
      </c>
      <c r="G1772" t="inlineStr">
        <is>
          <t>VH</t>
        </is>
      </c>
      <c r="H1772" t="inlineStr">
        <is>
          <t>4</t>
        </is>
      </c>
      <c r="I1772" t="inlineStr">
        <is>
          <t>Public</t>
        </is>
      </c>
      <c r="J1772" t="inlineStr">
        <is>
          <t>350</t>
        </is>
      </c>
      <c r="K1772" t="inlineStr">
        <is>
          <t>377</t>
        </is>
      </c>
      <c r="L1772">
        <f>355</f>
        <v/>
      </c>
      <c r="M1772" t="inlineStr">
        <is>
          <t>312=</t>
        </is>
      </c>
      <c r="N1772" t="inlineStr">
        <is>
          <t>41.5</t>
        </is>
      </c>
      <c r="O1772" t="inlineStr">
        <is>
          <t>30.9</t>
        </is>
      </c>
      <c r="P1772" t="n">
        <v>49.9</v>
      </c>
      <c r="Q1772" t="inlineStr">
        <is>
          <t>225</t>
        </is>
      </c>
      <c r="R1772" t="n">
        <v>32.9</v>
      </c>
      <c r="S1772" t="inlineStr">
        <is>
          <t>436</t>
        </is>
      </c>
      <c r="T1772" t="n">
        <v>58.9</v>
      </c>
      <c r="U1772" t="inlineStr">
        <is>
          <t>307</t>
        </is>
      </c>
      <c r="V1772" t="n">
        <v>30</v>
      </c>
      <c r="W1772" t="inlineStr">
        <is>
          <t>588</t>
        </is>
      </c>
      <c r="X1772" t="n">
        <v>18.1</v>
      </c>
      <c r="Y1772" t="inlineStr">
        <is>
          <t>742</t>
        </is>
      </c>
      <c r="Z1772" t="n">
        <v>31.1</v>
      </c>
      <c r="AA1772" t="inlineStr">
        <is>
          <t>577</t>
        </is>
      </c>
      <c r="AB1772" t="n">
        <v>37</v>
      </c>
      <c r="AC1772" t="inlineStr">
        <is>
          <t>526</t>
        </is>
      </c>
      <c r="AD1772" t="n">
        <v>68.40000000000001</v>
      </c>
      <c r="AE1772" t="inlineStr">
        <is>
          <t>561</t>
        </is>
      </c>
      <c r="AF1772" t="n">
        <v>18.1</v>
      </c>
      <c r="AG1772" t="inlineStr">
        <is>
          <t>757</t>
        </is>
      </c>
      <c r="AH1772" t="n">
        <v>73.40000000000001</v>
      </c>
      <c r="AI1772" t="inlineStr">
        <is>
          <t>267=</t>
        </is>
      </c>
      <c r="AJ1772" t="inlineStr">
        <is>
          <t>35.8</t>
        </is>
      </c>
      <c r="AK1772" t="inlineStr">
        <is>
          <t>242</t>
        </is>
      </c>
      <c r="AL1772" t="inlineStr">
        <is>
          <t>24.0</t>
        </is>
      </c>
      <c r="AM1772" t="inlineStr">
        <is>
          <t>402</t>
        </is>
      </c>
      <c r="AN1772" t="inlineStr">
        <is>
          <t>59.0</t>
        </is>
      </c>
      <c r="AO1772" t="inlineStr">
        <is>
          <t>243</t>
        </is>
      </c>
      <c r="AP1772" t="inlineStr">
        <is>
          <t>19.0</t>
        </is>
      </c>
      <c r="AQ1772" t="inlineStr">
        <is>
          <t>569</t>
        </is>
      </c>
      <c r="AR1772" t="inlineStr">
        <is>
          <t>13.8</t>
        </is>
      </c>
      <c r="AS1772" t="inlineStr">
        <is>
          <t>691</t>
        </is>
      </c>
      <c r="AT1772" t="inlineStr">
        <is>
          <t>21.2</t>
        </is>
      </c>
      <c r="AU1772" t="inlineStr">
        <is>
          <t>529</t>
        </is>
      </c>
      <c r="AV1772" t="inlineStr">
        <is>
          <t>31.7</t>
        </is>
      </c>
      <c r="AW1772" t="inlineStr">
        <is>
          <t>450</t>
        </is>
      </c>
      <c r="AX1772" t="inlineStr">
        <is>
          <t>11.5</t>
        </is>
      </c>
      <c r="AY1772" t="inlineStr">
        <is>
          <t>701+</t>
        </is>
      </c>
      <c r="AZ1772" t="inlineStr">
        <is>
          <t>57.7</t>
        </is>
      </c>
      <c r="BA1772" t="inlineStr">
        <is>
          <t>259=</t>
        </is>
      </c>
    </row>
    <row r="1773">
      <c r="A1773" t="inlineStr">
        <is>
          <t>University of Tulsa</t>
        </is>
      </c>
      <c r="B1773" t="inlineStr">
        <is>
          <t>United States</t>
        </is>
      </c>
      <c r="C1773" t="inlineStr">
        <is>
          <t>US</t>
        </is>
      </c>
      <c r="D1773" t="inlineStr">
        <is>
          <t>Americas</t>
        </is>
      </c>
      <c r="E1773" t="inlineStr">
        <is>
          <t>S</t>
        </is>
      </c>
      <c r="F1773" t="inlineStr">
        <is>
          <t>CO</t>
        </is>
      </c>
      <c r="G1773" t="inlineStr">
        <is>
          <t>VH</t>
        </is>
      </c>
      <c r="H1773" t="inlineStr">
        <is>
          <t>5</t>
        </is>
      </c>
      <c r="I1773" t="inlineStr">
        <is>
          <t>Private not for Profit</t>
        </is>
      </c>
      <c r="J1773" t="inlineStr">
        <is>
          <t>1001-1200</t>
        </is>
      </c>
      <c r="K1773" t="inlineStr">
        <is>
          <t>1001-1200</t>
        </is>
      </c>
      <c r="L1773" t="inlineStr">
        <is>
          <t>1001-1200</t>
        </is>
      </c>
      <c r="M1773" t="inlineStr">
        <is>
          <t>801-1000</t>
        </is>
      </c>
      <c r="N1773" t="inlineStr">
        <is>
          <t>-</t>
        </is>
      </c>
      <c r="O1773" t="inlineStr">
        <is>
          <t>-</t>
        </is>
      </c>
      <c r="P1773" t="n">
        <v>2.8</v>
      </c>
      <c r="Q1773" t="inlineStr">
        <is>
          <t>701+</t>
        </is>
      </c>
      <c r="R1773" t="n">
        <v>5.3</v>
      </c>
      <c r="S1773" t="inlineStr">
        <is>
          <t>701+</t>
        </is>
      </c>
      <c r="T1773" t="n">
        <v>49.8</v>
      </c>
      <c r="U1773" t="inlineStr">
        <is>
          <t>387</t>
        </is>
      </c>
      <c r="V1773" t="n">
        <v>15.1</v>
      </c>
      <c r="W1773" t="inlineStr">
        <is>
          <t>801+</t>
        </is>
      </c>
      <c r="X1773" t="n">
        <v>20.7</v>
      </c>
      <c r="Y1773" t="inlineStr">
        <is>
          <t>699</t>
        </is>
      </c>
      <c r="Z1773" t="n">
        <v>39.7</v>
      </c>
      <c r="AA1773" t="inlineStr">
        <is>
          <t>493</t>
        </is>
      </c>
      <c r="AB1773" t="n">
        <v>45.2</v>
      </c>
      <c r="AC1773" t="inlineStr">
        <is>
          <t>461</t>
        </is>
      </c>
      <c r="AD1773" t="n">
        <v>22.2</v>
      </c>
      <c r="AE1773" t="inlineStr">
        <is>
          <t>801+</t>
        </is>
      </c>
      <c r="AF1773" t="n">
        <v>22.5</v>
      </c>
      <c r="AG1773" t="inlineStr">
        <is>
          <t>682</t>
        </is>
      </c>
      <c r="AH1773" t="n">
        <v>46.7</v>
      </c>
      <c r="AI1773" t="inlineStr">
        <is>
          <t>799=</t>
        </is>
      </c>
      <c r="AJ1773" t="inlineStr">
        <is>
          <t>2.4</t>
        </is>
      </c>
      <c r="AK1773" t="inlineStr">
        <is>
          <t>601+</t>
        </is>
      </c>
      <c r="AL1773" t="inlineStr">
        <is>
          <t>3.0</t>
        </is>
      </c>
      <c r="AM1773" t="inlineStr">
        <is>
          <t>601+</t>
        </is>
      </c>
      <c r="AN1773" t="inlineStr">
        <is>
          <t>37.8</t>
        </is>
      </c>
      <c r="AO1773" t="inlineStr">
        <is>
          <t>417</t>
        </is>
      </c>
      <c r="AP1773" t="inlineStr">
        <is>
          <t>12.3</t>
        </is>
      </c>
      <c r="AQ1773" t="inlineStr">
        <is>
          <t>692</t>
        </is>
      </c>
      <c r="AR1773" t="inlineStr">
        <is>
          <t>5.1</t>
        </is>
      </c>
      <c r="AS1773" t="inlineStr">
        <is>
          <t>701+</t>
        </is>
      </c>
      <c r="AT1773" t="inlineStr">
        <is>
          <t>12.2</t>
        </is>
      </c>
      <c r="AU1773" t="inlineStr">
        <is>
          <t>675</t>
        </is>
      </c>
      <c r="AV1773" t="inlineStr">
        <is>
          <t>1.0</t>
        </is>
      </c>
      <c r="AW1773" t="inlineStr">
        <is>
          <t>701+</t>
        </is>
      </c>
      <c r="AX1773" t="inlineStr">
        <is>
          <t>15.4</t>
        </is>
      </c>
      <c r="AY1773" t="inlineStr">
        <is>
          <t>543</t>
        </is>
      </c>
      <c r="AZ1773" t="inlineStr">
        <is>
          <t>1.1</t>
        </is>
      </c>
      <c r="BA1773" t="inlineStr">
        <is>
          <t>701+</t>
        </is>
      </c>
    </row>
    <row r="1774">
      <c r="A1774" t="inlineStr">
        <is>
          <t>University of Turin</t>
        </is>
      </c>
      <c r="B1774" t="inlineStr">
        <is>
          <t>Italy</t>
        </is>
      </c>
      <c r="C1774" t="inlineStr">
        <is>
          <t>IT</t>
        </is>
      </c>
      <c r="D1774" t="inlineStr">
        <is>
          <t>Europe</t>
        </is>
      </c>
      <c r="E1774" t="inlineStr">
        <is>
          <t>XL</t>
        </is>
      </c>
      <c r="F1774" t="inlineStr">
        <is>
          <t>FC</t>
        </is>
      </c>
      <c r="G1774" t="inlineStr">
        <is>
          <t>VH</t>
        </is>
      </c>
      <c r="H1774" t="inlineStr">
        <is>
          <t>5</t>
        </is>
      </c>
      <c r="I1774" t="inlineStr">
        <is>
          <t>Public</t>
        </is>
      </c>
      <c r="J1774" t="inlineStr">
        <is>
          <t>408</t>
        </is>
      </c>
      <c r="K1774" t="inlineStr">
        <is>
          <t>371</t>
        </is>
      </c>
      <c r="L1774">
        <f>364</f>
        <v/>
      </c>
      <c r="M1774" t="inlineStr">
        <is>
          <t>475=</t>
        </is>
      </c>
      <c r="N1774" t="inlineStr">
        <is>
          <t>36.9</t>
        </is>
      </c>
      <c r="O1774" t="inlineStr">
        <is>
          <t>30.3</t>
        </is>
      </c>
      <c r="P1774" t="n">
        <v>48.1</v>
      </c>
      <c r="Q1774" t="inlineStr">
        <is>
          <t>237</t>
        </is>
      </c>
      <c r="R1774" t="n">
        <v>14.3</v>
      </c>
      <c r="S1774" t="inlineStr">
        <is>
          <t>701+</t>
        </is>
      </c>
      <c r="T1774" t="n">
        <v>5.1</v>
      </c>
      <c r="U1774" t="inlineStr">
        <is>
          <t>801+</t>
        </is>
      </c>
      <c r="V1774" t="n">
        <v>42.5</v>
      </c>
      <c r="W1774" t="inlineStr">
        <is>
          <t>447</t>
        </is>
      </c>
      <c r="X1774" t="n">
        <v>5.2</v>
      </c>
      <c r="Y1774" t="inlineStr">
        <is>
          <t>801+</t>
        </is>
      </c>
      <c r="Z1774" t="n">
        <v>10.1</v>
      </c>
      <c r="AA1774" t="inlineStr">
        <is>
          <t>801+</t>
        </is>
      </c>
      <c r="AB1774" t="n">
        <v>16</v>
      </c>
      <c r="AC1774" t="inlineStr">
        <is>
          <t>801+</t>
        </is>
      </c>
      <c r="AD1774" t="n">
        <v>90</v>
      </c>
      <c r="AE1774" t="inlineStr">
        <is>
          <t>175</t>
        </is>
      </c>
      <c r="AF1774" t="n">
        <v>61.4</v>
      </c>
      <c r="AG1774" t="inlineStr">
        <is>
          <t>257</t>
        </is>
      </c>
      <c r="AH1774" t="n">
        <v>78.7</v>
      </c>
      <c r="AI1774" t="inlineStr">
        <is>
          <t>188=</t>
        </is>
      </c>
      <c r="AJ1774" t="inlineStr">
        <is>
          <t>39.8</t>
        </is>
      </c>
      <c r="AK1774" t="inlineStr">
        <is>
          <t>213</t>
        </is>
      </c>
      <c r="AL1774" t="inlineStr">
        <is>
          <t>5.7</t>
        </is>
      </c>
      <c r="AM1774" t="inlineStr">
        <is>
          <t>601+</t>
        </is>
      </c>
      <c r="AN1774" t="inlineStr">
        <is>
          <t>2.9</t>
        </is>
      </c>
      <c r="AO1774" t="inlineStr">
        <is>
          <t>701+</t>
        </is>
      </c>
      <c r="AP1774" t="inlineStr">
        <is>
          <t>36.8</t>
        </is>
      </c>
      <c r="AQ1774" t="inlineStr">
        <is>
          <t>380</t>
        </is>
      </c>
      <c r="AR1774" t="inlineStr">
        <is>
          <t>4.6</t>
        </is>
      </c>
      <c r="AS1774" t="inlineStr">
        <is>
          <t>701+</t>
        </is>
      </c>
      <c r="AT1774" t="inlineStr">
        <is>
          <t>5.4</t>
        </is>
      </c>
      <c r="AU1774" t="inlineStr">
        <is>
          <t>701+</t>
        </is>
      </c>
      <c r="AV1774" t="inlineStr">
        <is>
          <t>69.4</t>
        </is>
      </c>
      <c r="AW1774" t="inlineStr">
        <is>
          <t>199</t>
        </is>
      </c>
      <c r="AX1774" t="inlineStr">
        <is>
          <t>32.5</t>
        </is>
      </c>
      <c r="AY1774" t="inlineStr">
        <is>
          <t>236</t>
        </is>
      </c>
      <c r="AZ1774" t="inlineStr">
        <is>
          <t>84.3</t>
        </is>
      </c>
      <c r="BA1774" t="inlineStr">
        <is>
          <t>123=</t>
        </is>
      </c>
    </row>
    <row r="1775">
      <c r="A1775" t="inlineStr">
        <is>
          <t>University of Turku</t>
        </is>
      </c>
      <c r="B1775" t="inlineStr">
        <is>
          <t>Finland</t>
        </is>
      </c>
      <c r="C1775" t="inlineStr">
        <is>
          <t>FI</t>
        </is>
      </c>
      <c r="D1775" t="inlineStr">
        <is>
          <t>Europe</t>
        </is>
      </c>
      <c r="E1775" t="inlineStr">
        <is>
          <t>L</t>
        </is>
      </c>
      <c r="F1775" t="inlineStr">
        <is>
          <t>FC</t>
        </is>
      </c>
      <c r="G1775" t="inlineStr">
        <is>
          <t>VH</t>
        </is>
      </c>
      <c r="H1775" t="inlineStr">
        <is>
          <t>5</t>
        </is>
      </c>
      <c r="I1775" t="inlineStr">
        <is>
          <t>Public</t>
        </is>
      </c>
      <c r="J1775" t="inlineStr">
        <is>
          <t>366</t>
        </is>
      </c>
      <c r="K1775" t="inlineStr">
        <is>
          <t>375</t>
        </is>
      </c>
      <c r="L1775">
        <f>315</f>
        <v/>
      </c>
      <c r="M1775" t="inlineStr">
        <is>
          <t>291</t>
        </is>
      </c>
      <c r="N1775" t="inlineStr">
        <is>
          <t>40.6</t>
        </is>
      </c>
      <c r="O1775" t="inlineStr">
        <is>
          <t>33.4</t>
        </is>
      </c>
      <c r="P1775" t="n">
        <v>36.3</v>
      </c>
      <c r="Q1775" t="inlineStr">
        <is>
          <t>334</t>
        </is>
      </c>
      <c r="R1775" t="n">
        <v>20.2</v>
      </c>
      <c r="S1775" t="inlineStr">
        <is>
          <t>651</t>
        </is>
      </c>
      <c r="T1775" t="n">
        <v>63.2</v>
      </c>
      <c r="U1775" t="inlineStr">
        <is>
          <t>279</t>
        </is>
      </c>
      <c r="V1775" t="n">
        <v>39.6</v>
      </c>
      <c r="W1775" t="inlineStr">
        <is>
          <t>476</t>
        </is>
      </c>
      <c r="X1775" t="n">
        <v>46.2</v>
      </c>
      <c r="Y1775" t="inlineStr">
        <is>
          <t>462</t>
        </is>
      </c>
      <c r="Z1775" t="n">
        <v>8.9</v>
      </c>
      <c r="AA1775" t="inlineStr">
        <is>
          <t>801+</t>
        </is>
      </c>
      <c r="AB1775" t="n">
        <v>14.7</v>
      </c>
      <c r="AC1775" t="inlineStr">
        <is>
          <t>801+</t>
        </is>
      </c>
      <c r="AD1775" t="n">
        <v>89.2</v>
      </c>
      <c r="AE1775" t="inlineStr">
        <is>
          <t>184</t>
        </is>
      </c>
      <c r="AF1775" t="n">
        <v>46.1</v>
      </c>
      <c r="AG1775" t="inlineStr">
        <is>
          <t>378</t>
        </is>
      </c>
      <c r="AH1775" t="n">
        <v>74.40000000000001</v>
      </c>
      <c r="AI1775" t="inlineStr">
        <is>
          <t>250=</t>
        </is>
      </c>
      <c r="AJ1775" t="inlineStr">
        <is>
          <t>28.3</t>
        </is>
      </c>
      <c r="AK1775" t="inlineStr">
        <is>
          <t>311</t>
        </is>
      </c>
      <c r="AL1775" t="inlineStr">
        <is>
          <t>21.1</t>
        </is>
      </c>
      <c r="AM1775" t="inlineStr">
        <is>
          <t>440</t>
        </is>
      </c>
      <c r="AN1775" t="inlineStr">
        <is>
          <t>52.3</t>
        </is>
      </c>
      <c r="AO1775" t="inlineStr">
        <is>
          <t>302</t>
        </is>
      </c>
      <c r="AP1775" t="inlineStr">
        <is>
          <t>32.4</t>
        </is>
      </c>
      <c r="AQ1775" t="inlineStr">
        <is>
          <t>417</t>
        </is>
      </c>
      <c r="AR1775" t="inlineStr">
        <is>
          <t>27.2</t>
        </is>
      </c>
      <c r="AS1775" t="inlineStr">
        <is>
          <t>505</t>
        </is>
      </c>
      <c r="AT1775" t="inlineStr">
        <is>
          <t>4.3</t>
        </is>
      </c>
      <c r="AU1775" t="inlineStr">
        <is>
          <t>701+</t>
        </is>
      </c>
      <c r="AV1775" t="inlineStr">
        <is>
          <t>62.9</t>
        </is>
      </c>
      <c r="AW1775" t="inlineStr">
        <is>
          <t>227</t>
        </is>
      </c>
      <c r="AX1775" t="inlineStr">
        <is>
          <t>27.8</t>
        </is>
      </c>
      <c r="AY1775" t="inlineStr">
        <is>
          <t>291</t>
        </is>
      </c>
      <c r="AZ1775" t="inlineStr">
        <is>
          <t>77.7</t>
        </is>
      </c>
      <c r="BA1775" t="inlineStr">
        <is>
          <t>163=</t>
        </is>
      </c>
    </row>
    <row r="1776">
      <c r="A1776" t="inlineStr">
        <is>
          <t>University of Twente</t>
        </is>
      </c>
      <c r="B1776" t="inlineStr">
        <is>
          <t>Netherlands</t>
        </is>
      </c>
      <c r="C1776" t="inlineStr">
        <is>
          <t>NL</t>
        </is>
      </c>
      <c r="D1776" t="inlineStr">
        <is>
          <t>Europe</t>
        </is>
      </c>
      <c r="E1776" t="inlineStr">
        <is>
          <t>M</t>
        </is>
      </c>
      <c r="F1776" t="inlineStr">
        <is>
          <t>CO</t>
        </is>
      </c>
      <c r="G1776" t="inlineStr">
        <is>
          <t>VH</t>
        </is>
      </c>
      <c r="H1776" t="inlineStr">
        <is>
          <t>4</t>
        </is>
      </c>
      <c r="I1776" t="inlineStr">
        <is>
          <t>Public</t>
        </is>
      </c>
      <c r="J1776" t="inlineStr">
        <is>
          <t>203</t>
        </is>
      </c>
      <c r="K1776" t="inlineStr">
        <is>
          <t>233</t>
        </is>
      </c>
      <c r="L1776" t="inlineStr">
        <is>
          <t>210</t>
        </is>
      </c>
      <c r="M1776" t="inlineStr">
        <is>
          <t>212=</t>
        </is>
      </c>
      <c r="N1776" t="inlineStr">
        <is>
          <t>55.2</t>
        </is>
      </c>
      <c r="O1776" t="inlineStr">
        <is>
          <t>44.4</t>
        </is>
      </c>
      <c r="P1776" t="n">
        <v>29.3</v>
      </c>
      <c r="Q1776" t="inlineStr">
        <is>
          <t>422</t>
        </is>
      </c>
      <c r="R1776" t="n">
        <v>40.5</v>
      </c>
      <c r="S1776" t="inlineStr">
        <is>
          <t>333</t>
        </is>
      </c>
      <c r="T1776" t="n">
        <v>56</v>
      </c>
      <c r="U1776" t="inlineStr">
        <is>
          <t>333</t>
        </is>
      </c>
      <c r="V1776" t="n">
        <v>77</v>
      </c>
      <c r="W1776" t="inlineStr">
        <is>
          <t>169</t>
        </is>
      </c>
      <c r="X1776" t="n">
        <v>100</v>
      </c>
      <c r="Y1776" t="inlineStr">
        <is>
          <t>93</t>
        </is>
      </c>
      <c r="Z1776" t="n">
        <v>95.2</v>
      </c>
      <c r="AA1776" t="inlineStr">
        <is>
          <t>124</t>
        </is>
      </c>
      <c r="AB1776" t="n">
        <v>70.8</v>
      </c>
      <c r="AC1776" t="inlineStr">
        <is>
          <t>264</t>
        </is>
      </c>
      <c r="AD1776" t="n">
        <v>85.40000000000001</v>
      </c>
      <c r="AE1776" t="inlineStr">
        <is>
          <t>248</t>
        </is>
      </c>
      <c r="AF1776" t="n">
        <v>32.6</v>
      </c>
      <c r="AG1776" t="inlineStr">
        <is>
          <t>519</t>
        </is>
      </c>
      <c r="AH1776" t="n">
        <v>79.59999999999999</v>
      </c>
      <c r="AI1776" t="inlineStr">
        <is>
          <t>179</t>
        </is>
      </c>
      <c r="AJ1776" t="inlineStr">
        <is>
          <t>20.6</t>
        </is>
      </c>
      <c r="AK1776" t="inlineStr">
        <is>
          <t>422</t>
        </is>
      </c>
      <c r="AL1776" t="inlineStr">
        <is>
          <t>38.3</t>
        </is>
      </c>
      <c r="AM1776" t="inlineStr">
        <is>
          <t>254</t>
        </is>
      </c>
      <c r="AN1776" t="inlineStr">
        <is>
          <t>39.4</t>
        </is>
      </c>
      <c r="AO1776" t="inlineStr">
        <is>
          <t>404</t>
        </is>
      </c>
      <c r="AP1776" t="inlineStr">
        <is>
          <t>65.3</t>
        </is>
      </c>
      <c r="AQ1776" t="inlineStr">
        <is>
          <t>171</t>
        </is>
      </c>
      <c r="AR1776" t="inlineStr">
        <is>
          <t>99.3</t>
        </is>
      </c>
      <c r="AS1776" t="inlineStr">
        <is>
          <t>94</t>
        </is>
      </c>
      <c r="AT1776" t="inlineStr">
        <is>
          <t>91.1</t>
        </is>
      </c>
      <c r="AU1776" t="inlineStr">
        <is>
          <t>112</t>
        </is>
      </c>
      <c r="AV1776" t="inlineStr">
        <is>
          <t>67.6</t>
        </is>
      </c>
      <c r="AW1776" t="inlineStr">
        <is>
          <t>208</t>
        </is>
      </c>
      <c r="AX1776" t="inlineStr">
        <is>
          <t>12.6</t>
        </is>
      </c>
      <c r="AY1776" t="inlineStr">
        <is>
          <t>687</t>
        </is>
      </c>
      <c r="AZ1776" t="inlineStr">
        <is>
          <t>33.2</t>
        </is>
      </c>
      <c r="BA1776" t="inlineStr">
        <is>
          <t>416=</t>
        </is>
      </c>
    </row>
    <row r="1777">
      <c r="A1777" t="inlineStr">
        <is>
          <t>University of Tyumen</t>
        </is>
      </c>
      <c r="B1777" t="inlineStr">
        <is>
          <t>Russia</t>
        </is>
      </c>
      <c r="C1777" t="inlineStr">
        <is>
          <t>RU</t>
        </is>
      </c>
      <c r="D1777" t="inlineStr">
        <is>
          <t>Europe</t>
        </is>
      </c>
      <c r="E1777" t="inlineStr">
        <is>
          <t>M</t>
        </is>
      </c>
      <c r="F1777" t="inlineStr">
        <is>
          <t>CO</t>
        </is>
      </c>
      <c r="G1777" t="inlineStr">
        <is>
          <t>VH</t>
        </is>
      </c>
      <c r="H1777" t="inlineStr">
        <is>
          <t>4</t>
        </is>
      </c>
      <c r="I1777" t="inlineStr">
        <is>
          <t>Public</t>
        </is>
      </c>
      <c r="J1777" t="inlineStr">
        <is>
          <t>1201-1400</t>
        </is>
      </c>
      <c r="K1777" t="inlineStr">
        <is>
          <t>1201-1400</t>
        </is>
      </c>
      <c r="L1777" t="inlineStr">
        <is>
          <t>1001-1200</t>
        </is>
      </c>
      <c r="M1777" t="inlineStr">
        <is>
          <t>801-1000</t>
        </is>
      </c>
      <c r="N1777" t="inlineStr">
        <is>
          <t>-</t>
        </is>
      </c>
      <c r="O1777" t="inlineStr">
        <is>
          <t>-</t>
        </is>
      </c>
      <c r="P1777" t="n">
        <v>2.7</v>
      </c>
      <c r="Q1777" t="inlineStr">
        <is>
          <t>701+</t>
        </is>
      </c>
      <c r="R1777" t="n">
        <v>3.4</v>
      </c>
      <c r="S1777" t="inlineStr">
        <is>
          <t>701+</t>
        </is>
      </c>
      <c r="T1777" t="n">
        <v>44</v>
      </c>
      <c r="U1777" t="inlineStr">
        <is>
          <t>451</t>
        </is>
      </c>
      <c r="V1777" t="n">
        <v>2.6</v>
      </c>
      <c r="W1777" t="inlineStr">
        <is>
          <t>801+</t>
        </is>
      </c>
      <c r="X1777" t="n">
        <v>6</v>
      </c>
      <c r="Y1777" t="inlineStr">
        <is>
          <t>801+</t>
        </is>
      </c>
      <c r="Z1777" t="n">
        <v>23.2</v>
      </c>
      <c r="AA1777" t="inlineStr">
        <is>
          <t>687</t>
        </is>
      </c>
      <c r="AB1777" t="n">
        <v>25</v>
      </c>
      <c r="AC1777" t="inlineStr">
        <is>
          <t>685</t>
        </is>
      </c>
      <c r="AD1777" t="n">
        <v>25.1</v>
      </c>
      <c r="AE1777" t="inlineStr">
        <is>
          <t>801+</t>
        </is>
      </c>
      <c r="AF1777" t="n">
        <v>5.7</v>
      </c>
      <c r="AG1777" t="inlineStr">
        <is>
          <t>801+</t>
        </is>
      </c>
      <c r="AH1777" t="n">
        <v>30.3</v>
      </c>
      <c r="AI1777" t="inlineStr">
        <is>
          <t>801+</t>
        </is>
      </c>
      <c r="AJ1777" t="inlineStr">
        <is>
          <t>4.1</t>
        </is>
      </c>
      <c r="AK1777" t="inlineStr">
        <is>
          <t>601+</t>
        </is>
      </c>
      <c r="AL1777" t="inlineStr">
        <is>
          <t>2.3</t>
        </is>
      </c>
      <c r="AM1777" t="inlineStr">
        <is>
          <t>601+</t>
        </is>
      </c>
      <c r="AN1777" t="inlineStr">
        <is>
          <t>39.0</t>
        </is>
      </c>
      <c r="AO1777" t="inlineStr">
        <is>
          <t>407</t>
        </is>
      </c>
      <c r="AP1777" t="inlineStr">
        <is>
          <t>1.6</t>
        </is>
      </c>
      <c r="AQ1777" t="inlineStr">
        <is>
          <t>701+</t>
        </is>
      </c>
      <c r="AR1777" t="inlineStr">
        <is>
          <t>4.8</t>
        </is>
      </c>
      <c r="AS1777" t="inlineStr">
        <is>
          <t>701+</t>
        </is>
      </c>
      <c r="AT1777" t="inlineStr">
        <is>
          <t>15.2</t>
        </is>
      </c>
      <c r="AU1777" t="inlineStr">
        <is>
          <t>616</t>
        </is>
      </c>
      <c r="AV1777" t="inlineStr">
        <is>
          <t>1.7</t>
        </is>
      </c>
      <c r="AW1777" t="inlineStr">
        <is>
          <t>701+</t>
        </is>
      </c>
      <c r="AX1777" t="inlineStr">
        <is>
          <t>8.7</t>
        </is>
      </c>
      <c r="AY1777" t="inlineStr">
        <is>
          <t>701+</t>
        </is>
      </c>
      <c r="AZ1777" t="inlineStr">
        <is>
          <t>3</t>
        </is>
      </c>
      <c r="BA1777" t="inlineStr">
        <is>
          <t>701+</t>
        </is>
      </c>
    </row>
    <row r="1778">
      <c r="A1778" t="inlineStr">
        <is>
          <t>University of Ulsan</t>
        </is>
      </c>
      <c r="B1778" t="inlineStr">
        <is>
          <t>Republic of Korea</t>
        </is>
      </c>
      <c r="C1778" t="inlineStr"/>
      <c r="D1778" t="inlineStr">
        <is>
          <t>Asia</t>
        </is>
      </c>
      <c r="E1778" t="inlineStr">
        <is>
          <t>L</t>
        </is>
      </c>
      <c r="F1778" t="inlineStr">
        <is>
          <t>FC</t>
        </is>
      </c>
      <c r="G1778" t="inlineStr">
        <is>
          <t>VH</t>
        </is>
      </c>
      <c r="H1778" t="inlineStr"/>
      <c r="I1778" t="inlineStr">
        <is>
          <t>Private not for Profit</t>
        </is>
      </c>
      <c r="J1778" t="inlineStr">
        <is>
          <t>801-850</t>
        </is>
      </c>
      <c r="K1778" t="inlineStr">
        <is>
          <t>801-850</t>
        </is>
      </c>
      <c r="L1778" t="inlineStr"/>
      <c r="M1778" t="inlineStr"/>
      <c r="N1778" t="inlineStr">
        <is>
          <t>-</t>
        </is>
      </c>
      <c r="O1778" t="inlineStr"/>
      <c r="P1778" t="n">
        <v>6</v>
      </c>
      <c r="Q1778" t="inlineStr">
        <is>
          <t>701+</t>
        </is>
      </c>
      <c r="R1778" t="n">
        <v>3.8</v>
      </c>
      <c r="S1778" t="inlineStr">
        <is>
          <t>701+</t>
        </is>
      </c>
      <c r="T1778" t="n">
        <v>60.2</v>
      </c>
      <c r="U1778" t="inlineStr">
        <is>
          <t>300</t>
        </is>
      </c>
      <c r="V1778" t="n">
        <v>50.1</v>
      </c>
      <c r="W1778" t="inlineStr">
        <is>
          <t>374</t>
        </is>
      </c>
      <c r="X1778" t="n">
        <v>2.7</v>
      </c>
      <c r="Y1778" t="inlineStr">
        <is>
          <t>801+</t>
        </is>
      </c>
      <c r="Z1778" t="n">
        <v>3.6</v>
      </c>
      <c r="AA1778" t="inlineStr">
        <is>
          <t>801+</t>
        </is>
      </c>
      <c r="AB1778" t="n">
        <v>7.9</v>
      </c>
      <c r="AC1778" t="inlineStr">
        <is>
          <t>801+</t>
        </is>
      </c>
      <c r="AD1778" t="n">
        <v>29.1</v>
      </c>
      <c r="AE1778" t="inlineStr">
        <is>
          <t>801+</t>
        </is>
      </c>
      <c r="AF1778" t="n">
        <v>6.4</v>
      </c>
      <c r="AG1778" t="inlineStr">
        <is>
          <t>801+</t>
        </is>
      </c>
      <c r="AH1778" t="n">
        <v>44.2</v>
      </c>
      <c r="AI1778" t="inlineStr">
        <is>
          <t>801+</t>
        </is>
      </c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</row>
    <row r="1779">
      <c r="A1779" t="inlineStr">
        <is>
          <t xml:space="preserve">University of Ulsan </t>
        </is>
      </c>
      <c r="B1779" t="inlineStr">
        <is>
          <t>South Korea</t>
        </is>
      </c>
      <c r="C1779" t="inlineStr">
        <is>
          <t>KR</t>
        </is>
      </c>
      <c r="D1779" t="inlineStr"/>
      <c r="E1779" t="inlineStr">
        <is>
          <t>L</t>
        </is>
      </c>
      <c r="F1779" t="inlineStr">
        <is>
          <t>FC</t>
        </is>
      </c>
      <c r="G1779" t="inlineStr">
        <is>
          <t>VH</t>
        </is>
      </c>
      <c r="H1779" t="inlineStr">
        <is>
          <t>3</t>
        </is>
      </c>
      <c r="I1779" t="inlineStr">
        <is>
          <t>B</t>
        </is>
      </c>
      <c r="J1779" t="inlineStr"/>
      <c r="K1779" t="inlineStr"/>
      <c r="L1779" t="inlineStr">
        <is>
          <t>751-760</t>
        </is>
      </c>
      <c r="M1779" t="inlineStr">
        <is>
          <t>561-570</t>
        </is>
      </c>
      <c r="N1779" t="inlineStr"/>
      <c r="O1779" t="inlineStr">
        <is>
          <t>-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>
        <is>
          <t>6.9</t>
        </is>
      </c>
      <c r="AK1779" t="inlineStr">
        <is>
          <t>601+</t>
        </is>
      </c>
      <c r="AL1779" t="inlineStr">
        <is>
          <t>2.5</t>
        </is>
      </c>
      <c r="AM1779" t="inlineStr">
        <is>
          <t>601+</t>
        </is>
      </c>
      <c r="AN1779" t="inlineStr">
        <is>
          <t>57.8</t>
        </is>
      </c>
      <c r="AO1779" t="inlineStr">
        <is>
          <t>249</t>
        </is>
      </c>
      <c r="AP1779" t="inlineStr">
        <is>
          <t>34.3</t>
        </is>
      </c>
      <c r="AQ1779" t="inlineStr">
        <is>
          <t>399</t>
        </is>
      </c>
      <c r="AR1779" t="inlineStr">
        <is>
          <t>2.5</t>
        </is>
      </c>
      <c r="AS1779" t="inlineStr">
        <is>
          <t>701+</t>
        </is>
      </c>
      <c r="AT1779" t="inlineStr">
        <is>
          <t>3.4</t>
        </is>
      </c>
      <c r="AU1779" t="inlineStr">
        <is>
          <t>701+</t>
        </is>
      </c>
      <c r="AV1779" t="inlineStr">
        <is>
          <t>1.8</t>
        </is>
      </c>
      <c r="AW1779" t="inlineStr">
        <is>
          <t>701+</t>
        </is>
      </c>
      <c r="AX1779" t="inlineStr">
        <is>
          <t>6.9</t>
        </is>
      </c>
      <c r="AY1779" t="inlineStr">
        <is>
          <t>701+</t>
        </is>
      </c>
      <c r="AZ1779" t="inlineStr">
        <is>
          <t>1.3</t>
        </is>
      </c>
      <c r="BA1779" t="inlineStr">
        <is>
          <t>701+</t>
        </is>
      </c>
    </row>
    <row r="1780">
      <c r="A1780" t="inlineStr">
        <is>
          <t>University of Ulster</t>
        </is>
      </c>
      <c r="B1780" t="inlineStr">
        <is>
          <t>United Kingdom</t>
        </is>
      </c>
      <c r="C1780" t="inlineStr"/>
      <c r="D1780" t="inlineStr">
        <is>
          <t>Europe</t>
        </is>
      </c>
      <c r="E1780" t="inlineStr">
        <is>
          <t>L</t>
        </is>
      </c>
      <c r="F1780" t="inlineStr">
        <is>
          <t>CO</t>
        </is>
      </c>
      <c r="G1780" t="inlineStr">
        <is>
          <t>VH</t>
        </is>
      </c>
      <c r="H1780" t="inlineStr"/>
      <c r="I1780" t="inlineStr">
        <is>
          <t>Public</t>
        </is>
      </c>
      <c r="J1780" t="inlineStr">
        <is>
          <t>609</t>
        </is>
      </c>
      <c r="K1780" t="inlineStr">
        <is>
          <t>559</t>
        </is>
      </c>
      <c r="L1780" t="inlineStr"/>
      <c r="M1780" t="inlineStr"/>
      <c r="N1780" t="inlineStr">
        <is>
          <t>27.9</t>
        </is>
      </c>
      <c r="O1780" t="inlineStr"/>
      <c r="P1780" t="n">
        <v>12.6</v>
      </c>
      <c r="Q1780" t="inlineStr">
        <is>
          <t>701+</t>
        </is>
      </c>
      <c r="R1780" t="n">
        <v>19.8</v>
      </c>
      <c r="S1780" t="inlineStr">
        <is>
          <t>664</t>
        </is>
      </c>
      <c r="T1780" t="n">
        <v>11.4</v>
      </c>
      <c r="U1780" t="inlineStr">
        <is>
          <t>801+</t>
        </is>
      </c>
      <c r="V1780" t="n">
        <v>19</v>
      </c>
      <c r="W1780" t="inlineStr">
        <is>
          <t>731</t>
        </is>
      </c>
      <c r="X1780" t="n">
        <v>100</v>
      </c>
      <c r="Y1780" t="inlineStr">
        <is>
          <t>94</t>
        </is>
      </c>
      <c r="Z1780" t="n">
        <v>90.09999999999999</v>
      </c>
      <c r="AA1780" t="inlineStr">
        <is>
          <t>166</t>
        </is>
      </c>
      <c r="AB1780" t="n">
        <v>90.90000000000001</v>
      </c>
      <c r="AC1780" t="inlineStr">
        <is>
          <t>141</t>
        </is>
      </c>
      <c r="AD1780" t="n">
        <v>71.5</v>
      </c>
      <c r="AE1780" t="inlineStr">
        <is>
          <t>508</t>
        </is>
      </c>
      <c r="AF1780" t="n">
        <v>10.1</v>
      </c>
      <c r="AG1780" t="inlineStr">
        <is>
          <t>801+</t>
        </is>
      </c>
      <c r="AH1780" t="n">
        <v>75.59999999999999</v>
      </c>
      <c r="AI1780" t="inlineStr">
        <is>
          <t>227</t>
        </is>
      </c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</row>
    <row r="1781">
      <c r="A1781" t="inlineStr">
        <is>
          <t>University of Utah</t>
        </is>
      </c>
      <c r="B1781" t="inlineStr">
        <is>
          <t>United States</t>
        </is>
      </c>
      <c r="C1781" t="inlineStr">
        <is>
          <t>US</t>
        </is>
      </c>
      <c r="D1781" t="inlineStr">
        <is>
          <t>Americas</t>
        </is>
      </c>
      <c r="E1781" t="inlineStr">
        <is>
          <t>XL</t>
        </is>
      </c>
      <c r="F1781" t="inlineStr">
        <is>
          <t>FC</t>
        </is>
      </c>
      <c r="G1781" t="inlineStr">
        <is>
          <t>VH</t>
        </is>
      </c>
      <c r="H1781" t="inlineStr">
        <is>
          <t>5</t>
        </is>
      </c>
      <c r="I1781" t="inlineStr">
        <is>
          <t>Public</t>
        </is>
      </c>
      <c r="J1781" t="inlineStr">
        <is>
          <t>540</t>
        </is>
      </c>
      <c r="K1781" t="inlineStr">
        <is>
          <t>531</t>
        </is>
      </c>
      <c r="L1781">
        <f>441</f>
        <v/>
      </c>
      <c r="M1781" t="inlineStr">
        <is>
          <t>392=</t>
        </is>
      </c>
      <c r="N1781" t="inlineStr">
        <is>
          <t>30.5</t>
        </is>
      </c>
      <c r="O1781" t="inlineStr">
        <is>
          <t>25.9</t>
        </is>
      </c>
      <c r="P1781" t="n">
        <v>21.8</v>
      </c>
      <c r="Q1781" t="inlineStr">
        <is>
          <t>570</t>
        </is>
      </c>
      <c r="R1781" t="n">
        <v>13.1</v>
      </c>
      <c r="S1781" t="inlineStr">
        <is>
          <t>701+</t>
        </is>
      </c>
      <c r="T1781" t="n">
        <v>53.8</v>
      </c>
      <c r="U1781" t="inlineStr">
        <is>
          <t>349</t>
        </is>
      </c>
      <c r="V1781" t="n">
        <v>38.3</v>
      </c>
      <c r="W1781" t="inlineStr">
        <is>
          <t>488</t>
        </is>
      </c>
      <c r="X1781" t="n">
        <v>21.2</v>
      </c>
      <c r="Y1781" t="inlineStr">
        <is>
          <t>695</t>
        </is>
      </c>
      <c r="Z1781" t="n">
        <v>18.2</v>
      </c>
      <c r="AA1781" t="inlineStr">
        <is>
          <t>759</t>
        </is>
      </c>
      <c r="AB1781" t="n">
        <v>24.3</v>
      </c>
      <c r="AC1781" t="inlineStr">
        <is>
          <t>699</t>
        </is>
      </c>
      <c r="AD1781" t="n">
        <v>74.5</v>
      </c>
      <c r="AE1781" t="inlineStr">
        <is>
          <t>455</t>
        </is>
      </c>
      <c r="AF1781" t="n">
        <v>28.3</v>
      </c>
      <c r="AG1781" t="inlineStr">
        <is>
          <t>588</t>
        </is>
      </c>
      <c r="AH1781" t="n">
        <v>59.6</v>
      </c>
      <c r="AI1781" t="inlineStr">
        <is>
          <t>509=</t>
        </is>
      </c>
      <c r="AJ1781" t="inlineStr">
        <is>
          <t>15.9</t>
        </is>
      </c>
      <c r="AK1781" t="inlineStr">
        <is>
          <t>548</t>
        </is>
      </c>
      <c r="AL1781" t="inlineStr">
        <is>
          <t>6.0</t>
        </is>
      </c>
      <c r="AM1781" t="inlineStr">
        <is>
          <t>601+</t>
        </is>
      </c>
      <c r="AN1781" t="inlineStr">
        <is>
          <t>53.0</t>
        </is>
      </c>
      <c r="AO1781" t="inlineStr">
        <is>
          <t>295</t>
        </is>
      </c>
      <c r="AP1781" t="inlineStr">
        <is>
          <t>36.5</t>
        </is>
      </c>
      <c r="AQ1781" t="inlineStr">
        <is>
          <t>383</t>
        </is>
      </c>
      <c r="AR1781" t="inlineStr">
        <is>
          <t>25.3</t>
        </is>
      </c>
      <c r="AS1781" t="inlineStr">
        <is>
          <t>530</t>
        </is>
      </c>
      <c r="AT1781" t="inlineStr">
        <is>
          <t>10.1</t>
        </is>
      </c>
      <c r="AU1781" t="inlineStr">
        <is>
          <t>701+</t>
        </is>
      </c>
      <c r="AV1781" t="inlineStr">
        <is>
          <t>54.4</t>
        </is>
      </c>
      <c r="AW1781" t="inlineStr">
        <is>
          <t>289</t>
        </is>
      </c>
      <c r="AX1781" t="inlineStr">
        <is>
          <t>14.9</t>
        </is>
      </c>
      <c r="AY1781" t="inlineStr">
        <is>
          <t>560</t>
        </is>
      </c>
      <c r="AZ1781" t="inlineStr">
        <is>
          <t>49</t>
        </is>
      </c>
      <c r="BA1781" t="inlineStr">
        <is>
          <t>315</t>
        </is>
      </c>
    </row>
    <row r="1782">
      <c r="A1782" t="inlineStr">
        <is>
          <t>University of Vermont</t>
        </is>
      </c>
      <c r="B1782" t="inlineStr">
        <is>
          <t>United States</t>
        </is>
      </c>
      <c r="C1782" t="inlineStr">
        <is>
          <t>US</t>
        </is>
      </c>
      <c r="D1782" t="inlineStr">
        <is>
          <t>Americas</t>
        </is>
      </c>
      <c r="E1782" t="inlineStr">
        <is>
          <t>L</t>
        </is>
      </c>
      <c r="F1782" t="inlineStr">
        <is>
          <t>FC</t>
        </is>
      </c>
      <c r="G1782" t="inlineStr">
        <is>
          <t>HI</t>
        </is>
      </c>
      <c r="H1782" t="inlineStr">
        <is>
          <t>5</t>
        </is>
      </c>
      <c r="I1782" t="inlineStr">
        <is>
          <t>Public</t>
        </is>
      </c>
      <c r="J1782" t="inlineStr">
        <is>
          <t>1001-1200</t>
        </is>
      </c>
      <c r="K1782" t="inlineStr">
        <is>
          <t>1001-1200</t>
        </is>
      </c>
      <c r="L1782" t="inlineStr">
        <is>
          <t>901-950</t>
        </is>
      </c>
      <c r="M1782" t="inlineStr">
        <is>
          <t>701-750</t>
        </is>
      </c>
      <c r="N1782" t="inlineStr">
        <is>
          <t>-</t>
        </is>
      </c>
      <c r="O1782" t="inlineStr">
        <is>
          <t>-</t>
        </is>
      </c>
      <c r="P1782" t="n">
        <v>3.7</v>
      </c>
      <c r="Q1782" t="inlineStr">
        <is>
          <t>701+</t>
        </is>
      </c>
      <c r="R1782" t="n">
        <v>6.8</v>
      </c>
      <c r="S1782" t="inlineStr">
        <is>
          <t>701+</t>
        </is>
      </c>
      <c r="T1782" t="n">
        <v>39.8</v>
      </c>
      <c r="U1782" t="inlineStr">
        <is>
          <t>509</t>
        </is>
      </c>
      <c r="V1782" t="n">
        <v>23</v>
      </c>
      <c r="W1782" t="inlineStr">
        <is>
          <t>669</t>
        </is>
      </c>
      <c r="X1782" t="n">
        <v>8.800000000000001</v>
      </c>
      <c r="Y1782" t="inlineStr">
        <is>
          <t>801+</t>
        </is>
      </c>
      <c r="Z1782" t="n">
        <v>3.8</v>
      </c>
      <c r="AA1782" t="inlineStr">
        <is>
          <t>801+</t>
        </is>
      </c>
      <c r="AB1782" t="n">
        <v>8.800000000000001</v>
      </c>
      <c r="AC1782" t="inlineStr">
        <is>
          <t>801+</t>
        </is>
      </c>
      <c r="AD1782" t="n">
        <v>66.2</v>
      </c>
      <c r="AE1782" t="inlineStr">
        <is>
          <t>607</t>
        </is>
      </c>
      <c r="AF1782" t="n">
        <v>22.3</v>
      </c>
      <c r="AG1782" t="inlineStr">
        <is>
          <t>690</t>
        </is>
      </c>
      <c r="AH1782" t="n">
        <v>52</v>
      </c>
      <c r="AI1782" t="inlineStr">
        <is>
          <t>663=</t>
        </is>
      </c>
      <c r="AJ1782" t="inlineStr">
        <is>
          <t>3.3</t>
        </is>
      </c>
      <c r="AK1782" t="inlineStr">
        <is>
          <t>601+</t>
        </is>
      </c>
      <c r="AL1782" t="inlineStr">
        <is>
          <t>3.2</t>
        </is>
      </c>
      <c r="AM1782" t="inlineStr">
        <is>
          <t>601+</t>
        </is>
      </c>
      <c r="AN1782" t="inlineStr">
        <is>
          <t>53.2</t>
        </is>
      </c>
      <c r="AO1782" t="inlineStr">
        <is>
          <t>293</t>
        </is>
      </c>
      <c r="AP1782" t="inlineStr">
        <is>
          <t>12.8</t>
        </is>
      </c>
      <c r="AQ1782" t="inlineStr">
        <is>
          <t>683</t>
        </is>
      </c>
      <c r="AR1782" t="inlineStr">
        <is>
          <t>3.3</t>
        </is>
      </c>
      <c r="AS1782" t="inlineStr">
        <is>
          <t>701+</t>
        </is>
      </c>
      <c r="AT1782" t="inlineStr">
        <is>
          <t>2.5</t>
        </is>
      </c>
      <c r="AU1782" t="inlineStr">
        <is>
          <t>701+</t>
        </is>
      </c>
      <c r="AV1782" t="inlineStr">
        <is>
          <t>14.5</t>
        </is>
      </c>
      <c r="AW1782" t="inlineStr">
        <is>
          <t>602</t>
        </is>
      </c>
      <c r="AX1782" t="inlineStr">
        <is>
          <t>14.6</t>
        </is>
      </c>
      <c r="AY1782" t="inlineStr">
        <is>
          <t>573</t>
        </is>
      </c>
      <c r="AZ1782" t="inlineStr">
        <is>
          <t>20.3</t>
        </is>
      </c>
      <c r="BA1782" t="inlineStr">
        <is>
          <t>542=</t>
        </is>
      </c>
    </row>
    <row r="1783">
      <c r="A1783" t="inlineStr">
        <is>
          <t>University of Victoria</t>
        </is>
      </c>
      <c r="B1783" t="inlineStr">
        <is>
          <t>Canada</t>
        </is>
      </c>
      <c r="C1783" t="inlineStr"/>
      <c r="D1783" t="inlineStr">
        <is>
          <t>Americas</t>
        </is>
      </c>
      <c r="E1783" t="inlineStr">
        <is>
          <t>L</t>
        </is>
      </c>
      <c r="F1783" t="inlineStr">
        <is>
          <t>CO</t>
        </is>
      </c>
      <c r="G1783" t="inlineStr">
        <is>
          <t>VH</t>
        </is>
      </c>
      <c r="H1783" t="inlineStr"/>
      <c r="I1783" t="inlineStr">
        <is>
          <t>Public</t>
        </is>
      </c>
      <c r="J1783" t="inlineStr">
        <is>
          <t>358</t>
        </is>
      </c>
      <c r="K1783" t="inlineStr">
        <is>
          <t>349</t>
        </is>
      </c>
      <c r="L1783" t="inlineStr"/>
      <c r="M1783" t="inlineStr"/>
      <c r="N1783" t="inlineStr">
        <is>
          <t>41.1</t>
        </is>
      </c>
      <c r="O1783" t="inlineStr"/>
      <c r="P1783" t="n">
        <v>25.6</v>
      </c>
      <c r="Q1783" t="inlineStr">
        <is>
          <t>495</t>
        </is>
      </c>
      <c r="R1783" t="n">
        <v>17.3</v>
      </c>
      <c r="S1783" t="inlineStr">
        <is>
          <t>701+</t>
        </is>
      </c>
      <c r="T1783" t="n">
        <v>6.2</v>
      </c>
      <c r="U1783" t="inlineStr">
        <is>
          <t>801+</t>
        </is>
      </c>
      <c r="V1783" t="n">
        <v>78.7</v>
      </c>
      <c r="W1783" t="inlineStr">
        <is>
          <t>163</t>
        </is>
      </c>
      <c r="X1783" t="n">
        <v>97.2</v>
      </c>
      <c r="Y1783" t="inlineStr">
        <is>
          <t>149</t>
        </is>
      </c>
      <c r="Z1783" t="n">
        <v>46</v>
      </c>
      <c r="AA1783" t="inlineStr">
        <is>
          <t>440</t>
        </is>
      </c>
      <c r="AB1783" t="n">
        <v>51</v>
      </c>
      <c r="AC1783" t="inlineStr">
        <is>
          <t>406</t>
        </is>
      </c>
      <c r="AD1783" t="n">
        <v>61.3</v>
      </c>
      <c r="AE1783" t="inlineStr">
        <is>
          <t>673</t>
        </is>
      </c>
      <c r="AF1783" t="n">
        <v>21.2</v>
      </c>
      <c r="AG1783" t="inlineStr">
        <is>
          <t>703</t>
        </is>
      </c>
      <c r="AH1783" t="n">
        <v>79.90000000000001</v>
      </c>
      <c r="AI1783" t="inlineStr">
        <is>
          <t>172=</t>
        </is>
      </c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</row>
    <row r="1784">
      <c r="A1784" t="inlineStr">
        <is>
          <t>University of Victoria (UVic)</t>
        </is>
      </c>
      <c r="B1784" t="inlineStr">
        <is>
          <t>Canada</t>
        </is>
      </c>
      <c r="C1784" t="inlineStr">
        <is>
          <t>CA</t>
        </is>
      </c>
      <c r="D1784" t="inlineStr"/>
      <c r="E1784" t="inlineStr">
        <is>
          <t>L</t>
        </is>
      </c>
      <c r="F1784" t="inlineStr">
        <is>
          <t>CO</t>
        </is>
      </c>
      <c r="G1784" t="inlineStr">
        <is>
          <t>VH</t>
        </is>
      </c>
      <c r="H1784" t="inlineStr">
        <is>
          <t>4</t>
        </is>
      </c>
      <c r="I1784" t="inlineStr">
        <is>
          <t>A</t>
        </is>
      </c>
      <c r="J1784" t="inlineStr"/>
      <c r="K1784" t="inlineStr"/>
      <c r="L1784" t="inlineStr">
        <is>
          <t>322</t>
        </is>
      </c>
      <c r="M1784" t="inlineStr">
        <is>
          <t>359=</t>
        </is>
      </c>
      <c r="N1784" t="inlineStr"/>
      <c r="O1784" t="inlineStr">
        <is>
          <t>33.0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>
        <is>
          <t>17.3</t>
        </is>
      </c>
      <c r="AK1784" t="inlineStr">
        <is>
          <t>514</t>
        </is>
      </c>
      <c r="AL1784" t="inlineStr">
        <is>
          <t>7.6</t>
        </is>
      </c>
      <c r="AM1784" t="inlineStr">
        <is>
          <t>601+</t>
        </is>
      </c>
      <c r="AN1784" t="inlineStr">
        <is>
          <t>3.5</t>
        </is>
      </c>
      <c r="AO1784" t="inlineStr">
        <is>
          <t>701+</t>
        </is>
      </c>
      <c r="AP1784" t="inlineStr">
        <is>
          <t>65.0</t>
        </is>
      </c>
      <c r="AQ1784" t="inlineStr">
        <is>
          <t>174</t>
        </is>
      </c>
      <c r="AR1784" t="inlineStr">
        <is>
          <t>95.2</t>
        </is>
      </c>
      <c r="AS1784" t="inlineStr">
        <is>
          <t>149</t>
        </is>
      </c>
      <c r="AT1784" t="inlineStr">
        <is>
          <t>48.6</t>
        </is>
      </c>
      <c r="AU1784" t="inlineStr">
        <is>
          <t>304</t>
        </is>
      </c>
      <c r="AV1784" t="inlineStr">
        <is>
          <t>19.0</t>
        </is>
      </c>
      <c r="AW1784" t="inlineStr">
        <is>
          <t>551</t>
        </is>
      </c>
      <c r="AX1784" t="inlineStr">
        <is>
          <t>12.2</t>
        </is>
      </c>
      <c r="AY1784" t="inlineStr">
        <is>
          <t>701+</t>
        </is>
      </c>
      <c r="AZ1784" t="inlineStr">
        <is>
          <t>89.8</t>
        </is>
      </c>
      <c r="BA1784" t="inlineStr">
        <is>
          <t>94</t>
        </is>
      </c>
    </row>
    <row r="1785">
      <c r="A1785" t="inlineStr">
        <is>
          <t>University of Vienna</t>
        </is>
      </c>
      <c r="B1785" t="inlineStr">
        <is>
          <t>Austria</t>
        </is>
      </c>
      <c r="C1785" t="inlineStr">
        <is>
          <t>AT</t>
        </is>
      </c>
      <c r="D1785" t="inlineStr">
        <is>
          <t>Europe</t>
        </is>
      </c>
      <c r="E1785" t="inlineStr">
        <is>
          <t>XL</t>
        </is>
      </c>
      <c r="F1785" t="inlineStr">
        <is>
          <t>FC</t>
        </is>
      </c>
      <c r="G1785" t="inlineStr">
        <is>
          <t>VH</t>
        </is>
      </c>
      <c r="H1785" t="inlineStr">
        <is>
          <t>5</t>
        </is>
      </c>
      <c r="I1785" t="inlineStr">
        <is>
          <t>Public</t>
        </is>
      </c>
      <c r="J1785" t="inlineStr">
        <is>
          <t>152</t>
        </is>
      </c>
      <c r="K1785" t="inlineStr">
        <is>
          <t>137</t>
        </is>
      </c>
      <c r="L1785">
        <f>130</f>
        <v/>
      </c>
      <c r="M1785" t="inlineStr">
        <is>
          <t>151</t>
        </is>
      </c>
      <c r="N1785" t="inlineStr">
        <is>
          <t>61.9</t>
        </is>
      </c>
      <c r="O1785" t="inlineStr">
        <is>
          <t>53.7</t>
        </is>
      </c>
      <c r="P1785" t="n">
        <v>82.3</v>
      </c>
      <c r="Q1785" t="inlineStr">
        <is>
          <t>88</t>
        </is>
      </c>
      <c r="R1785" t="n">
        <v>46.4</v>
      </c>
      <c r="S1785" t="inlineStr">
        <is>
          <t>285</t>
        </is>
      </c>
      <c r="T1785" t="n">
        <v>31</v>
      </c>
      <c r="U1785" t="inlineStr">
        <is>
          <t>617</t>
        </is>
      </c>
      <c r="V1785" t="n">
        <v>22.2</v>
      </c>
      <c r="W1785" t="inlineStr">
        <is>
          <t>682</t>
        </is>
      </c>
      <c r="X1785" t="n">
        <v>100</v>
      </c>
      <c r="Y1785" t="inlineStr">
        <is>
          <t>71</t>
        </is>
      </c>
      <c r="Z1785" t="n">
        <v>96.59999999999999</v>
      </c>
      <c r="AA1785" t="inlineStr">
        <is>
          <t>103</t>
        </is>
      </c>
      <c r="AB1785" t="n">
        <v>96.8</v>
      </c>
      <c r="AC1785" t="inlineStr">
        <is>
          <t>90</t>
        </is>
      </c>
      <c r="AD1785" t="n">
        <v>96.3</v>
      </c>
      <c r="AE1785" t="inlineStr">
        <is>
          <t>53</t>
        </is>
      </c>
      <c r="AF1785" t="n">
        <v>92.8</v>
      </c>
      <c r="AG1785" t="inlineStr">
        <is>
          <t>85</t>
        </is>
      </c>
      <c r="AH1785" t="n">
        <v>71.8</v>
      </c>
      <c r="AI1785" t="inlineStr">
        <is>
          <t>294=</t>
        </is>
      </c>
      <c r="AJ1785" t="inlineStr">
        <is>
          <t>70.8</t>
        </is>
      </c>
      <c r="AK1785" t="inlineStr">
        <is>
          <t>88</t>
        </is>
      </c>
      <c r="AL1785" t="inlineStr">
        <is>
          <t>42.5</t>
        </is>
      </c>
      <c r="AM1785" t="inlineStr">
        <is>
          <t>217</t>
        </is>
      </c>
      <c r="AN1785" t="inlineStr">
        <is>
          <t>22.0</t>
        </is>
      </c>
      <c r="AO1785" t="inlineStr">
        <is>
          <t>629</t>
        </is>
      </c>
      <c r="AP1785" t="inlineStr">
        <is>
          <t>14.5</t>
        </is>
      </c>
      <c r="AQ1785" t="inlineStr">
        <is>
          <t>646</t>
        </is>
      </c>
      <c r="AR1785" t="inlineStr">
        <is>
          <t>99.3</t>
        </is>
      </c>
      <c r="AS1785" t="inlineStr">
        <is>
          <t>92</t>
        </is>
      </c>
      <c r="AT1785" t="inlineStr">
        <is>
          <t>88.1</t>
        </is>
      </c>
      <c r="AU1785" t="inlineStr">
        <is>
          <t>129</t>
        </is>
      </c>
      <c r="AV1785" t="inlineStr">
        <is>
          <t>93.5</t>
        </is>
      </c>
      <c r="AW1785" t="inlineStr">
        <is>
          <t>62</t>
        </is>
      </c>
      <c r="AX1785" t="inlineStr">
        <is>
          <t>56.8</t>
        </is>
      </c>
      <c r="AY1785" t="inlineStr">
        <is>
          <t>109</t>
        </is>
      </c>
      <c r="AZ1785" t="inlineStr">
        <is>
          <t>74.1</t>
        </is>
      </c>
      <c r="BA1785" t="inlineStr">
        <is>
          <t>180</t>
        </is>
      </c>
    </row>
    <row r="1786">
      <c r="A1786" t="inlineStr">
        <is>
          <t>University of Virginia</t>
        </is>
      </c>
      <c r="B1786" t="inlineStr">
        <is>
          <t>United States</t>
        </is>
      </c>
      <c r="C1786" t="inlineStr">
        <is>
          <t>US</t>
        </is>
      </c>
      <c r="D1786" t="inlineStr">
        <is>
          <t>Americas</t>
        </is>
      </c>
      <c r="E1786" t="inlineStr">
        <is>
          <t>L</t>
        </is>
      </c>
      <c r="F1786" t="inlineStr">
        <is>
          <t>FC</t>
        </is>
      </c>
      <c r="G1786" t="inlineStr">
        <is>
          <t>VH</t>
        </is>
      </c>
      <c r="H1786" t="inlineStr">
        <is>
          <t>5</t>
        </is>
      </c>
      <c r="I1786" t="inlineStr">
        <is>
          <t>Public</t>
        </is>
      </c>
      <c r="J1786" t="inlineStr">
        <is>
          <t>275</t>
        </is>
      </c>
      <c r="K1786" t="inlineStr">
        <is>
          <t>297</t>
        </is>
      </c>
      <c r="L1786" t="inlineStr">
        <is>
          <t>260</t>
        </is>
      </c>
      <c r="M1786" t="inlineStr">
        <is>
          <t>253=</t>
        </is>
      </c>
      <c r="N1786" t="inlineStr">
        <is>
          <t>48.1</t>
        </is>
      </c>
      <c r="O1786" t="inlineStr">
        <is>
          <t>38.5</t>
        </is>
      </c>
      <c r="P1786" t="n">
        <v>46.5</v>
      </c>
      <c r="Q1786" t="inlineStr">
        <is>
          <t>250</t>
        </is>
      </c>
      <c r="R1786" t="n">
        <v>47.9</v>
      </c>
      <c r="S1786" t="inlineStr">
        <is>
          <t>272</t>
        </is>
      </c>
      <c r="T1786" t="n">
        <v>68.2</v>
      </c>
      <c r="U1786" t="inlineStr">
        <is>
          <t>245</t>
        </is>
      </c>
      <c r="V1786" t="n">
        <v>36.5</v>
      </c>
      <c r="W1786" t="inlineStr">
        <is>
          <t>513</t>
        </is>
      </c>
      <c r="X1786" t="n">
        <v>5.3</v>
      </c>
      <c r="Y1786" t="inlineStr">
        <is>
          <t>801+</t>
        </is>
      </c>
      <c r="Z1786" t="n">
        <v>19.2</v>
      </c>
      <c r="AA1786" t="inlineStr">
        <is>
          <t>740</t>
        </is>
      </c>
      <c r="AB1786" t="n">
        <v>14.5</v>
      </c>
      <c r="AC1786" t="inlineStr">
        <is>
          <t>801+</t>
        </is>
      </c>
      <c r="AD1786" t="n">
        <v>82.59999999999999</v>
      </c>
      <c r="AE1786" t="inlineStr">
        <is>
          <t>299</t>
        </is>
      </c>
      <c r="AF1786" t="n">
        <v>91.90000000000001</v>
      </c>
      <c r="AG1786" t="inlineStr">
        <is>
          <t>91</t>
        </is>
      </c>
      <c r="AH1786" t="n">
        <v>68.90000000000001</v>
      </c>
      <c r="AI1786" t="inlineStr">
        <is>
          <t>331=</t>
        </is>
      </c>
      <c r="AJ1786" t="inlineStr">
        <is>
          <t>35.6</t>
        </is>
      </c>
      <c r="AK1786" t="inlineStr">
        <is>
          <t>243</t>
        </is>
      </c>
      <c r="AL1786" t="inlineStr">
        <is>
          <t>32.0</t>
        </is>
      </c>
      <c r="AM1786" t="inlineStr">
        <is>
          <t>307</t>
        </is>
      </c>
      <c r="AN1786" t="inlineStr">
        <is>
          <t>56.9</t>
        </is>
      </c>
      <c r="AO1786" t="inlineStr">
        <is>
          <t>257</t>
        </is>
      </c>
      <c r="AP1786" t="inlineStr">
        <is>
          <t>34.1</t>
        </is>
      </c>
      <c r="AQ1786" t="inlineStr">
        <is>
          <t>401</t>
        </is>
      </c>
      <c r="AR1786" t="inlineStr">
        <is>
          <t>7.9</t>
        </is>
      </c>
      <c r="AS1786" t="inlineStr">
        <is>
          <t>701+</t>
        </is>
      </c>
      <c r="AT1786" t="inlineStr">
        <is>
          <t>10.8</t>
        </is>
      </c>
      <c r="AU1786" t="inlineStr">
        <is>
          <t>700</t>
        </is>
      </c>
      <c r="AV1786" t="inlineStr">
        <is>
          <t>57.7</t>
        </is>
      </c>
      <c r="AW1786" t="inlineStr">
        <is>
          <t>262</t>
        </is>
      </c>
      <c r="AX1786" t="inlineStr">
        <is>
          <t>68.5</t>
        </is>
      </c>
      <c r="AY1786" t="inlineStr">
        <is>
          <t>77</t>
        </is>
      </c>
      <c r="AZ1786" t="inlineStr">
        <is>
          <t>63.1</t>
        </is>
      </c>
      <c r="BA1786" t="inlineStr">
        <is>
          <t>232=</t>
        </is>
      </c>
    </row>
    <row r="1787">
      <c r="A1787" t="inlineStr">
        <is>
          <t>University of Waikato</t>
        </is>
      </c>
      <c r="B1787" t="inlineStr">
        <is>
          <t>New Zealand</t>
        </is>
      </c>
      <c r="C1787" t="inlineStr">
        <is>
          <t>NZ</t>
        </is>
      </c>
      <c r="D1787" t="inlineStr">
        <is>
          <t>Oceania</t>
        </is>
      </c>
      <c r="E1787" t="inlineStr">
        <is>
          <t>M</t>
        </is>
      </c>
      <c r="F1787" t="inlineStr">
        <is>
          <t>CO</t>
        </is>
      </c>
      <c r="G1787" t="inlineStr">
        <is>
          <t>VH</t>
        </is>
      </c>
      <c r="H1787" t="inlineStr">
        <is>
          <t>4</t>
        </is>
      </c>
      <c r="I1787" t="inlineStr">
        <is>
          <t>Public</t>
        </is>
      </c>
      <c r="J1787" t="inlineStr">
        <is>
          <t>281</t>
        </is>
      </c>
      <c r="K1787" t="inlineStr">
        <is>
          <t>235</t>
        </is>
      </c>
      <c r="L1787" t="inlineStr">
        <is>
          <t>250</t>
        </is>
      </c>
      <c r="M1787" t="inlineStr">
        <is>
          <t>331</t>
        </is>
      </c>
      <c r="N1787" t="inlineStr">
        <is>
          <t>47.3</t>
        </is>
      </c>
      <c r="O1787" t="inlineStr">
        <is>
          <t>39.5</t>
        </is>
      </c>
      <c r="P1787" t="n">
        <v>28.2</v>
      </c>
      <c r="Q1787" t="inlineStr">
        <is>
          <t>446</t>
        </is>
      </c>
      <c r="R1787" t="n">
        <v>18.8</v>
      </c>
      <c r="S1787" t="inlineStr">
        <is>
          <t>691</t>
        </is>
      </c>
      <c r="T1787" t="n">
        <v>16.2</v>
      </c>
      <c r="U1787" t="inlineStr">
        <is>
          <t>801+</t>
        </is>
      </c>
      <c r="V1787" t="n">
        <v>82.09999999999999</v>
      </c>
      <c r="W1787" t="inlineStr">
        <is>
          <t>144</t>
        </is>
      </c>
      <c r="X1787" t="n">
        <v>99.5</v>
      </c>
      <c r="Y1787" t="inlineStr">
        <is>
          <t>116</t>
        </is>
      </c>
      <c r="Z1787" t="n">
        <v>79.7</v>
      </c>
      <c r="AA1787" t="inlineStr">
        <is>
          <t>223</t>
        </is>
      </c>
      <c r="AB1787" t="n">
        <v>81.59999999999999</v>
      </c>
      <c r="AC1787" t="inlineStr">
        <is>
          <t>192</t>
        </is>
      </c>
      <c r="AD1787" t="n">
        <v>49</v>
      </c>
      <c r="AE1787" t="inlineStr">
        <is>
          <t>801+</t>
        </is>
      </c>
      <c r="AF1787" t="n">
        <v>58.4</v>
      </c>
      <c r="AG1787" t="inlineStr">
        <is>
          <t>282</t>
        </is>
      </c>
      <c r="AH1787" t="n">
        <v>84.8</v>
      </c>
      <c r="AI1787" t="inlineStr">
        <is>
          <t>112=</t>
        </is>
      </c>
      <c r="AJ1787" t="inlineStr">
        <is>
          <t>18.4</t>
        </is>
      </c>
      <c r="AK1787" t="inlineStr">
        <is>
          <t>484</t>
        </is>
      </c>
      <c r="AL1787" t="inlineStr">
        <is>
          <t>13.2</t>
        </is>
      </c>
      <c r="AM1787" t="inlineStr">
        <is>
          <t>601+</t>
        </is>
      </c>
      <c r="AN1787" t="inlineStr">
        <is>
          <t>11.3</t>
        </is>
      </c>
      <c r="AO1787" t="inlineStr">
        <is>
          <t>701+</t>
        </is>
      </c>
      <c r="AP1787" t="inlineStr">
        <is>
          <t>75.0</t>
        </is>
      </c>
      <c r="AQ1787" t="inlineStr">
        <is>
          <t>128</t>
        </is>
      </c>
      <c r="AR1787" t="inlineStr">
        <is>
          <t>99.3</t>
        </is>
      </c>
      <c r="AS1787" t="inlineStr">
        <is>
          <t>91</t>
        </is>
      </c>
      <c r="AT1787" t="inlineStr">
        <is>
          <t>73.3</t>
        </is>
      </c>
      <c r="AU1787" t="inlineStr">
        <is>
          <t>192</t>
        </is>
      </c>
      <c r="AV1787" t="inlineStr">
        <is>
          <t>17.5</t>
        </is>
      </c>
      <c r="AW1787" t="inlineStr">
        <is>
          <t>568</t>
        </is>
      </c>
      <c r="AX1787" t="inlineStr">
        <is>
          <t>44.5</t>
        </is>
      </c>
      <c r="AY1787" t="inlineStr">
        <is>
          <t>162</t>
        </is>
      </c>
      <c r="AZ1787" t="inlineStr">
        <is>
          <t>79.8</t>
        </is>
      </c>
      <c r="BA1787" t="inlineStr">
        <is>
          <t>152=</t>
        </is>
      </c>
    </row>
    <row r="1788">
      <c r="A1788" t="inlineStr">
        <is>
          <t>University of Warmia and Mazury in Olsztyn</t>
        </is>
      </c>
      <c r="B1788" t="inlineStr">
        <is>
          <t>Poland</t>
        </is>
      </c>
      <c r="C1788" t="inlineStr">
        <is>
          <t>PL</t>
        </is>
      </c>
      <c r="D1788" t="inlineStr">
        <is>
          <t>Europe</t>
        </is>
      </c>
      <c r="E1788" t="inlineStr">
        <is>
          <t>L</t>
        </is>
      </c>
      <c r="F1788" t="inlineStr">
        <is>
          <t>FC</t>
        </is>
      </c>
      <c r="G1788" t="inlineStr">
        <is>
          <t>HI</t>
        </is>
      </c>
      <c r="H1788" t="inlineStr">
        <is>
          <t>2</t>
        </is>
      </c>
      <c r="I1788" t="inlineStr">
        <is>
          <t>Public</t>
        </is>
      </c>
      <c r="J1788" t="inlineStr">
        <is>
          <t>1001-1200</t>
        </is>
      </c>
      <c r="K1788" t="inlineStr">
        <is>
          <t>1001-1200</t>
        </is>
      </c>
      <c r="L1788" t="inlineStr">
        <is>
          <t>1201-1400</t>
        </is>
      </c>
      <c r="M1788" t="inlineStr">
        <is>
          <t>1001-1200</t>
        </is>
      </c>
      <c r="N1788" t="inlineStr">
        <is>
          <t>-</t>
        </is>
      </c>
      <c r="O1788" t="inlineStr">
        <is>
          <t>-</t>
        </is>
      </c>
      <c r="P1788" t="n">
        <v>10.8</v>
      </c>
      <c r="Q1788" t="inlineStr">
        <is>
          <t>701+</t>
        </is>
      </c>
      <c r="R1788" t="n">
        <v>14.5</v>
      </c>
      <c r="S1788" t="inlineStr">
        <is>
          <t>701+</t>
        </is>
      </c>
      <c r="T1788" t="n">
        <v>42</v>
      </c>
      <c r="U1788" t="inlineStr">
        <is>
          <t>478</t>
        </is>
      </c>
      <c r="V1788" t="n">
        <v>7.7</v>
      </c>
      <c r="W1788" t="inlineStr">
        <is>
          <t>801+</t>
        </is>
      </c>
      <c r="X1788" t="n">
        <v>2.6</v>
      </c>
      <c r="Y1788" t="inlineStr">
        <is>
          <t>801+</t>
        </is>
      </c>
      <c r="Z1788" t="n">
        <v>4.6</v>
      </c>
      <c r="AA1788" t="inlineStr">
        <is>
          <t>801+</t>
        </is>
      </c>
      <c r="AB1788" t="n">
        <v>9</v>
      </c>
      <c r="AC1788" t="inlineStr">
        <is>
          <t>801+</t>
        </is>
      </c>
      <c r="AD1788" t="n">
        <v>42.6</v>
      </c>
      <c r="AE1788" t="inlineStr">
        <is>
          <t>801+</t>
        </is>
      </c>
      <c r="AF1788" t="n">
        <v>4</v>
      </c>
      <c r="AG1788" t="inlineStr">
        <is>
          <t>801+</t>
        </is>
      </c>
      <c r="AH1788" t="n">
        <v>43.7</v>
      </c>
      <c r="AI1788" t="inlineStr">
        <is>
          <t>801+</t>
        </is>
      </c>
      <c r="AJ1788" t="inlineStr">
        <is>
          <t>6.0</t>
        </is>
      </c>
      <c r="AK1788" t="inlineStr">
        <is>
          <t>601+</t>
        </is>
      </c>
      <c r="AL1788" t="inlineStr">
        <is>
          <t>10.8</t>
        </is>
      </c>
      <c r="AM1788" t="inlineStr">
        <is>
          <t>601+</t>
        </is>
      </c>
      <c r="AN1788" t="inlineStr">
        <is>
          <t>24.2</t>
        </is>
      </c>
      <c r="AO1788" t="inlineStr">
        <is>
          <t>589</t>
        </is>
      </c>
      <c r="AP1788" t="inlineStr">
        <is>
          <t>3.5</t>
        </is>
      </c>
      <c r="AQ1788" t="inlineStr">
        <is>
          <t>701+</t>
        </is>
      </c>
      <c r="AR1788" t="inlineStr">
        <is>
          <t>2.0</t>
        </is>
      </c>
      <c r="AS1788" t="inlineStr">
        <is>
          <t>701+</t>
        </is>
      </c>
      <c r="AT1788" t="inlineStr">
        <is>
          <t>2.7</t>
        </is>
      </c>
      <c r="AU1788" t="inlineStr">
        <is>
          <t>701+</t>
        </is>
      </c>
      <c r="AV1788" t="inlineStr">
        <is>
          <t>4.3</t>
        </is>
      </c>
      <c r="AW1788" t="inlineStr">
        <is>
          <t>701+</t>
        </is>
      </c>
      <c r="AX1788" t="inlineStr">
        <is>
          <t>6.3</t>
        </is>
      </c>
      <c r="AY1788" t="inlineStr">
        <is>
          <t>701+</t>
        </is>
      </c>
      <c r="AZ1788" t="inlineStr">
        <is>
          <t>1.3</t>
        </is>
      </c>
      <c r="BA1788" t="inlineStr">
        <is>
          <t>701+</t>
        </is>
      </c>
    </row>
    <row r="1789">
      <c r="A1789" t="inlineStr">
        <is>
          <t>University of Warsaw</t>
        </is>
      </c>
      <c r="B1789" t="inlineStr">
        <is>
          <t>Poland</t>
        </is>
      </c>
      <c r="C1789" t="inlineStr">
        <is>
          <t>PL</t>
        </is>
      </c>
      <c r="D1789" t="inlineStr">
        <is>
          <t>Europe</t>
        </is>
      </c>
      <c r="E1789" t="inlineStr">
        <is>
          <t>XL</t>
        </is>
      </c>
      <c r="F1789" t="inlineStr">
        <is>
          <t>CO</t>
        </is>
      </c>
      <c r="G1789" t="inlineStr">
        <is>
          <t>VH</t>
        </is>
      </c>
      <c r="H1789" t="inlineStr">
        <is>
          <t>5</t>
        </is>
      </c>
      <c r="I1789" t="inlineStr">
        <is>
          <t>Public</t>
        </is>
      </c>
      <c r="J1789" t="inlineStr">
        <is>
          <t>271</t>
        </is>
      </c>
      <c r="K1789" t="inlineStr">
        <is>
          <t>258</t>
        </is>
      </c>
      <c r="L1789" t="inlineStr">
        <is>
          <t>262</t>
        </is>
      </c>
      <c r="M1789" t="inlineStr">
        <is>
          <t>284=</t>
        </is>
      </c>
      <c r="N1789" t="inlineStr">
        <is>
          <t>48.3</t>
        </is>
      </c>
      <c r="O1789" t="inlineStr">
        <is>
          <t>38.1</t>
        </is>
      </c>
      <c r="P1789" t="n">
        <v>61</v>
      </c>
      <c r="Q1789" t="inlineStr">
        <is>
          <t>168</t>
        </is>
      </c>
      <c r="R1789" t="n">
        <v>62.8</v>
      </c>
      <c r="S1789" t="inlineStr">
        <is>
          <t>175</t>
        </is>
      </c>
      <c r="T1789" t="n">
        <v>59.5</v>
      </c>
      <c r="U1789" t="inlineStr">
        <is>
          <t>304</t>
        </is>
      </c>
      <c r="V1789" t="n">
        <v>10</v>
      </c>
      <c r="W1789" t="inlineStr">
        <is>
          <t>801+</t>
        </is>
      </c>
      <c r="X1789" t="n">
        <v>13.5</v>
      </c>
      <c r="Y1789" t="inlineStr">
        <is>
          <t>801+</t>
        </is>
      </c>
      <c r="Z1789" t="n">
        <v>15.7</v>
      </c>
      <c r="AA1789" t="inlineStr">
        <is>
          <t>801+</t>
        </is>
      </c>
      <c r="AB1789" t="n">
        <v>21.8</v>
      </c>
      <c r="AC1789" t="inlineStr">
        <is>
          <t>733</t>
        </is>
      </c>
      <c r="AD1789" t="n">
        <v>85.90000000000001</v>
      </c>
      <c r="AE1789" t="inlineStr">
        <is>
          <t>238</t>
        </is>
      </c>
      <c r="AF1789" t="n">
        <v>74.40000000000001</v>
      </c>
      <c r="AG1789" t="inlineStr">
        <is>
          <t>186</t>
        </is>
      </c>
      <c r="AH1789" t="n">
        <v>74</v>
      </c>
      <c r="AI1789" t="inlineStr">
        <is>
          <t>259=</t>
        </is>
      </c>
      <c r="AJ1789" t="inlineStr">
        <is>
          <t>48.7</t>
        </is>
      </c>
      <c r="AK1789" t="inlineStr">
        <is>
          <t>169</t>
        </is>
      </c>
      <c r="AL1789" t="inlineStr">
        <is>
          <t>53.4</t>
        </is>
      </c>
      <c r="AM1789" t="inlineStr">
        <is>
          <t>150</t>
        </is>
      </c>
      <c r="AN1789" t="inlineStr">
        <is>
          <t>41.9</t>
        </is>
      </c>
      <c r="AO1789" t="inlineStr">
        <is>
          <t>375</t>
        </is>
      </c>
      <c r="AP1789" t="inlineStr">
        <is>
          <t>6.3</t>
        </is>
      </c>
      <c r="AQ1789" t="inlineStr">
        <is>
          <t>701+</t>
        </is>
      </c>
      <c r="AR1789" t="inlineStr">
        <is>
          <t>9.8</t>
        </is>
      </c>
      <c r="AS1789" t="inlineStr">
        <is>
          <t>701+</t>
        </is>
      </c>
      <c r="AT1789" t="inlineStr">
        <is>
          <t>8.6</t>
        </is>
      </c>
      <c r="AU1789" t="inlineStr">
        <is>
          <t>701+</t>
        </is>
      </c>
      <c r="AV1789" t="inlineStr">
        <is>
          <t>62.1</t>
        </is>
      </c>
      <c r="AW1789" t="inlineStr">
        <is>
          <t>233</t>
        </is>
      </c>
      <c r="AX1789" t="inlineStr">
        <is>
          <t>36.7</t>
        </is>
      </c>
      <c r="AY1789" t="inlineStr">
        <is>
          <t>204</t>
        </is>
      </c>
      <c r="AZ1789" t="inlineStr">
        <is>
          <t>80</t>
        </is>
      </c>
      <c r="BA1789" t="inlineStr">
        <is>
          <t>150=</t>
        </is>
      </c>
    </row>
    <row r="1790">
      <c r="A1790" t="inlineStr">
        <is>
          <t>University of Washington</t>
        </is>
      </c>
      <c r="B1790" t="inlineStr">
        <is>
          <t>United States</t>
        </is>
      </c>
      <c r="C1790" t="inlineStr">
        <is>
          <t>US</t>
        </is>
      </c>
      <c r="D1790" t="inlineStr">
        <is>
          <t>Americas</t>
        </is>
      </c>
      <c r="E1790" t="inlineStr">
        <is>
          <t>XL</t>
        </is>
      </c>
      <c r="F1790" t="inlineStr">
        <is>
          <t>FC</t>
        </is>
      </c>
      <c r="G1790" t="inlineStr">
        <is>
          <t>VH</t>
        </is>
      </c>
      <c r="H1790" t="inlineStr">
        <is>
          <t>5</t>
        </is>
      </c>
      <c r="I1790" t="inlineStr">
        <is>
          <t>Public</t>
        </is>
      </c>
      <c r="J1790" t="inlineStr">
        <is>
          <t>81</t>
        </is>
      </c>
      <c r="K1790" t="inlineStr">
        <is>
          <t>76</t>
        </is>
      </c>
      <c r="L1790" t="inlineStr">
        <is>
          <t>63</t>
        </is>
      </c>
      <c r="M1790" t="inlineStr">
        <is>
          <t>80</t>
        </is>
      </c>
      <c r="N1790" t="inlineStr">
        <is>
          <t>72.7</t>
        </is>
      </c>
      <c r="O1790" t="inlineStr">
        <is>
          <t>69.2</t>
        </is>
      </c>
      <c r="P1790" t="n">
        <v>90.09999999999999</v>
      </c>
      <c r="Q1790" t="inlineStr">
        <is>
          <t>68</t>
        </is>
      </c>
      <c r="R1790" t="n">
        <v>74.8</v>
      </c>
      <c r="S1790" t="inlineStr">
        <is>
          <t>128</t>
        </is>
      </c>
      <c r="T1790" t="n">
        <v>49.2</v>
      </c>
      <c r="U1790" t="inlineStr">
        <is>
          <t>391</t>
        </is>
      </c>
      <c r="V1790" t="n">
        <v>69.2</v>
      </c>
      <c r="W1790" t="inlineStr">
        <is>
          <t>221</t>
        </is>
      </c>
      <c r="X1790" t="n">
        <v>14.7</v>
      </c>
      <c r="Y1790" t="inlineStr">
        <is>
          <t>801+</t>
        </is>
      </c>
      <c r="Z1790" t="n">
        <v>45.8</v>
      </c>
      <c r="AA1790" t="inlineStr">
        <is>
          <t>441</t>
        </is>
      </c>
      <c r="AB1790" t="n">
        <v>34.2</v>
      </c>
      <c r="AC1790" t="inlineStr">
        <is>
          <t>561</t>
        </is>
      </c>
      <c r="AD1790" t="n">
        <v>95</v>
      </c>
      <c r="AE1790" t="inlineStr">
        <is>
          <t>83</t>
        </is>
      </c>
      <c r="AF1790" t="n">
        <v>79.90000000000001</v>
      </c>
      <c r="AG1790" t="inlineStr">
        <is>
          <t>160</t>
        </is>
      </c>
      <c r="AH1790" t="n">
        <v>74.90000000000001</v>
      </c>
      <c r="AI1790" t="inlineStr">
        <is>
          <t>237=</t>
        </is>
      </c>
      <c r="AJ1790" t="inlineStr">
        <is>
          <t>84.0</t>
        </is>
      </c>
      <c r="AK1790" t="inlineStr">
        <is>
          <t>58</t>
        </is>
      </c>
      <c r="AL1790" t="inlineStr">
        <is>
          <t>50.4</t>
        </is>
      </c>
      <c r="AM1790" t="inlineStr">
        <is>
          <t>168</t>
        </is>
      </c>
      <c r="AN1790" t="inlineStr">
        <is>
          <t>19.1</t>
        </is>
      </c>
      <c r="AO1790" t="inlineStr">
        <is>
          <t>692</t>
        </is>
      </c>
      <c r="AP1790" t="inlineStr">
        <is>
          <t>93.5</t>
        </is>
      </c>
      <c r="AQ1790" t="inlineStr">
        <is>
          <t>62</t>
        </is>
      </c>
      <c r="AR1790" t="inlineStr">
        <is>
          <t>19.0</t>
        </is>
      </c>
      <c r="AS1790" t="inlineStr">
        <is>
          <t>600</t>
        </is>
      </c>
      <c r="AT1790" t="inlineStr">
        <is>
          <t>33.2</t>
        </is>
      </c>
      <c r="AU1790" t="inlineStr">
        <is>
          <t>392</t>
        </is>
      </c>
      <c r="AV1790" t="inlineStr">
        <is>
          <t>94.0</t>
        </is>
      </c>
      <c r="AW1790" t="inlineStr">
        <is>
          <t>59</t>
        </is>
      </c>
      <c r="AX1790" t="inlineStr">
        <is>
          <t>70</t>
        </is>
      </c>
      <c r="AY1790" t="inlineStr">
        <is>
          <t>74</t>
        </is>
      </c>
      <c r="AZ1790" t="inlineStr">
        <is>
          <t>88.1</t>
        </is>
      </c>
      <c r="BA1790" t="inlineStr">
        <is>
          <t>106=</t>
        </is>
      </c>
    </row>
    <row r="1791">
      <c r="A1791" t="inlineStr">
        <is>
          <t>University of Waterloo</t>
        </is>
      </c>
      <c r="B1791" t="inlineStr">
        <is>
          <t>Canada</t>
        </is>
      </c>
      <c r="C1791" t="inlineStr">
        <is>
          <t>CA</t>
        </is>
      </c>
      <c r="D1791" t="inlineStr">
        <is>
          <t>Americas</t>
        </is>
      </c>
      <c r="E1791" t="inlineStr">
        <is>
          <t>XL</t>
        </is>
      </c>
      <c r="F1791" t="inlineStr">
        <is>
          <t>CO</t>
        </is>
      </c>
      <c r="G1791" t="inlineStr">
        <is>
          <t>VH</t>
        </is>
      </c>
      <c r="H1791" t="inlineStr">
        <is>
          <t>4</t>
        </is>
      </c>
      <c r="I1791" t="inlineStr">
        <is>
          <t>Public</t>
        </is>
      </c>
      <c r="J1791" t="inlineStr">
        <is>
          <t>119</t>
        </is>
      </c>
      <c r="K1791" t="inlineStr">
        <is>
          <t>115</t>
        </is>
      </c>
      <c r="L1791" t="inlineStr">
        <is>
          <t>112</t>
        </is>
      </c>
      <c r="M1791" t="inlineStr">
        <is>
          <t>154</t>
        </is>
      </c>
      <c r="N1791" t="inlineStr">
        <is>
          <t>65.7</t>
        </is>
      </c>
      <c r="O1791" t="inlineStr">
        <is>
          <t>58.1</t>
        </is>
      </c>
      <c r="P1791" t="n">
        <v>53</v>
      </c>
      <c r="Q1791" t="inlineStr">
        <is>
          <t>209</t>
        </is>
      </c>
      <c r="R1791" t="n">
        <v>74.2</v>
      </c>
      <c r="S1791" t="inlineStr">
        <is>
          <t>130</t>
        </is>
      </c>
      <c r="T1791" t="n">
        <v>8.800000000000001</v>
      </c>
      <c r="U1791" t="inlineStr">
        <is>
          <t>801+</t>
        </is>
      </c>
      <c r="V1791" t="n">
        <v>88.3</v>
      </c>
      <c r="W1791" t="inlineStr">
        <is>
          <t>108</t>
        </is>
      </c>
      <c r="X1791" t="n">
        <v>81.5</v>
      </c>
      <c r="Y1791" t="inlineStr">
        <is>
          <t>283</t>
        </is>
      </c>
      <c r="Z1791" t="n">
        <v>76.59999999999999</v>
      </c>
      <c r="AA1791" t="inlineStr">
        <is>
          <t>247</t>
        </is>
      </c>
      <c r="AB1791" t="n">
        <v>78.90000000000001</v>
      </c>
      <c r="AC1791" t="inlineStr">
        <is>
          <t>219</t>
        </is>
      </c>
      <c r="AD1791" t="n">
        <v>83.5</v>
      </c>
      <c r="AE1791" t="inlineStr">
        <is>
          <t>285</t>
        </is>
      </c>
      <c r="AF1791" t="n">
        <v>72</v>
      </c>
      <c r="AG1791" t="inlineStr">
        <is>
          <t>201</t>
        </is>
      </c>
      <c r="AH1791" t="n">
        <v>90.5</v>
      </c>
      <c r="AI1791" t="inlineStr">
        <is>
          <t>60</t>
        </is>
      </c>
      <c r="AJ1791" t="inlineStr">
        <is>
          <t>40.7</t>
        </is>
      </c>
      <c r="AK1791" t="inlineStr">
        <is>
          <t>208</t>
        </is>
      </c>
      <c r="AL1791" t="inlineStr">
        <is>
          <t>66.7</t>
        </is>
      </c>
      <c r="AM1791" t="inlineStr">
        <is>
          <t>117</t>
        </is>
      </c>
      <c r="AN1791" t="inlineStr">
        <is>
          <t>6.8</t>
        </is>
      </c>
      <c r="AO1791" t="inlineStr">
        <is>
          <t>701+</t>
        </is>
      </c>
      <c r="AP1791" t="inlineStr">
        <is>
          <t>82.9</t>
        </is>
      </c>
      <c r="AQ1791" t="inlineStr">
        <is>
          <t>100</t>
        </is>
      </c>
      <c r="AR1791" t="inlineStr">
        <is>
          <t>76.8</t>
        </is>
      </c>
      <c r="AS1791" t="inlineStr">
        <is>
          <t>241</t>
        </is>
      </c>
      <c r="AT1791" t="inlineStr">
        <is>
          <t>77.9</t>
        </is>
      </c>
      <c r="AU1791" t="inlineStr">
        <is>
          <t>172</t>
        </is>
      </c>
      <c r="AV1791" t="inlineStr">
        <is>
          <t>55.4</t>
        </is>
      </c>
      <c r="AW1791" t="inlineStr">
        <is>
          <t>281</t>
        </is>
      </c>
      <c r="AX1791" t="inlineStr">
        <is>
          <t>55.9</t>
        </is>
      </c>
      <c r="AY1791" t="inlineStr">
        <is>
          <t>112</t>
        </is>
      </c>
      <c r="AZ1791" t="inlineStr">
        <is>
          <t>97.1</t>
        </is>
      </c>
      <c r="BA1791" t="inlineStr">
        <is>
          <t>36=</t>
        </is>
      </c>
    </row>
    <row r="1792">
      <c r="A1792" t="inlineStr">
        <is>
          <t>University of West Bohemia</t>
        </is>
      </c>
      <c r="B1792" t="inlineStr">
        <is>
          <t>Czech Republic</t>
        </is>
      </c>
      <c r="C1792" t="inlineStr">
        <is>
          <t>CZ</t>
        </is>
      </c>
      <c r="D1792" t="inlineStr">
        <is>
          <t>Europe</t>
        </is>
      </c>
      <c r="E1792" t="inlineStr">
        <is>
          <t>M</t>
        </is>
      </c>
      <c r="F1792" t="inlineStr">
        <is>
          <t>CO</t>
        </is>
      </c>
      <c r="G1792" t="inlineStr">
        <is>
          <t>VH</t>
        </is>
      </c>
      <c r="H1792" t="inlineStr">
        <is>
          <t>3</t>
        </is>
      </c>
      <c r="I1792" t="inlineStr">
        <is>
          <t>Public</t>
        </is>
      </c>
      <c r="J1792" t="inlineStr">
        <is>
          <t>1401+</t>
        </is>
      </c>
      <c r="K1792" t="inlineStr">
        <is>
          <t>1201-1400</t>
        </is>
      </c>
      <c r="L1792" t="inlineStr">
        <is>
          <t>1201-1400</t>
        </is>
      </c>
      <c r="M1792" t="inlineStr">
        <is>
          <t>1201-1400</t>
        </is>
      </c>
      <c r="N1792" t="inlineStr">
        <is>
          <t>-</t>
        </is>
      </c>
      <c r="O1792" t="inlineStr">
        <is>
          <t>-</t>
        </is>
      </c>
      <c r="P1792" t="n">
        <v>7.2</v>
      </c>
      <c r="Q1792" t="inlineStr">
        <is>
          <t>701+</t>
        </is>
      </c>
      <c r="R1792" t="n">
        <v>5.3</v>
      </c>
      <c r="S1792" t="inlineStr">
        <is>
          <t>701+</t>
        </is>
      </c>
      <c r="T1792" t="n">
        <v>12.5</v>
      </c>
      <c r="U1792" t="inlineStr">
        <is>
          <t>801+</t>
        </is>
      </c>
      <c r="V1792" t="n">
        <v>7.9</v>
      </c>
      <c r="W1792" t="inlineStr">
        <is>
          <t>801+</t>
        </is>
      </c>
      <c r="X1792" t="inlineStr"/>
      <c r="Y1792" t="inlineStr"/>
      <c r="Z1792" t="n">
        <v>6.2</v>
      </c>
      <c r="AA1792" t="inlineStr">
        <is>
          <t>801+</t>
        </is>
      </c>
      <c r="AB1792" t="n">
        <v>4.8</v>
      </c>
      <c r="AC1792" t="inlineStr">
        <is>
          <t>801+</t>
        </is>
      </c>
      <c r="AD1792" t="n">
        <v>40.9</v>
      </c>
      <c r="AE1792" t="inlineStr">
        <is>
          <t>801+</t>
        </is>
      </c>
      <c r="AF1792" t="n">
        <v>15.5</v>
      </c>
      <c r="AG1792" t="inlineStr">
        <is>
          <t>801+</t>
        </is>
      </c>
      <c r="AH1792" t="n">
        <v>19.5</v>
      </c>
      <c r="AI1792" t="inlineStr">
        <is>
          <t>801+</t>
        </is>
      </c>
      <c r="AJ1792" t="inlineStr">
        <is>
          <t>5.9</t>
        </is>
      </c>
      <c r="AK1792" t="inlineStr">
        <is>
          <t>601+</t>
        </is>
      </c>
      <c r="AL1792" t="inlineStr">
        <is>
          <t>2.0</t>
        </is>
      </c>
      <c r="AM1792" t="inlineStr">
        <is>
          <t>601+</t>
        </is>
      </c>
      <c r="AN1792" t="inlineStr">
        <is>
          <t>11.9</t>
        </is>
      </c>
      <c r="AO1792" t="inlineStr">
        <is>
          <t>701+</t>
        </is>
      </c>
      <c r="AP1792" t="inlineStr">
        <is>
          <t>4.3</t>
        </is>
      </c>
      <c r="AQ1792" t="inlineStr">
        <is>
          <t>701+</t>
        </is>
      </c>
      <c r="AR1792" t="inlineStr"/>
      <c r="AS1792" t="inlineStr"/>
      <c r="AT1792" t="inlineStr"/>
      <c r="AU1792" t="inlineStr"/>
      <c r="AV1792" t="inlineStr">
        <is>
          <t>2.7</t>
        </is>
      </c>
      <c r="AW1792" t="inlineStr">
        <is>
          <t>701+</t>
        </is>
      </c>
      <c r="AX1792" t="inlineStr">
        <is>
          <t>11.4</t>
        </is>
      </c>
      <c r="AY1792" t="inlineStr">
        <is>
          <t>701+</t>
        </is>
      </c>
      <c r="AZ1792" t="inlineStr">
        <is>
          <t>1</t>
        </is>
      </c>
      <c r="BA1792" t="inlineStr">
        <is>
          <t>701+</t>
        </is>
      </c>
    </row>
    <row r="1793">
      <c r="A1793" t="inlineStr">
        <is>
          <t>University of Westminster</t>
        </is>
      </c>
      <c r="B1793" t="inlineStr">
        <is>
          <t>United Kingdom</t>
        </is>
      </c>
      <c r="C1793" t="inlineStr">
        <is>
          <t>UK</t>
        </is>
      </c>
      <c r="D1793" t="inlineStr">
        <is>
          <t>Europe</t>
        </is>
      </c>
      <c r="E1793" t="inlineStr">
        <is>
          <t>L</t>
        </is>
      </c>
      <c r="F1793" t="inlineStr">
        <is>
          <t>CO</t>
        </is>
      </c>
      <c r="G1793" t="inlineStr">
        <is>
          <t>HI</t>
        </is>
      </c>
      <c r="H1793" t="inlineStr">
        <is>
          <t>3</t>
        </is>
      </c>
      <c r="I1793" t="inlineStr">
        <is>
          <t>Public</t>
        </is>
      </c>
      <c r="J1793" t="inlineStr">
        <is>
          <t>801-850</t>
        </is>
      </c>
      <c r="K1793" t="inlineStr">
        <is>
          <t>741-750</t>
        </is>
      </c>
      <c r="L1793" t="inlineStr">
        <is>
          <t>711-720</t>
        </is>
      </c>
      <c r="M1793" t="inlineStr">
        <is>
          <t>701-750</t>
        </is>
      </c>
      <c r="N1793" t="inlineStr">
        <is>
          <t>-</t>
        </is>
      </c>
      <c r="O1793" t="inlineStr">
        <is>
          <t>-</t>
        </is>
      </c>
      <c r="P1793" t="n">
        <v>12.3</v>
      </c>
      <c r="Q1793" t="inlineStr">
        <is>
          <t>701+</t>
        </is>
      </c>
      <c r="R1793" t="n">
        <v>11.4</v>
      </c>
      <c r="S1793" t="inlineStr">
        <is>
          <t>701+</t>
        </is>
      </c>
      <c r="T1793" t="n">
        <v>7.1</v>
      </c>
      <c r="U1793" t="inlineStr">
        <is>
          <t>801+</t>
        </is>
      </c>
      <c r="V1793" t="n">
        <v>9</v>
      </c>
      <c r="W1793" t="inlineStr">
        <is>
          <t>801+</t>
        </is>
      </c>
      <c r="X1793" t="n">
        <v>85.2</v>
      </c>
      <c r="Y1793" t="inlineStr">
        <is>
          <t>257</t>
        </is>
      </c>
      <c r="Z1793" t="n">
        <v>99.2</v>
      </c>
      <c r="AA1793" t="inlineStr">
        <is>
          <t>65</t>
        </is>
      </c>
      <c r="AB1793" t="n">
        <v>99.2</v>
      </c>
      <c r="AC1793" t="inlineStr">
        <is>
          <t>54</t>
        </is>
      </c>
      <c r="AD1793" t="n">
        <v>37.6</v>
      </c>
      <c r="AE1793" t="inlineStr">
        <is>
          <t>801+</t>
        </is>
      </c>
      <c r="AF1793" t="n">
        <v>34.2</v>
      </c>
      <c r="AG1793" t="inlineStr">
        <is>
          <t>498</t>
        </is>
      </c>
      <c r="AH1793" t="n">
        <v>40.3</v>
      </c>
      <c r="AI1793" t="inlineStr">
        <is>
          <t>801+</t>
        </is>
      </c>
      <c r="AJ1793" t="inlineStr">
        <is>
          <t>12.9</t>
        </is>
      </c>
      <c r="AK1793" t="inlineStr">
        <is>
          <t>601+</t>
        </is>
      </c>
      <c r="AL1793" t="inlineStr">
        <is>
          <t>6.7</t>
        </is>
      </c>
      <c r="AM1793" t="inlineStr">
        <is>
          <t>601+</t>
        </is>
      </c>
      <c r="AN1793" t="inlineStr">
        <is>
          <t>5.9</t>
        </is>
      </c>
      <c r="AO1793" t="inlineStr">
        <is>
          <t>701+</t>
        </is>
      </c>
      <c r="AP1793" t="inlineStr">
        <is>
          <t>6.0</t>
        </is>
      </c>
      <c r="AQ1793" t="inlineStr">
        <is>
          <t>701+</t>
        </is>
      </c>
      <c r="AR1793" t="inlineStr">
        <is>
          <t>78.4</t>
        </is>
      </c>
      <c r="AS1793" t="inlineStr">
        <is>
          <t>235</t>
        </is>
      </c>
      <c r="AT1793" t="inlineStr">
        <is>
          <t>100.0</t>
        </is>
      </c>
      <c r="AU1793" t="inlineStr">
        <is>
          <t>28</t>
        </is>
      </c>
      <c r="AV1793" t="inlineStr">
        <is>
          <t>1.9</t>
        </is>
      </c>
      <c r="AW1793" t="inlineStr">
        <is>
          <t>701+</t>
        </is>
      </c>
      <c r="AX1793" t="inlineStr">
        <is>
          <t>16.3</t>
        </is>
      </c>
      <c r="AY1793" t="inlineStr">
        <is>
          <t>515</t>
        </is>
      </c>
      <c r="AZ1793" t="inlineStr">
        <is>
          <t>1.9</t>
        </is>
      </c>
      <c r="BA1793" t="inlineStr">
        <is>
          <t>701+</t>
        </is>
      </c>
    </row>
    <row r="1794">
      <c r="A1794" t="inlineStr">
        <is>
          <t>University of Windsor</t>
        </is>
      </c>
      <c r="B1794" t="inlineStr">
        <is>
          <t>Canada</t>
        </is>
      </c>
      <c r="C1794" t="inlineStr">
        <is>
          <t>CA</t>
        </is>
      </c>
      <c r="D1794" t="inlineStr">
        <is>
          <t>Americas</t>
        </is>
      </c>
      <c r="E1794" t="inlineStr">
        <is>
          <t>L</t>
        </is>
      </c>
      <c r="F1794" t="inlineStr">
        <is>
          <t>CO</t>
        </is>
      </c>
      <c r="G1794" t="inlineStr">
        <is>
          <t>VH</t>
        </is>
      </c>
      <c r="H1794" t="inlineStr">
        <is>
          <t>5</t>
        </is>
      </c>
      <c r="I1794" t="inlineStr">
        <is>
          <t>Public</t>
        </is>
      </c>
      <c r="J1794" t="inlineStr">
        <is>
          <t>546</t>
        </is>
      </c>
      <c r="K1794" t="inlineStr">
        <is>
          <t>547</t>
        </is>
      </c>
      <c r="L1794" t="inlineStr">
        <is>
          <t>641-650</t>
        </is>
      </c>
      <c r="M1794" t="inlineStr">
        <is>
          <t>751-800</t>
        </is>
      </c>
      <c r="N1794" t="inlineStr">
        <is>
          <t>30.2</t>
        </is>
      </c>
      <c r="O1794" t="inlineStr">
        <is>
          <t>-</t>
        </is>
      </c>
      <c r="P1794" t="n">
        <v>5.1</v>
      </c>
      <c r="Q1794" t="inlineStr">
        <is>
          <t>701+</t>
        </is>
      </c>
      <c r="R1794" t="n">
        <v>7.1</v>
      </c>
      <c r="S1794" t="inlineStr">
        <is>
          <t>701+</t>
        </is>
      </c>
      <c r="T1794" t="n">
        <v>2.7</v>
      </c>
      <c r="U1794" t="inlineStr">
        <is>
          <t>801+</t>
        </is>
      </c>
      <c r="V1794" t="n">
        <v>58.2</v>
      </c>
      <c r="W1794" t="inlineStr">
        <is>
          <t>299</t>
        </is>
      </c>
      <c r="X1794" t="n">
        <v>89.40000000000001</v>
      </c>
      <c r="Y1794" t="inlineStr">
        <is>
          <t>228</t>
        </is>
      </c>
      <c r="Z1794" t="n">
        <v>94.59999999999999</v>
      </c>
      <c r="AA1794" t="inlineStr">
        <is>
          <t>132</t>
        </is>
      </c>
      <c r="AB1794" t="n">
        <v>95</v>
      </c>
      <c r="AC1794" t="inlineStr">
        <is>
          <t>110</t>
        </is>
      </c>
      <c r="AD1794" t="n">
        <v>49.5</v>
      </c>
      <c r="AE1794" t="inlineStr">
        <is>
          <t>801+</t>
        </is>
      </c>
      <c r="AF1794" t="n">
        <v>34.4</v>
      </c>
      <c r="AG1794" t="inlineStr">
        <is>
          <t>497</t>
        </is>
      </c>
      <c r="AH1794" t="n">
        <v>68.7</v>
      </c>
      <c r="AI1794" t="inlineStr">
        <is>
          <t>339=</t>
        </is>
      </c>
      <c r="AJ1794" t="inlineStr">
        <is>
          <t>3.6</t>
        </is>
      </c>
      <c r="AK1794" t="inlineStr">
        <is>
          <t>601+</t>
        </is>
      </c>
      <c r="AL1794" t="inlineStr">
        <is>
          <t>4.8</t>
        </is>
      </c>
      <c r="AM1794" t="inlineStr">
        <is>
          <t>601+</t>
        </is>
      </c>
      <c r="AN1794" t="inlineStr">
        <is>
          <t>2.3</t>
        </is>
      </c>
      <c r="AO1794" t="inlineStr">
        <is>
          <t>701+</t>
        </is>
      </c>
      <c r="AP1794" t="inlineStr">
        <is>
          <t>33.1</t>
        </is>
      </c>
      <c r="AQ1794" t="inlineStr">
        <is>
          <t>411</t>
        </is>
      </c>
      <c r="AR1794" t="inlineStr">
        <is>
          <t>87.6</t>
        </is>
      </c>
      <c r="AS1794" t="inlineStr">
        <is>
          <t>195</t>
        </is>
      </c>
      <c r="AT1794" t="inlineStr">
        <is>
          <t>75.1</t>
        </is>
      </c>
      <c r="AU1794" t="inlineStr">
        <is>
          <t>184</t>
        </is>
      </c>
      <c r="AV1794" t="inlineStr">
        <is>
          <t>6.1</t>
        </is>
      </c>
      <c r="AW1794" t="inlineStr">
        <is>
          <t>701+</t>
        </is>
      </c>
      <c r="AX1794" t="inlineStr">
        <is>
          <t>20.4</t>
        </is>
      </c>
      <c r="AY1794" t="inlineStr">
        <is>
          <t>409</t>
        </is>
      </c>
      <c r="AZ1794" t="inlineStr">
        <is>
          <t>6.4</t>
        </is>
      </c>
      <c r="BA1794" t="inlineStr">
        <is>
          <t>701+</t>
        </is>
      </c>
    </row>
    <row r="1795">
      <c r="A1795" t="inlineStr">
        <is>
          <t>University of Wisconsin-Madison</t>
        </is>
      </c>
      <c r="B1795" t="inlineStr">
        <is>
          <t>United States</t>
        </is>
      </c>
      <c r="C1795" t="inlineStr">
        <is>
          <t>US</t>
        </is>
      </c>
      <c r="D1795" t="inlineStr">
        <is>
          <t>Americas</t>
        </is>
      </c>
      <c r="E1795" t="inlineStr">
        <is>
          <t>XL</t>
        </is>
      </c>
      <c r="F1795" t="inlineStr">
        <is>
          <t>FC</t>
        </is>
      </c>
      <c r="G1795" t="inlineStr">
        <is>
          <t>VH</t>
        </is>
      </c>
      <c r="H1795" t="inlineStr">
        <is>
          <t>5</t>
        </is>
      </c>
      <c r="I1795" t="inlineStr">
        <is>
          <t>Public</t>
        </is>
      </c>
      <c r="J1795" t="inlineStr">
        <is>
          <t>110</t>
        </is>
      </c>
      <c r="K1795" t="inlineStr">
        <is>
          <t>116</t>
        </is>
      </c>
      <c r="L1795" t="inlineStr">
        <is>
          <t>102</t>
        </is>
      </c>
      <c r="M1795" t="inlineStr">
        <is>
          <t>83=</t>
        </is>
      </c>
      <c r="N1795" t="inlineStr">
        <is>
          <t>66.6</t>
        </is>
      </c>
      <c r="O1795" t="inlineStr">
        <is>
          <t>60.0</t>
        </is>
      </c>
      <c r="P1795" t="n">
        <v>85.7</v>
      </c>
      <c r="Q1795" t="inlineStr">
        <is>
          <t>78</t>
        </is>
      </c>
      <c r="R1795" t="n">
        <v>63.1</v>
      </c>
      <c r="S1795" t="inlineStr">
        <is>
          <t>172</t>
        </is>
      </c>
      <c r="T1795" t="n">
        <v>84.3</v>
      </c>
      <c r="U1795" t="inlineStr">
        <is>
          <t>141</t>
        </is>
      </c>
      <c r="V1795" t="n">
        <v>28.1</v>
      </c>
      <c r="W1795" t="inlineStr">
        <is>
          <t>606</t>
        </is>
      </c>
      <c r="X1795" t="n">
        <v>57.7</v>
      </c>
      <c r="Y1795" t="inlineStr">
        <is>
          <t>400</t>
        </is>
      </c>
      <c r="Z1795" t="n">
        <v>37</v>
      </c>
      <c r="AA1795" t="inlineStr">
        <is>
          <t>527</t>
        </is>
      </c>
      <c r="AB1795" t="n">
        <v>42.6</v>
      </c>
      <c r="AC1795" t="inlineStr">
        <is>
          <t>488</t>
        </is>
      </c>
      <c r="AD1795" t="n">
        <v>88.90000000000001</v>
      </c>
      <c r="AE1795" t="inlineStr">
        <is>
          <t>192</t>
        </is>
      </c>
      <c r="AF1795" t="n">
        <v>91</v>
      </c>
      <c r="AG1795" t="inlineStr">
        <is>
          <t>96</t>
        </is>
      </c>
      <c r="AH1795" t="n">
        <v>72.5</v>
      </c>
      <c r="AI1795" t="inlineStr">
        <is>
          <t>281=</t>
        </is>
      </c>
      <c r="AJ1795" t="inlineStr">
        <is>
          <t>80.2</t>
        </is>
      </c>
      <c r="AK1795" t="inlineStr">
        <is>
          <t>71</t>
        </is>
      </c>
      <c r="AL1795" t="inlineStr">
        <is>
          <t>47.8</t>
        </is>
      </c>
      <c r="AM1795" t="inlineStr">
        <is>
          <t>182</t>
        </is>
      </c>
      <c r="AN1795" t="inlineStr">
        <is>
          <t>61.3</t>
        </is>
      </c>
      <c r="AO1795" t="inlineStr">
        <is>
          <t>229</t>
        </is>
      </c>
      <c r="AP1795" t="inlineStr">
        <is>
          <t>37.4</t>
        </is>
      </c>
      <c r="AQ1795" t="inlineStr">
        <is>
          <t>376</t>
        </is>
      </c>
      <c r="AR1795" t="inlineStr">
        <is>
          <t>30.9</t>
        </is>
      </c>
      <c r="AS1795" t="inlineStr">
        <is>
          <t>483</t>
        </is>
      </c>
      <c r="AT1795" t="inlineStr">
        <is>
          <t>22.8</t>
        </is>
      </c>
      <c r="AU1795" t="inlineStr">
        <is>
          <t>501</t>
        </is>
      </c>
      <c r="AV1795" t="inlineStr">
        <is>
          <t>83.6</t>
        </is>
      </c>
      <c r="AW1795" t="inlineStr">
        <is>
          <t>126</t>
        </is>
      </c>
      <c r="AX1795" t="inlineStr">
        <is>
          <t>73.1</t>
        </is>
      </c>
      <c r="AY1795" t="inlineStr">
        <is>
          <t>61</t>
        </is>
      </c>
      <c r="AZ1795" t="inlineStr">
        <is>
          <t>83.7</t>
        </is>
      </c>
      <c r="BA1795" t="inlineStr">
        <is>
          <t>126=</t>
        </is>
      </c>
    </row>
    <row r="1796">
      <c r="A1796" t="inlineStr">
        <is>
          <t>University of Wisconsin Milwaukee</t>
        </is>
      </c>
      <c r="B1796" t="inlineStr">
        <is>
          <t>United States</t>
        </is>
      </c>
      <c r="C1796" t="inlineStr">
        <is>
          <t>US</t>
        </is>
      </c>
      <c r="D1796" t="inlineStr">
        <is>
          <t>Americas</t>
        </is>
      </c>
      <c r="E1796" t="inlineStr">
        <is>
          <t>L</t>
        </is>
      </c>
      <c r="F1796" t="inlineStr">
        <is>
          <t>CO</t>
        </is>
      </c>
      <c r="G1796" t="inlineStr">
        <is>
          <t>VH</t>
        </is>
      </c>
      <c r="H1796" t="inlineStr">
        <is>
          <t>5</t>
        </is>
      </c>
      <c r="I1796" t="inlineStr">
        <is>
          <t>Public</t>
        </is>
      </c>
      <c r="J1796" t="inlineStr">
        <is>
          <t>1201-1400</t>
        </is>
      </c>
      <c r="K1796" t="inlineStr">
        <is>
          <t>1201-1400</t>
        </is>
      </c>
      <c r="L1796" t="inlineStr">
        <is>
          <t>1001-1200</t>
        </is>
      </c>
      <c r="M1796" t="inlineStr">
        <is>
          <t>1001-1200</t>
        </is>
      </c>
      <c r="N1796" t="inlineStr">
        <is>
          <t>-</t>
        </is>
      </c>
      <c r="O1796" t="inlineStr">
        <is>
          <t>-</t>
        </is>
      </c>
      <c r="P1796" t="n">
        <v>9</v>
      </c>
      <c r="Q1796" t="inlineStr">
        <is>
          <t>701+</t>
        </is>
      </c>
      <c r="R1796" t="n">
        <v>3.8</v>
      </c>
      <c r="S1796" t="inlineStr">
        <is>
          <t>701+</t>
        </is>
      </c>
      <c r="T1796" t="n">
        <v>13.8</v>
      </c>
      <c r="U1796" t="inlineStr">
        <is>
          <t>801+</t>
        </is>
      </c>
      <c r="V1796" t="n">
        <v>15.3</v>
      </c>
      <c r="W1796" t="inlineStr">
        <is>
          <t>801+</t>
        </is>
      </c>
      <c r="X1796" t="n">
        <v>11.8</v>
      </c>
      <c r="Y1796" t="inlineStr">
        <is>
          <t>801+</t>
        </is>
      </c>
      <c r="Z1796" t="n">
        <v>12.4</v>
      </c>
      <c r="AA1796" t="inlineStr">
        <is>
          <t>801+</t>
        </is>
      </c>
      <c r="AB1796" t="n">
        <v>9.4</v>
      </c>
      <c r="AC1796" t="inlineStr">
        <is>
          <t>801+</t>
        </is>
      </c>
      <c r="AD1796" t="n">
        <v>37</v>
      </c>
      <c r="AE1796" t="inlineStr">
        <is>
          <t>801+</t>
        </is>
      </c>
      <c r="AF1796" t="n">
        <v>16</v>
      </c>
      <c r="AG1796" t="inlineStr">
        <is>
          <t>801+</t>
        </is>
      </c>
      <c r="AH1796" t="n">
        <v>46.3</v>
      </c>
      <c r="AI1796" t="inlineStr">
        <is>
          <t>801+</t>
        </is>
      </c>
      <c r="AJ1796" t="inlineStr">
        <is>
          <t>8.3</t>
        </is>
      </c>
      <c r="AK1796" t="inlineStr">
        <is>
          <t>601+</t>
        </is>
      </c>
      <c r="AL1796" t="inlineStr">
        <is>
          <t>2.7</t>
        </is>
      </c>
      <c r="AM1796" t="inlineStr">
        <is>
          <t>601+</t>
        </is>
      </c>
      <c r="AN1796" t="inlineStr">
        <is>
          <t>8.8</t>
        </is>
      </c>
      <c r="AO1796" t="inlineStr">
        <is>
          <t>701+</t>
        </is>
      </c>
      <c r="AP1796" t="inlineStr">
        <is>
          <t>13.4</t>
        </is>
      </c>
      <c r="AQ1796" t="inlineStr">
        <is>
          <t>671</t>
        </is>
      </c>
      <c r="AR1796" t="inlineStr">
        <is>
          <t>6.6</t>
        </is>
      </c>
      <c r="AS1796" t="inlineStr">
        <is>
          <t>701+</t>
        </is>
      </c>
      <c r="AT1796" t="inlineStr">
        <is>
          <t>3.9</t>
        </is>
      </c>
      <c r="AU1796" t="inlineStr">
        <is>
          <t>701+</t>
        </is>
      </c>
      <c r="AV1796" t="inlineStr">
        <is>
          <t>4.1</t>
        </is>
      </c>
      <c r="AW1796" t="inlineStr">
        <is>
          <t>701+</t>
        </is>
      </c>
      <c r="AX1796" t="inlineStr">
        <is>
          <t>10.2</t>
        </is>
      </c>
      <c r="AY1796" t="inlineStr">
        <is>
          <t>701+</t>
        </is>
      </c>
      <c r="AZ1796" t="inlineStr">
        <is>
          <t>11.8</t>
        </is>
      </c>
      <c r="BA1796" t="inlineStr">
        <is>
          <t>644=</t>
        </is>
      </c>
    </row>
    <row r="1797">
      <c r="A1797" t="inlineStr">
        <is>
          <t>University of Witwatersrand</t>
        </is>
      </c>
      <c r="B1797" t="inlineStr">
        <is>
          <t>South Africa</t>
        </is>
      </c>
      <c r="C1797" t="inlineStr">
        <is>
          <t>ZA</t>
        </is>
      </c>
      <c r="D1797" t="inlineStr"/>
      <c r="E1797" t="inlineStr">
        <is>
          <t>L</t>
        </is>
      </c>
      <c r="F1797" t="inlineStr">
        <is>
          <t>FC</t>
        </is>
      </c>
      <c r="G1797" t="inlineStr">
        <is>
          <t>VH</t>
        </is>
      </c>
      <c r="H1797" t="inlineStr">
        <is>
          <t>5</t>
        </is>
      </c>
      <c r="I1797" t="inlineStr">
        <is>
          <t>A</t>
        </is>
      </c>
      <c r="J1797" t="inlineStr"/>
      <c r="K1797" t="inlineStr"/>
      <c r="L1797">
        <f>264</f>
        <v/>
      </c>
      <c r="M1797" t="inlineStr">
        <is>
          <t>428=</t>
        </is>
      </c>
      <c r="N1797" t="inlineStr"/>
      <c r="O1797" t="inlineStr">
        <is>
          <t>37.9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>
        <is>
          <t>25.7</t>
        </is>
      </c>
      <c r="AK1797" t="inlineStr">
        <is>
          <t>341</t>
        </is>
      </c>
      <c r="AL1797" t="inlineStr">
        <is>
          <t>43.0</t>
        </is>
      </c>
      <c r="AM1797" t="inlineStr">
        <is>
          <t>214</t>
        </is>
      </c>
      <c r="AN1797" t="inlineStr">
        <is>
          <t>10.9</t>
        </is>
      </c>
      <c r="AO1797" t="inlineStr">
        <is>
          <t>701+</t>
        </is>
      </c>
      <c r="AP1797" t="inlineStr">
        <is>
          <t>27.7</t>
        </is>
      </c>
      <c r="AQ1797" t="inlineStr">
        <is>
          <t>453</t>
        </is>
      </c>
      <c r="AR1797" t="inlineStr">
        <is>
          <t>79.9</t>
        </is>
      </c>
      <c r="AS1797" t="inlineStr">
        <is>
          <t>229</t>
        </is>
      </c>
      <c r="AT1797" t="inlineStr">
        <is>
          <t>7.5</t>
        </is>
      </c>
      <c r="AU1797" t="inlineStr">
        <is>
          <t>701+</t>
        </is>
      </c>
      <c r="AV1797" t="inlineStr">
        <is>
          <t>92.4</t>
        </is>
      </c>
      <c r="AW1797" t="inlineStr">
        <is>
          <t>65</t>
        </is>
      </c>
      <c r="AX1797" t="inlineStr">
        <is>
          <t>96.7</t>
        </is>
      </c>
      <c r="AY1797" t="inlineStr">
        <is>
          <t>21</t>
        </is>
      </c>
      <c r="AZ1797" t="inlineStr">
        <is>
          <t>62.5</t>
        </is>
      </c>
      <c r="BA1797" t="inlineStr">
        <is>
          <t>239=</t>
        </is>
      </c>
    </row>
    <row r="1798">
      <c r="A1798" t="inlineStr">
        <is>
          <t>University of Wollongong</t>
        </is>
      </c>
      <c r="B1798" t="inlineStr">
        <is>
          <t>Australia</t>
        </is>
      </c>
      <c r="C1798" t="inlineStr">
        <is>
          <t>AU</t>
        </is>
      </c>
      <c r="D1798" t="inlineStr">
        <is>
          <t>Oceania</t>
        </is>
      </c>
      <c r="E1798" t="inlineStr">
        <is>
          <t>L</t>
        </is>
      </c>
      <c r="F1798" t="inlineStr">
        <is>
          <t>FC</t>
        </is>
      </c>
      <c r="G1798" t="inlineStr">
        <is>
          <t>VH</t>
        </is>
      </c>
      <c r="H1798" t="inlineStr">
        <is>
          <t>3</t>
        </is>
      </c>
      <c r="I1798" t="inlineStr">
        <is>
          <t>Public</t>
        </is>
      </c>
      <c r="J1798" t="inlineStr">
        <is>
          <t>184</t>
        </is>
      </c>
      <c r="K1798" t="inlineStr">
        <is>
          <t>167</t>
        </is>
      </c>
      <c r="L1798" t="inlineStr">
        <is>
          <t>162</t>
        </is>
      </c>
      <c r="M1798" t="inlineStr">
        <is>
          <t>185=</t>
        </is>
      </c>
      <c r="N1798" t="inlineStr">
        <is>
          <t>57.5</t>
        </is>
      </c>
      <c r="O1798" t="inlineStr">
        <is>
          <t>50.1</t>
        </is>
      </c>
      <c r="P1798" t="n">
        <v>41.6</v>
      </c>
      <c r="Q1798" t="inlineStr">
        <is>
          <t>287</t>
        </is>
      </c>
      <c r="R1798" t="n">
        <v>33.1</v>
      </c>
      <c r="S1798" t="inlineStr">
        <is>
          <t>434</t>
        </is>
      </c>
      <c r="T1798" t="n">
        <v>21.1</v>
      </c>
      <c r="U1798" t="inlineStr">
        <is>
          <t>801+</t>
        </is>
      </c>
      <c r="V1798" t="n">
        <v>95.59999999999999</v>
      </c>
      <c r="W1798" t="inlineStr">
        <is>
          <t>66</t>
        </is>
      </c>
      <c r="X1798" t="n">
        <v>99.5</v>
      </c>
      <c r="Y1798" t="inlineStr">
        <is>
          <t>113</t>
        </is>
      </c>
      <c r="Z1798" t="n">
        <v>82.2</v>
      </c>
      <c r="AA1798" t="inlineStr">
        <is>
          <t>211</t>
        </is>
      </c>
      <c r="AB1798" t="n">
        <v>83.8</v>
      </c>
      <c r="AC1798" t="inlineStr">
        <is>
          <t>179</t>
        </is>
      </c>
      <c r="AD1798" t="n">
        <v>88.59999999999999</v>
      </c>
      <c r="AE1798" t="inlineStr">
        <is>
          <t>197</t>
        </is>
      </c>
      <c r="AF1798" t="n">
        <v>25.8</v>
      </c>
      <c r="AG1798" t="inlineStr">
        <is>
          <t>626</t>
        </is>
      </c>
      <c r="AH1798" t="n">
        <v>86.09999999999999</v>
      </c>
      <c r="AI1798" t="inlineStr">
        <is>
          <t>98=</t>
        </is>
      </c>
      <c r="AJ1798" t="inlineStr">
        <is>
          <t>29.7</t>
        </is>
      </c>
      <c r="AK1798" t="inlineStr">
        <is>
          <t>290</t>
        </is>
      </c>
      <c r="AL1798" t="inlineStr">
        <is>
          <t>25.1</t>
        </is>
      </c>
      <c r="AM1798" t="inlineStr">
        <is>
          <t>382</t>
        </is>
      </c>
      <c r="AN1798" t="inlineStr">
        <is>
          <t>16.3</t>
        </is>
      </c>
      <c r="AO1798" t="inlineStr">
        <is>
          <t>701+</t>
        </is>
      </c>
      <c r="AP1798" t="inlineStr">
        <is>
          <t>93.8</t>
        </is>
      </c>
      <c r="AQ1798" t="inlineStr">
        <is>
          <t>60</t>
        </is>
      </c>
      <c r="AR1798" t="inlineStr">
        <is>
          <t>95.6</t>
        </is>
      </c>
      <c r="AS1798" t="inlineStr">
        <is>
          <t>146</t>
        </is>
      </c>
      <c r="AT1798" t="inlineStr">
        <is>
          <t>56.0</t>
        </is>
      </c>
      <c r="AU1798" t="inlineStr">
        <is>
          <t>265</t>
        </is>
      </c>
      <c r="AV1798" t="inlineStr">
        <is>
          <t>72.7</t>
        </is>
      </c>
      <c r="AW1798" t="inlineStr">
        <is>
          <t>186</t>
        </is>
      </c>
      <c r="AX1798" t="inlineStr">
        <is>
          <t>17.1</t>
        </is>
      </c>
      <c r="AY1798" t="inlineStr">
        <is>
          <t>492</t>
        </is>
      </c>
      <c r="AZ1798" t="inlineStr">
        <is>
          <t>92.3</t>
        </is>
      </c>
      <c r="BA1798" t="inlineStr">
        <is>
          <t>75=</t>
        </is>
      </c>
    </row>
    <row r="1799">
      <c r="A1799" t="inlineStr">
        <is>
          <t>University of Wolverhampton</t>
        </is>
      </c>
      <c r="B1799" t="inlineStr">
        <is>
          <t>United Kingdom</t>
        </is>
      </c>
      <c r="C1799" t="inlineStr">
        <is>
          <t>UK</t>
        </is>
      </c>
      <c r="D1799" t="inlineStr">
        <is>
          <t>Europe</t>
        </is>
      </c>
      <c r="E1799" t="inlineStr">
        <is>
          <t>L</t>
        </is>
      </c>
      <c r="F1799" t="inlineStr">
        <is>
          <t>CO</t>
        </is>
      </c>
      <c r="G1799" t="inlineStr">
        <is>
          <t>HI</t>
        </is>
      </c>
      <c r="H1799" t="inlineStr">
        <is>
          <t>5</t>
        </is>
      </c>
      <c r="I1799" t="inlineStr">
        <is>
          <t>Public</t>
        </is>
      </c>
      <c r="J1799" t="inlineStr">
        <is>
          <t>1001-1200</t>
        </is>
      </c>
      <c r="K1799" t="inlineStr">
        <is>
          <t>1001-1200</t>
        </is>
      </c>
      <c r="L1799" t="inlineStr">
        <is>
          <t>1001-1200</t>
        </is>
      </c>
      <c r="M1799" t="inlineStr">
        <is>
          <t>1001-1200</t>
        </is>
      </c>
      <c r="N1799" t="inlineStr">
        <is>
          <t>-</t>
        </is>
      </c>
      <c r="O1799" t="inlineStr">
        <is>
          <t>-</t>
        </is>
      </c>
      <c r="P1799" t="n">
        <v>3.1</v>
      </c>
      <c r="Q1799" t="inlineStr">
        <is>
          <t>701+</t>
        </is>
      </c>
      <c r="R1799" t="n">
        <v>3.7</v>
      </c>
      <c r="S1799" t="inlineStr">
        <is>
          <t>701+</t>
        </is>
      </c>
      <c r="T1799" t="n">
        <v>14</v>
      </c>
      <c r="U1799" t="inlineStr">
        <is>
          <t>801+</t>
        </is>
      </c>
      <c r="V1799" t="n">
        <v>14.9</v>
      </c>
      <c r="W1799" t="inlineStr">
        <is>
          <t>801+</t>
        </is>
      </c>
      <c r="X1799" t="n">
        <v>40.8</v>
      </c>
      <c r="Y1799" t="inlineStr">
        <is>
          <t>493</t>
        </is>
      </c>
      <c r="Z1799" t="n">
        <v>78.90000000000001</v>
      </c>
      <c r="AA1799" t="inlineStr">
        <is>
          <t>228</t>
        </is>
      </c>
      <c r="AB1799" t="n">
        <v>80.90000000000001</v>
      </c>
      <c r="AC1799" t="inlineStr">
        <is>
          <t>198</t>
        </is>
      </c>
      <c r="AD1799" t="n">
        <v>55.7</v>
      </c>
      <c r="AE1799" t="inlineStr">
        <is>
          <t>756</t>
        </is>
      </c>
      <c r="AF1799" t="n">
        <v>5.9</v>
      </c>
      <c r="AG1799" t="inlineStr">
        <is>
          <t>801+</t>
        </is>
      </c>
      <c r="AH1799" t="n">
        <v>31</v>
      </c>
      <c r="AI1799" t="inlineStr">
        <is>
          <t>801+</t>
        </is>
      </c>
      <c r="AJ1799" t="inlineStr">
        <is>
          <t>3.4</t>
        </is>
      </c>
      <c r="AK1799" t="inlineStr">
        <is>
          <t>601+</t>
        </is>
      </c>
      <c r="AL1799" t="inlineStr">
        <is>
          <t>3.2</t>
        </is>
      </c>
      <c r="AM1799" t="inlineStr">
        <is>
          <t>601+</t>
        </is>
      </c>
      <c r="AN1799" t="inlineStr">
        <is>
          <t>10.4</t>
        </is>
      </c>
      <c r="AO1799" t="inlineStr">
        <is>
          <t>701+</t>
        </is>
      </c>
      <c r="AP1799" t="inlineStr">
        <is>
          <t>9.4</t>
        </is>
      </c>
      <c r="AQ1799" t="inlineStr">
        <is>
          <t>701+</t>
        </is>
      </c>
      <c r="AR1799" t="inlineStr">
        <is>
          <t>34.7</t>
        </is>
      </c>
      <c r="AS1799" t="inlineStr">
        <is>
          <t>457</t>
        </is>
      </c>
      <c r="AT1799" t="inlineStr">
        <is>
          <t>72.1</t>
        </is>
      </c>
      <c r="AU1799" t="inlineStr">
        <is>
          <t>200</t>
        </is>
      </c>
      <c r="AV1799" t="inlineStr">
        <is>
          <t>3.7</t>
        </is>
      </c>
      <c r="AW1799" t="inlineStr">
        <is>
          <t>701+</t>
        </is>
      </c>
      <c r="AX1799" t="inlineStr">
        <is>
          <t>8.8</t>
        </is>
      </c>
      <c r="AY1799" t="inlineStr">
        <is>
          <t>701+</t>
        </is>
      </c>
      <c r="AZ1799" t="inlineStr">
        <is>
          <t>1.4</t>
        </is>
      </c>
      <c r="BA1799" t="inlineStr">
        <is>
          <t>701+</t>
        </is>
      </c>
    </row>
    <row r="1800">
      <c r="A1800" t="inlineStr">
        <is>
          <t>University of Wroclaw</t>
        </is>
      </c>
      <c r="B1800" t="inlineStr">
        <is>
          <t>Poland</t>
        </is>
      </c>
      <c r="C1800" t="inlineStr">
        <is>
          <t>PL</t>
        </is>
      </c>
      <c r="D1800" t="inlineStr">
        <is>
          <t>Europe</t>
        </is>
      </c>
      <c r="E1800" t="inlineStr">
        <is>
          <t>L</t>
        </is>
      </c>
      <c r="F1800" t="inlineStr">
        <is>
          <t>CO</t>
        </is>
      </c>
      <c r="G1800" t="inlineStr">
        <is>
          <t>VH</t>
        </is>
      </c>
      <c r="H1800" t="inlineStr">
        <is>
          <t>4</t>
        </is>
      </c>
      <c r="I1800" t="inlineStr">
        <is>
          <t>Public</t>
        </is>
      </c>
      <c r="J1800" t="inlineStr">
        <is>
          <t>801-850</t>
        </is>
      </c>
      <c r="K1800" t="inlineStr">
        <is>
          <t>851-900</t>
        </is>
      </c>
      <c r="L1800" t="inlineStr">
        <is>
          <t>901-950</t>
        </is>
      </c>
      <c r="M1800" t="inlineStr">
        <is>
          <t>801-1000</t>
        </is>
      </c>
      <c r="N1800" t="inlineStr">
        <is>
          <t>-</t>
        </is>
      </c>
      <c r="O1800" t="inlineStr">
        <is>
          <t>-</t>
        </is>
      </c>
      <c r="P1800" t="n">
        <v>20.6</v>
      </c>
      <c r="Q1800" t="inlineStr">
        <is>
          <t>599</t>
        </is>
      </c>
      <c r="R1800" t="n">
        <v>22</v>
      </c>
      <c r="S1800" t="inlineStr">
        <is>
          <t>603</t>
        </is>
      </c>
      <c r="T1800" t="n">
        <v>45</v>
      </c>
      <c r="U1800" t="inlineStr">
        <is>
          <t>436</t>
        </is>
      </c>
      <c r="V1800" t="n">
        <v>6.9</v>
      </c>
      <c r="W1800" t="inlineStr">
        <is>
          <t>801+</t>
        </is>
      </c>
      <c r="X1800" t="n">
        <v>7.2</v>
      </c>
      <c r="Y1800" t="inlineStr">
        <is>
          <t>801+</t>
        </is>
      </c>
      <c r="Z1800" t="n">
        <v>15.6</v>
      </c>
      <c r="AA1800" t="inlineStr">
        <is>
          <t>801+</t>
        </is>
      </c>
      <c r="AB1800" t="n">
        <v>21.7</v>
      </c>
      <c r="AC1800" t="inlineStr">
        <is>
          <t>736</t>
        </is>
      </c>
      <c r="AD1800" t="n">
        <v>63.2</v>
      </c>
      <c r="AE1800" t="inlineStr">
        <is>
          <t>648</t>
        </is>
      </c>
      <c r="AF1800" t="n">
        <v>18.5</v>
      </c>
      <c r="AG1800" t="inlineStr">
        <is>
          <t>749</t>
        </is>
      </c>
      <c r="AH1800" t="n">
        <v>45.3</v>
      </c>
      <c r="AI1800" t="inlineStr">
        <is>
          <t>801+</t>
        </is>
      </c>
      <c r="AJ1800" t="inlineStr">
        <is>
          <t>14.8</t>
        </is>
      </c>
      <c r="AK1800" t="inlineStr">
        <is>
          <t>589</t>
        </is>
      </c>
      <c r="AL1800" t="inlineStr">
        <is>
          <t>14.4</t>
        </is>
      </c>
      <c r="AM1800" t="inlineStr">
        <is>
          <t>569</t>
        </is>
      </c>
      <c r="AN1800" t="inlineStr">
        <is>
          <t>28.4</t>
        </is>
      </c>
      <c r="AO1800" t="inlineStr">
        <is>
          <t>539</t>
        </is>
      </c>
      <c r="AP1800" t="inlineStr">
        <is>
          <t>4.2</t>
        </is>
      </c>
      <c r="AQ1800" t="inlineStr">
        <is>
          <t>701+</t>
        </is>
      </c>
      <c r="AR1800" t="inlineStr">
        <is>
          <t>5.0</t>
        </is>
      </c>
      <c r="AS1800" t="inlineStr">
        <is>
          <t>701+</t>
        </is>
      </c>
      <c r="AT1800" t="inlineStr">
        <is>
          <t>7.6</t>
        </is>
      </c>
      <c r="AU1800" t="inlineStr">
        <is>
          <t>701+</t>
        </is>
      </c>
      <c r="AV1800" t="inlineStr">
        <is>
          <t>7.7</t>
        </is>
      </c>
      <c r="AW1800" t="inlineStr">
        <is>
          <t>701+</t>
        </is>
      </c>
      <c r="AX1800" t="inlineStr">
        <is>
          <t>12.1</t>
        </is>
      </c>
      <c r="AY1800" t="inlineStr">
        <is>
          <t>701+</t>
        </is>
      </c>
      <c r="AZ1800" t="inlineStr">
        <is>
          <t>7.3</t>
        </is>
      </c>
      <c r="BA1800" t="inlineStr">
        <is>
          <t>701+</t>
        </is>
      </c>
    </row>
    <row r="1801">
      <c r="A1801" t="inlineStr">
        <is>
          <t>University of Wyoming</t>
        </is>
      </c>
      <c r="B1801" t="inlineStr">
        <is>
          <t>United States</t>
        </is>
      </c>
      <c r="C1801" t="inlineStr">
        <is>
          <t>US</t>
        </is>
      </c>
      <c r="D1801" t="inlineStr">
        <is>
          <t>Americas</t>
        </is>
      </c>
      <c r="E1801" t="inlineStr">
        <is>
          <t>M</t>
        </is>
      </c>
      <c r="F1801" t="inlineStr">
        <is>
          <t>CO</t>
        </is>
      </c>
      <c r="G1801" t="inlineStr">
        <is>
          <t>VH</t>
        </is>
      </c>
      <c r="H1801" t="inlineStr">
        <is>
          <t>5</t>
        </is>
      </c>
      <c r="I1801" t="inlineStr">
        <is>
          <t>Public</t>
        </is>
      </c>
      <c r="J1801" t="inlineStr">
        <is>
          <t>1001-1200</t>
        </is>
      </c>
      <c r="K1801" t="inlineStr">
        <is>
          <t>1001-1200</t>
        </is>
      </c>
      <c r="L1801" t="inlineStr">
        <is>
          <t>1001-1200</t>
        </is>
      </c>
      <c r="M1801" t="inlineStr">
        <is>
          <t>801-1000</t>
        </is>
      </c>
      <c r="N1801" t="inlineStr">
        <is>
          <t>-</t>
        </is>
      </c>
      <c r="O1801" t="inlineStr">
        <is>
          <t>-</t>
        </is>
      </c>
      <c r="P1801" t="n">
        <v>3.6</v>
      </c>
      <c r="Q1801" t="inlineStr">
        <is>
          <t>701+</t>
        </is>
      </c>
      <c r="R1801" t="n">
        <v>2.3</v>
      </c>
      <c r="S1801" t="inlineStr">
        <is>
          <t>701+</t>
        </is>
      </c>
      <c r="T1801" t="n">
        <v>39.4</v>
      </c>
      <c r="U1801" t="inlineStr">
        <is>
          <t>515</t>
        </is>
      </c>
      <c r="V1801" t="n">
        <v>29.6</v>
      </c>
      <c r="W1801" t="inlineStr">
        <is>
          <t>592</t>
        </is>
      </c>
      <c r="X1801" t="n">
        <v>12.6</v>
      </c>
      <c r="Y1801" t="inlineStr">
        <is>
          <t>801+</t>
        </is>
      </c>
      <c r="Z1801" t="n">
        <v>8.1</v>
      </c>
      <c r="AA1801" t="inlineStr">
        <is>
          <t>801+</t>
        </is>
      </c>
      <c r="AB1801" t="n">
        <v>13.5</v>
      </c>
      <c r="AC1801" t="inlineStr">
        <is>
          <t>801+</t>
        </is>
      </c>
      <c r="AD1801" t="n">
        <v>52</v>
      </c>
      <c r="AE1801" t="inlineStr">
        <is>
          <t>801+</t>
        </is>
      </c>
      <c r="AF1801" t="n">
        <v>10.6</v>
      </c>
      <c r="AG1801" t="inlineStr">
        <is>
          <t>801+</t>
        </is>
      </c>
      <c r="AH1801" t="n">
        <v>43.4</v>
      </c>
      <c r="AI1801" t="inlineStr">
        <is>
          <t>801+</t>
        </is>
      </c>
      <c r="AJ1801" t="inlineStr">
        <is>
          <t>3.0</t>
        </is>
      </c>
      <c r="AK1801" t="inlineStr">
        <is>
          <t>601+</t>
        </is>
      </c>
      <c r="AL1801" t="inlineStr">
        <is>
          <t>1.4</t>
        </is>
      </c>
      <c r="AM1801" t="inlineStr">
        <is>
          <t>601+</t>
        </is>
      </c>
      <c r="AN1801" t="inlineStr">
        <is>
          <t>25.9</t>
        </is>
      </c>
      <c r="AO1801" t="inlineStr">
        <is>
          <t>570</t>
        </is>
      </c>
      <c r="AP1801" t="inlineStr">
        <is>
          <t>23.4</t>
        </is>
      </c>
      <c r="AQ1801" t="inlineStr">
        <is>
          <t>508</t>
        </is>
      </c>
      <c r="AR1801" t="inlineStr">
        <is>
          <t>7.7</t>
        </is>
      </c>
      <c r="AS1801" t="inlineStr">
        <is>
          <t>701+</t>
        </is>
      </c>
      <c r="AT1801" t="inlineStr">
        <is>
          <t>4.0</t>
        </is>
      </c>
      <c r="AU1801" t="inlineStr">
        <is>
          <t>701+</t>
        </is>
      </c>
      <c r="AV1801" t="inlineStr">
        <is>
          <t>10.7</t>
        </is>
      </c>
      <c r="AW1801" t="inlineStr">
        <is>
          <t>660</t>
        </is>
      </c>
      <c r="AX1801" t="inlineStr">
        <is>
          <t>9.8</t>
        </is>
      </c>
      <c r="AY1801" t="inlineStr">
        <is>
          <t>701+</t>
        </is>
      </c>
      <c r="AZ1801" t="inlineStr">
        <is>
          <t>6.3</t>
        </is>
      </c>
      <c r="BA1801" t="inlineStr">
        <is>
          <t>701+</t>
        </is>
      </c>
    </row>
    <row r="1802">
      <c r="A1802" t="inlineStr">
        <is>
          <t>University of York</t>
        </is>
      </c>
      <c r="B1802" t="inlineStr">
        <is>
          <t>United Kingdom</t>
        </is>
      </c>
      <c r="C1802" t="inlineStr">
        <is>
          <t>UK</t>
        </is>
      </c>
      <c r="D1802" t="inlineStr">
        <is>
          <t>Europe</t>
        </is>
      </c>
      <c r="E1802" t="inlineStr">
        <is>
          <t>L</t>
        </is>
      </c>
      <c r="F1802" t="inlineStr">
        <is>
          <t>FC</t>
        </is>
      </c>
      <c r="G1802" t="inlineStr">
        <is>
          <t>VH</t>
        </is>
      </c>
      <c r="H1802" t="inlineStr">
        <is>
          <t>4</t>
        </is>
      </c>
      <c r="I1802" t="inlineStr">
        <is>
          <t>Public</t>
        </is>
      </c>
      <c r="J1802" t="inlineStr">
        <is>
          <t>169</t>
        </is>
      </c>
      <c r="K1802" t="inlineStr">
        <is>
          <t>184</t>
        </is>
      </c>
      <c r="L1802" t="inlineStr">
        <is>
          <t>167</t>
        </is>
      </c>
      <c r="M1802" t="inlineStr">
        <is>
          <t>162</t>
        </is>
      </c>
      <c r="N1802" t="inlineStr">
        <is>
          <t>59.4</t>
        </is>
      </c>
      <c r="O1802" t="inlineStr">
        <is>
          <t>49.4</t>
        </is>
      </c>
      <c r="P1802" t="n">
        <v>56.8</v>
      </c>
      <c r="Q1802" t="inlineStr">
        <is>
          <t>197</t>
        </is>
      </c>
      <c r="R1802" t="n">
        <v>42.3</v>
      </c>
      <c r="S1802" t="inlineStr">
        <is>
          <t>317</t>
        </is>
      </c>
      <c r="T1802" t="n">
        <v>55.8</v>
      </c>
      <c r="U1802" t="inlineStr">
        <is>
          <t>335</t>
        </is>
      </c>
      <c r="V1802" t="n">
        <v>53.8</v>
      </c>
      <c r="W1802" t="inlineStr">
        <is>
          <t>344</t>
        </is>
      </c>
      <c r="X1802" t="n">
        <v>92.40000000000001</v>
      </c>
      <c r="Y1802" t="inlineStr">
        <is>
          <t>208</t>
        </is>
      </c>
      <c r="Z1802" t="n">
        <v>75.40000000000001</v>
      </c>
      <c r="AA1802" t="inlineStr">
        <is>
          <t>253</t>
        </is>
      </c>
      <c r="AB1802" t="n">
        <v>77.8</v>
      </c>
      <c r="AC1802" t="inlineStr">
        <is>
          <t>223</t>
        </is>
      </c>
      <c r="AD1802" t="n">
        <v>96</v>
      </c>
      <c r="AE1802" t="inlineStr">
        <is>
          <t>58</t>
        </is>
      </c>
      <c r="AF1802" t="n">
        <v>41</v>
      </c>
      <c r="AG1802" t="inlineStr">
        <is>
          <t>427</t>
        </is>
      </c>
      <c r="AH1802" t="n">
        <v>93.2</v>
      </c>
      <c r="AI1802" t="inlineStr">
        <is>
          <t>34</t>
        </is>
      </c>
      <c r="AJ1802" t="inlineStr">
        <is>
          <t>43.5</t>
        </is>
      </c>
      <c r="AK1802" t="inlineStr">
        <is>
          <t>194</t>
        </is>
      </c>
      <c r="AL1802" t="inlineStr">
        <is>
          <t>35.3</t>
        </is>
      </c>
      <c r="AM1802" t="inlineStr">
        <is>
          <t>275</t>
        </is>
      </c>
      <c r="AN1802" t="inlineStr">
        <is>
          <t>45.0</t>
        </is>
      </c>
      <c r="AO1802" t="inlineStr">
        <is>
          <t>351</t>
        </is>
      </c>
      <c r="AP1802" t="inlineStr">
        <is>
          <t>40.3</t>
        </is>
      </c>
      <c r="AQ1802" t="inlineStr">
        <is>
          <t>342</t>
        </is>
      </c>
      <c r="AR1802" t="inlineStr">
        <is>
          <t>88.3</t>
        </is>
      </c>
      <c r="AS1802" t="inlineStr">
        <is>
          <t>192</t>
        </is>
      </c>
      <c r="AT1802" t="inlineStr">
        <is>
          <t>78.2</t>
        </is>
      </c>
      <c r="AU1802" t="inlineStr">
        <is>
          <t>171</t>
        </is>
      </c>
      <c r="AV1802" t="inlineStr">
        <is>
          <t>79.2</t>
        </is>
      </c>
      <c r="AW1802" t="inlineStr">
        <is>
          <t>150</t>
        </is>
      </c>
      <c r="AX1802" t="inlineStr">
        <is>
          <t>19.8</t>
        </is>
      </c>
      <c r="AY1802" t="inlineStr">
        <is>
          <t>421</t>
        </is>
      </c>
      <c r="AZ1802" t="inlineStr">
        <is>
          <t>97.8</t>
        </is>
      </c>
      <c r="BA1802" t="inlineStr">
        <is>
          <t>26=</t>
        </is>
      </c>
    </row>
    <row r="1803">
      <c r="A1803" t="inlineStr">
        <is>
          <t>University of Zagreb</t>
        </is>
      </c>
      <c r="B1803" t="inlineStr">
        <is>
          <t>Croatia</t>
        </is>
      </c>
      <c r="C1803" t="inlineStr">
        <is>
          <t>HR</t>
        </is>
      </c>
      <c r="D1803" t="inlineStr">
        <is>
          <t>Europe</t>
        </is>
      </c>
      <c r="E1803" t="inlineStr">
        <is>
          <t>XL</t>
        </is>
      </c>
      <c r="F1803" t="inlineStr">
        <is>
          <t>FC</t>
        </is>
      </c>
      <c r="G1803" t="inlineStr">
        <is>
          <t>VH</t>
        </is>
      </c>
      <c r="H1803" t="inlineStr">
        <is>
          <t>5</t>
        </is>
      </c>
      <c r="I1803" t="inlineStr">
        <is>
          <t>Public</t>
        </is>
      </c>
      <c r="J1803" t="inlineStr">
        <is>
          <t>701-710</t>
        </is>
      </c>
      <c r="K1803" t="inlineStr">
        <is>
          <t>651-660</t>
        </is>
      </c>
      <c r="L1803" t="inlineStr">
        <is>
          <t>751-760</t>
        </is>
      </c>
      <c r="M1803" t="inlineStr">
        <is>
          <t>801-1000</t>
        </is>
      </c>
      <c r="N1803" t="inlineStr">
        <is>
          <t>-</t>
        </is>
      </c>
      <c r="O1803" t="inlineStr">
        <is>
          <t>-</t>
        </is>
      </c>
      <c r="P1803" t="n">
        <v>23.2</v>
      </c>
      <c r="Q1803" t="inlineStr">
        <is>
          <t>545</t>
        </is>
      </c>
      <c r="R1803" t="n">
        <v>12.8</v>
      </c>
      <c r="S1803" t="inlineStr">
        <is>
          <t>701+</t>
        </is>
      </c>
      <c r="T1803" t="n">
        <v>26.8</v>
      </c>
      <c r="U1803" t="inlineStr">
        <is>
          <t>700</t>
        </is>
      </c>
      <c r="V1803" t="n">
        <v>8.1</v>
      </c>
      <c r="W1803" t="inlineStr">
        <is>
          <t>801+</t>
        </is>
      </c>
      <c r="X1803" t="n">
        <v>1.9</v>
      </c>
      <c r="Y1803" t="inlineStr">
        <is>
          <t>801+</t>
        </is>
      </c>
      <c r="Z1803" t="n">
        <v>5.1</v>
      </c>
      <c r="AA1803" t="inlineStr">
        <is>
          <t>801+</t>
        </is>
      </c>
      <c r="AB1803" t="n">
        <v>10</v>
      </c>
      <c r="AC1803" t="inlineStr">
        <is>
          <t>801+</t>
        </is>
      </c>
      <c r="AD1803" t="n">
        <v>92.09999999999999</v>
      </c>
      <c r="AE1803" t="inlineStr">
        <is>
          <t>145</t>
        </is>
      </c>
      <c r="AF1803" t="n">
        <v>98.40000000000001</v>
      </c>
      <c r="AG1803" t="inlineStr">
        <is>
          <t>34</t>
        </is>
      </c>
      <c r="AH1803" t="n">
        <v>60.9</v>
      </c>
      <c r="AI1803" t="inlineStr">
        <is>
          <t>486=</t>
        </is>
      </c>
      <c r="AJ1803" t="inlineStr">
        <is>
          <t>16.2</t>
        </is>
      </c>
      <c r="AK1803" t="inlineStr">
        <is>
          <t>539</t>
        </is>
      </c>
      <c r="AL1803" t="inlineStr">
        <is>
          <t>4.7</t>
        </is>
      </c>
      <c r="AM1803" t="inlineStr">
        <is>
          <t>601+</t>
        </is>
      </c>
      <c r="AN1803" t="inlineStr">
        <is>
          <t>23.8</t>
        </is>
      </c>
      <c r="AO1803" t="inlineStr">
        <is>
          <t>597</t>
        </is>
      </c>
      <c r="AP1803" t="inlineStr">
        <is>
          <t>4.2</t>
        </is>
      </c>
      <c r="AQ1803" t="inlineStr">
        <is>
          <t>701+</t>
        </is>
      </c>
      <c r="AR1803" t="inlineStr">
        <is>
          <t>1.5</t>
        </is>
      </c>
      <c r="AS1803" t="inlineStr">
        <is>
          <t>701+</t>
        </is>
      </c>
      <c r="AT1803" t="inlineStr">
        <is>
          <t>2.7</t>
        </is>
      </c>
      <c r="AU1803" t="inlineStr">
        <is>
          <t>701+</t>
        </is>
      </c>
      <c r="AV1803" t="inlineStr">
        <is>
          <t>74.2</t>
        </is>
      </c>
      <c r="AW1803" t="inlineStr">
        <is>
          <t>176</t>
        </is>
      </c>
      <c r="AX1803" t="inlineStr">
        <is>
          <t>44.8</t>
        </is>
      </c>
      <c r="AY1803" t="inlineStr">
        <is>
          <t>158</t>
        </is>
      </c>
      <c r="AZ1803" t="inlineStr">
        <is>
          <t>19.2</t>
        </is>
      </c>
      <c r="BA1803" t="inlineStr">
        <is>
          <t>549=</t>
        </is>
      </c>
    </row>
    <row r="1804">
      <c r="A1804" t="inlineStr">
        <is>
          <t>University of Zilina</t>
        </is>
      </c>
      <c r="B1804" t="inlineStr">
        <is>
          <t>Slovakia</t>
        </is>
      </c>
      <c r="C1804" t="inlineStr"/>
      <c r="D1804" t="inlineStr">
        <is>
          <t>Europe</t>
        </is>
      </c>
      <c r="E1804" t="inlineStr">
        <is>
          <t>M</t>
        </is>
      </c>
      <c r="F1804" t="inlineStr">
        <is>
          <t>FO</t>
        </is>
      </c>
      <c r="G1804" t="inlineStr">
        <is>
          <t>VH</t>
        </is>
      </c>
      <c r="H1804" t="inlineStr"/>
      <c r="I1804" t="inlineStr">
        <is>
          <t>Public</t>
        </is>
      </c>
      <c r="J1804" t="inlineStr">
        <is>
          <t>1001-1200</t>
        </is>
      </c>
      <c r="K1804" t="inlineStr">
        <is>
          <t>1001-1200</t>
        </is>
      </c>
      <c r="L1804" t="inlineStr"/>
      <c r="M1804" t="inlineStr"/>
      <c r="N1804" t="inlineStr">
        <is>
          <t>-</t>
        </is>
      </c>
      <c r="O1804" t="inlineStr"/>
      <c r="P1804" t="n">
        <v>6.3</v>
      </c>
      <c r="Q1804" t="inlineStr">
        <is>
          <t>701+</t>
        </is>
      </c>
      <c r="R1804" t="n">
        <v>7.3</v>
      </c>
      <c r="S1804" t="inlineStr">
        <is>
          <t>701+</t>
        </is>
      </c>
      <c r="T1804" t="n">
        <v>59.5</v>
      </c>
      <c r="U1804" t="inlineStr">
        <is>
          <t>302</t>
        </is>
      </c>
      <c r="V1804" t="n">
        <v>13.9</v>
      </c>
      <c r="W1804" t="inlineStr">
        <is>
          <t>801+</t>
        </is>
      </c>
      <c r="X1804" t="n">
        <v>5.5</v>
      </c>
      <c r="Y1804" t="inlineStr">
        <is>
          <t>801+</t>
        </is>
      </c>
      <c r="Z1804" t="n">
        <v>12.3</v>
      </c>
      <c r="AA1804" t="inlineStr">
        <is>
          <t>801+</t>
        </is>
      </c>
      <c r="AB1804" t="n">
        <v>14.7</v>
      </c>
      <c r="AC1804" t="inlineStr">
        <is>
          <t>801+</t>
        </is>
      </c>
      <c r="AD1804" t="n">
        <v>25.6</v>
      </c>
      <c r="AE1804" t="inlineStr">
        <is>
          <t>801+</t>
        </is>
      </c>
      <c r="AF1804" t="n">
        <v>5.6</v>
      </c>
      <c r="AG1804" t="inlineStr">
        <is>
          <t>801+</t>
        </is>
      </c>
      <c r="AH1804" t="n">
        <v>36.5</v>
      </c>
      <c r="AI1804" t="inlineStr">
        <is>
          <t>801+</t>
        </is>
      </c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</row>
    <row r="1805">
      <c r="A1805" t="inlineStr">
        <is>
          <t>University of Zurich</t>
        </is>
      </c>
      <c r="B1805" t="inlineStr">
        <is>
          <t>Switzerland</t>
        </is>
      </c>
      <c r="C1805" t="inlineStr">
        <is>
          <t>CH</t>
        </is>
      </c>
      <c r="D1805" t="inlineStr"/>
      <c r="E1805" t="inlineStr">
        <is>
          <t>L</t>
        </is>
      </c>
      <c r="F1805" t="inlineStr">
        <is>
          <t>FC</t>
        </is>
      </c>
      <c r="G1805" t="inlineStr">
        <is>
          <t>VH</t>
        </is>
      </c>
      <c r="H1805" t="inlineStr">
        <is>
          <t>5</t>
        </is>
      </c>
      <c r="I1805" t="inlineStr">
        <is>
          <t>A</t>
        </is>
      </c>
      <c r="J1805" t="inlineStr"/>
      <c r="K1805" t="inlineStr"/>
      <c r="L1805">
        <f>91</f>
        <v/>
      </c>
      <c r="M1805" t="inlineStr">
        <is>
          <t>83=</t>
        </is>
      </c>
      <c r="N1805" t="inlineStr"/>
      <c r="O1805" t="inlineStr">
        <is>
          <t>61.6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>
        <is>
          <t>59.1</t>
        </is>
      </c>
      <c r="AK1805" t="inlineStr">
        <is>
          <t>126</t>
        </is>
      </c>
      <c r="AL1805" t="inlineStr">
        <is>
          <t>27.6</t>
        </is>
      </c>
      <c r="AM1805" t="inlineStr">
        <is>
          <t>352</t>
        </is>
      </c>
      <c r="AN1805" t="inlineStr">
        <is>
          <t>89.9</t>
        </is>
      </c>
      <c r="AO1805" t="inlineStr">
        <is>
          <t>88</t>
        </is>
      </c>
      <c r="AP1805" t="inlineStr">
        <is>
          <t>52.0</t>
        </is>
      </c>
      <c r="AQ1805" t="inlineStr">
        <is>
          <t>248</t>
        </is>
      </c>
      <c r="AR1805" t="inlineStr">
        <is>
          <t>100.0</t>
        </is>
      </c>
      <c r="AS1805" t="inlineStr">
        <is>
          <t>60</t>
        </is>
      </c>
      <c r="AT1805" t="inlineStr">
        <is>
          <t>53.0</t>
        </is>
      </c>
      <c r="AU1805" t="inlineStr">
        <is>
          <t>274</t>
        </is>
      </c>
      <c r="AV1805" t="inlineStr">
        <is>
          <t>87.2</t>
        </is>
      </c>
      <c r="AW1805" t="inlineStr">
        <is>
          <t>100</t>
        </is>
      </c>
      <c r="AX1805" t="inlineStr">
        <is>
          <t>75.2</t>
        </is>
      </c>
      <c r="AY1805" t="inlineStr">
        <is>
          <t>58</t>
        </is>
      </c>
      <c r="AZ1805" t="inlineStr">
        <is>
          <t>80.2</t>
        </is>
      </c>
      <c r="BA1805" t="inlineStr">
        <is>
          <t>149</t>
        </is>
      </c>
    </row>
    <row r="1806">
      <c r="A1806" t="inlineStr">
        <is>
          <t>University of Zurich (UZH)</t>
        </is>
      </c>
      <c r="B1806" t="inlineStr">
        <is>
          <t>Switzerland</t>
        </is>
      </c>
      <c r="C1806" t="inlineStr"/>
      <c r="D1806" t="inlineStr">
        <is>
          <t>Europe</t>
        </is>
      </c>
      <c r="E1806" t="inlineStr">
        <is>
          <t>L</t>
        </is>
      </c>
      <c r="F1806" t="inlineStr">
        <is>
          <t>FO</t>
        </is>
      </c>
      <c r="G1806" t="inlineStr">
        <is>
          <t>VH</t>
        </is>
      </c>
      <c r="H1806" t="inlineStr"/>
      <c r="I1806" t="inlineStr">
        <is>
          <t>Public</t>
        </is>
      </c>
      <c r="J1806" t="inlineStr">
        <is>
          <t>100</t>
        </is>
      </c>
      <c r="K1806" t="inlineStr">
        <is>
          <t>109</t>
        </is>
      </c>
      <c r="L1806" t="inlineStr"/>
      <c r="M1806" t="inlineStr"/>
      <c r="N1806" t="inlineStr">
        <is>
          <t>68.5</t>
        </is>
      </c>
      <c r="O1806" t="inlineStr"/>
      <c r="P1806" t="n">
        <v>71</v>
      </c>
      <c r="Q1806" t="inlineStr">
        <is>
          <t>132</t>
        </is>
      </c>
      <c r="R1806" t="n">
        <v>43.5</v>
      </c>
      <c r="S1806" t="inlineStr">
        <is>
          <t>308</t>
        </is>
      </c>
      <c r="T1806" t="n">
        <v>95.2</v>
      </c>
      <c r="U1806" t="inlineStr">
        <is>
          <t>72</t>
        </is>
      </c>
      <c r="V1806" t="n">
        <v>52.3</v>
      </c>
      <c r="W1806" t="inlineStr">
        <is>
          <t>361</t>
        </is>
      </c>
      <c r="X1806" t="n">
        <v>100</v>
      </c>
      <c r="Y1806" t="inlineStr">
        <is>
          <t>82</t>
        </is>
      </c>
      <c r="Z1806" t="n">
        <v>57.8</v>
      </c>
      <c r="AA1806" t="inlineStr">
        <is>
          <t>357</t>
        </is>
      </c>
      <c r="AB1806" t="n">
        <v>43.1</v>
      </c>
      <c r="AC1806" t="inlineStr">
        <is>
          <t>482</t>
        </is>
      </c>
      <c r="AD1806" t="n">
        <v>93.5</v>
      </c>
      <c r="AE1806" t="inlineStr">
        <is>
          <t>114</t>
        </is>
      </c>
      <c r="AF1806" t="n">
        <v>90.8</v>
      </c>
      <c r="AG1806" t="inlineStr">
        <is>
          <t>97</t>
        </is>
      </c>
      <c r="AH1806" t="n">
        <v>69.8</v>
      </c>
      <c r="AI1806" t="inlineStr">
        <is>
          <t>318</t>
        </is>
      </c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</row>
    <row r="1807">
      <c r="A1807" t="inlineStr">
        <is>
          <t>University of Žilina</t>
        </is>
      </c>
      <c r="B1807" t="inlineStr">
        <is>
          <t>Slovakia</t>
        </is>
      </c>
      <c r="C1807" t="inlineStr">
        <is>
          <t>SK</t>
        </is>
      </c>
      <c r="D1807" t="inlineStr"/>
      <c r="E1807" t="inlineStr">
        <is>
          <t>M</t>
        </is>
      </c>
      <c r="F1807" t="inlineStr">
        <is>
          <t>FO</t>
        </is>
      </c>
      <c r="G1807" t="inlineStr">
        <is>
          <t>VH</t>
        </is>
      </c>
      <c r="H1807" t="inlineStr">
        <is>
          <t>4</t>
        </is>
      </c>
      <c r="I1807" t="inlineStr">
        <is>
          <t>A</t>
        </is>
      </c>
      <c r="J1807" t="inlineStr"/>
      <c r="K1807" t="inlineStr"/>
      <c r="L1807" t="inlineStr">
        <is>
          <t>1001-1200</t>
        </is>
      </c>
      <c r="M1807" t="inlineStr">
        <is>
          <t>801-1000</t>
        </is>
      </c>
      <c r="N1807" t="inlineStr"/>
      <c r="O1807" t="inlineStr">
        <is>
          <t>-</t>
        </is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>
        <is>
          <t>5.7</t>
        </is>
      </c>
      <c r="AK1807" t="inlineStr">
        <is>
          <t>601+</t>
        </is>
      </c>
      <c r="AL1807" t="inlineStr">
        <is>
          <t>1.0</t>
        </is>
      </c>
      <c r="AM1807" t="inlineStr">
        <is>
          <t>601+</t>
        </is>
      </c>
      <c r="AN1807" t="inlineStr">
        <is>
          <t>56.1</t>
        </is>
      </c>
      <c r="AO1807" t="inlineStr">
        <is>
          <t>264</t>
        </is>
      </c>
      <c r="AP1807" t="inlineStr">
        <is>
          <t>6.2</t>
        </is>
      </c>
      <c r="AQ1807" t="inlineStr">
        <is>
          <t>701+</t>
        </is>
      </c>
      <c r="AR1807" t="inlineStr">
        <is>
          <t>2.5</t>
        </is>
      </c>
      <c r="AS1807" t="inlineStr">
        <is>
          <t>701+</t>
        </is>
      </c>
      <c r="AT1807" t="inlineStr">
        <is>
          <t>2.9</t>
        </is>
      </c>
      <c r="AU1807" t="inlineStr">
        <is>
          <t>701+</t>
        </is>
      </c>
      <c r="AV1807" t="inlineStr">
        <is>
          <t>1.2</t>
        </is>
      </c>
      <c r="AW1807" t="inlineStr">
        <is>
          <t>701+</t>
        </is>
      </c>
      <c r="AX1807" t="inlineStr">
        <is>
          <t>13.4</t>
        </is>
      </c>
      <c r="AY1807" t="inlineStr">
        <is>
          <t>641</t>
        </is>
      </c>
      <c r="AZ1807" t="inlineStr">
        <is>
          <t>1.1</t>
        </is>
      </c>
      <c r="BA1807" t="inlineStr">
        <is>
          <t>701+</t>
        </is>
      </c>
    </row>
    <row r="1808">
      <c r="A1808" t="inlineStr">
        <is>
          <t>University Paris 2 Panthéon-Assas</t>
        </is>
      </c>
      <c r="B1808" t="inlineStr">
        <is>
          <t>France</t>
        </is>
      </c>
      <c r="C1808" t="inlineStr">
        <is>
          <t>FR</t>
        </is>
      </c>
      <c r="D1808" t="inlineStr"/>
      <c r="E1808" t="inlineStr">
        <is>
          <t>L</t>
        </is>
      </c>
      <c r="F1808" t="inlineStr">
        <is>
          <t>SP</t>
        </is>
      </c>
      <c r="G1808" t="inlineStr"/>
      <c r="H1808" t="inlineStr">
        <is>
          <t>5</t>
        </is>
      </c>
      <c r="I1808" t="inlineStr">
        <is>
          <t>A</t>
        </is>
      </c>
      <c r="J1808" t="inlineStr"/>
      <c r="K1808" t="inlineStr"/>
      <c r="L1808" t="inlineStr">
        <is>
          <t>851-900</t>
        </is>
      </c>
      <c r="M1808" t="inlineStr">
        <is>
          <t>601-650</t>
        </is>
      </c>
      <c r="N1808" t="inlineStr"/>
      <c r="O1808" t="inlineStr">
        <is>
          <t>-</t>
        </is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>
        <is>
          <t>7.1</t>
        </is>
      </c>
      <c r="AK1808" t="inlineStr">
        <is>
          <t>601+</t>
        </is>
      </c>
      <c r="AL1808" t="inlineStr">
        <is>
          <t>3.5</t>
        </is>
      </c>
      <c r="AM1808" t="inlineStr">
        <is>
          <t>601+</t>
        </is>
      </c>
      <c r="AN1808" t="inlineStr">
        <is>
          <t>71.3</t>
        </is>
      </c>
      <c r="AO1808" t="inlineStr">
        <is>
          <t>179</t>
        </is>
      </c>
      <c r="AP1808" t="inlineStr">
        <is>
          <t>1.2</t>
        </is>
      </c>
      <c r="AQ1808" t="inlineStr">
        <is>
          <t>701+</t>
        </is>
      </c>
      <c r="AR1808" t="inlineStr">
        <is>
          <t>12.5</t>
        </is>
      </c>
      <c r="AS1808" t="inlineStr">
        <is>
          <t>701+</t>
        </is>
      </c>
      <c r="AT1808" t="inlineStr">
        <is>
          <t>24.5</t>
        </is>
      </c>
      <c r="AU1808" t="inlineStr">
        <is>
          <t>479</t>
        </is>
      </c>
      <c r="AV1808" t="inlineStr">
        <is>
          <t>1.0</t>
        </is>
      </c>
      <c r="AW1808" t="inlineStr">
        <is>
          <t>701+</t>
        </is>
      </c>
      <c r="AX1808" t="inlineStr">
        <is>
          <t>27.4</t>
        </is>
      </c>
      <c r="AY1808" t="inlineStr">
        <is>
          <t>297</t>
        </is>
      </c>
      <c r="AZ1808" t="inlineStr">
        <is>
          <t>1</t>
        </is>
      </c>
      <c r="BA1808" t="inlineStr">
        <is>
          <t>701+</t>
        </is>
      </c>
    </row>
    <row r="1809">
      <c r="A1809" t="inlineStr">
        <is>
          <t>University POLITEHNICA of Bucharest</t>
        </is>
      </c>
      <c r="B1809" t="inlineStr">
        <is>
          <t>Romania</t>
        </is>
      </c>
      <c r="C1809" t="inlineStr">
        <is>
          <t>RO</t>
        </is>
      </c>
      <c r="D1809" t="inlineStr">
        <is>
          <t>Europe</t>
        </is>
      </c>
      <c r="E1809" t="inlineStr">
        <is>
          <t>L</t>
        </is>
      </c>
      <c r="F1809" t="inlineStr">
        <is>
          <t>FO</t>
        </is>
      </c>
      <c r="G1809" t="inlineStr">
        <is>
          <t>VH</t>
        </is>
      </c>
      <c r="H1809" t="inlineStr">
        <is>
          <t>5</t>
        </is>
      </c>
      <c r="I1809" t="inlineStr">
        <is>
          <t>Public</t>
        </is>
      </c>
      <c r="J1809" t="inlineStr">
        <is>
          <t>1201-1400</t>
        </is>
      </c>
      <c r="K1809" t="inlineStr">
        <is>
          <t>1201-1400</t>
        </is>
      </c>
      <c r="L1809" t="inlineStr">
        <is>
          <t>1201-1400</t>
        </is>
      </c>
      <c r="M1809" t="inlineStr">
        <is>
          <t>1201-1400</t>
        </is>
      </c>
      <c r="N1809" t="inlineStr">
        <is>
          <t>-</t>
        </is>
      </c>
      <c r="O1809" t="inlineStr">
        <is>
          <t>-</t>
        </is>
      </c>
      <c r="P1809" t="n">
        <v>6.3</v>
      </c>
      <c r="Q1809" t="inlineStr">
        <is>
          <t>701+</t>
        </is>
      </c>
      <c r="R1809" t="n">
        <v>20.8</v>
      </c>
      <c r="S1809" t="inlineStr">
        <is>
          <t>630</t>
        </is>
      </c>
      <c r="T1809" t="n">
        <v>4.9</v>
      </c>
      <c r="U1809" t="inlineStr">
        <is>
          <t>801+</t>
        </is>
      </c>
      <c r="V1809" t="n">
        <v>14.6</v>
      </c>
      <c r="W1809" t="inlineStr">
        <is>
          <t>801+</t>
        </is>
      </c>
      <c r="X1809" t="n">
        <v>1.7</v>
      </c>
      <c r="Y1809" t="inlineStr">
        <is>
          <t>801+</t>
        </is>
      </c>
      <c r="Z1809" t="n">
        <v>4.7</v>
      </c>
      <c r="AA1809" t="inlineStr">
        <is>
          <t>801+</t>
        </is>
      </c>
      <c r="AB1809" t="n">
        <v>3.7</v>
      </c>
      <c r="AC1809" t="inlineStr">
        <is>
          <t>801+</t>
        </is>
      </c>
      <c r="AD1809" t="n">
        <v>61.4</v>
      </c>
      <c r="AE1809" t="inlineStr">
        <is>
          <t>672</t>
        </is>
      </c>
      <c r="AF1809" t="n">
        <v>9.4</v>
      </c>
      <c r="AG1809" t="inlineStr">
        <is>
          <t>801+</t>
        </is>
      </c>
      <c r="AH1809" t="n">
        <v>22.8</v>
      </c>
      <c r="AI1809" t="inlineStr">
        <is>
          <t>801+</t>
        </is>
      </c>
      <c r="AJ1809" t="inlineStr">
        <is>
          <t>5.7</t>
        </is>
      </c>
      <c r="AK1809" t="inlineStr">
        <is>
          <t>601+</t>
        </is>
      </c>
      <c r="AL1809" t="inlineStr">
        <is>
          <t>8.7</t>
        </is>
      </c>
      <c r="AM1809" t="inlineStr">
        <is>
          <t>601+</t>
        </is>
      </c>
      <c r="AN1809" t="inlineStr">
        <is>
          <t>3.5</t>
        </is>
      </c>
      <c r="AO1809" t="inlineStr">
        <is>
          <t>701+</t>
        </is>
      </c>
      <c r="AP1809" t="inlineStr">
        <is>
          <t>6.4</t>
        </is>
      </c>
      <c r="AQ1809" t="inlineStr">
        <is>
          <t>701+</t>
        </is>
      </c>
      <c r="AR1809" t="inlineStr">
        <is>
          <t>1.5</t>
        </is>
      </c>
      <c r="AS1809" t="inlineStr">
        <is>
          <t>701+</t>
        </is>
      </c>
      <c r="AT1809" t="inlineStr">
        <is>
          <t>2.8</t>
        </is>
      </c>
      <c r="AU1809" t="inlineStr">
        <is>
          <t>701+</t>
        </is>
      </c>
      <c r="AV1809" t="inlineStr">
        <is>
          <t>17.9</t>
        </is>
      </c>
      <c r="AW1809" t="inlineStr">
        <is>
          <t>561</t>
        </is>
      </c>
      <c r="AX1809" t="inlineStr">
        <is>
          <t>6.4</t>
        </is>
      </c>
      <c r="AY1809" t="inlineStr">
        <is>
          <t>701+</t>
        </is>
      </c>
      <c r="AZ1809" t="inlineStr">
        <is>
          <t>1.2</t>
        </is>
      </c>
      <c r="BA1809" t="inlineStr">
        <is>
          <t>701+</t>
        </is>
      </c>
    </row>
    <row r="1810">
      <c r="A1810" t="inlineStr">
        <is>
          <t>University Politehnica of Timisoara, UPT</t>
        </is>
      </c>
      <c r="B1810" t="inlineStr">
        <is>
          <t>Romania</t>
        </is>
      </c>
      <c r="C1810" t="inlineStr">
        <is>
          <t>RO</t>
        </is>
      </c>
      <c r="D1810" t="inlineStr"/>
      <c r="E1810" t="inlineStr">
        <is>
          <t>M</t>
        </is>
      </c>
      <c r="F1810" t="inlineStr">
        <is>
          <t>FO</t>
        </is>
      </c>
      <c r="G1810" t="inlineStr">
        <is>
          <t>VH</t>
        </is>
      </c>
      <c r="H1810" t="inlineStr">
        <is>
          <t>5</t>
        </is>
      </c>
      <c r="I1810" t="inlineStr">
        <is>
          <t>A</t>
        </is>
      </c>
      <c r="J1810" t="inlineStr"/>
      <c r="K1810" t="inlineStr"/>
      <c r="L1810" t="inlineStr">
        <is>
          <t>1401+</t>
        </is>
      </c>
      <c r="M1810" t="inlineStr">
        <is>
          <t>1201-1400</t>
        </is>
      </c>
      <c r="N1810" t="inlineStr"/>
      <c r="O1810" t="inlineStr">
        <is>
          <t>-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>
        <is>
          <t>4.0</t>
        </is>
      </c>
      <c r="AK1810" t="inlineStr">
        <is>
          <t>601+</t>
        </is>
      </c>
      <c r="AL1810" t="inlineStr">
        <is>
          <t>3.4</t>
        </is>
      </c>
      <c r="AM1810" t="inlineStr">
        <is>
          <t>601+</t>
        </is>
      </c>
      <c r="AN1810" t="inlineStr">
        <is>
          <t>8.6</t>
        </is>
      </c>
      <c r="AO1810" t="inlineStr">
        <is>
          <t>701+</t>
        </is>
      </c>
      <c r="AP1810" t="inlineStr">
        <is>
          <t>3.6</t>
        </is>
      </c>
      <c r="AQ1810" t="inlineStr">
        <is>
          <t>701+</t>
        </is>
      </c>
      <c r="AR1810" t="inlineStr">
        <is>
          <t>1.2</t>
        </is>
      </c>
      <c r="AS1810" t="inlineStr">
        <is>
          <t>701+</t>
        </is>
      </c>
      <c r="AT1810" t="inlineStr">
        <is>
          <t>2.9</t>
        </is>
      </c>
      <c r="AU1810" t="inlineStr">
        <is>
          <t>701+</t>
        </is>
      </c>
      <c r="AV1810" t="inlineStr">
        <is>
          <t>1.3</t>
        </is>
      </c>
      <c r="AW1810" t="inlineStr">
        <is>
          <t>701+</t>
        </is>
      </c>
      <c r="AX1810" t="inlineStr">
        <is>
          <t>8.5</t>
        </is>
      </c>
      <c r="AY1810" t="inlineStr">
        <is>
          <t>701+</t>
        </is>
      </c>
      <c r="AZ1810" t="inlineStr">
        <is>
          <t>1</t>
        </is>
      </c>
      <c r="BA1810" t="inlineStr">
        <is>
          <t>701+</t>
        </is>
      </c>
    </row>
    <row r="1811">
      <c r="A1811" t="inlineStr">
        <is>
          <t>University Toulouse – Jean Jaurès</t>
        </is>
      </c>
      <c r="B1811" t="inlineStr">
        <is>
          <t>France</t>
        </is>
      </c>
      <c r="C1811" t="inlineStr"/>
      <c r="D1811" t="inlineStr">
        <is>
          <t>Europe</t>
        </is>
      </c>
      <c r="E1811" t="inlineStr">
        <is>
          <t>L</t>
        </is>
      </c>
      <c r="F1811" t="inlineStr">
        <is>
          <t>FO</t>
        </is>
      </c>
      <c r="G1811" t="inlineStr">
        <is>
          <t>VH</t>
        </is>
      </c>
      <c r="H1811" t="inlineStr"/>
      <c r="I1811" t="inlineStr">
        <is>
          <t>Public</t>
        </is>
      </c>
      <c r="J1811" t="inlineStr">
        <is>
          <t>1201-1400</t>
        </is>
      </c>
      <c r="K1811" t="inlineStr">
        <is>
          <t>1001-1200</t>
        </is>
      </c>
      <c r="L1811" t="inlineStr"/>
      <c r="M1811" t="inlineStr"/>
      <c r="N1811" t="inlineStr">
        <is>
          <t>-</t>
        </is>
      </c>
      <c r="O1811" t="inlineStr"/>
      <c r="P1811" t="n">
        <v>13.1</v>
      </c>
      <c r="Q1811" t="inlineStr">
        <is>
          <t>701+</t>
        </is>
      </c>
      <c r="R1811" t="n">
        <v>4.8</v>
      </c>
      <c r="S1811" t="inlineStr">
        <is>
          <t>701+</t>
        </is>
      </c>
      <c r="T1811" t="n">
        <v>1.8</v>
      </c>
      <c r="U1811" t="inlineStr">
        <is>
          <t>801+</t>
        </is>
      </c>
      <c r="V1811" t="n">
        <v>9</v>
      </c>
      <c r="W1811" t="inlineStr">
        <is>
          <t>801+</t>
        </is>
      </c>
      <c r="X1811" t="n">
        <v>34.1</v>
      </c>
      <c r="Y1811" t="inlineStr">
        <is>
          <t>544</t>
        </is>
      </c>
      <c r="Z1811" t="n">
        <v>31</v>
      </c>
      <c r="AA1811" t="inlineStr">
        <is>
          <t>580</t>
        </is>
      </c>
      <c r="AB1811" t="n">
        <v>23.2</v>
      </c>
      <c r="AC1811" t="inlineStr">
        <is>
          <t>717</t>
        </is>
      </c>
      <c r="AD1811" t="n">
        <v>64</v>
      </c>
      <c r="AE1811" t="inlineStr">
        <is>
          <t>635</t>
        </is>
      </c>
      <c r="AF1811" t="n">
        <v>2.4</v>
      </c>
      <c r="AG1811" t="inlineStr">
        <is>
          <t>801+</t>
        </is>
      </c>
      <c r="AH1811" t="n">
        <v>30.1</v>
      </c>
      <c r="AI1811" t="inlineStr">
        <is>
          <t>801+</t>
        </is>
      </c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</row>
    <row r="1812">
      <c r="A1812" t="inlineStr">
        <is>
          <t>University Ulm</t>
        </is>
      </c>
      <c r="B1812" t="inlineStr">
        <is>
          <t>Germany</t>
        </is>
      </c>
      <c r="C1812" t="inlineStr">
        <is>
          <t>DE</t>
        </is>
      </c>
      <c r="D1812" t="inlineStr"/>
      <c r="E1812" t="inlineStr">
        <is>
          <t>M</t>
        </is>
      </c>
      <c r="F1812" t="inlineStr">
        <is>
          <t>FO</t>
        </is>
      </c>
      <c r="G1812" t="inlineStr">
        <is>
          <t>VH</t>
        </is>
      </c>
      <c r="H1812" t="inlineStr">
        <is>
          <t>4</t>
        </is>
      </c>
      <c r="I1812" t="inlineStr">
        <is>
          <t>A</t>
        </is>
      </c>
      <c r="J1812" t="inlineStr"/>
      <c r="K1812" t="inlineStr"/>
      <c r="L1812">
        <f>542</f>
        <v/>
      </c>
      <c r="M1812" t="inlineStr">
        <is>
          <t>375=</t>
        </is>
      </c>
      <c r="N1812" t="inlineStr"/>
      <c r="O1812" t="inlineStr">
        <is>
          <t>21.7</t>
        </is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>
        <is>
          <t>7.6</t>
        </is>
      </c>
      <c r="AK1812" t="inlineStr">
        <is>
          <t>601+</t>
        </is>
      </c>
      <c r="AL1812" t="inlineStr">
        <is>
          <t>3.9</t>
        </is>
      </c>
      <c r="AM1812" t="inlineStr">
        <is>
          <t>601+</t>
        </is>
      </c>
      <c r="AN1812" t="inlineStr">
        <is>
          <t>78.3</t>
        </is>
      </c>
      <c r="AO1812" t="inlineStr">
        <is>
          <t>144</t>
        </is>
      </c>
      <c r="AP1812" t="inlineStr">
        <is>
          <t>33.7</t>
        </is>
      </c>
      <c r="AQ1812" t="inlineStr">
        <is>
          <t>404</t>
        </is>
      </c>
      <c r="AR1812" t="inlineStr">
        <is>
          <t>41.1</t>
        </is>
      </c>
      <c r="AS1812" t="inlineStr">
        <is>
          <t>403</t>
        </is>
      </c>
      <c r="AT1812" t="inlineStr">
        <is>
          <t>21.1</t>
        </is>
      </c>
      <c r="AU1812" t="inlineStr">
        <is>
          <t>533</t>
        </is>
      </c>
      <c r="AV1812" t="inlineStr">
        <is>
          <t>14.5</t>
        </is>
      </c>
      <c r="AW1812" t="inlineStr">
        <is>
          <t>603</t>
        </is>
      </c>
      <c r="AX1812" t="inlineStr">
        <is>
          <t>7.2</t>
        </is>
      </c>
      <c r="AY1812" t="inlineStr">
        <is>
          <t>701+</t>
        </is>
      </c>
      <c r="AZ1812" t="inlineStr">
        <is>
          <t>3.2</t>
        </is>
      </c>
      <c r="BA1812" t="inlineStr">
        <is>
          <t>701+</t>
        </is>
      </c>
    </row>
    <row r="1813">
      <c r="A1813" t="inlineStr">
        <is>
          <t>Università  Cattolica del Sacro Cuore</t>
        </is>
      </c>
      <c r="B1813" t="inlineStr">
        <is>
          <t>Italy</t>
        </is>
      </c>
      <c r="C1813" t="inlineStr">
        <is>
          <t>IT</t>
        </is>
      </c>
      <c r="D1813" t="inlineStr">
        <is>
          <t>Europe</t>
        </is>
      </c>
      <c r="E1813" t="inlineStr">
        <is>
          <t>L</t>
        </is>
      </c>
      <c r="F1813" t="inlineStr">
        <is>
          <t>FO</t>
        </is>
      </c>
      <c r="G1813" t="inlineStr">
        <is>
          <t>VH</t>
        </is>
      </c>
      <c r="H1813" t="inlineStr">
        <is>
          <t>5</t>
        </is>
      </c>
      <c r="I1813" t="inlineStr">
        <is>
          <t>Private not for Profit</t>
        </is>
      </c>
      <c r="J1813" t="inlineStr">
        <is>
          <t>409</t>
        </is>
      </c>
      <c r="K1813" t="inlineStr">
        <is>
          <t>442</t>
        </is>
      </c>
      <c r="L1813">
        <f>505</f>
        <v/>
      </c>
      <c r="M1813" t="inlineStr">
        <is>
          <t>511-520</t>
        </is>
      </c>
      <c r="N1813" t="inlineStr">
        <is>
          <t>36.8</t>
        </is>
      </c>
      <c r="O1813" t="inlineStr">
        <is>
          <t>23.0</t>
        </is>
      </c>
      <c r="P1813" t="n">
        <v>33.1</v>
      </c>
      <c r="Q1813" t="inlineStr">
        <is>
          <t>370</t>
        </is>
      </c>
      <c r="R1813" t="n">
        <v>43.1</v>
      </c>
      <c r="S1813" t="inlineStr">
        <is>
          <t>311</t>
        </is>
      </c>
      <c r="T1813" t="n">
        <v>28.7</v>
      </c>
      <c r="U1813" t="inlineStr">
        <is>
          <t>663</t>
        </is>
      </c>
      <c r="V1813" t="n">
        <v>40.3</v>
      </c>
      <c r="W1813" t="inlineStr">
        <is>
          <t>466</t>
        </is>
      </c>
      <c r="X1813" t="n">
        <v>17.1</v>
      </c>
      <c r="Y1813" t="inlineStr">
        <is>
          <t>764</t>
        </is>
      </c>
      <c r="Z1813" t="n">
        <v>13.9</v>
      </c>
      <c r="AA1813" t="inlineStr">
        <is>
          <t>801+</t>
        </is>
      </c>
      <c r="AB1813" t="n">
        <v>19.9</v>
      </c>
      <c r="AC1813" t="inlineStr">
        <is>
          <t>763</t>
        </is>
      </c>
      <c r="AD1813" t="n">
        <v>72.40000000000001</v>
      </c>
      <c r="AE1813" t="inlineStr">
        <is>
          <t>492</t>
        </is>
      </c>
      <c r="AF1813" t="n">
        <v>42.7</v>
      </c>
      <c r="AG1813" t="inlineStr">
        <is>
          <t>411</t>
        </is>
      </c>
      <c r="AH1813" t="n">
        <v>62</v>
      </c>
      <c r="AI1813" t="inlineStr">
        <is>
          <t>458=</t>
        </is>
      </c>
      <c r="AJ1813" t="inlineStr">
        <is>
          <t>23.5</t>
        </is>
      </c>
      <c r="AK1813" t="inlineStr">
        <is>
          <t>367</t>
        </is>
      </c>
      <c r="AL1813" t="inlineStr">
        <is>
          <t>31.4</t>
        </is>
      </c>
      <c r="AM1813" t="inlineStr">
        <is>
          <t>314</t>
        </is>
      </c>
      <c r="AN1813" t="inlineStr">
        <is>
          <t>35.0</t>
        </is>
      </c>
      <c r="AO1813" t="inlineStr">
        <is>
          <t>453</t>
        </is>
      </c>
      <c r="AP1813" t="inlineStr">
        <is>
          <t>13.4</t>
        </is>
      </c>
      <c r="AQ1813" t="inlineStr">
        <is>
          <t>672</t>
        </is>
      </c>
      <c r="AR1813" t="inlineStr">
        <is>
          <t>10.4</t>
        </is>
      </c>
      <c r="AS1813" t="inlineStr">
        <is>
          <t>701+</t>
        </is>
      </c>
      <c r="AT1813" t="inlineStr">
        <is>
          <t>12.7</t>
        </is>
      </c>
      <c r="AU1813" t="inlineStr">
        <is>
          <t>668</t>
        </is>
      </c>
      <c r="AV1813" t="inlineStr">
        <is>
          <t>9.0</t>
        </is>
      </c>
      <c r="AW1813" t="inlineStr">
        <is>
          <t>696</t>
        </is>
      </c>
      <c r="AX1813" t="inlineStr">
        <is>
          <t>26</t>
        </is>
      </c>
      <c r="AY1813" t="inlineStr">
        <is>
          <t>318</t>
        </is>
      </c>
      <c r="AZ1813" t="inlineStr">
        <is>
          <t>44.4</t>
        </is>
      </c>
      <c r="BA1813" t="inlineStr">
        <is>
          <t>336=</t>
        </is>
      </c>
    </row>
    <row r="1814">
      <c r="A1814" t="inlineStr">
        <is>
          <t>Università degli Studi della Tuscia (University of Tuscia)</t>
        </is>
      </c>
      <c r="B1814" t="inlineStr">
        <is>
          <t>Italy</t>
        </is>
      </c>
      <c r="C1814" t="inlineStr">
        <is>
          <t>IT</t>
        </is>
      </c>
      <c r="D1814" t="inlineStr"/>
      <c r="E1814" t="inlineStr">
        <is>
          <t>M</t>
        </is>
      </c>
      <c r="F1814" t="inlineStr">
        <is>
          <t>CO</t>
        </is>
      </c>
      <c r="G1814" t="inlineStr">
        <is>
          <t>VH</t>
        </is>
      </c>
      <c r="H1814" t="inlineStr">
        <is>
          <t>3</t>
        </is>
      </c>
      <c r="I1814" t="inlineStr">
        <is>
          <t>A</t>
        </is>
      </c>
      <c r="J1814" t="inlineStr"/>
      <c r="K1814" t="inlineStr"/>
      <c r="L1814" t="inlineStr">
        <is>
          <t>1001-1200</t>
        </is>
      </c>
      <c r="M1814" t="inlineStr">
        <is>
          <t>1001-1200</t>
        </is>
      </c>
      <c r="N1814" t="inlineStr"/>
      <c r="O1814" t="inlineStr">
        <is>
          <t>-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>
        <is>
          <t>3.9</t>
        </is>
      </c>
      <c r="AK1814" t="inlineStr">
        <is>
          <t>601+</t>
        </is>
      </c>
      <c r="AL1814" t="inlineStr">
        <is>
          <t>1.3</t>
        </is>
      </c>
      <c r="AM1814" t="inlineStr">
        <is>
          <t>601+</t>
        </is>
      </c>
      <c r="AN1814" t="inlineStr">
        <is>
          <t>6.1</t>
        </is>
      </c>
      <c r="AO1814" t="inlineStr">
        <is>
          <t>701+</t>
        </is>
      </c>
      <c r="AP1814" t="inlineStr">
        <is>
          <t>33.5</t>
        </is>
      </c>
      <c r="AQ1814" t="inlineStr">
        <is>
          <t>409</t>
        </is>
      </c>
      <c r="AR1814" t="inlineStr">
        <is>
          <t>10.7</t>
        </is>
      </c>
      <c r="AS1814" t="inlineStr">
        <is>
          <t>701+</t>
        </is>
      </c>
      <c r="AT1814" t="inlineStr">
        <is>
          <t>6.7</t>
        </is>
      </c>
      <c r="AU1814" t="inlineStr">
        <is>
          <t>701+</t>
        </is>
      </c>
      <c r="AV1814" t="inlineStr">
        <is>
          <t>2.4</t>
        </is>
      </c>
      <c r="AW1814" t="inlineStr">
        <is>
          <t>701+</t>
        </is>
      </c>
      <c r="AX1814" t="inlineStr">
        <is>
          <t>6.8</t>
        </is>
      </c>
      <c r="AY1814" t="inlineStr">
        <is>
          <t>701+</t>
        </is>
      </c>
      <c r="AZ1814" t="inlineStr">
        <is>
          <t>14.4</t>
        </is>
      </c>
      <c r="BA1814" t="inlineStr">
        <is>
          <t>620</t>
        </is>
      </c>
    </row>
    <row r="1815">
      <c r="A1815" t="inlineStr">
        <is>
          <t>Università degli studi di Bergamo</t>
        </is>
      </c>
      <c r="B1815" t="inlineStr">
        <is>
          <t>Italy</t>
        </is>
      </c>
      <c r="C1815" t="inlineStr">
        <is>
          <t>IT</t>
        </is>
      </c>
      <c r="D1815" t="inlineStr">
        <is>
          <t>Europe</t>
        </is>
      </c>
      <c r="E1815" t="inlineStr">
        <is>
          <t>L</t>
        </is>
      </c>
      <c r="F1815" t="inlineStr">
        <is>
          <t>FO</t>
        </is>
      </c>
      <c r="G1815" t="inlineStr">
        <is>
          <t>VH</t>
        </is>
      </c>
      <c r="H1815" t="inlineStr">
        <is>
          <t>3</t>
        </is>
      </c>
      <c r="I1815" t="inlineStr">
        <is>
          <t>Public</t>
        </is>
      </c>
      <c r="J1815" t="inlineStr">
        <is>
          <t>1401+</t>
        </is>
      </c>
      <c r="K1815" t="inlineStr">
        <is>
          <t>1201-1400</t>
        </is>
      </c>
      <c r="L1815" t="inlineStr">
        <is>
          <t>1201-1400</t>
        </is>
      </c>
      <c r="M1815" t="inlineStr">
        <is>
          <t>1201-1400</t>
        </is>
      </c>
      <c r="N1815" t="inlineStr">
        <is>
          <t>-</t>
        </is>
      </c>
      <c r="O1815" t="inlineStr">
        <is>
          <t>-</t>
        </is>
      </c>
      <c r="P1815" t="n">
        <v>7.2</v>
      </c>
      <c r="Q1815" t="inlineStr">
        <is>
          <t>701+</t>
        </is>
      </c>
      <c r="R1815" t="n">
        <v>4.2</v>
      </c>
      <c r="S1815" t="inlineStr">
        <is>
          <t>701+</t>
        </is>
      </c>
      <c r="T1815" t="n">
        <v>2.5</v>
      </c>
      <c r="U1815" t="inlineStr">
        <is>
          <t>801+</t>
        </is>
      </c>
      <c r="V1815" t="n">
        <v>11.9</v>
      </c>
      <c r="W1815" t="inlineStr">
        <is>
          <t>801+</t>
        </is>
      </c>
      <c r="X1815" t="n">
        <v>5.8</v>
      </c>
      <c r="Y1815" t="inlineStr">
        <is>
          <t>801+</t>
        </is>
      </c>
      <c r="Z1815" t="n">
        <v>12.3</v>
      </c>
      <c r="AA1815" t="inlineStr">
        <is>
          <t>801+</t>
        </is>
      </c>
      <c r="AB1815" t="n">
        <v>18.2</v>
      </c>
      <c r="AC1815" t="inlineStr">
        <is>
          <t>790</t>
        </is>
      </c>
      <c r="AD1815" t="n">
        <v>39.1</v>
      </c>
      <c r="AE1815" t="inlineStr">
        <is>
          <t>801+</t>
        </is>
      </c>
      <c r="AF1815" t="n">
        <v>5.5</v>
      </c>
      <c r="AG1815" t="inlineStr">
        <is>
          <t>801+</t>
        </is>
      </c>
      <c r="AH1815" t="n">
        <v>31.4</v>
      </c>
      <c r="AI1815" t="inlineStr">
        <is>
          <t>801+</t>
        </is>
      </c>
      <c r="AJ1815" t="inlineStr">
        <is>
          <t>5.7</t>
        </is>
      </c>
      <c r="AK1815" t="inlineStr">
        <is>
          <t>601+</t>
        </is>
      </c>
      <c r="AL1815" t="inlineStr">
        <is>
          <t>2.3</t>
        </is>
      </c>
      <c r="AM1815" t="inlineStr">
        <is>
          <t>601+</t>
        </is>
      </c>
      <c r="AN1815" t="inlineStr">
        <is>
          <t>1.5</t>
        </is>
      </c>
      <c r="AO1815" t="inlineStr">
        <is>
          <t>701+</t>
        </is>
      </c>
      <c r="AP1815" t="inlineStr">
        <is>
          <t>6.3</t>
        </is>
      </c>
      <c r="AQ1815" t="inlineStr">
        <is>
          <t>701+</t>
        </is>
      </c>
      <c r="AR1815" t="inlineStr">
        <is>
          <t>8.4</t>
        </is>
      </c>
      <c r="AS1815" t="inlineStr">
        <is>
          <t>701+</t>
        </is>
      </c>
      <c r="AT1815" t="inlineStr">
        <is>
          <t>6.4</t>
        </is>
      </c>
      <c r="AU1815" t="inlineStr">
        <is>
          <t>701+</t>
        </is>
      </c>
      <c r="AV1815" t="inlineStr">
        <is>
          <t>1.4</t>
        </is>
      </c>
      <c r="AW1815" t="inlineStr">
        <is>
          <t>701+</t>
        </is>
      </c>
      <c r="AX1815" t="inlineStr">
        <is>
          <t>8.5</t>
        </is>
      </c>
      <c r="AY1815" t="inlineStr">
        <is>
          <t>701+</t>
        </is>
      </c>
      <c r="AZ1815" t="inlineStr">
        <is>
          <t>1.1</t>
        </is>
      </c>
      <c r="BA1815" t="inlineStr">
        <is>
          <t>701+</t>
        </is>
      </c>
    </row>
    <row r="1816">
      <c r="A1816" t="inlineStr">
        <is>
          <t>Università  degli Studi di Palermo</t>
        </is>
      </c>
      <c r="B1816" t="inlineStr">
        <is>
          <t>Italy</t>
        </is>
      </c>
      <c r="C1816" t="inlineStr"/>
      <c r="D1816" t="inlineStr">
        <is>
          <t>Europe</t>
        </is>
      </c>
      <c r="E1816" t="inlineStr">
        <is>
          <t>L</t>
        </is>
      </c>
      <c r="F1816" t="inlineStr">
        <is>
          <t>CO</t>
        </is>
      </c>
      <c r="G1816" t="inlineStr">
        <is>
          <t>VH</t>
        </is>
      </c>
      <c r="H1816" t="inlineStr"/>
      <c r="I1816" t="inlineStr">
        <is>
          <t>Public</t>
        </is>
      </c>
      <c r="J1816" t="inlineStr">
        <is>
          <t>801-850</t>
        </is>
      </c>
      <c r="K1816" t="inlineStr">
        <is>
          <t>851-900</t>
        </is>
      </c>
      <c r="L1816" t="inlineStr"/>
      <c r="M1816" t="inlineStr"/>
      <c r="N1816" t="inlineStr">
        <is>
          <t>-</t>
        </is>
      </c>
      <c r="O1816" t="inlineStr"/>
      <c r="P1816" t="n">
        <v>17.8</v>
      </c>
      <c r="Q1816" t="inlineStr">
        <is>
          <t>688</t>
        </is>
      </c>
      <c r="R1816" t="n">
        <v>4.8</v>
      </c>
      <c r="S1816" t="inlineStr">
        <is>
          <t>701+</t>
        </is>
      </c>
      <c r="T1816" t="n">
        <v>7.1</v>
      </c>
      <c r="U1816" t="inlineStr">
        <is>
          <t>801+</t>
        </is>
      </c>
      <c r="V1816" t="n">
        <v>45</v>
      </c>
      <c r="W1816" t="inlineStr">
        <is>
          <t>415</t>
        </is>
      </c>
      <c r="X1816" t="n">
        <v>3.3</v>
      </c>
      <c r="Y1816" t="inlineStr">
        <is>
          <t>801+</t>
        </is>
      </c>
      <c r="Z1816" t="n">
        <v>3.8</v>
      </c>
      <c r="AA1816" t="inlineStr">
        <is>
          <t>801+</t>
        </is>
      </c>
      <c r="AB1816" t="n">
        <v>8.800000000000001</v>
      </c>
      <c r="AC1816" t="inlineStr">
        <is>
          <t>801+</t>
        </is>
      </c>
      <c r="AD1816" t="n">
        <v>84</v>
      </c>
      <c r="AE1816" t="inlineStr">
        <is>
          <t>274</t>
        </is>
      </c>
      <c r="AF1816" t="n">
        <v>6.4</v>
      </c>
      <c r="AG1816" t="inlineStr">
        <is>
          <t>801+</t>
        </is>
      </c>
      <c r="AH1816" t="n">
        <v>44.3</v>
      </c>
      <c r="AI1816" t="inlineStr">
        <is>
          <t>801+</t>
        </is>
      </c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</row>
    <row r="1817">
      <c r="A1817" t="inlineStr">
        <is>
          <t>Università  degli Studi di Pavia</t>
        </is>
      </c>
      <c r="B1817" t="inlineStr">
        <is>
          <t>Italy</t>
        </is>
      </c>
      <c r="C1817" t="inlineStr">
        <is>
          <t>IT</t>
        </is>
      </c>
      <c r="D1817" t="inlineStr">
        <is>
          <t>Europe</t>
        </is>
      </c>
      <c r="E1817" t="inlineStr">
        <is>
          <t>L</t>
        </is>
      </c>
      <c r="F1817" t="inlineStr">
        <is>
          <t>FC</t>
        </is>
      </c>
      <c r="G1817" t="inlineStr">
        <is>
          <t>VH</t>
        </is>
      </c>
      <c r="H1817" t="inlineStr">
        <is>
          <t>5</t>
        </is>
      </c>
      <c r="I1817" t="inlineStr">
        <is>
          <t>Public</t>
        </is>
      </c>
      <c r="J1817" t="inlineStr">
        <is>
          <t>423</t>
        </is>
      </c>
      <c r="K1817" t="inlineStr">
        <is>
          <t>440</t>
        </is>
      </c>
      <c r="L1817">
        <f>469</f>
        <v/>
      </c>
      <c r="M1817" t="inlineStr">
        <is>
          <t>561-570</t>
        </is>
      </c>
      <c r="N1817" t="inlineStr">
        <is>
          <t>36.1</t>
        </is>
      </c>
      <c r="O1817" t="inlineStr">
        <is>
          <t>24.6</t>
        </is>
      </c>
      <c r="P1817" t="n">
        <v>29.4</v>
      </c>
      <c r="Q1817" t="inlineStr">
        <is>
          <t>420</t>
        </is>
      </c>
      <c r="R1817" t="n">
        <v>12.9</v>
      </c>
      <c r="S1817" t="inlineStr">
        <is>
          <t>701+</t>
        </is>
      </c>
      <c r="T1817" t="n">
        <v>13.5</v>
      </c>
      <c r="U1817" t="inlineStr">
        <is>
          <t>801+</t>
        </is>
      </c>
      <c r="V1817" t="n">
        <v>72.3</v>
      </c>
      <c r="W1817" t="inlineStr">
        <is>
          <t>196</t>
        </is>
      </c>
      <c r="X1817" t="n">
        <v>8.4</v>
      </c>
      <c r="Y1817" t="inlineStr">
        <is>
          <t>801+</t>
        </is>
      </c>
      <c r="Z1817" t="n">
        <v>24.6</v>
      </c>
      <c r="AA1817" t="inlineStr">
        <is>
          <t>669</t>
        </is>
      </c>
      <c r="AB1817" t="n">
        <v>30.7</v>
      </c>
      <c r="AC1817" t="inlineStr">
        <is>
          <t>607</t>
        </is>
      </c>
      <c r="AD1817" t="n">
        <v>80.40000000000001</v>
      </c>
      <c r="AE1817" t="inlineStr">
        <is>
          <t>346</t>
        </is>
      </c>
      <c r="AF1817" t="n">
        <v>20.4</v>
      </c>
      <c r="AG1817" t="inlineStr">
        <is>
          <t>718</t>
        </is>
      </c>
      <c r="AH1817" t="n">
        <v>74.90000000000001</v>
      </c>
      <c r="AI1817" t="inlineStr">
        <is>
          <t>237=</t>
        </is>
      </c>
      <c r="AJ1817" t="inlineStr">
        <is>
          <t>21.2</t>
        </is>
      </c>
      <c r="AK1817" t="inlineStr">
        <is>
          <t>413</t>
        </is>
      </c>
      <c r="AL1817" t="inlineStr">
        <is>
          <t>5.8</t>
        </is>
      </c>
      <c r="AM1817" t="inlineStr">
        <is>
          <t>601+</t>
        </is>
      </c>
      <c r="AN1817" t="inlineStr">
        <is>
          <t>7.5</t>
        </is>
      </c>
      <c r="AO1817" t="inlineStr">
        <is>
          <t>701+</t>
        </is>
      </c>
      <c r="AP1817" t="inlineStr">
        <is>
          <t>51.0</t>
        </is>
      </c>
      <c r="AQ1817" t="inlineStr">
        <is>
          <t>257</t>
        </is>
      </c>
      <c r="AR1817" t="inlineStr">
        <is>
          <t>6.1</t>
        </is>
      </c>
      <c r="AS1817" t="inlineStr">
        <is>
          <t>701+</t>
        </is>
      </c>
      <c r="AT1817" t="inlineStr">
        <is>
          <t>13.2</t>
        </is>
      </c>
      <c r="AU1817" t="inlineStr">
        <is>
          <t>657</t>
        </is>
      </c>
      <c r="AV1817" t="inlineStr">
        <is>
          <t>53.1</t>
        </is>
      </c>
      <c r="AW1817" t="inlineStr">
        <is>
          <t>296</t>
        </is>
      </c>
      <c r="AX1817" t="inlineStr">
        <is>
          <t>13.2</t>
        </is>
      </c>
      <c r="AY1817" t="inlineStr">
        <is>
          <t>652</t>
        </is>
      </c>
      <c r="AZ1817" t="inlineStr">
        <is>
          <t>44.4</t>
        </is>
      </c>
      <c r="BA1817" t="inlineStr">
        <is>
          <t>336=</t>
        </is>
      </c>
    </row>
    <row r="1818">
      <c r="A1818" t="inlineStr">
        <is>
          <t>Università degli Studi di Perugia</t>
        </is>
      </c>
      <c r="B1818" t="inlineStr">
        <is>
          <t>Italy</t>
        </is>
      </c>
      <c r="C1818" t="inlineStr">
        <is>
          <t>IT</t>
        </is>
      </c>
      <c r="D1818" t="inlineStr"/>
      <c r="E1818" t="inlineStr">
        <is>
          <t>L</t>
        </is>
      </c>
      <c r="F1818" t="inlineStr">
        <is>
          <t>FC</t>
        </is>
      </c>
      <c r="G1818" t="inlineStr">
        <is>
          <t>VH</t>
        </is>
      </c>
      <c r="H1818" t="inlineStr">
        <is>
          <t>5</t>
        </is>
      </c>
      <c r="I1818" t="inlineStr">
        <is>
          <t>A</t>
        </is>
      </c>
      <c r="J1818" t="inlineStr"/>
      <c r="K1818" t="inlineStr"/>
      <c r="L1818" t="inlineStr">
        <is>
          <t>661-670</t>
        </is>
      </c>
      <c r="M1818" t="inlineStr">
        <is>
          <t>801-1000</t>
        </is>
      </c>
      <c r="N1818" t="inlineStr"/>
      <c r="O1818" t="inlineStr">
        <is>
          <t>-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>
        <is>
          <t>9.3</t>
        </is>
      </c>
      <c r="AK1818" t="inlineStr">
        <is>
          <t>601+</t>
        </is>
      </c>
      <c r="AL1818" t="inlineStr">
        <is>
          <t>2.3</t>
        </is>
      </c>
      <c r="AM1818" t="inlineStr">
        <is>
          <t>601+</t>
        </is>
      </c>
      <c r="AN1818" t="inlineStr">
        <is>
          <t>3.6</t>
        </is>
      </c>
      <c r="AO1818" t="inlineStr">
        <is>
          <t>701+</t>
        </is>
      </c>
      <c r="AP1818" t="inlineStr">
        <is>
          <t>42.4</t>
        </is>
      </c>
      <c r="AQ1818" t="inlineStr">
        <is>
          <t>318</t>
        </is>
      </c>
      <c r="AR1818" t="inlineStr">
        <is>
          <t>6.9</t>
        </is>
      </c>
      <c r="AS1818" t="inlineStr">
        <is>
          <t>701+</t>
        </is>
      </c>
      <c r="AT1818" t="inlineStr">
        <is>
          <t>5.9</t>
        </is>
      </c>
      <c r="AU1818" t="inlineStr">
        <is>
          <t>701+</t>
        </is>
      </c>
      <c r="AV1818" t="inlineStr">
        <is>
          <t>27.3</t>
        </is>
      </c>
      <c r="AW1818" t="inlineStr">
        <is>
          <t>477</t>
        </is>
      </c>
      <c r="AX1818" t="inlineStr">
        <is>
          <t>6</t>
        </is>
      </c>
      <c r="AY1818" t="inlineStr">
        <is>
          <t>701+</t>
        </is>
      </c>
      <c r="AZ1818" t="inlineStr">
        <is>
          <t>66</t>
        </is>
      </c>
      <c r="BA1818" t="inlineStr">
        <is>
          <t>222</t>
        </is>
      </c>
    </row>
    <row r="1819">
      <c r="A1819" t="inlineStr">
        <is>
          <t>Università degli Studi di Roma - Tor Vergata</t>
        </is>
      </c>
      <c r="B1819" t="inlineStr">
        <is>
          <t>Italy</t>
        </is>
      </c>
      <c r="C1819" t="inlineStr"/>
      <c r="D1819" t="inlineStr">
        <is>
          <t>Europe</t>
        </is>
      </c>
      <c r="E1819" t="inlineStr">
        <is>
          <t>L</t>
        </is>
      </c>
      <c r="F1819" t="inlineStr">
        <is>
          <t>CO</t>
        </is>
      </c>
      <c r="G1819" t="inlineStr">
        <is>
          <t>VH</t>
        </is>
      </c>
      <c r="H1819" t="inlineStr"/>
      <c r="I1819" t="inlineStr">
        <is>
          <t>Public</t>
        </is>
      </c>
      <c r="J1819" t="inlineStr">
        <is>
          <t>355</t>
        </is>
      </c>
      <c r="K1819" t="inlineStr">
        <is>
          <t>393</t>
        </is>
      </c>
      <c r="L1819" t="inlineStr"/>
      <c r="M1819" t="inlineStr"/>
      <c r="N1819" t="inlineStr">
        <is>
          <t>41.2</t>
        </is>
      </c>
      <c r="O1819" t="inlineStr"/>
      <c r="P1819" t="n">
        <v>40.7</v>
      </c>
      <c r="Q1819" t="inlineStr">
        <is>
          <t>294</t>
        </is>
      </c>
      <c r="R1819" t="n">
        <v>25.2</v>
      </c>
      <c r="S1819" t="inlineStr">
        <is>
          <t>534</t>
        </is>
      </c>
      <c r="T1819" t="n">
        <v>14.9</v>
      </c>
      <c r="U1819" t="inlineStr">
        <is>
          <t>801+</t>
        </is>
      </c>
      <c r="V1819" t="n">
        <v>65.5</v>
      </c>
      <c r="W1819" t="inlineStr">
        <is>
          <t>246</t>
        </is>
      </c>
      <c r="X1819" t="n">
        <v>19.7</v>
      </c>
      <c r="Y1819" t="inlineStr">
        <is>
          <t>716</t>
        </is>
      </c>
      <c r="Z1819" t="n">
        <v>58.8</v>
      </c>
      <c r="AA1819" t="inlineStr">
        <is>
          <t>348</t>
        </is>
      </c>
      <c r="AB1819" t="n">
        <v>62.8</v>
      </c>
      <c r="AC1819" t="inlineStr">
        <is>
          <t>315</t>
        </is>
      </c>
      <c r="AD1819" t="n">
        <v>71.7</v>
      </c>
      <c r="AE1819" t="inlineStr">
        <is>
          <t>505</t>
        </is>
      </c>
      <c r="AF1819" t="n">
        <v>8.5</v>
      </c>
      <c r="AG1819" t="inlineStr">
        <is>
          <t>801+</t>
        </is>
      </c>
      <c r="AH1819" t="n">
        <v>70.3</v>
      </c>
      <c r="AI1819" t="inlineStr">
        <is>
          <t>313=</t>
        </is>
      </c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</row>
    <row r="1820">
      <c r="A1820" t="inlineStr">
        <is>
          <t>Università degli Studi di Udine</t>
        </is>
      </c>
      <c r="B1820" t="inlineStr">
        <is>
          <t>Italy</t>
        </is>
      </c>
      <c r="C1820" t="inlineStr">
        <is>
          <t>IT</t>
        </is>
      </c>
      <c r="D1820" t="inlineStr">
        <is>
          <t>Europe</t>
        </is>
      </c>
      <c r="E1820" t="inlineStr">
        <is>
          <t>M</t>
        </is>
      </c>
      <c r="F1820" t="inlineStr">
        <is>
          <t>CO</t>
        </is>
      </c>
      <c r="G1820" t="inlineStr">
        <is>
          <t>VH</t>
        </is>
      </c>
      <c r="H1820" t="inlineStr">
        <is>
          <t>3</t>
        </is>
      </c>
      <c r="I1820" t="inlineStr">
        <is>
          <t>Public</t>
        </is>
      </c>
      <c r="J1820" t="inlineStr">
        <is>
          <t>1001-1200</t>
        </is>
      </c>
      <c r="K1820" t="inlineStr">
        <is>
          <t>1001-1200</t>
        </is>
      </c>
      <c r="L1820" t="inlineStr">
        <is>
          <t>1001-1200</t>
        </is>
      </c>
      <c r="M1820" t="inlineStr">
        <is>
          <t>1001-1200</t>
        </is>
      </c>
      <c r="N1820" t="inlineStr">
        <is>
          <t>-</t>
        </is>
      </c>
      <c r="O1820" t="inlineStr">
        <is>
          <t>-</t>
        </is>
      </c>
      <c r="P1820" t="n">
        <v>9.5</v>
      </c>
      <c r="Q1820" t="inlineStr">
        <is>
          <t>701+</t>
        </is>
      </c>
      <c r="R1820" t="n">
        <v>4.8</v>
      </c>
      <c r="S1820" t="inlineStr">
        <is>
          <t>701+</t>
        </is>
      </c>
      <c r="T1820" t="n">
        <v>15.2</v>
      </c>
      <c r="U1820" t="inlineStr">
        <is>
          <t>801+</t>
        </is>
      </c>
      <c r="V1820" t="n">
        <v>23.9</v>
      </c>
      <c r="W1820" t="inlineStr">
        <is>
          <t>657</t>
        </is>
      </c>
      <c r="X1820" t="n">
        <v>5.7</v>
      </c>
      <c r="Y1820" t="inlineStr">
        <is>
          <t>801+</t>
        </is>
      </c>
      <c r="Z1820" t="n">
        <v>8.199999999999999</v>
      </c>
      <c r="AA1820" t="inlineStr">
        <is>
          <t>801+</t>
        </is>
      </c>
      <c r="AB1820" t="n">
        <v>13.6</v>
      </c>
      <c r="AC1820" t="inlineStr">
        <is>
          <t>801+</t>
        </is>
      </c>
      <c r="AD1820" t="n">
        <v>52.1</v>
      </c>
      <c r="AE1820" t="inlineStr">
        <is>
          <t>801+</t>
        </is>
      </c>
      <c r="AF1820" t="n">
        <v>2</v>
      </c>
      <c r="AG1820" t="inlineStr">
        <is>
          <t>801+</t>
        </is>
      </c>
      <c r="AH1820" t="n">
        <v>42.8</v>
      </c>
      <c r="AI1820" t="inlineStr">
        <is>
          <t>801+</t>
        </is>
      </c>
      <c r="AJ1820" t="inlineStr">
        <is>
          <t>7.2</t>
        </is>
      </c>
      <c r="AK1820" t="inlineStr">
        <is>
          <t>601+</t>
        </is>
      </c>
      <c r="AL1820" t="inlineStr">
        <is>
          <t>2.5</t>
        </is>
      </c>
      <c r="AM1820" t="inlineStr">
        <is>
          <t>601+</t>
        </is>
      </c>
      <c r="AN1820" t="inlineStr">
        <is>
          <t>10.2</t>
        </is>
      </c>
      <c r="AO1820" t="inlineStr">
        <is>
          <t>701+</t>
        </is>
      </c>
      <c r="AP1820" t="inlineStr">
        <is>
          <t>22.0</t>
        </is>
      </c>
      <c r="AQ1820" t="inlineStr">
        <is>
          <t>528</t>
        </is>
      </c>
      <c r="AR1820" t="inlineStr">
        <is>
          <t>4.7</t>
        </is>
      </c>
      <c r="AS1820" t="inlineStr">
        <is>
          <t>701+</t>
        </is>
      </c>
      <c r="AT1820" t="inlineStr">
        <is>
          <t>4.0</t>
        </is>
      </c>
      <c r="AU1820" t="inlineStr">
        <is>
          <t>701+</t>
        </is>
      </c>
      <c r="AV1820" t="inlineStr">
        <is>
          <t>5.8</t>
        </is>
      </c>
      <c r="AW1820" t="inlineStr">
        <is>
          <t>701+</t>
        </is>
      </c>
      <c r="AX1820" t="inlineStr">
        <is>
          <t>7.7</t>
        </is>
      </c>
      <c r="AY1820" t="inlineStr">
        <is>
          <t>701+</t>
        </is>
      </c>
      <c r="AZ1820" t="inlineStr">
        <is>
          <t>20.7</t>
        </is>
      </c>
      <c r="BA1820" t="inlineStr">
        <is>
          <t>539</t>
        </is>
      </c>
    </row>
    <row r="1821">
      <c r="A1821" t="inlineStr">
        <is>
          <t>Università degli Studi Roma Tre</t>
        </is>
      </c>
      <c r="B1821" t="inlineStr">
        <is>
          <t>Italy</t>
        </is>
      </c>
      <c r="C1821" t="inlineStr">
        <is>
          <t>IT</t>
        </is>
      </c>
      <c r="D1821" t="inlineStr">
        <is>
          <t>Europe</t>
        </is>
      </c>
      <c r="E1821" t="inlineStr">
        <is>
          <t>XL</t>
        </is>
      </c>
      <c r="F1821" t="inlineStr">
        <is>
          <t>CO</t>
        </is>
      </c>
      <c r="G1821" t="inlineStr">
        <is>
          <t>VH</t>
        </is>
      </c>
      <c r="H1821" t="inlineStr">
        <is>
          <t>3</t>
        </is>
      </c>
      <c r="I1821" t="inlineStr">
        <is>
          <t>Public</t>
        </is>
      </c>
      <c r="J1821" t="inlineStr">
        <is>
          <t>901-950</t>
        </is>
      </c>
      <c r="K1821" t="inlineStr">
        <is>
          <t>901-950</t>
        </is>
      </c>
      <c r="L1821" t="inlineStr">
        <is>
          <t>901-950</t>
        </is>
      </c>
      <c r="M1821" t="inlineStr">
        <is>
          <t>801-1000</t>
        </is>
      </c>
      <c r="N1821" t="inlineStr">
        <is>
          <t>-</t>
        </is>
      </c>
      <c r="O1821" t="inlineStr">
        <is>
          <t>-</t>
        </is>
      </c>
      <c r="P1821" t="n">
        <v>24.7</v>
      </c>
      <c r="Q1821" t="inlineStr">
        <is>
          <t>515</t>
        </is>
      </c>
      <c r="R1821" t="n">
        <v>14.6</v>
      </c>
      <c r="S1821" t="inlineStr">
        <is>
          <t>701+</t>
        </is>
      </c>
      <c r="T1821" t="n">
        <v>3.3</v>
      </c>
      <c r="U1821" t="inlineStr">
        <is>
          <t>801+</t>
        </is>
      </c>
      <c r="V1821" t="n">
        <v>15.5</v>
      </c>
      <c r="W1821" t="inlineStr">
        <is>
          <t>796</t>
        </is>
      </c>
      <c r="X1821" t="n">
        <v>8.800000000000001</v>
      </c>
      <c r="Y1821" t="inlineStr">
        <is>
          <t>801+</t>
        </is>
      </c>
      <c r="Z1821" t="n">
        <v>7.8</v>
      </c>
      <c r="AA1821" t="inlineStr">
        <is>
          <t>801+</t>
        </is>
      </c>
      <c r="AB1821" t="n">
        <v>6</v>
      </c>
      <c r="AC1821" t="inlineStr">
        <is>
          <t>801+</t>
        </is>
      </c>
      <c r="AD1821" t="n">
        <v>66.7</v>
      </c>
      <c r="AE1821" t="inlineStr">
        <is>
          <t>594</t>
        </is>
      </c>
      <c r="AF1821" t="n">
        <v>11</v>
      </c>
      <c r="AG1821" t="inlineStr">
        <is>
          <t>801+</t>
        </is>
      </c>
      <c r="AH1821" t="n">
        <v>56.2</v>
      </c>
      <c r="AI1821" t="inlineStr">
        <is>
          <t>576=</t>
        </is>
      </c>
      <c r="AJ1821" t="inlineStr">
        <is>
          <t>17.5</t>
        </is>
      </c>
      <c r="AK1821" t="inlineStr">
        <is>
          <t>508</t>
        </is>
      </c>
      <c r="AL1821" t="inlineStr">
        <is>
          <t>6.9</t>
        </is>
      </c>
      <c r="AM1821" t="inlineStr">
        <is>
          <t>601+</t>
        </is>
      </c>
      <c r="AN1821" t="inlineStr">
        <is>
          <t>2.1</t>
        </is>
      </c>
      <c r="AO1821" t="inlineStr">
        <is>
          <t>701+</t>
        </is>
      </c>
      <c r="AP1821" t="inlineStr">
        <is>
          <t>14.9</t>
        </is>
      </c>
      <c r="AQ1821" t="inlineStr">
        <is>
          <t>638</t>
        </is>
      </c>
      <c r="AR1821" t="inlineStr">
        <is>
          <t>9.0</t>
        </is>
      </c>
      <c r="AS1821" t="inlineStr">
        <is>
          <t>701+</t>
        </is>
      </c>
      <c r="AT1821" t="inlineStr">
        <is>
          <t>4.6</t>
        </is>
      </c>
      <c r="AU1821" t="inlineStr">
        <is>
          <t>701+</t>
        </is>
      </c>
      <c r="AV1821" t="inlineStr">
        <is>
          <t>18.2</t>
        </is>
      </c>
      <c r="AW1821" t="inlineStr">
        <is>
          <t>558</t>
        </is>
      </c>
      <c r="AX1821" t="inlineStr">
        <is>
          <t>5.8</t>
        </is>
      </c>
      <c r="AY1821" t="inlineStr">
        <is>
          <t>701+</t>
        </is>
      </c>
      <c r="AZ1821" t="inlineStr">
        <is>
          <t>8.4</t>
        </is>
      </c>
      <c r="BA1821" t="inlineStr">
        <is>
          <t>695=</t>
        </is>
      </c>
    </row>
    <row r="1822">
      <c r="A1822" t="inlineStr">
        <is>
          <t>Università del Salento</t>
        </is>
      </c>
      <c r="B1822" t="inlineStr">
        <is>
          <t>Italy</t>
        </is>
      </c>
      <c r="C1822" t="inlineStr">
        <is>
          <t>IT</t>
        </is>
      </c>
      <c r="D1822" t="inlineStr"/>
      <c r="E1822" t="inlineStr">
        <is>
          <t>L</t>
        </is>
      </c>
      <c r="F1822" t="inlineStr">
        <is>
          <t>CO</t>
        </is>
      </c>
      <c r="G1822" t="inlineStr">
        <is>
          <t>VH</t>
        </is>
      </c>
      <c r="H1822" t="inlineStr">
        <is>
          <t>4</t>
        </is>
      </c>
      <c r="I1822" t="inlineStr">
        <is>
          <t>A</t>
        </is>
      </c>
      <c r="J1822" t="inlineStr"/>
      <c r="K1822" t="inlineStr"/>
      <c r="L1822" t="inlineStr">
        <is>
          <t>1001-1200</t>
        </is>
      </c>
      <c r="M1822" t="inlineStr"/>
      <c r="N1822" t="inlineStr"/>
      <c r="O1822" t="inlineStr">
        <is>
          <t>-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>
        <is>
          <t>7.0</t>
        </is>
      </c>
      <c r="AK1822" t="inlineStr">
        <is>
          <t>601+</t>
        </is>
      </c>
      <c r="AL1822" t="inlineStr">
        <is>
          <t>1.6</t>
        </is>
      </c>
      <c r="AM1822" t="inlineStr">
        <is>
          <t>601+</t>
        </is>
      </c>
      <c r="AN1822" t="inlineStr">
        <is>
          <t>7.1</t>
        </is>
      </c>
      <c r="AO1822" t="inlineStr">
        <is>
          <t>701+</t>
        </is>
      </c>
      <c r="AP1822" t="inlineStr">
        <is>
          <t>22.0</t>
        </is>
      </c>
      <c r="AQ1822" t="inlineStr">
        <is>
          <t>528</t>
        </is>
      </c>
      <c r="AR1822" t="inlineStr">
        <is>
          <t>1.8</t>
        </is>
      </c>
      <c r="AS1822" t="inlineStr">
        <is>
          <t>701+</t>
        </is>
      </c>
      <c r="AT1822" t="inlineStr">
        <is>
          <t>1.5</t>
        </is>
      </c>
      <c r="AU1822" t="inlineStr">
        <is>
          <t>701+</t>
        </is>
      </c>
      <c r="AV1822" t="inlineStr">
        <is>
          <t>19.6</t>
        </is>
      </c>
      <c r="AW1822" t="inlineStr">
        <is>
          <t>546</t>
        </is>
      </c>
      <c r="AX1822" t="inlineStr">
        <is>
          <t>4.7</t>
        </is>
      </c>
      <c r="AY1822" t="inlineStr">
        <is>
          <t>701+</t>
        </is>
      </c>
      <c r="AZ1822" t="inlineStr"/>
      <c r="BA1822" t="inlineStr"/>
    </row>
    <row r="1823">
      <c r="A1823" t="inlineStr">
        <is>
          <t>Università della Calabria</t>
        </is>
      </c>
      <c r="B1823" t="inlineStr">
        <is>
          <t>Italy</t>
        </is>
      </c>
      <c r="C1823" t="inlineStr"/>
      <c r="D1823" t="inlineStr">
        <is>
          <t>Europe</t>
        </is>
      </c>
      <c r="E1823" t="inlineStr">
        <is>
          <t>M</t>
        </is>
      </c>
      <c r="F1823" t="inlineStr">
        <is>
          <t>CO</t>
        </is>
      </c>
      <c r="G1823" t="inlineStr">
        <is>
          <t>VH</t>
        </is>
      </c>
      <c r="H1823" t="inlineStr"/>
      <c r="I1823" t="inlineStr">
        <is>
          <t>Public</t>
        </is>
      </c>
      <c r="J1823" t="inlineStr">
        <is>
          <t>951-1000</t>
        </is>
      </c>
      <c r="K1823" t="inlineStr">
        <is>
          <t>901-950</t>
        </is>
      </c>
      <c r="L1823" t="inlineStr"/>
      <c r="M1823" t="inlineStr"/>
      <c r="N1823" t="inlineStr">
        <is>
          <t>-</t>
        </is>
      </c>
      <c r="O1823" t="inlineStr"/>
      <c r="P1823" t="n">
        <v>11.1</v>
      </c>
      <c r="Q1823" t="inlineStr">
        <is>
          <t>701+</t>
        </is>
      </c>
      <c r="R1823" t="n">
        <v>4.5</v>
      </c>
      <c r="S1823" t="inlineStr">
        <is>
          <t>701+</t>
        </is>
      </c>
      <c r="T1823" t="n">
        <v>10.6</v>
      </c>
      <c r="U1823" t="inlineStr">
        <is>
          <t>801+</t>
        </is>
      </c>
      <c r="V1823" t="n">
        <v>34.9</v>
      </c>
      <c r="W1823" t="inlineStr">
        <is>
          <t>526</t>
        </is>
      </c>
      <c r="X1823" t="n">
        <v>9.199999999999999</v>
      </c>
      <c r="Y1823" t="inlineStr">
        <is>
          <t>801+</t>
        </is>
      </c>
      <c r="Z1823" t="n">
        <v>7.9</v>
      </c>
      <c r="AA1823" t="inlineStr">
        <is>
          <t>801+</t>
        </is>
      </c>
      <c r="AB1823" t="n">
        <v>13.5</v>
      </c>
      <c r="AC1823" t="inlineStr">
        <is>
          <t>801+</t>
        </is>
      </c>
      <c r="AD1823" t="n">
        <v>79.09999999999999</v>
      </c>
      <c r="AE1823" t="inlineStr">
        <is>
          <t>367</t>
        </is>
      </c>
      <c r="AF1823" t="n">
        <v>1.7</v>
      </c>
      <c r="AG1823" t="inlineStr">
        <is>
          <t>801+</t>
        </is>
      </c>
      <c r="AH1823" t="n">
        <v>57.5</v>
      </c>
      <c r="AI1823" t="inlineStr">
        <is>
          <t>550=</t>
        </is>
      </c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</row>
    <row r="1824">
      <c r="A1824" t="inlineStr">
        <is>
          <t>Università della Svizzera Italiana</t>
        </is>
      </c>
      <c r="B1824" t="inlineStr">
        <is>
          <t>Switzerland</t>
        </is>
      </c>
      <c r="C1824" t="inlineStr"/>
      <c r="D1824" t="inlineStr">
        <is>
          <t>Europe</t>
        </is>
      </c>
      <c r="E1824" t="inlineStr">
        <is>
          <t>S</t>
        </is>
      </c>
      <c r="F1824" t="inlineStr">
        <is>
          <t>FO</t>
        </is>
      </c>
      <c r="G1824" t="inlineStr">
        <is>
          <t>VH</t>
        </is>
      </c>
      <c r="H1824" t="inlineStr"/>
      <c r="I1824" t="inlineStr">
        <is>
          <t>Public</t>
        </is>
      </c>
      <c r="J1824" t="inlineStr">
        <is>
          <t>473</t>
        </is>
      </c>
      <c r="K1824" t="inlineStr">
        <is>
          <t>405</t>
        </is>
      </c>
      <c r="L1824" t="inlineStr"/>
      <c r="M1824" t="inlineStr"/>
      <c r="N1824" t="inlineStr">
        <is>
          <t>33.5</t>
        </is>
      </c>
      <c r="O1824" t="inlineStr"/>
      <c r="P1824" t="n">
        <v>9.300000000000001</v>
      </c>
      <c r="Q1824" t="inlineStr">
        <is>
          <t>701+</t>
        </is>
      </c>
      <c r="R1824" t="n">
        <v>9.4</v>
      </c>
      <c r="S1824" t="inlineStr">
        <is>
          <t>701+</t>
        </is>
      </c>
      <c r="T1824" t="n">
        <v>70.3</v>
      </c>
      <c r="U1824" t="inlineStr">
        <is>
          <t>227</t>
        </is>
      </c>
      <c r="V1824" t="n">
        <v>43.4</v>
      </c>
      <c r="W1824" t="inlineStr">
        <is>
          <t>434</t>
        </is>
      </c>
      <c r="X1824" t="n">
        <v>100</v>
      </c>
      <c r="Y1824" t="inlineStr">
        <is>
          <t>33</t>
        </is>
      </c>
      <c r="Z1824" t="n">
        <v>100</v>
      </c>
      <c r="AA1824" t="inlineStr">
        <is>
          <t>10</t>
        </is>
      </c>
      <c r="AB1824" t="n">
        <v>100</v>
      </c>
      <c r="AC1824" t="inlineStr">
        <is>
          <t>5</t>
        </is>
      </c>
      <c r="AD1824" t="n">
        <v>42.7</v>
      </c>
      <c r="AE1824" t="inlineStr">
        <is>
          <t>801+</t>
        </is>
      </c>
      <c r="AF1824" t="n">
        <v>2.2</v>
      </c>
      <c r="AG1824" t="inlineStr">
        <is>
          <t>801+</t>
        </is>
      </c>
      <c r="AH1824" t="n">
        <v>48.2</v>
      </c>
      <c r="AI1824" t="inlineStr">
        <is>
          <t>751=</t>
        </is>
      </c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</row>
    <row r="1825">
      <c r="A1825" t="inlineStr">
        <is>
          <t>Università di Padova</t>
        </is>
      </c>
      <c r="B1825" t="inlineStr">
        <is>
          <t>Italy</t>
        </is>
      </c>
      <c r="C1825" t="inlineStr">
        <is>
          <t>IT</t>
        </is>
      </c>
      <c r="D1825" t="inlineStr"/>
      <c r="E1825" t="inlineStr">
        <is>
          <t>XL</t>
        </is>
      </c>
      <c r="F1825" t="inlineStr">
        <is>
          <t>FC</t>
        </is>
      </c>
      <c r="G1825" t="inlineStr">
        <is>
          <t>VH</t>
        </is>
      </c>
      <c r="H1825" t="inlineStr">
        <is>
          <t>5</t>
        </is>
      </c>
      <c r="I1825" t="inlineStr">
        <is>
          <t>A</t>
        </is>
      </c>
      <c r="J1825" t="inlineStr"/>
      <c r="K1825" t="inlineStr"/>
      <c r="L1825" t="inlineStr">
        <is>
          <t>219</t>
        </is>
      </c>
      <c r="M1825" t="inlineStr">
        <is>
          <t>243=</t>
        </is>
      </c>
      <c r="N1825" t="inlineStr"/>
      <c r="O1825" t="inlineStr">
        <is>
          <t>43.0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>
        <is>
          <t>57.3</t>
        </is>
      </c>
      <c r="AK1825" t="inlineStr">
        <is>
          <t>133</t>
        </is>
      </c>
      <c r="AL1825" t="inlineStr">
        <is>
          <t>22.0</t>
        </is>
      </c>
      <c r="AM1825" t="inlineStr">
        <is>
          <t>428</t>
        </is>
      </c>
      <c r="AN1825" t="inlineStr">
        <is>
          <t>7.8</t>
        </is>
      </c>
      <c r="AO1825" t="inlineStr">
        <is>
          <t>701+</t>
        </is>
      </c>
      <c r="AP1825" t="inlineStr">
        <is>
          <t>51.8</t>
        </is>
      </c>
      <c r="AQ1825" t="inlineStr">
        <is>
          <t>250</t>
        </is>
      </c>
      <c r="AR1825" t="inlineStr">
        <is>
          <t>12.9</t>
        </is>
      </c>
      <c r="AS1825" t="inlineStr">
        <is>
          <t>701+</t>
        </is>
      </c>
      <c r="AT1825" t="inlineStr">
        <is>
          <t>9.4</t>
        </is>
      </c>
      <c r="AU1825" t="inlineStr">
        <is>
          <t>701+</t>
        </is>
      </c>
      <c r="AV1825" t="inlineStr">
        <is>
          <t>91.3</t>
        </is>
      </c>
      <c r="AW1825" t="inlineStr">
        <is>
          <t>73</t>
        </is>
      </c>
      <c r="AX1825" t="inlineStr">
        <is>
          <t>13.8</t>
        </is>
      </c>
      <c r="AY1825" t="inlineStr">
        <is>
          <t>620</t>
        </is>
      </c>
      <c r="AZ1825" t="inlineStr">
        <is>
          <t>95</t>
        </is>
      </c>
      <c r="BA1825" t="inlineStr">
        <is>
          <t>55</t>
        </is>
      </c>
    </row>
    <row r="1826">
      <c r="A1826" t="inlineStr">
        <is>
          <t>Università Vita-Salute San Raffaele</t>
        </is>
      </c>
      <c r="B1826" t="inlineStr">
        <is>
          <t>Italy</t>
        </is>
      </c>
      <c r="C1826" t="inlineStr">
        <is>
          <t>IT</t>
        </is>
      </c>
      <c r="D1826" t="inlineStr">
        <is>
          <t>Europe</t>
        </is>
      </c>
      <c r="E1826" t="inlineStr">
        <is>
          <t>S</t>
        </is>
      </c>
      <c r="F1826" t="inlineStr">
        <is>
          <t>SP</t>
        </is>
      </c>
      <c r="G1826" t="inlineStr">
        <is>
          <t>VH</t>
        </is>
      </c>
      <c r="H1826" t="inlineStr">
        <is>
          <t>3</t>
        </is>
      </c>
      <c r="I1826" t="inlineStr">
        <is>
          <t>Private not for Profit</t>
        </is>
      </c>
      <c r="J1826" t="inlineStr">
        <is>
          <t>461</t>
        </is>
      </c>
      <c r="K1826" t="inlineStr">
        <is>
          <t>389</t>
        </is>
      </c>
      <c r="L1826">
        <f>595</f>
        <v/>
      </c>
      <c r="M1826" t="inlineStr">
        <is>
          <t>436=</t>
        </is>
      </c>
      <c r="N1826" t="inlineStr">
        <is>
          <t>33.9</t>
        </is>
      </c>
      <c r="O1826" t="inlineStr">
        <is>
          <t>19.9</t>
        </is>
      </c>
      <c r="P1826" t="n">
        <v>4.8</v>
      </c>
      <c r="Q1826" t="inlineStr">
        <is>
          <t>701+</t>
        </is>
      </c>
      <c r="R1826" t="n">
        <v>3.1</v>
      </c>
      <c r="S1826" t="inlineStr">
        <is>
          <t>701+</t>
        </is>
      </c>
      <c r="T1826" t="n">
        <v>89.3</v>
      </c>
      <c r="U1826" t="inlineStr">
        <is>
          <t>108</t>
        </is>
      </c>
      <c r="V1826" t="n">
        <v>99.5</v>
      </c>
      <c r="W1826" t="inlineStr">
        <is>
          <t>28</t>
        </is>
      </c>
      <c r="X1826" t="n">
        <v>6.2</v>
      </c>
      <c r="Y1826" t="inlineStr">
        <is>
          <t>801+</t>
        </is>
      </c>
      <c r="Z1826" t="n">
        <v>11.3</v>
      </c>
      <c r="AA1826" t="inlineStr">
        <is>
          <t>801+</t>
        </is>
      </c>
      <c r="AB1826" t="n">
        <v>16.3</v>
      </c>
      <c r="AC1826" t="inlineStr">
        <is>
          <t>801+</t>
        </is>
      </c>
      <c r="AD1826" t="n">
        <v>35.5</v>
      </c>
      <c r="AE1826" t="inlineStr">
        <is>
          <t>801+</t>
        </is>
      </c>
      <c r="AF1826" t="n">
        <v>4.1</v>
      </c>
      <c r="AG1826" t="inlineStr">
        <is>
          <t>801+</t>
        </is>
      </c>
      <c r="AH1826" t="n">
        <v>26.1</v>
      </c>
      <c r="AI1826" t="inlineStr">
        <is>
          <t>801+</t>
        </is>
      </c>
      <c r="AJ1826" t="inlineStr">
        <is>
          <t>3.1</t>
        </is>
      </c>
      <c r="AK1826" t="inlineStr">
        <is>
          <t>601+</t>
        </is>
      </c>
      <c r="AL1826" t="inlineStr">
        <is>
          <t>1.7</t>
        </is>
      </c>
      <c r="AM1826" t="inlineStr">
        <is>
          <t>601+</t>
        </is>
      </c>
      <c r="AN1826" t="inlineStr">
        <is>
          <t>98.8</t>
        </is>
      </c>
      <c r="AO1826" t="inlineStr">
        <is>
          <t>40</t>
        </is>
      </c>
      <c r="AP1826" t="inlineStr">
        <is>
          <t>39.0</t>
        </is>
      </c>
      <c r="AQ1826" t="inlineStr">
        <is>
          <t>352</t>
        </is>
      </c>
      <c r="AR1826" t="inlineStr">
        <is>
          <t>8.3</t>
        </is>
      </c>
      <c r="AS1826" t="inlineStr">
        <is>
          <t>701+</t>
        </is>
      </c>
      <c r="AT1826" t="inlineStr">
        <is>
          <t>3.1</t>
        </is>
      </c>
      <c r="AU1826" t="inlineStr">
        <is>
          <t>701+</t>
        </is>
      </c>
      <c r="AV1826" t="inlineStr">
        <is>
          <t>3.6</t>
        </is>
      </c>
      <c r="AW1826" t="inlineStr">
        <is>
          <t>701+</t>
        </is>
      </c>
      <c r="AX1826" t="inlineStr">
        <is>
          <t>7.6</t>
        </is>
      </c>
      <c r="AY1826" t="inlineStr">
        <is>
          <t>701+</t>
        </is>
      </c>
      <c r="AZ1826" t="inlineStr">
        <is>
          <t>1</t>
        </is>
      </c>
      <c r="BA1826" t="inlineStr">
        <is>
          <t>701+</t>
        </is>
      </c>
    </row>
    <row r="1827">
      <c r="A1827" t="inlineStr">
        <is>
          <t>Universität Bayreuth</t>
        </is>
      </c>
      <c r="B1827" t="inlineStr">
        <is>
          <t>Germany</t>
        </is>
      </c>
      <c r="C1827" t="inlineStr"/>
      <c r="D1827" t="inlineStr">
        <is>
          <t>Europe</t>
        </is>
      </c>
      <c r="E1827" t="inlineStr">
        <is>
          <t>M</t>
        </is>
      </c>
      <c r="F1827" t="inlineStr">
        <is>
          <t>CO</t>
        </is>
      </c>
      <c r="G1827" t="inlineStr">
        <is>
          <t>VH</t>
        </is>
      </c>
      <c r="H1827" t="inlineStr"/>
      <c r="I1827" t="inlineStr">
        <is>
          <t>Public</t>
        </is>
      </c>
      <c r="J1827" t="inlineStr">
        <is>
          <t>448</t>
        </is>
      </c>
      <c r="K1827" t="inlineStr">
        <is>
          <t>527</t>
        </is>
      </c>
      <c r="L1827" t="inlineStr"/>
      <c r="M1827" t="inlineStr"/>
      <c r="N1827" t="inlineStr">
        <is>
          <t>34.5</t>
        </is>
      </c>
      <c r="O1827" t="inlineStr"/>
      <c r="P1827" t="n">
        <v>14.1</v>
      </c>
      <c r="Q1827" t="inlineStr">
        <is>
          <t>701+</t>
        </is>
      </c>
      <c r="R1827" t="n">
        <v>22.3</v>
      </c>
      <c r="S1827" t="inlineStr">
        <is>
          <t>596</t>
        </is>
      </c>
      <c r="T1827" t="n">
        <v>64.59999999999999</v>
      </c>
      <c r="U1827" t="inlineStr">
        <is>
          <t>272</t>
        </is>
      </c>
      <c r="V1827" t="n">
        <v>39.2</v>
      </c>
      <c r="W1827" t="inlineStr">
        <is>
          <t>481</t>
        </is>
      </c>
      <c r="X1827" t="n">
        <v>63.6</v>
      </c>
      <c r="Y1827" t="inlineStr">
        <is>
          <t>365</t>
        </is>
      </c>
      <c r="Z1827" t="n">
        <v>39.7</v>
      </c>
      <c r="AA1827" t="inlineStr">
        <is>
          <t>494</t>
        </is>
      </c>
      <c r="AB1827" t="n">
        <v>45.1</v>
      </c>
      <c r="AC1827" t="inlineStr">
        <is>
          <t>462</t>
        </is>
      </c>
      <c r="AD1827" t="n">
        <v>82.3</v>
      </c>
      <c r="AE1827" t="inlineStr">
        <is>
          <t>306</t>
        </is>
      </c>
      <c r="AF1827" t="n">
        <v>16.2</v>
      </c>
      <c r="AG1827" t="inlineStr">
        <is>
          <t>801+</t>
        </is>
      </c>
      <c r="AH1827" t="n">
        <v>69.90000000000001</v>
      </c>
      <c r="AI1827" t="inlineStr">
        <is>
          <t>316=</t>
        </is>
      </c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</row>
    <row r="1828">
      <c r="A1828" t="inlineStr">
        <is>
          <t>Universität Bielefeld</t>
        </is>
      </c>
      <c r="B1828" t="inlineStr">
        <is>
          <t>Germany</t>
        </is>
      </c>
      <c r="C1828" t="inlineStr"/>
      <c r="D1828" t="inlineStr">
        <is>
          <t>Europe</t>
        </is>
      </c>
      <c r="E1828" t="inlineStr">
        <is>
          <t>L</t>
        </is>
      </c>
      <c r="F1828" t="inlineStr">
        <is>
          <t>FO</t>
        </is>
      </c>
      <c r="G1828" t="inlineStr">
        <is>
          <t>VH</t>
        </is>
      </c>
      <c r="H1828" t="inlineStr"/>
      <c r="I1828" t="inlineStr">
        <is>
          <t>Public</t>
        </is>
      </c>
      <c r="J1828" t="inlineStr">
        <is>
          <t>1001-1200</t>
        </is>
      </c>
      <c r="K1828" t="inlineStr">
        <is>
          <t>1001-1200</t>
        </is>
      </c>
      <c r="L1828" t="inlineStr"/>
      <c r="M1828" t="inlineStr"/>
      <c r="N1828" t="inlineStr">
        <is>
          <t>-</t>
        </is>
      </c>
      <c r="O1828" t="inlineStr"/>
      <c r="P1828" t="n">
        <v>19.9</v>
      </c>
      <c r="Q1828" t="inlineStr">
        <is>
          <t>620</t>
        </is>
      </c>
      <c r="R1828" t="n">
        <v>7.5</v>
      </c>
      <c r="S1828" t="inlineStr">
        <is>
          <t>701+</t>
        </is>
      </c>
      <c r="T1828" t="n">
        <v>16.1</v>
      </c>
      <c r="U1828" t="inlineStr">
        <is>
          <t>801+</t>
        </is>
      </c>
      <c r="V1828" t="n">
        <v>8.800000000000001</v>
      </c>
      <c r="W1828" t="inlineStr">
        <is>
          <t>801+</t>
        </is>
      </c>
      <c r="X1828" t="n">
        <v>25.9</v>
      </c>
      <c r="Y1828" t="inlineStr">
        <is>
          <t>636</t>
        </is>
      </c>
      <c r="Z1828" t="n">
        <v>16.3</v>
      </c>
      <c r="AA1828" t="inlineStr">
        <is>
          <t>794</t>
        </is>
      </c>
      <c r="AB1828" t="n">
        <v>12.4</v>
      </c>
      <c r="AC1828" t="inlineStr">
        <is>
          <t>801+</t>
        </is>
      </c>
      <c r="AD1828" t="n">
        <v>68.90000000000001</v>
      </c>
      <c r="AE1828" t="inlineStr">
        <is>
          <t>548</t>
        </is>
      </c>
      <c r="AF1828" t="n">
        <v>4.9</v>
      </c>
      <c r="AG1828" t="inlineStr">
        <is>
          <t>801+</t>
        </is>
      </c>
      <c r="AH1828" t="n">
        <v>44.1</v>
      </c>
      <c r="AI1828" t="inlineStr">
        <is>
          <t>801+</t>
        </is>
      </c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</row>
    <row r="1829">
      <c r="A1829" t="inlineStr">
        <is>
          <t>Universität Bremen</t>
        </is>
      </c>
      <c r="B1829" t="inlineStr">
        <is>
          <t>Germany</t>
        </is>
      </c>
      <c r="C1829" t="inlineStr">
        <is>
          <t>DE</t>
        </is>
      </c>
      <c r="D1829" t="inlineStr">
        <is>
          <t>Europe</t>
        </is>
      </c>
      <c r="E1829" t="inlineStr">
        <is>
          <t>L</t>
        </is>
      </c>
      <c r="F1829" t="inlineStr">
        <is>
          <t>CO</t>
        </is>
      </c>
      <c r="G1829" t="inlineStr">
        <is>
          <t>VH</t>
        </is>
      </c>
      <c r="H1829" t="inlineStr">
        <is>
          <t>4</t>
        </is>
      </c>
      <c r="I1829" t="inlineStr">
        <is>
          <t>Public</t>
        </is>
      </c>
      <c r="J1829" t="inlineStr">
        <is>
          <t>530</t>
        </is>
      </c>
      <c r="K1829" t="inlineStr">
        <is>
          <t>592</t>
        </is>
      </c>
      <c r="L1829">
        <f>514</f>
        <v/>
      </c>
      <c r="M1829" t="inlineStr">
        <is>
          <t>601-650</t>
        </is>
      </c>
      <c r="N1829" t="inlineStr">
        <is>
          <t>30.8</t>
        </is>
      </c>
      <c r="O1829" t="inlineStr">
        <is>
          <t>22.7</t>
        </is>
      </c>
      <c r="P1829" t="n">
        <v>25.7</v>
      </c>
      <c r="Q1829" t="inlineStr">
        <is>
          <t>491</t>
        </is>
      </c>
      <c r="R1829" t="n">
        <v>14.2</v>
      </c>
      <c r="S1829" t="inlineStr">
        <is>
          <t>701+</t>
        </is>
      </c>
      <c r="T1829" t="n">
        <v>15.2</v>
      </c>
      <c r="U1829" t="inlineStr">
        <is>
          <t>801+</t>
        </is>
      </c>
      <c r="V1829" t="n">
        <v>39.5</v>
      </c>
      <c r="W1829" t="inlineStr">
        <is>
          <t>477</t>
        </is>
      </c>
      <c r="X1829" t="n">
        <v>61.4</v>
      </c>
      <c r="Y1829" t="inlineStr">
        <is>
          <t>381</t>
        </is>
      </c>
      <c r="Z1829" t="n">
        <v>41.9</v>
      </c>
      <c r="AA1829" t="inlineStr">
        <is>
          <t>477</t>
        </is>
      </c>
      <c r="AB1829" t="n">
        <v>47.2</v>
      </c>
      <c r="AC1829" t="inlineStr">
        <is>
          <t>440</t>
        </is>
      </c>
      <c r="AD1829" t="n">
        <v>86.90000000000001</v>
      </c>
      <c r="AE1829" t="inlineStr">
        <is>
          <t>220</t>
        </is>
      </c>
      <c r="AF1829" t="n">
        <v>7.6</v>
      </c>
      <c r="AG1829" t="inlineStr">
        <is>
          <t>801+</t>
        </is>
      </c>
      <c r="AH1829" t="n">
        <v>54.9</v>
      </c>
      <c r="AI1829" t="inlineStr">
        <is>
          <t>605</t>
        </is>
      </c>
      <c r="AJ1829" t="inlineStr">
        <is>
          <t>19.7</t>
        </is>
      </c>
      <c r="AK1829" t="inlineStr">
        <is>
          <t>450</t>
        </is>
      </c>
      <c r="AL1829" t="inlineStr">
        <is>
          <t>8.4</t>
        </is>
      </c>
      <c r="AM1829" t="inlineStr">
        <is>
          <t>601+</t>
        </is>
      </c>
      <c r="AN1829" t="inlineStr">
        <is>
          <t>16.3</t>
        </is>
      </c>
      <c r="AO1829" t="inlineStr">
        <is>
          <t>701+</t>
        </is>
      </c>
      <c r="AP1829" t="inlineStr">
        <is>
          <t>24.4</t>
        </is>
      </c>
      <c r="AQ1829" t="inlineStr">
        <is>
          <t>496</t>
        </is>
      </c>
      <c r="AR1829" t="inlineStr">
        <is>
          <t>41.7</t>
        </is>
      </c>
      <c r="AS1829" t="inlineStr">
        <is>
          <t>394</t>
        </is>
      </c>
      <c r="AT1829" t="inlineStr">
        <is>
          <t>26.7</t>
        </is>
      </c>
      <c r="AU1829" t="inlineStr">
        <is>
          <t>453</t>
        </is>
      </c>
      <c r="AV1829" t="inlineStr">
        <is>
          <t>77.7</t>
        </is>
      </c>
      <c r="AW1829" t="inlineStr">
        <is>
          <t>160</t>
        </is>
      </c>
      <c r="AX1829" t="inlineStr">
        <is>
          <t>7.2</t>
        </is>
      </c>
      <c r="AY1829" t="inlineStr">
        <is>
          <t>701+</t>
        </is>
      </c>
      <c r="AZ1829" t="inlineStr">
        <is>
          <t>28.1</t>
        </is>
      </c>
      <c r="BA1829" t="inlineStr">
        <is>
          <t>467=</t>
        </is>
      </c>
    </row>
    <row r="1830">
      <c r="A1830" t="inlineStr">
        <is>
          <t>Universität des Saarlandes</t>
        </is>
      </c>
      <c r="B1830" t="inlineStr">
        <is>
          <t>Germany</t>
        </is>
      </c>
      <c r="C1830" t="inlineStr">
        <is>
          <t>DE</t>
        </is>
      </c>
      <c r="D1830" t="inlineStr">
        <is>
          <t>Europe</t>
        </is>
      </c>
      <c r="E1830" t="inlineStr">
        <is>
          <t>L</t>
        </is>
      </c>
      <c r="F1830" t="inlineStr">
        <is>
          <t>FC</t>
        </is>
      </c>
      <c r="G1830" t="inlineStr">
        <is>
          <t>VH</t>
        </is>
      </c>
      <c r="H1830" t="inlineStr">
        <is>
          <t>4</t>
        </is>
      </c>
      <c r="I1830" t="inlineStr">
        <is>
          <t>Public</t>
        </is>
      </c>
      <c r="J1830" t="inlineStr">
        <is>
          <t>635</t>
        </is>
      </c>
      <c r="K1830" t="inlineStr">
        <is>
          <t>601-610</t>
        </is>
      </c>
      <c r="L1830">
        <f>600</f>
        <v/>
      </c>
      <c r="M1830" t="inlineStr">
        <is>
          <t>441=</t>
        </is>
      </c>
      <c r="N1830" t="inlineStr">
        <is>
          <t>27.2</t>
        </is>
      </c>
      <c r="O1830" t="inlineStr">
        <is>
          <t>19.8</t>
        </is>
      </c>
      <c r="P1830" t="n">
        <v>14</v>
      </c>
      <c r="Q1830" t="inlineStr">
        <is>
          <t>701+</t>
        </is>
      </c>
      <c r="R1830" t="n">
        <v>10.1</v>
      </c>
      <c r="S1830" t="inlineStr">
        <is>
          <t>701+</t>
        </is>
      </c>
      <c r="T1830" t="n">
        <v>96.3</v>
      </c>
      <c r="U1830" t="inlineStr">
        <is>
          <t>65</t>
        </is>
      </c>
      <c r="V1830" t="n">
        <v>12.1</v>
      </c>
      <c r="W1830" t="inlineStr">
        <is>
          <t>801+</t>
        </is>
      </c>
      <c r="X1830" t="n">
        <v>6.3</v>
      </c>
      <c r="Y1830" t="inlineStr">
        <is>
          <t>801+</t>
        </is>
      </c>
      <c r="Z1830" t="n">
        <v>62.3</v>
      </c>
      <c r="AA1830" t="inlineStr">
        <is>
          <t>325</t>
        </is>
      </c>
      <c r="AB1830" t="n">
        <v>46.4</v>
      </c>
      <c r="AC1830" t="inlineStr">
        <is>
          <t>449</t>
        </is>
      </c>
      <c r="AD1830" t="n">
        <v>70.40000000000001</v>
      </c>
      <c r="AE1830" t="inlineStr">
        <is>
          <t>520</t>
        </is>
      </c>
      <c r="AF1830" t="n">
        <v>41.8</v>
      </c>
      <c r="AG1830" t="inlineStr">
        <is>
          <t>419</t>
        </is>
      </c>
      <c r="AH1830" t="n">
        <v>31.9</v>
      </c>
      <c r="AI1830" t="inlineStr">
        <is>
          <t>801+</t>
        </is>
      </c>
      <c r="AJ1830" t="inlineStr">
        <is>
          <t>11.1</t>
        </is>
      </c>
      <c r="AK1830" t="inlineStr">
        <is>
          <t>601+</t>
        </is>
      </c>
      <c r="AL1830" t="inlineStr">
        <is>
          <t>4.5</t>
        </is>
      </c>
      <c r="AM1830" t="inlineStr">
        <is>
          <t>601+</t>
        </is>
      </c>
      <c r="AN1830" t="inlineStr">
        <is>
          <t>89.9</t>
        </is>
      </c>
      <c r="AO1830" t="inlineStr">
        <is>
          <t>87</t>
        </is>
      </c>
      <c r="AP1830" t="inlineStr">
        <is>
          <t>8.3</t>
        </is>
      </c>
      <c r="AQ1830" t="inlineStr">
        <is>
          <t>701+</t>
        </is>
      </c>
      <c r="AR1830" t="inlineStr">
        <is>
          <t>4.9</t>
        </is>
      </c>
      <c r="AS1830" t="inlineStr">
        <is>
          <t>701+</t>
        </is>
      </c>
      <c r="AT1830" t="inlineStr">
        <is>
          <t>39.2</t>
        </is>
      </c>
      <c r="AU1830" t="inlineStr">
        <is>
          <t>350</t>
        </is>
      </c>
      <c r="AV1830" t="inlineStr">
        <is>
          <t>39.0</t>
        </is>
      </c>
      <c r="AW1830" t="inlineStr">
        <is>
          <t>384</t>
        </is>
      </c>
      <c r="AX1830" t="inlineStr">
        <is>
          <t>20.1</t>
        </is>
      </c>
      <c r="AY1830" t="inlineStr">
        <is>
          <t>416</t>
        </is>
      </c>
      <c r="AZ1830" t="inlineStr">
        <is>
          <t>2</t>
        </is>
      </c>
      <c r="BA1830" t="inlineStr">
        <is>
          <t>701+</t>
        </is>
      </c>
    </row>
    <row r="1831">
      <c r="A1831" t="inlineStr">
        <is>
          <t>Universität Duisburg-Essen</t>
        </is>
      </c>
      <c r="B1831" t="inlineStr">
        <is>
          <t>Germany</t>
        </is>
      </c>
      <c r="C1831" t="inlineStr">
        <is>
          <t>DE</t>
        </is>
      </c>
      <c r="D1831" t="inlineStr">
        <is>
          <t>Europe</t>
        </is>
      </c>
      <c r="E1831" t="inlineStr">
        <is>
          <t>XL</t>
        </is>
      </c>
      <c r="F1831" t="inlineStr">
        <is>
          <t>FC</t>
        </is>
      </c>
      <c r="G1831" t="inlineStr">
        <is>
          <t>VH</t>
        </is>
      </c>
      <c r="H1831" t="inlineStr">
        <is>
          <t>4</t>
        </is>
      </c>
      <c r="I1831" t="inlineStr">
        <is>
          <t>Public</t>
        </is>
      </c>
      <c r="J1831" t="inlineStr">
        <is>
          <t>801-850</t>
        </is>
      </c>
      <c r="K1831" t="inlineStr">
        <is>
          <t>801-850</t>
        </is>
      </c>
      <c r="L1831" t="inlineStr">
        <is>
          <t>771-780</t>
        </is>
      </c>
      <c r="M1831" t="inlineStr">
        <is>
          <t>801-1000</t>
        </is>
      </c>
      <c r="N1831" t="inlineStr">
        <is>
          <t>-</t>
        </is>
      </c>
      <c r="O1831" t="inlineStr">
        <is>
          <t>-</t>
        </is>
      </c>
      <c r="P1831" t="n">
        <v>16.1</v>
      </c>
      <c r="Q1831" t="inlineStr">
        <is>
          <t>701+</t>
        </is>
      </c>
      <c r="R1831" t="n">
        <v>8.1</v>
      </c>
      <c r="S1831" t="inlineStr">
        <is>
          <t>701+</t>
        </is>
      </c>
      <c r="T1831" t="n">
        <v>21.9</v>
      </c>
      <c r="U1831" t="inlineStr">
        <is>
          <t>794</t>
        </is>
      </c>
      <c r="V1831" t="n">
        <v>15.3</v>
      </c>
      <c r="W1831" t="inlineStr">
        <is>
          <t>799</t>
        </is>
      </c>
      <c r="X1831" t="n">
        <v>33</v>
      </c>
      <c r="Y1831" t="inlineStr">
        <is>
          <t>555</t>
        </is>
      </c>
      <c r="Z1831" t="n">
        <v>52.7</v>
      </c>
      <c r="AA1831" t="inlineStr">
        <is>
          <t>391</t>
        </is>
      </c>
      <c r="AB1831" t="n">
        <v>57.2</v>
      </c>
      <c r="AC1831" t="inlineStr">
        <is>
          <t>357</t>
        </is>
      </c>
      <c r="AD1831" t="n">
        <v>90.5</v>
      </c>
      <c r="AE1831" t="inlineStr">
        <is>
          <t>168</t>
        </is>
      </c>
      <c r="AF1831" t="n">
        <v>16.9</v>
      </c>
      <c r="AG1831" t="inlineStr">
        <is>
          <t>788</t>
        </is>
      </c>
      <c r="AH1831" t="n">
        <v>44.9</v>
      </c>
      <c r="AI1831" t="inlineStr">
        <is>
          <t>801+</t>
        </is>
      </c>
      <c r="AJ1831" t="inlineStr">
        <is>
          <t>11.5</t>
        </is>
      </c>
      <c r="AK1831" t="inlineStr">
        <is>
          <t>601+</t>
        </is>
      </c>
      <c r="AL1831" t="inlineStr">
        <is>
          <t>5.2</t>
        </is>
      </c>
      <c r="AM1831" t="inlineStr">
        <is>
          <t>601+</t>
        </is>
      </c>
      <c r="AN1831" t="inlineStr">
        <is>
          <t>11.4</t>
        </is>
      </c>
      <c r="AO1831" t="inlineStr">
        <is>
          <t>701+</t>
        </is>
      </c>
      <c r="AP1831" t="inlineStr">
        <is>
          <t>11.8</t>
        </is>
      </c>
      <c r="AQ1831" t="inlineStr">
        <is>
          <t>701+</t>
        </is>
      </c>
      <c r="AR1831" t="inlineStr">
        <is>
          <t>36.4</t>
        </is>
      </c>
      <c r="AS1831" t="inlineStr">
        <is>
          <t>443</t>
        </is>
      </c>
      <c r="AT1831" t="inlineStr">
        <is>
          <t>42.2</t>
        </is>
      </c>
      <c r="AU1831" t="inlineStr">
        <is>
          <t>334</t>
        </is>
      </c>
      <c r="AV1831" t="inlineStr">
        <is>
          <t>54.9</t>
        </is>
      </c>
      <c r="AW1831" t="inlineStr">
        <is>
          <t>286</t>
        </is>
      </c>
      <c r="AX1831" t="inlineStr">
        <is>
          <t>11.5</t>
        </is>
      </c>
      <c r="AY1831" t="inlineStr">
        <is>
          <t>701+</t>
        </is>
      </c>
      <c r="AZ1831" t="inlineStr">
        <is>
          <t>9.2</t>
        </is>
      </c>
      <c r="BA1831" t="inlineStr">
        <is>
          <t>685=</t>
        </is>
      </c>
    </row>
    <row r="1832">
      <c r="A1832" t="inlineStr">
        <is>
          <t>Universität Düsseldorf</t>
        </is>
      </c>
      <c r="B1832" t="inlineStr">
        <is>
          <t>Germany</t>
        </is>
      </c>
      <c r="C1832" t="inlineStr"/>
      <c r="D1832" t="inlineStr">
        <is>
          <t>Europe</t>
        </is>
      </c>
      <c r="E1832" t="inlineStr">
        <is>
          <t>L</t>
        </is>
      </c>
      <c r="F1832" t="inlineStr">
        <is>
          <t>FC</t>
        </is>
      </c>
      <c r="G1832" t="inlineStr">
        <is>
          <t>VH</t>
        </is>
      </c>
      <c r="H1832" t="inlineStr"/>
      <c r="I1832" t="inlineStr">
        <is>
          <t>Public</t>
        </is>
      </c>
      <c r="J1832" t="inlineStr">
        <is>
          <t>851-900</t>
        </is>
      </c>
      <c r="K1832" t="inlineStr">
        <is>
          <t>851-900</t>
        </is>
      </c>
      <c r="L1832" t="inlineStr"/>
      <c r="M1832" t="inlineStr"/>
      <c r="N1832" t="inlineStr">
        <is>
          <t>-</t>
        </is>
      </c>
      <c r="O1832" t="inlineStr"/>
      <c r="P1832" t="n">
        <v>16.2</v>
      </c>
      <c r="Q1832" t="inlineStr">
        <is>
          <t>701+</t>
        </is>
      </c>
      <c r="R1832" t="n">
        <v>11.4</v>
      </c>
      <c r="S1832" t="inlineStr">
        <is>
          <t>701+</t>
        </is>
      </c>
      <c r="T1832" t="n">
        <v>60.4</v>
      </c>
      <c r="U1832" t="inlineStr">
        <is>
          <t>298</t>
        </is>
      </c>
      <c r="V1832" t="n">
        <v>11.5</v>
      </c>
      <c r="W1832" t="inlineStr">
        <is>
          <t>801+</t>
        </is>
      </c>
      <c r="X1832" t="inlineStr"/>
      <c r="Y1832" t="inlineStr"/>
      <c r="Z1832" t="n">
        <v>30.6</v>
      </c>
      <c r="AA1832" t="inlineStr">
        <is>
          <t>584</t>
        </is>
      </c>
      <c r="AB1832" t="n">
        <v>23</v>
      </c>
      <c r="AC1832" t="inlineStr">
        <is>
          <t>720</t>
        </is>
      </c>
      <c r="AD1832" t="n">
        <v>68.5</v>
      </c>
      <c r="AE1832" t="inlineStr">
        <is>
          <t>558</t>
        </is>
      </c>
      <c r="AF1832" t="n">
        <v>4.9</v>
      </c>
      <c r="AG1832" t="inlineStr">
        <is>
          <t>801+</t>
        </is>
      </c>
      <c r="AH1832" t="n">
        <v>36.9</v>
      </c>
      <c r="AI1832" t="inlineStr">
        <is>
          <t>801+</t>
        </is>
      </c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</row>
    <row r="1833">
      <c r="A1833" t="inlineStr">
        <is>
          <t>Universität Erlangen-Nürnberg</t>
        </is>
      </c>
      <c r="B1833" t="inlineStr">
        <is>
          <t>Germany</t>
        </is>
      </c>
      <c r="C1833" t="inlineStr"/>
      <c r="D1833" t="inlineStr">
        <is>
          <t>Europe</t>
        </is>
      </c>
      <c r="E1833" t="inlineStr">
        <is>
          <t>L</t>
        </is>
      </c>
      <c r="F1833" t="inlineStr">
        <is>
          <t>FC</t>
        </is>
      </c>
      <c r="G1833" t="inlineStr">
        <is>
          <t>VH</t>
        </is>
      </c>
      <c r="H1833" t="inlineStr"/>
      <c r="I1833" t="inlineStr">
        <is>
          <t>Public</t>
        </is>
      </c>
      <c r="J1833" t="inlineStr">
        <is>
          <t>232</t>
        </is>
      </c>
      <c r="K1833" t="inlineStr">
        <is>
          <t>224</t>
        </is>
      </c>
      <c r="L1833" t="inlineStr"/>
      <c r="M1833" t="inlineStr"/>
      <c r="N1833" t="inlineStr">
        <is>
          <t>52.2</t>
        </is>
      </c>
      <c r="O1833" t="inlineStr"/>
      <c r="P1833" t="n">
        <v>37.9</v>
      </c>
      <c r="Q1833" t="inlineStr">
        <is>
          <t>316</t>
        </is>
      </c>
      <c r="R1833" t="n">
        <v>46.2</v>
      </c>
      <c r="S1833" t="inlineStr">
        <is>
          <t>290</t>
        </is>
      </c>
      <c r="T1833" t="n">
        <v>5.2</v>
      </c>
      <c r="U1833" t="inlineStr">
        <is>
          <t>801+</t>
        </is>
      </c>
      <c r="V1833" t="n">
        <v>96.7</v>
      </c>
      <c r="W1833" t="inlineStr">
        <is>
          <t>59</t>
        </is>
      </c>
      <c r="X1833" t="n">
        <v>39.5</v>
      </c>
      <c r="Y1833" t="inlineStr">
        <is>
          <t>504</t>
        </is>
      </c>
      <c r="Z1833" t="n">
        <v>60.6</v>
      </c>
      <c r="AA1833" t="inlineStr">
        <is>
          <t>338</t>
        </is>
      </c>
      <c r="AB1833" t="n">
        <v>64.40000000000001</v>
      </c>
      <c r="AC1833" t="inlineStr">
        <is>
          <t>307</t>
        </is>
      </c>
      <c r="AD1833" t="n">
        <v>86.7</v>
      </c>
      <c r="AE1833" t="inlineStr">
        <is>
          <t>226</t>
        </is>
      </c>
      <c r="AF1833" t="n">
        <v>27.1</v>
      </c>
      <c r="AG1833" t="inlineStr">
        <is>
          <t>606</t>
        </is>
      </c>
      <c r="AH1833" t="n">
        <v>75.40000000000001</v>
      </c>
      <c r="AI1833" t="inlineStr">
        <is>
          <t>228=</t>
        </is>
      </c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</row>
    <row r="1834">
      <c r="A1834" t="inlineStr">
        <is>
          <t>Universität Freiburg</t>
        </is>
      </c>
      <c r="B1834" t="inlineStr">
        <is>
          <t>Germany</t>
        </is>
      </c>
      <c r="C1834" t="inlineStr"/>
      <c r="D1834" t="inlineStr">
        <is>
          <t>Europe</t>
        </is>
      </c>
      <c r="E1834" t="inlineStr">
        <is>
          <t>L</t>
        </is>
      </c>
      <c r="F1834" t="inlineStr">
        <is>
          <t>FC</t>
        </is>
      </c>
      <c r="G1834" t="inlineStr">
        <is>
          <t>VH</t>
        </is>
      </c>
      <c r="H1834" t="inlineStr"/>
      <c r="I1834" t="inlineStr">
        <is>
          <t>Public</t>
        </is>
      </c>
      <c r="J1834" t="inlineStr">
        <is>
          <t>201</t>
        </is>
      </c>
      <c r="K1834" t="inlineStr">
        <is>
          <t>212</t>
        </is>
      </c>
      <c r="L1834" t="inlineStr"/>
      <c r="M1834" t="inlineStr"/>
      <c r="N1834" t="inlineStr">
        <is>
          <t>55.6</t>
        </is>
      </c>
      <c r="O1834" t="inlineStr"/>
      <c r="P1834" t="n">
        <v>56.8</v>
      </c>
      <c r="Q1834" t="inlineStr">
        <is>
          <t>195</t>
        </is>
      </c>
      <c r="R1834" t="n">
        <v>35.3</v>
      </c>
      <c r="S1834" t="inlineStr">
        <is>
          <t>408</t>
        </is>
      </c>
      <c r="T1834" t="n">
        <v>31.1</v>
      </c>
      <c r="U1834" t="inlineStr">
        <is>
          <t>616</t>
        </is>
      </c>
      <c r="V1834" t="n">
        <v>66.40000000000001</v>
      </c>
      <c r="W1834" t="inlineStr">
        <is>
          <t>238</t>
        </is>
      </c>
      <c r="X1834" t="n">
        <v>78.7</v>
      </c>
      <c r="Y1834" t="inlineStr">
        <is>
          <t>302</t>
        </is>
      </c>
      <c r="Z1834" t="n">
        <v>44.2</v>
      </c>
      <c r="AA1834" t="inlineStr">
        <is>
          <t>455</t>
        </is>
      </c>
      <c r="AB1834" t="n">
        <v>49.4</v>
      </c>
      <c r="AC1834" t="inlineStr">
        <is>
          <t>420</t>
        </is>
      </c>
      <c r="AD1834" t="n">
        <v>89.5</v>
      </c>
      <c r="AE1834" t="inlineStr">
        <is>
          <t>180</t>
        </is>
      </c>
      <c r="AF1834" t="n">
        <v>47.2</v>
      </c>
      <c r="AG1834" t="inlineStr">
        <is>
          <t>372</t>
        </is>
      </c>
      <c r="AH1834" t="n">
        <v>85.59999999999999</v>
      </c>
      <c r="AI1834" t="inlineStr">
        <is>
          <t>104=</t>
        </is>
      </c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</row>
    <row r="1835">
      <c r="A1835" t="inlineStr">
        <is>
          <t>Universität Hamburg</t>
        </is>
      </c>
      <c r="B1835" t="inlineStr">
        <is>
          <t>Germany</t>
        </is>
      </c>
      <c r="C1835" t="inlineStr">
        <is>
          <t>DE</t>
        </is>
      </c>
      <c r="D1835" t="inlineStr">
        <is>
          <t>Europe</t>
        </is>
      </c>
      <c r="E1835" t="inlineStr">
        <is>
          <t>L</t>
        </is>
      </c>
      <c r="F1835" t="inlineStr">
        <is>
          <t>FO</t>
        </is>
      </c>
      <c r="G1835" t="inlineStr">
        <is>
          <t>VH</t>
        </is>
      </c>
      <c r="H1835" t="inlineStr">
        <is>
          <t>5</t>
        </is>
      </c>
      <c r="I1835" t="inlineStr">
        <is>
          <t>Public</t>
        </is>
      </c>
      <c r="J1835" t="inlineStr">
        <is>
          <t>193</t>
        </is>
      </c>
      <c r="K1835" t="inlineStr">
        <is>
          <t>191</t>
        </is>
      </c>
      <c r="L1835" t="inlineStr">
        <is>
          <t>205</t>
        </is>
      </c>
      <c r="M1835" t="inlineStr">
        <is>
          <t>228</t>
        </is>
      </c>
      <c r="N1835" t="inlineStr">
        <is>
          <t>56.5</t>
        </is>
      </c>
      <c r="O1835" t="inlineStr">
        <is>
          <t>45.1</t>
        </is>
      </c>
      <c r="P1835" t="n">
        <v>64</v>
      </c>
      <c r="Q1835" t="inlineStr">
        <is>
          <t>157</t>
        </is>
      </c>
      <c r="R1835" t="n">
        <v>51.7</v>
      </c>
      <c r="S1835" t="inlineStr">
        <is>
          <t>238</t>
        </is>
      </c>
      <c r="T1835" t="n">
        <v>25.6</v>
      </c>
      <c r="U1835" t="inlineStr">
        <is>
          <t>725</t>
        </is>
      </c>
      <c r="V1835" t="n">
        <v>54.6</v>
      </c>
      <c r="W1835" t="inlineStr">
        <is>
          <t>333</t>
        </is>
      </c>
      <c r="X1835" t="n">
        <v>58.8</v>
      </c>
      <c r="Y1835" t="inlineStr">
        <is>
          <t>396</t>
        </is>
      </c>
      <c r="Z1835" t="n">
        <v>31.3</v>
      </c>
      <c r="AA1835" t="inlineStr">
        <is>
          <t>576</t>
        </is>
      </c>
      <c r="AB1835" t="n">
        <v>37.1</v>
      </c>
      <c r="AC1835" t="inlineStr">
        <is>
          <t>524</t>
        </is>
      </c>
      <c r="AD1835" t="n">
        <v>93.8</v>
      </c>
      <c r="AE1835" t="inlineStr">
        <is>
          <t>103</t>
        </is>
      </c>
      <c r="AF1835" t="n">
        <v>49.9</v>
      </c>
      <c r="AG1835" t="inlineStr">
        <is>
          <t>346</t>
        </is>
      </c>
      <c r="AH1835" t="n">
        <v>94.09999999999999</v>
      </c>
      <c r="AI1835" t="inlineStr">
        <is>
          <t>29</t>
        </is>
      </c>
      <c r="AJ1835" t="inlineStr">
        <is>
          <t>51.0</t>
        </is>
      </c>
      <c r="AK1835" t="inlineStr">
        <is>
          <t>160</t>
        </is>
      </c>
      <c r="AL1835" t="inlineStr">
        <is>
          <t>28.7</t>
        </is>
      </c>
      <c r="AM1835" t="inlineStr">
        <is>
          <t>340</t>
        </is>
      </c>
      <c r="AN1835" t="inlineStr">
        <is>
          <t>16.9</t>
        </is>
      </c>
      <c r="AO1835" t="inlineStr">
        <is>
          <t>701+</t>
        </is>
      </c>
      <c r="AP1835" t="inlineStr">
        <is>
          <t>60.0</t>
        </is>
      </c>
      <c r="AQ1835" t="inlineStr">
        <is>
          <t>205</t>
        </is>
      </c>
      <c r="AR1835" t="inlineStr">
        <is>
          <t>41.6</t>
        </is>
      </c>
      <c r="AS1835" t="inlineStr">
        <is>
          <t>395</t>
        </is>
      </c>
      <c r="AT1835" t="inlineStr">
        <is>
          <t>22.3</t>
        </is>
      </c>
      <c r="AU1835" t="inlineStr">
        <is>
          <t>512</t>
        </is>
      </c>
      <c r="AV1835" t="inlineStr">
        <is>
          <t>87.2</t>
        </is>
      </c>
      <c r="AW1835" t="inlineStr">
        <is>
          <t>101</t>
        </is>
      </c>
      <c r="AX1835" t="inlineStr">
        <is>
          <t>26.8</t>
        </is>
      </c>
      <c r="AY1835" t="inlineStr">
        <is>
          <t>305</t>
        </is>
      </c>
      <c r="AZ1835" t="inlineStr">
        <is>
          <t>52.8</t>
        </is>
      </c>
      <c r="BA1835" t="inlineStr">
        <is>
          <t>292=</t>
        </is>
      </c>
    </row>
    <row r="1836">
      <c r="A1836" t="inlineStr">
        <is>
          <t>Universität Hohenheim</t>
        </is>
      </c>
      <c r="B1836" t="inlineStr">
        <is>
          <t>Germany</t>
        </is>
      </c>
      <c r="C1836" t="inlineStr"/>
      <c r="D1836" t="inlineStr">
        <is>
          <t>Europe</t>
        </is>
      </c>
      <c r="E1836" t="inlineStr">
        <is>
          <t>M</t>
        </is>
      </c>
      <c r="F1836" t="inlineStr">
        <is>
          <t>SP</t>
        </is>
      </c>
      <c r="G1836" t="inlineStr">
        <is>
          <t>VH</t>
        </is>
      </c>
      <c r="H1836" t="inlineStr"/>
      <c r="I1836" t="inlineStr">
        <is>
          <t>Public</t>
        </is>
      </c>
      <c r="J1836" t="inlineStr">
        <is>
          <t>711-720</t>
        </is>
      </c>
      <c r="K1836" t="inlineStr">
        <is>
          <t>601-610</t>
        </is>
      </c>
      <c r="L1836" t="inlineStr"/>
      <c r="M1836" t="inlineStr"/>
      <c r="N1836" t="inlineStr">
        <is>
          <t>-</t>
        </is>
      </c>
      <c r="O1836" t="inlineStr"/>
      <c r="P1836" t="n">
        <v>9.1</v>
      </c>
      <c r="Q1836" t="inlineStr">
        <is>
          <t>701+</t>
        </is>
      </c>
      <c r="R1836" t="n">
        <v>11.1</v>
      </c>
      <c r="S1836" t="inlineStr">
        <is>
          <t>701+</t>
        </is>
      </c>
      <c r="T1836" t="n">
        <v>19.6</v>
      </c>
      <c r="U1836" t="inlineStr">
        <is>
          <t>801+</t>
        </is>
      </c>
      <c r="V1836" t="n">
        <v>45.4</v>
      </c>
      <c r="W1836" t="inlineStr">
        <is>
          <t>409</t>
        </is>
      </c>
      <c r="X1836" t="n">
        <v>31.8</v>
      </c>
      <c r="Y1836" t="inlineStr">
        <is>
          <t>565</t>
        </is>
      </c>
      <c r="Z1836" t="n">
        <v>38.4</v>
      </c>
      <c r="AA1836" t="inlineStr">
        <is>
          <t>512</t>
        </is>
      </c>
      <c r="AB1836" t="n">
        <v>28.7</v>
      </c>
      <c r="AC1836" t="inlineStr">
        <is>
          <t>631</t>
        </is>
      </c>
      <c r="AD1836" t="n">
        <v>74.09999999999999</v>
      </c>
      <c r="AE1836" t="inlineStr">
        <is>
          <t>464</t>
        </is>
      </c>
      <c r="AF1836" t="n">
        <v>7.7</v>
      </c>
      <c r="AG1836" t="inlineStr">
        <is>
          <t>801+</t>
        </is>
      </c>
      <c r="AH1836" t="n">
        <v>55</v>
      </c>
      <c r="AI1836" t="inlineStr">
        <is>
          <t>604</t>
        </is>
      </c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</row>
    <row r="1837">
      <c r="A1837" t="inlineStr">
        <is>
          <t>Universität Innsbruck</t>
        </is>
      </c>
      <c r="B1837" t="inlineStr">
        <is>
          <t>Austria</t>
        </is>
      </c>
      <c r="C1837" t="inlineStr">
        <is>
          <t>AT</t>
        </is>
      </c>
      <c r="D1837" t="inlineStr">
        <is>
          <t>Europe</t>
        </is>
      </c>
      <c r="E1837" t="inlineStr">
        <is>
          <t>L</t>
        </is>
      </c>
      <c r="F1837" t="inlineStr">
        <is>
          <t>FC</t>
        </is>
      </c>
      <c r="G1837" t="inlineStr">
        <is>
          <t>VH</t>
        </is>
      </c>
      <c r="H1837" t="inlineStr">
        <is>
          <t>5</t>
        </is>
      </c>
      <c r="I1837" t="inlineStr">
        <is>
          <t>Public</t>
        </is>
      </c>
      <c r="J1837" t="inlineStr">
        <is>
          <t>350</t>
        </is>
      </c>
      <c r="K1837" t="inlineStr">
        <is>
          <t>309</t>
        </is>
      </c>
      <c r="L1837">
        <f>362</f>
        <v/>
      </c>
      <c r="M1837" t="inlineStr">
        <is>
          <t>308=</t>
        </is>
      </c>
      <c r="N1837" t="inlineStr">
        <is>
          <t>41.5</t>
        </is>
      </c>
      <c r="O1837" t="inlineStr">
        <is>
          <t>30.6</t>
        </is>
      </c>
      <c r="P1837" t="n">
        <v>27.7</v>
      </c>
      <c r="Q1837" t="inlineStr">
        <is>
          <t>455</t>
        </is>
      </c>
      <c r="R1837" t="n">
        <v>12.3</v>
      </c>
      <c r="S1837" t="inlineStr">
        <is>
          <t>701+</t>
        </is>
      </c>
      <c r="T1837" t="n">
        <v>76.90000000000001</v>
      </c>
      <c r="U1837" t="inlineStr">
        <is>
          <t>184</t>
        </is>
      </c>
      <c r="V1837" t="n">
        <v>17.7</v>
      </c>
      <c r="W1837" t="inlineStr">
        <is>
          <t>758</t>
        </is>
      </c>
      <c r="X1837" t="n">
        <v>100</v>
      </c>
      <c r="Y1837" t="inlineStr">
        <is>
          <t>72</t>
        </is>
      </c>
      <c r="Z1837" t="n">
        <v>100</v>
      </c>
      <c r="AA1837" t="inlineStr">
        <is>
          <t>31</t>
        </is>
      </c>
      <c r="AB1837" t="n">
        <v>100</v>
      </c>
      <c r="AC1837" t="inlineStr">
        <is>
          <t>19</t>
        </is>
      </c>
      <c r="AD1837" t="n">
        <v>73.90000000000001</v>
      </c>
      <c r="AE1837" t="inlineStr">
        <is>
          <t>470</t>
        </is>
      </c>
      <c r="AF1837" t="n">
        <v>69.90000000000001</v>
      </c>
      <c r="AG1837" t="inlineStr">
        <is>
          <t>210</t>
        </is>
      </c>
      <c r="AH1837" t="n">
        <v>74.7</v>
      </c>
      <c r="AI1837" t="inlineStr">
        <is>
          <t>243=</t>
        </is>
      </c>
      <c r="AJ1837" t="inlineStr">
        <is>
          <t>20.2</t>
        </is>
      </c>
      <c r="AK1837" t="inlineStr">
        <is>
          <t>433</t>
        </is>
      </c>
      <c r="AL1837" t="inlineStr">
        <is>
          <t>7.0</t>
        </is>
      </c>
      <c r="AM1837" t="inlineStr">
        <is>
          <t>601+</t>
        </is>
      </c>
      <c r="AN1837" t="inlineStr">
        <is>
          <t>69.2</t>
        </is>
      </c>
      <c r="AO1837" t="inlineStr">
        <is>
          <t>187</t>
        </is>
      </c>
      <c r="AP1837" t="inlineStr">
        <is>
          <t>11.2</t>
        </is>
      </c>
      <c r="AQ1837" t="inlineStr">
        <is>
          <t>701+</t>
        </is>
      </c>
      <c r="AR1837" t="inlineStr">
        <is>
          <t>100.0</t>
        </is>
      </c>
      <c r="AS1837" t="inlineStr">
        <is>
          <t>65</t>
        </is>
      </c>
      <c r="AT1837" t="inlineStr">
        <is>
          <t>100.0</t>
        </is>
      </c>
      <c r="AU1837" t="inlineStr">
        <is>
          <t>27</t>
        </is>
      </c>
      <c r="AV1837" t="inlineStr">
        <is>
          <t>32.9</t>
        </is>
      </c>
      <c r="AW1837" t="inlineStr">
        <is>
          <t>434</t>
        </is>
      </c>
      <c r="AX1837" t="inlineStr">
        <is>
          <t>35.7</t>
        </is>
      </c>
      <c r="AY1837" t="inlineStr">
        <is>
          <t>208</t>
        </is>
      </c>
      <c r="AZ1837" t="inlineStr">
        <is>
          <t>16.5</t>
        </is>
      </c>
      <c r="BA1837" t="inlineStr">
        <is>
          <t>586=</t>
        </is>
      </c>
    </row>
    <row r="1838">
      <c r="A1838" t="inlineStr">
        <is>
          <t>Universität Jena</t>
        </is>
      </c>
      <c r="B1838" t="inlineStr">
        <is>
          <t>Germany</t>
        </is>
      </c>
      <c r="C1838" t="inlineStr">
        <is>
          <t>DE</t>
        </is>
      </c>
      <c r="D1838" t="inlineStr">
        <is>
          <t>Europe</t>
        </is>
      </c>
      <c r="E1838" t="inlineStr">
        <is>
          <t>L</t>
        </is>
      </c>
      <c r="F1838" t="inlineStr">
        <is>
          <t>FC</t>
        </is>
      </c>
      <c r="G1838" t="inlineStr">
        <is>
          <t>VH</t>
        </is>
      </c>
      <c r="H1838" t="inlineStr">
        <is>
          <t>5</t>
        </is>
      </c>
      <c r="I1838" t="inlineStr">
        <is>
          <t>Public</t>
        </is>
      </c>
      <c r="J1838" t="inlineStr">
        <is>
          <t>575</t>
        </is>
      </c>
      <c r="K1838" t="inlineStr">
        <is>
          <t>526</t>
        </is>
      </c>
      <c r="L1838">
        <f>461</f>
        <v/>
      </c>
      <c r="M1838" t="inlineStr">
        <is>
          <t>352=</t>
        </is>
      </c>
      <c r="N1838" t="inlineStr">
        <is>
          <t>29.1</t>
        </is>
      </c>
      <c r="O1838" t="inlineStr">
        <is>
          <t>24.9</t>
        </is>
      </c>
      <c r="P1838" t="n">
        <v>23.4</v>
      </c>
      <c r="Q1838" t="inlineStr">
        <is>
          <t>540</t>
        </is>
      </c>
      <c r="R1838" t="n">
        <v>10.4</v>
      </c>
      <c r="S1838" t="inlineStr">
        <is>
          <t>701+</t>
        </is>
      </c>
      <c r="T1838" t="n">
        <v>100</v>
      </c>
      <c r="U1838" t="inlineStr">
        <is>
          <t>21</t>
        </is>
      </c>
      <c r="V1838" t="n">
        <v>12.7</v>
      </c>
      <c r="W1838" t="inlineStr">
        <is>
          <t>801+</t>
        </is>
      </c>
      <c r="X1838" t="inlineStr"/>
      <c r="Y1838" t="inlineStr"/>
      <c r="Z1838" t="n">
        <v>34.1</v>
      </c>
      <c r="AA1838" t="inlineStr">
        <is>
          <t>548</t>
        </is>
      </c>
      <c r="AB1838" t="n">
        <v>25.5</v>
      </c>
      <c r="AC1838" t="inlineStr">
        <is>
          <t>679</t>
        </is>
      </c>
      <c r="AD1838" t="n">
        <v>91.09999999999999</v>
      </c>
      <c r="AE1838" t="inlineStr">
        <is>
          <t>154</t>
        </is>
      </c>
      <c r="AF1838" t="n">
        <v>4.9</v>
      </c>
      <c r="AG1838" t="inlineStr">
        <is>
          <t>801+</t>
        </is>
      </c>
      <c r="AH1838" t="n">
        <v>53.2</v>
      </c>
      <c r="AI1838" t="inlineStr">
        <is>
          <t>641=</t>
        </is>
      </c>
      <c r="AJ1838" t="inlineStr">
        <is>
          <t>18.5</t>
        </is>
      </c>
      <c r="AK1838" t="inlineStr">
        <is>
          <t>482</t>
        </is>
      </c>
      <c r="AL1838" t="inlineStr">
        <is>
          <t>6.0</t>
        </is>
      </c>
      <c r="AM1838" t="inlineStr">
        <is>
          <t>601+</t>
        </is>
      </c>
      <c r="AN1838" t="inlineStr">
        <is>
          <t>99.9</t>
        </is>
      </c>
      <c r="AO1838" t="inlineStr">
        <is>
          <t>20</t>
        </is>
      </c>
      <c r="AP1838" t="inlineStr">
        <is>
          <t>10.0</t>
        </is>
      </c>
      <c r="AQ1838" t="inlineStr">
        <is>
          <t>701+</t>
        </is>
      </c>
      <c r="AR1838" t="inlineStr"/>
      <c r="AS1838" t="inlineStr"/>
      <c r="AT1838" t="inlineStr">
        <is>
          <t>22.4</t>
        </is>
      </c>
      <c r="AU1838" t="inlineStr">
        <is>
          <t>509</t>
        </is>
      </c>
      <c r="AV1838" t="inlineStr">
        <is>
          <t>84.0</t>
        </is>
      </c>
      <c r="AW1838" t="inlineStr">
        <is>
          <t>125</t>
        </is>
      </c>
      <c r="AX1838" t="inlineStr">
        <is>
          <t>8.1</t>
        </is>
      </c>
      <c r="AY1838" t="inlineStr">
        <is>
          <t>701+</t>
        </is>
      </c>
      <c r="AZ1838" t="inlineStr">
        <is>
          <t>16.1</t>
        </is>
      </c>
      <c r="BA1838" t="inlineStr">
        <is>
          <t>592=</t>
        </is>
      </c>
    </row>
    <row r="1839">
      <c r="A1839" t="inlineStr">
        <is>
          <t>Universität Konstanz</t>
        </is>
      </c>
      <c r="B1839" t="inlineStr">
        <is>
          <t>Germany</t>
        </is>
      </c>
      <c r="C1839" t="inlineStr">
        <is>
          <t>DE</t>
        </is>
      </c>
      <c r="D1839" t="inlineStr">
        <is>
          <t>Europe</t>
        </is>
      </c>
      <c r="E1839" t="inlineStr">
        <is>
          <t>M</t>
        </is>
      </c>
      <c r="F1839" t="inlineStr">
        <is>
          <t>CO</t>
        </is>
      </c>
      <c r="G1839" t="inlineStr">
        <is>
          <t>VH</t>
        </is>
      </c>
      <c r="H1839" t="inlineStr">
        <is>
          <t>4</t>
        </is>
      </c>
      <c r="I1839" t="inlineStr">
        <is>
          <t>Public</t>
        </is>
      </c>
      <c r="J1839" t="inlineStr">
        <is>
          <t>440</t>
        </is>
      </c>
      <c r="K1839" t="inlineStr">
        <is>
          <t>466</t>
        </is>
      </c>
      <c r="L1839" t="inlineStr">
        <is>
          <t>478</t>
        </is>
      </c>
      <c r="M1839" t="inlineStr">
        <is>
          <t>541-550</t>
        </is>
      </c>
      <c r="N1839" t="inlineStr">
        <is>
          <t>34.9</t>
        </is>
      </c>
      <c r="O1839" t="inlineStr">
        <is>
          <t>24.2</t>
        </is>
      </c>
      <c r="P1839" t="n">
        <v>25.5</v>
      </c>
      <c r="Q1839" t="inlineStr">
        <is>
          <t>499</t>
        </is>
      </c>
      <c r="R1839" t="n">
        <v>18.7</v>
      </c>
      <c r="S1839" t="inlineStr">
        <is>
          <t>692</t>
        </is>
      </c>
      <c r="T1839" t="n">
        <v>50.3</v>
      </c>
      <c r="U1839" t="inlineStr">
        <is>
          <t>380</t>
        </is>
      </c>
      <c r="V1839" t="n">
        <v>33.4</v>
      </c>
      <c r="W1839" t="inlineStr">
        <is>
          <t>544</t>
        </is>
      </c>
      <c r="X1839" t="n">
        <v>91.5</v>
      </c>
      <c r="Y1839" t="inlineStr">
        <is>
          <t>213</t>
        </is>
      </c>
      <c r="Z1839" t="n">
        <v>26.8</v>
      </c>
      <c r="AA1839" t="inlineStr">
        <is>
          <t>634</t>
        </is>
      </c>
      <c r="AB1839" t="n">
        <v>32.8</v>
      </c>
      <c r="AC1839" t="inlineStr">
        <is>
          <t>577</t>
        </is>
      </c>
      <c r="AD1839" t="n">
        <v>63.7</v>
      </c>
      <c r="AE1839" t="inlineStr">
        <is>
          <t>640</t>
        </is>
      </c>
      <c r="AF1839" t="n">
        <v>23</v>
      </c>
      <c r="AG1839" t="inlineStr">
        <is>
          <t>673</t>
        </is>
      </c>
      <c r="AH1839" t="n">
        <v>69.90000000000001</v>
      </c>
      <c r="AI1839" t="inlineStr">
        <is>
          <t>316=</t>
        </is>
      </c>
      <c r="AJ1839" t="inlineStr">
        <is>
          <t>20.4</t>
        </is>
      </c>
      <c r="AK1839" t="inlineStr">
        <is>
          <t>430</t>
        </is>
      </c>
      <c r="AL1839" t="inlineStr">
        <is>
          <t>6.9</t>
        </is>
      </c>
      <c r="AM1839" t="inlineStr">
        <is>
          <t>601+</t>
        </is>
      </c>
      <c r="AN1839" t="inlineStr">
        <is>
          <t>33.7</t>
        </is>
      </c>
      <c r="AO1839" t="inlineStr">
        <is>
          <t>473</t>
        </is>
      </c>
      <c r="AP1839" t="inlineStr">
        <is>
          <t>21.2</t>
        </is>
      </c>
      <c r="AQ1839" t="inlineStr">
        <is>
          <t>541</t>
        </is>
      </c>
      <c r="AR1839" t="inlineStr">
        <is>
          <t>79.8</t>
        </is>
      </c>
      <c r="AS1839" t="inlineStr">
        <is>
          <t>230</t>
        </is>
      </c>
      <c r="AT1839" t="inlineStr">
        <is>
          <t>14.2</t>
        </is>
      </c>
      <c r="AU1839" t="inlineStr">
        <is>
          <t>638</t>
        </is>
      </c>
      <c r="AV1839" t="inlineStr">
        <is>
          <t>24.1</t>
        </is>
      </c>
      <c r="AW1839" t="inlineStr">
        <is>
          <t>506</t>
        </is>
      </c>
      <c r="AX1839" t="inlineStr">
        <is>
          <t>15.6</t>
        </is>
      </c>
      <c r="AY1839" t="inlineStr">
        <is>
          <t>536</t>
        </is>
      </c>
      <c r="AZ1839" t="inlineStr">
        <is>
          <t>55.8</t>
        </is>
      </c>
      <c r="BA1839" t="inlineStr">
        <is>
          <t>271=</t>
        </is>
      </c>
    </row>
    <row r="1840">
      <c r="A1840" t="inlineStr">
        <is>
          <t>Universität Leipzig</t>
        </is>
      </c>
      <c r="B1840" t="inlineStr">
        <is>
          <t>Germany</t>
        </is>
      </c>
      <c r="C1840" t="inlineStr">
        <is>
          <t>DE</t>
        </is>
      </c>
      <c r="D1840" t="inlineStr">
        <is>
          <t>Europe</t>
        </is>
      </c>
      <c r="E1840" t="inlineStr">
        <is>
          <t>L</t>
        </is>
      </c>
      <c r="F1840" t="inlineStr">
        <is>
          <t>FC</t>
        </is>
      </c>
      <c r="G1840" t="inlineStr">
        <is>
          <t>VH</t>
        </is>
      </c>
      <c r="H1840" t="inlineStr">
        <is>
          <t>5</t>
        </is>
      </c>
      <c r="I1840" t="inlineStr">
        <is>
          <t>Public</t>
        </is>
      </c>
      <c r="J1840" t="inlineStr">
        <is>
          <t>535</t>
        </is>
      </c>
      <c r="K1840" t="inlineStr">
        <is>
          <t>527</t>
        </is>
      </c>
      <c r="L1840" t="inlineStr">
        <is>
          <t>479</t>
        </is>
      </c>
      <c r="M1840" t="inlineStr">
        <is>
          <t>420=</t>
        </is>
      </c>
      <c r="N1840" t="inlineStr">
        <is>
          <t>30.6</t>
        </is>
      </c>
      <c r="O1840" t="inlineStr">
        <is>
          <t>24.1</t>
        </is>
      </c>
      <c r="P1840" t="n">
        <v>31.5</v>
      </c>
      <c r="Q1840" t="inlineStr">
        <is>
          <t>391</t>
        </is>
      </c>
      <c r="R1840" t="n">
        <v>14</v>
      </c>
      <c r="S1840" t="inlineStr">
        <is>
          <t>701+</t>
        </is>
      </c>
      <c r="T1840" t="n">
        <v>85.3</v>
      </c>
      <c r="U1840" t="inlineStr">
        <is>
          <t>132</t>
        </is>
      </c>
      <c r="V1840" t="n">
        <v>13</v>
      </c>
      <c r="W1840" t="inlineStr">
        <is>
          <t>801+</t>
        </is>
      </c>
      <c r="X1840" t="inlineStr"/>
      <c r="Y1840" t="inlineStr"/>
      <c r="Z1840" t="n">
        <v>24</v>
      </c>
      <c r="AA1840" t="inlineStr">
        <is>
          <t>673</t>
        </is>
      </c>
      <c r="AB1840" t="n">
        <v>18.1</v>
      </c>
      <c r="AC1840" t="inlineStr">
        <is>
          <t>795</t>
        </is>
      </c>
      <c r="AD1840" t="n">
        <v>82.7</v>
      </c>
      <c r="AE1840" t="inlineStr">
        <is>
          <t>298</t>
        </is>
      </c>
      <c r="AF1840" t="n">
        <v>15.9</v>
      </c>
      <c r="AG1840" t="inlineStr">
        <is>
          <t>801+</t>
        </is>
      </c>
      <c r="AH1840" t="n">
        <v>57.2</v>
      </c>
      <c r="AI1840" t="inlineStr">
        <is>
          <t>557</t>
        </is>
      </c>
      <c r="AJ1840" t="inlineStr">
        <is>
          <t>25.4</t>
        </is>
      </c>
      <c r="AK1840" t="inlineStr">
        <is>
          <t>344</t>
        </is>
      </c>
      <c r="AL1840" t="inlineStr">
        <is>
          <t>10.2</t>
        </is>
      </c>
      <c r="AM1840" t="inlineStr">
        <is>
          <t>601+</t>
        </is>
      </c>
      <c r="AN1840" t="inlineStr">
        <is>
          <t>71.0</t>
        </is>
      </c>
      <c r="AO1840" t="inlineStr">
        <is>
          <t>181</t>
        </is>
      </c>
      <c r="AP1840" t="inlineStr">
        <is>
          <t>9.6</t>
        </is>
      </c>
      <c r="AQ1840" t="inlineStr">
        <is>
          <t>701+</t>
        </is>
      </c>
      <c r="AR1840" t="inlineStr"/>
      <c r="AS1840" t="inlineStr"/>
      <c r="AT1840" t="inlineStr">
        <is>
          <t>15.8</t>
        </is>
      </c>
      <c r="AU1840" t="inlineStr">
        <is>
          <t>602</t>
        </is>
      </c>
      <c r="AV1840" t="inlineStr">
        <is>
          <t>59.3</t>
        </is>
      </c>
      <c r="AW1840" t="inlineStr">
        <is>
          <t>249</t>
        </is>
      </c>
      <c r="AX1840" t="inlineStr">
        <is>
          <t>10</t>
        </is>
      </c>
      <c r="AY1840" t="inlineStr">
        <is>
          <t>701+</t>
        </is>
      </c>
      <c r="AZ1840" t="inlineStr">
        <is>
          <t>34.6</t>
        </is>
      </c>
      <c r="BA1840" t="inlineStr">
        <is>
          <t>403=</t>
        </is>
      </c>
    </row>
    <row r="1841">
      <c r="A1841" t="inlineStr">
        <is>
          <t>Universität Mannheim</t>
        </is>
      </c>
      <c r="B1841" t="inlineStr">
        <is>
          <t>Germany</t>
        </is>
      </c>
      <c r="C1841" t="inlineStr">
        <is>
          <t>DE</t>
        </is>
      </c>
      <c r="D1841" t="inlineStr">
        <is>
          <t>Europe</t>
        </is>
      </c>
      <c r="E1841" t="inlineStr">
        <is>
          <t>M</t>
        </is>
      </c>
      <c r="F1841" t="inlineStr">
        <is>
          <t>FO</t>
        </is>
      </c>
      <c r="G1841" t="inlineStr">
        <is>
          <t>VH</t>
        </is>
      </c>
      <c r="H1841" t="inlineStr">
        <is>
          <t>5</t>
        </is>
      </c>
      <c r="I1841" t="inlineStr">
        <is>
          <t>Public</t>
        </is>
      </c>
      <c r="J1841" t="inlineStr">
        <is>
          <t>416</t>
        </is>
      </c>
      <c r="K1841" t="inlineStr">
        <is>
          <t>487</t>
        </is>
      </c>
      <c r="L1841">
        <f>454</f>
        <v/>
      </c>
      <c r="M1841" t="inlineStr">
        <is>
          <t>541-550</t>
        </is>
      </c>
      <c r="N1841" t="inlineStr">
        <is>
          <t>36.5</t>
        </is>
      </c>
      <c r="O1841" t="inlineStr">
        <is>
          <t>25.2</t>
        </is>
      </c>
      <c r="P1841" t="n">
        <v>20.3</v>
      </c>
      <c r="Q1841" t="inlineStr">
        <is>
          <t>604</t>
        </is>
      </c>
      <c r="R1841" t="n">
        <v>76.3</v>
      </c>
      <c r="S1841" t="inlineStr">
        <is>
          <t>120</t>
        </is>
      </c>
      <c r="T1841" t="n">
        <v>4.6</v>
      </c>
      <c r="U1841" t="inlineStr">
        <is>
          <t>801+</t>
        </is>
      </c>
      <c r="V1841" t="n">
        <v>42.4</v>
      </c>
      <c r="W1841" t="inlineStr">
        <is>
          <t>449</t>
        </is>
      </c>
      <c r="X1841" t="n">
        <v>55.7</v>
      </c>
      <c r="Y1841" t="inlineStr">
        <is>
          <t>407</t>
        </is>
      </c>
      <c r="Z1841" t="n">
        <v>41.2</v>
      </c>
      <c r="AA1841" t="inlineStr">
        <is>
          <t>481</t>
        </is>
      </c>
      <c r="AB1841" t="n">
        <v>46.6</v>
      </c>
      <c r="AC1841" t="inlineStr">
        <is>
          <t>445</t>
        </is>
      </c>
      <c r="AD1841" t="n">
        <v>25.7</v>
      </c>
      <c r="AE1841" t="inlineStr">
        <is>
          <t>801+</t>
        </is>
      </c>
      <c r="AF1841" t="n">
        <v>45</v>
      </c>
      <c r="AG1841" t="inlineStr">
        <is>
          <t>390</t>
        </is>
      </c>
      <c r="AH1841" t="n">
        <v>51.3</v>
      </c>
      <c r="AI1841" t="inlineStr">
        <is>
          <t>677=</t>
        </is>
      </c>
      <c r="AJ1841" t="inlineStr">
        <is>
          <t>16.1</t>
        </is>
      </c>
      <c r="AK1841" t="inlineStr">
        <is>
          <t>545</t>
        </is>
      </c>
      <c r="AL1841" t="inlineStr">
        <is>
          <t>48.6</t>
        </is>
      </c>
      <c r="AM1841" t="inlineStr">
        <is>
          <t>179</t>
        </is>
      </c>
      <c r="AN1841" t="inlineStr">
        <is>
          <t>2.1</t>
        </is>
      </c>
      <c r="AO1841" t="inlineStr">
        <is>
          <t>701+</t>
        </is>
      </c>
      <c r="AP1841" t="inlineStr">
        <is>
          <t>45.1</t>
        </is>
      </c>
      <c r="AQ1841" t="inlineStr">
        <is>
          <t>299</t>
        </is>
      </c>
      <c r="AR1841" t="inlineStr">
        <is>
          <t>29.1</t>
        </is>
      </c>
      <c r="AS1841" t="inlineStr">
        <is>
          <t>495</t>
        </is>
      </c>
      <c r="AT1841" t="inlineStr">
        <is>
          <t>20.9</t>
        </is>
      </c>
      <c r="AU1841" t="inlineStr">
        <is>
          <t>536</t>
        </is>
      </c>
      <c r="AV1841" t="inlineStr">
        <is>
          <t>2.0</t>
        </is>
      </c>
      <c r="AW1841" t="inlineStr">
        <is>
          <t>701+</t>
        </is>
      </c>
      <c r="AX1841" t="inlineStr">
        <is>
          <t>23.8</t>
        </is>
      </c>
      <c r="AY1841" t="inlineStr">
        <is>
          <t>355</t>
        </is>
      </c>
      <c r="AZ1841" t="inlineStr">
        <is>
          <t>2.5</t>
        </is>
      </c>
      <c r="BA1841" t="inlineStr">
        <is>
          <t>701+</t>
        </is>
      </c>
    </row>
    <row r="1842">
      <c r="A1842" t="inlineStr">
        <is>
          <t>Universität Potsdam</t>
        </is>
      </c>
      <c r="B1842" t="inlineStr">
        <is>
          <t>Germany</t>
        </is>
      </c>
      <c r="C1842" t="inlineStr">
        <is>
          <t>DE</t>
        </is>
      </c>
      <c r="D1842" t="inlineStr">
        <is>
          <t>Europe</t>
        </is>
      </c>
      <c r="E1842" t="inlineStr">
        <is>
          <t>L</t>
        </is>
      </c>
      <c r="F1842" t="inlineStr">
        <is>
          <t>FO</t>
        </is>
      </c>
      <c r="G1842" t="inlineStr">
        <is>
          <t>VH</t>
        </is>
      </c>
      <c r="H1842" t="inlineStr">
        <is>
          <t>3</t>
        </is>
      </c>
      <c r="I1842" t="inlineStr">
        <is>
          <t>Public</t>
        </is>
      </c>
      <c r="J1842" t="inlineStr">
        <is>
          <t>477</t>
        </is>
      </c>
      <c r="K1842" t="inlineStr">
        <is>
          <t>474</t>
        </is>
      </c>
      <c r="L1842" t="inlineStr">
        <is>
          <t>460</t>
        </is>
      </c>
      <c r="M1842" t="inlineStr">
        <is>
          <t>601-650</t>
        </is>
      </c>
      <c r="N1842" t="inlineStr">
        <is>
          <t>33.4</t>
        </is>
      </c>
      <c r="O1842" t="inlineStr">
        <is>
          <t>25.0</t>
        </is>
      </c>
      <c r="P1842" t="n">
        <v>22.3</v>
      </c>
      <c r="Q1842" t="inlineStr">
        <is>
          <t>563</t>
        </is>
      </c>
      <c r="R1842" t="n">
        <v>5</v>
      </c>
      <c r="S1842" t="inlineStr">
        <is>
          <t>701+</t>
        </is>
      </c>
      <c r="T1842" t="n">
        <v>28.4</v>
      </c>
      <c r="U1842" t="inlineStr">
        <is>
          <t>673</t>
        </is>
      </c>
      <c r="V1842" t="n">
        <v>53.7</v>
      </c>
      <c r="W1842" t="inlineStr">
        <is>
          <t>347</t>
        </is>
      </c>
      <c r="X1842" t="n">
        <v>60.9</v>
      </c>
      <c r="Y1842" t="inlineStr">
        <is>
          <t>384</t>
        </is>
      </c>
      <c r="Z1842" t="n">
        <v>34.9</v>
      </c>
      <c r="AA1842" t="inlineStr">
        <is>
          <t>541</t>
        </is>
      </c>
      <c r="AB1842" t="n">
        <v>40.6</v>
      </c>
      <c r="AC1842" t="inlineStr">
        <is>
          <t>499</t>
        </is>
      </c>
      <c r="AD1842" t="n">
        <v>92.59999999999999</v>
      </c>
      <c r="AE1842" t="inlineStr">
        <is>
          <t>133</t>
        </is>
      </c>
      <c r="AF1842" t="n">
        <v>4.2</v>
      </c>
      <c r="AG1842" t="inlineStr">
        <is>
          <t>801+</t>
        </is>
      </c>
      <c r="AH1842" t="n">
        <v>75.3</v>
      </c>
      <c r="AI1842" t="inlineStr">
        <is>
          <t>231</t>
        </is>
      </c>
      <c r="AJ1842" t="inlineStr">
        <is>
          <t>16.0</t>
        </is>
      </c>
      <c r="AK1842" t="inlineStr">
        <is>
          <t>547</t>
        </is>
      </c>
      <c r="AL1842" t="inlineStr">
        <is>
          <t>3.1</t>
        </is>
      </c>
      <c r="AM1842" t="inlineStr">
        <is>
          <t>601+</t>
        </is>
      </c>
      <c r="AN1842" t="inlineStr">
        <is>
          <t>16.4</t>
        </is>
      </c>
      <c r="AO1842" t="inlineStr">
        <is>
          <t>701+</t>
        </is>
      </c>
      <c r="AP1842" t="inlineStr">
        <is>
          <t>38.6</t>
        </is>
      </c>
      <c r="AQ1842" t="inlineStr">
        <is>
          <t>359</t>
        </is>
      </c>
      <c r="AR1842" t="inlineStr">
        <is>
          <t>51.0</t>
        </is>
      </c>
      <c r="AS1842" t="inlineStr">
        <is>
          <t>353</t>
        </is>
      </c>
      <c r="AT1842" t="inlineStr">
        <is>
          <t>21.8</t>
        </is>
      </c>
      <c r="AU1842" t="inlineStr">
        <is>
          <t>518</t>
        </is>
      </c>
      <c r="AV1842" t="inlineStr">
        <is>
          <t>86.3</t>
        </is>
      </c>
      <c r="AW1842" t="inlineStr">
        <is>
          <t>105</t>
        </is>
      </c>
      <c r="AX1842" t="inlineStr">
        <is>
          <t>7.2</t>
        </is>
      </c>
      <c r="AY1842" t="inlineStr">
        <is>
          <t>701+</t>
        </is>
      </c>
      <c r="AZ1842" t="inlineStr">
        <is>
          <t>42.6</t>
        </is>
      </c>
      <c r="BA1842" t="inlineStr">
        <is>
          <t>345=</t>
        </is>
      </c>
    </row>
    <row r="1843">
      <c r="A1843" t="inlineStr">
        <is>
          <t>Universität Regensburg</t>
        </is>
      </c>
      <c r="B1843" t="inlineStr">
        <is>
          <t>Germany</t>
        </is>
      </c>
      <c r="C1843" t="inlineStr">
        <is>
          <t>DE</t>
        </is>
      </c>
      <c r="D1843" t="inlineStr">
        <is>
          <t>Europe</t>
        </is>
      </c>
      <c r="E1843" t="inlineStr">
        <is>
          <t>L</t>
        </is>
      </c>
      <c r="F1843" t="inlineStr">
        <is>
          <t>FO</t>
        </is>
      </c>
      <c r="G1843" t="inlineStr">
        <is>
          <t>VH</t>
        </is>
      </c>
      <c r="H1843" t="inlineStr">
        <is>
          <t>4</t>
        </is>
      </c>
      <c r="I1843" t="inlineStr">
        <is>
          <t>Public</t>
        </is>
      </c>
      <c r="J1843" t="inlineStr">
        <is>
          <t>691</t>
        </is>
      </c>
      <c r="K1843" t="inlineStr">
        <is>
          <t>741-750</t>
        </is>
      </c>
      <c r="L1843" t="inlineStr">
        <is>
          <t>741-750</t>
        </is>
      </c>
      <c r="M1843" t="inlineStr">
        <is>
          <t>581-590</t>
        </is>
      </c>
      <c r="N1843" t="inlineStr">
        <is>
          <t>25.4</t>
        </is>
      </c>
      <c r="O1843" t="inlineStr">
        <is>
          <t>-</t>
        </is>
      </c>
      <c r="P1843" t="n">
        <v>16</v>
      </c>
      <c r="Q1843" t="inlineStr">
        <is>
          <t>701+</t>
        </is>
      </c>
      <c r="R1843" t="n">
        <v>11.9</v>
      </c>
      <c r="S1843" t="inlineStr">
        <is>
          <t>701+</t>
        </is>
      </c>
      <c r="T1843" t="n">
        <v>77.3</v>
      </c>
      <c r="U1843" t="inlineStr">
        <is>
          <t>181</t>
        </is>
      </c>
      <c r="V1843" t="n">
        <v>13.3</v>
      </c>
      <c r="W1843" t="inlineStr">
        <is>
          <t>801+</t>
        </is>
      </c>
      <c r="X1843" t="n">
        <v>39.4</v>
      </c>
      <c r="Y1843" t="inlineStr">
        <is>
          <t>505</t>
        </is>
      </c>
      <c r="Z1843" t="n">
        <v>17.7</v>
      </c>
      <c r="AA1843" t="inlineStr">
        <is>
          <t>768</t>
        </is>
      </c>
      <c r="AB1843" t="n">
        <v>23.9</v>
      </c>
      <c r="AC1843" t="inlineStr">
        <is>
          <t>708</t>
        </is>
      </c>
      <c r="AD1843" t="n">
        <v>71</v>
      </c>
      <c r="AE1843" t="inlineStr">
        <is>
          <t>512</t>
        </is>
      </c>
      <c r="AF1843" t="n">
        <v>27.7</v>
      </c>
      <c r="AG1843" t="inlineStr">
        <is>
          <t>600</t>
        </is>
      </c>
      <c r="AH1843" t="n">
        <v>38.7</v>
      </c>
      <c r="AI1843" t="inlineStr">
        <is>
          <t>801+</t>
        </is>
      </c>
      <c r="AJ1843" t="inlineStr">
        <is>
          <t>11.2</t>
        </is>
      </c>
      <c r="AK1843" t="inlineStr">
        <is>
          <t>601+</t>
        </is>
      </c>
      <c r="AL1843" t="inlineStr">
        <is>
          <t>6.7</t>
        </is>
      </c>
      <c r="AM1843" t="inlineStr">
        <is>
          <t>601+</t>
        </is>
      </c>
      <c r="AN1843" t="inlineStr">
        <is>
          <t>75.9</t>
        </is>
      </c>
      <c r="AO1843" t="inlineStr">
        <is>
          <t>159</t>
        </is>
      </c>
      <c r="AP1843" t="inlineStr">
        <is>
          <t>7.2</t>
        </is>
      </c>
      <c r="AQ1843" t="inlineStr">
        <is>
          <t>701+</t>
        </is>
      </c>
      <c r="AR1843" t="inlineStr"/>
      <c r="AS1843" t="inlineStr"/>
      <c r="AT1843" t="inlineStr">
        <is>
          <t>9.5</t>
        </is>
      </c>
      <c r="AU1843" t="inlineStr">
        <is>
          <t>701+</t>
        </is>
      </c>
      <c r="AV1843" t="inlineStr">
        <is>
          <t>27.1</t>
        </is>
      </c>
      <c r="AW1843" t="inlineStr">
        <is>
          <t>480</t>
        </is>
      </c>
      <c r="AX1843" t="inlineStr">
        <is>
          <t>14.1</t>
        </is>
      </c>
      <c r="AY1843" t="inlineStr">
        <is>
          <t>606</t>
        </is>
      </c>
      <c r="AZ1843" t="inlineStr">
        <is>
          <t>1.9</t>
        </is>
      </c>
      <c r="BA1843" t="inlineStr">
        <is>
          <t>701+</t>
        </is>
      </c>
    </row>
    <row r="1844">
      <c r="A1844" t="inlineStr">
        <is>
          <t>Universität Rostock</t>
        </is>
      </c>
      <c r="B1844" t="inlineStr">
        <is>
          <t>Germany</t>
        </is>
      </c>
      <c r="C1844" t="inlineStr">
        <is>
          <t>DE</t>
        </is>
      </c>
      <c r="D1844" t="inlineStr">
        <is>
          <t>Europe</t>
        </is>
      </c>
      <c r="E1844" t="inlineStr">
        <is>
          <t>L</t>
        </is>
      </c>
      <c r="F1844" t="inlineStr">
        <is>
          <t>FC</t>
        </is>
      </c>
      <c r="G1844" t="inlineStr">
        <is>
          <t>HI</t>
        </is>
      </c>
      <c r="H1844" t="inlineStr">
        <is>
          <t>5</t>
        </is>
      </c>
      <c r="I1844" t="inlineStr">
        <is>
          <t>Public</t>
        </is>
      </c>
      <c r="J1844" t="inlineStr">
        <is>
          <t>851-900</t>
        </is>
      </c>
      <c r="K1844" t="inlineStr">
        <is>
          <t>801-850</t>
        </is>
      </c>
      <c r="L1844" t="inlineStr">
        <is>
          <t>761-770</t>
        </is>
      </c>
      <c r="M1844" t="inlineStr">
        <is>
          <t>601-650</t>
        </is>
      </c>
      <c r="N1844" t="inlineStr">
        <is>
          <t>-</t>
        </is>
      </c>
      <c r="O1844" t="inlineStr">
        <is>
          <t>-</t>
        </is>
      </c>
      <c r="P1844" t="n">
        <v>9.6</v>
      </c>
      <c r="Q1844" t="inlineStr">
        <is>
          <t>701+</t>
        </is>
      </c>
      <c r="R1844" t="n">
        <v>5</v>
      </c>
      <c r="S1844" t="inlineStr">
        <is>
          <t>701+</t>
        </is>
      </c>
      <c r="T1844" t="n">
        <v>92.59999999999999</v>
      </c>
      <c r="U1844" t="inlineStr">
        <is>
          <t>90</t>
        </is>
      </c>
      <c r="V1844" t="n">
        <v>9.5</v>
      </c>
      <c r="W1844" t="inlineStr">
        <is>
          <t>801+</t>
        </is>
      </c>
      <c r="X1844" t="inlineStr"/>
      <c r="Y1844" t="inlineStr"/>
      <c r="Z1844" t="n">
        <v>21.2</v>
      </c>
      <c r="AA1844" t="inlineStr">
        <is>
          <t>705</t>
        </is>
      </c>
      <c r="AB1844" t="n">
        <v>16</v>
      </c>
      <c r="AC1844" t="inlineStr">
        <is>
          <t>801+</t>
        </is>
      </c>
      <c r="AD1844" t="n">
        <v>77.3</v>
      </c>
      <c r="AE1844" t="inlineStr">
        <is>
          <t>398</t>
        </is>
      </c>
      <c r="AF1844" t="n">
        <v>6.6</v>
      </c>
      <c r="AG1844" t="inlineStr">
        <is>
          <t>801+</t>
        </is>
      </c>
      <c r="AH1844" t="n">
        <v>39.5</v>
      </c>
      <c r="AI1844" t="inlineStr">
        <is>
          <t>801+</t>
        </is>
      </c>
      <c r="AJ1844" t="inlineStr">
        <is>
          <t>7.7</t>
        </is>
      </c>
      <c r="AK1844" t="inlineStr">
        <is>
          <t>601+</t>
        </is>
      </c>
      <c r="AL1844" t="inlineStr">
        <is>
          <t>3.2</t>
        </is>
      </c>
      <c r="AM1844" t="inlineStr">
        <is>
          <t>601+</t>
        </is>
      </c>
      <c r="AN1844" t="inlineStr">
        <is>
          <t>79.4</t>
        </is>
      </c>
      <c r="AO1844" t="inlineStr">
        <is>
          <t>140</t>
        </is>
      </c>
      <c r="AP1844" t="inlineStr">
        <is>
          <t>5.8</t>
        </is>
      </c>
      <c r="AQ1844" t="inlineStr">
        <is>
          <t>701+</t>
        </is>
      </c>
      <c r="AR1844" t="inlineStr"/>
      <c r="AS1844" t="inlineStr"/>
      <c r="AT1844" t="inlineStr">
        <is>
          <t>14.7</t>
        </is>
      </c>
      <c r="AU1844" t="inlineStr">
        <is>
          <t>626</t>
        </is>
      </c>
      <c r="AV1844" t="inlineStr">
        <is>
          <t>47.6</t>
        </is>
      </c>
      <c r="AW1844" t="inlineStr">
        <is>
          <t>329</t>
        </is>
      </c>
      <c r="AX1844" t="inlineStr">
        <is>
          <t>9.2</t>
        </is>
      </c>
      <c r="AY1844" t="inlineStr">
        <is>
          <t>701+</t>
        </is>
      </c>
      <c r="AZ1844" t="inlineStr">
        <is>
          <t>2.8</t>
        </is>
      </c>
      <c r="BA1844" t="inlineStr">
        <is>
          <t>701+</t>
        </is>
      </c>
    </row>
    <row r="1845">
      <c r="A1845" t="inlineStr">
        <is>
          <t>Universität Siegen</t>
        </is>
      </c>
      <c r="B1845" t="inlineStr">
        <is>
          <t>Germany</t>
        </is>
      </c>
      <c r="C1845" t="inlineStr">
        <is>
          <t>DE</t>
        </is>
      </c>
      <c r="D1845" t="inlineStr">
        <is>
          <t>Europe</t>
        </is>
      </c>
      <c r="E1845" t="inlineStr">
        <is>
          <t>L</t>
        </is>
      </c>
      <c r="F1845" t="inlineStr">
        <is>
          <t>CO</t>
        </is>
      </c>
      <c r="G1845" t="inlineStr">
        <is>
          <t>HI</t>
        </is>
      </c>
      <c r="H1845" t="inlineStr">
        <is>
          <t>4</t>
        </is>
      </c>
      <c r="I1845" t="inlineStr">
        <is>
          <t>Public</t>
        </is>
      </c>
      <c r="J1845" t="inlineStr">
        <is>
          <t>1201-1400</t>
        </is>
      </c>
      <c r="K1845" t="inlineStr">
        <is>
          <t>1001-1200</t>
        </is>
      </c>
      <c r="L1845" t="inlineStr">
        <is>
          <t>1001-1200</t>
        </is>
      </c>
      <c r="M1845" t="inlineStr">
        <is>
          <t>1001-1200</t>
        </is>
      </c>
      <c r="N1845" t="inlineStr">
        <is>
          <t>-</t>
        </is>
      </c>
      <c r="O1845" t="inlineStr">
        <is>
          <t>-</t>
        </is>
      </c>
      <c r="P1845" t="n">
        <v>5.4</v>
      </c>
      <c r="Q1845" t="inlineStr">
        <is>
          <t>701+</t>
        </is>
      </c>
      <c r="R1845" t="n">
        <v>1.2</v>
      </c>
      <c r="S1845" t="inlineStr">
        <is>
          <t>701+</t>
        </is>
      </c>
      <c r="T1845" t="n">
        <v>15.4</v>
      </c>
      <c r="U1845" t="inlineStr">
        <is>
          <t>801+</t>
        </is>
      </c>
      <c r="V1845" t="n">
        <v>10.2</v>
      </c>
      <c r="W1845" t="inlineStr">
        <is>
          <t>801+</t>
        </is>
      </c>
      <c r="X1845" t="n">
        <v>53.9</v>
      </c>
      <c r="Y1845" t="inlineStr">
        <is>
          <t>419</t>
        </is>
      </c>
      <c r="Z1845" t="n">
        <v>37.3</v>
      </c>
      <c r="AA1845" t="inlineStr">
        <is>
          <t>524</t>
        </is>
      </c>
      <c r="AB1845" t="n">
        <v>42.9</v>
      </c>
      <c r="AC1845" t="inlineStr">
        <is>
          <t>485</t>
        </is>
      </c>
      <c r="AD1845" t="n">
        <v>42</v>
      </c>
      <c r="AE1845" t="inlineStr">
        <is>
          <t>801+</t>
        </is>
      </c>
      <c r="AF1845" t="n">
        <v>4.9</v>
      </c>
      <c r="AG1845" t="inlineStr">
        <is>
          <t>801+</t>
        </is>
      </c>
      <c r="AH1845" t="n">
        <v>29.2</v>
      </c>
      <c r="AI1845" t="inlineStr">
        <is>
          <t>801+</t>
        </is>
      </c>
      <c r="AJ1845" t="inlineStr">
        <is>
          <t>4.7</t>
        </is>
      </c>
      <c r="AK1845" t="inlineStr">
        <is>
          <t>601+</t>
        </is>
      </c>
      <c r="AL1845" t="inlineStr">
        <is>
          <t>1.9</t>
        </is>
      </c>
      <c r="AM1845" t="inlineStr">
        <is>
          <t>601+</t>
        </is>
      </c>
      <c r="AN1845" t="inlineStr">
        <is>
          <t>9.7</t>
        </is>
      </c>
      <c r="AO1845" t="inlineStr">
        <is>
          <t>701+</t>
        </is>
      </c>
      <c r="AP1845" t="inlineStr">
        <is>
          <t>6.5</t>
        </is>
      </c>
      <c r="AQ1845" t="inlineStr">
        <is>
          <t>701+</t>
        </is>
      </c>
      <c r="AR1845" t="inlineStr">
        <is>
          <t>52.4</t>
        </is>
      </c>
      <c r="AS1845" t="inlineStr">
        <is>
          <t>350</t>
        </is>
      </c>
      <c r="AT1845" t="inlineStr">
        <is>
          <t>29.1</t>
        </is>
      </c>
      <c r="AU1845" t="inlineStr">
        <is>
          <t>430</t>
        </is>
      </c>
      <c r="AV1845" t="inlineStr">
        <is>
          <t>5.7</t>
        </is>
      </c>
      <c r="AW1845" t="inlineStr">
        <is>
          <t>701+</t>
        </is>
      </c>
      <c r="AX1845" t="inlineStr">
        <is>
          <t>8.9</t>
        </is>
      </c>
      <c r="AY1845" t="inlineStr">
        <is>
          <t>701+</t>
        </is>
      </c>
      <c r="AZ1845" t="inlineStr">
        <is>
          <t>1.3</t>
        </is>
      </c>
      <c r="BA1845" t="inlineStr">
        <is>
          <t>701+</t>
        </is>
      </c>
    </row>
    <row r="1846">
      <c r="A1846" t="inlineStr">
        <is>
          <t>Universität Stuttgart</t>
        </is>
      </c>
      <c r="B1846" t="inlineStr">
        <is>
          <t>Germany</t>
        </is>
      </c>
      <c r="C1846" t="inlineStr">
        <is>
          <t>DE</t>
        </is>
      </c>
      <c r="D1846" t="inlineStr">
        <is>
          <t>Europe</t>
        </is>
      </c>
      <c r="E1846" t="inlineStr">
        <is>
          <t>L</t>
        </is>
      </c>
      <c r="F1846" t="inlineStr">
        <is>
          <t>FO</t>
        </is>
      </c>
      <c r="G1846" t="inlineStr">
        <is>
          <t>VH</t>
        </is>
      </c>
      <c r="H1846" t="inlineStr">
        <is>
          <t>5</t>
        </is>
      </c>
      <c r="I1846" t="inlineStr">
        <is>
          <t>Public</t>
        </is>
      </c>
      <c r="J1846" t="inlineStr">
        <is>
          <t>310</t>
        </is>
      </c>
      <c r="K1846" t="inlineStr">
        <is>
          <t>314</t>
        </is>
      </c>
      <c r="L1846" t="inlineStr">
        <is>
          <t>312</t>
        </is>
      </c>
      <c r="M1846" t="inlineStr">
        <is>
          <t>355=</t>
        </is>
      </c>
      <c r="N1846" t="inlineStr">
        <is>
          <t>44.5</t>
        </is>
      </c>
      <c r="O1846" t="inlineStr">
        <is>
          <t>33.7</t>
        </is>
      </c>
      <c r="P1846" t="n">
        <v>33.4</v>
      </c>
      <c r="Q1846" t="inlineStr">
        <is>
          <t>364</t>
        </is>
      </c>
      <c r="R1846" t="n">
        <v>46.1</v>
      </c>
      <c r="S1846" t="inlineStr">
        <is>
          <t>291</t>
        </is>
      </c>
      <c r="T1846" t="n">
        <v>11</v>
      </c>
      <c r="U1846" t="inlineStr">
        <is>
          <t>801+</t>
        </is>
      </c>
      <c r="V1846" t="n">
        <v>64.2</v>
      </c>
      <c r="W1846" t="inlineStr">
        <is>
          <t>253</t>
        </is>
      </c>
      <c r="X1846" t="n">
        <v>44.8</v>
      </c>
      <c r="Y1846" t="inlineStr">
        <is>
          <t>468</t>
        </is>
      </c>
      <c r="Z1846" t="n">
        <v>60.9</v>
      </c>
      <c r="AA1846" t="inlineStr">
        <is>
          <t>337</t>
        </is>
      </c>
      <c r="AB1846" t="n">
        <v>64.7</v>
      </c>
      <c r="AC1846" t="inlineStr">
        <is>
          <t>306</t>
        </is>
      </c>
      <c r="AD1846" t="n">
        <v>69.7</v>
      </c>
      <c r="AE1846" t="inlineStr">
        <is>
          <t>537</t>
        </is>
      </c>
      <c r="AF1846" t="n">
        <v>35.8</v>
      </c>
      <c r="AG1846" t="inlineStr">
        <is>
          <t>480</t>
        </is>
      </c>
      <c r="AH1846" t="n">
        <v>74.2</v>
      </c>
      <c r="AI1846" t="inlineStr">
        <is>
          <t>253=</t>
        </is>
      </c>
      <c r="AJ1846" t="inlineStr">
        <is>
          <t>23.7</t>
        </is>
      </c>
      <c r="AK1846" t="inlineStr">
        <is>
          <t>361</t>
        </is>
      </c>
      <c r="AL1846" t="inlineStr">
        <is>
          <t>27.2</t>
        </is>
      </c>
      <c r="AM1846" t="inlineStr">
        <is>
          <t>357</t>
        </is>
      </c>
      <c r="AN1846" t="inlineStr">
        <is>
          <t>6.1</t>
        </is>
      </c>
      <c r="AO1846" t="inlineStr">
        <is>
          <t>701+</t>
        </is>
      </c>
      <c r="AP1846" t="inlineStr">
        <is>
          <t>64.8</t>
        </is>
      </c>
      <c r="AQ1846" t="inlineStr">
        <is>
          <t>177</t>
        </is>
      </c>
      <c r="AR1846" t="inlineStr">
        <is>
          <t>37.4</t>
        </is>
      </c>
      <c r="AS1846" t="inlineStr">
        <is>
          <t>430</t>
        </is>
      </c>
      <c r="AT1846" t="inlineStr">
        <is>
          <t>49.8</t>
        </is>
      </c>
      <c r="AU1846" t="inlineStr">
        <is>
          <t>296</t>
        </is>
      </c>
      <c r="AV1846" t="inlineStr">
        <is>
          <t>36.5</t>
        </is>
      </c>
      <c r="AW1846" t="inlineStr">
        <is>
          <t>405</t>
        </is>
      </c>
      <c r="AX1846" t="inlineStr">
        <is>
          <t>19.4</t>
        </is>
      </c>
      <c r="AY1846" t="inlineStr">
        <is>
          <t>430</t>
        </is>
      </c>
      <c r="AZ1846" t="inlineStr">
        <is>
          <t>33.8</t>
        </is>
      </c>
      <c r="BA1846" t="inlineStr">
        <is>
          <t>411=</t>
        </is>
      </c>
    </row>
    <row r="1847">
      <c r="A1847" t="inlineStr">
        <is>
          <t>Universität Ulm</t>
        </is>
      </c>
      <c r="B1847" t="inlineStr">
        <is>
          <t>Germany</t>
        </is>
      </c>
      <c r="C1847" t="inlineStr"/>
      <c r="D1847" t="inlineStr">
        <is>
          <t>Europe</t>
        </is>
      </c>
      <c r="E1847" t="inlineStr">
        <is>
          <t>M</t>
        </is>
      </c>
      <c r="F1847" t="inlineStr">
        <is>
          <t>FO</t>
        </is>
      </c>
      <c r="G1847" t="inlineStr">
        <is>
          <t>VH</t>
        </is>
      </c>
      <c r="H1847" t="inlineStr"/>
      <c r="I1847" t="inlineStr">
        <is>
          <t>Public</t>
        </is>
      </c>
      <c r="J1847" t="inlineStr">
        <is>
          <t>546</t>
        </is>
      </c>
      <c r="K1847" t="inlineStr">
        <is>
          <t>554</t>
        </is>
      </c>
      <c r="L1847" t="inlineStr"/>
      <c r="M1847" t="inlineStr"/>
      <c r="N1847" t="inlineStr">
        <is>
          <t>30.2</t>
        </is>
      </c>
      <c r="O1847" t="inlineStr"/>
      <c r="P1847" t="n">
        <v>10.9</v>
      </c>
      <c r="Q1847" t="inlineStr">
        <is>
          <t>701+</t>
        </is>
      </c>
      <c r="R1847" t="n">
        <v>10.2</v>
      </c>
      <c r="S1847" t="inlineStr">
        <is>
          <t>701+</t>
        </is>
      </c>
      <c r="T1847" t="n">
        <v>83.90000000000001</v>
      </c>
      <c r="U1847" t="inlineStr">
        <is>
          <t>147</t>
        </is>
      </c>
      <c r="V1847" t="n">
        <v>43.8</v>
      </c>
      <c r="W1847" t="inlineStr">
        <is>
          <t>430</t>
        </is>
      </c>
      <c r="X1847" t="n">
        <v>47.5</v>
      </c>
      <c r="Y1847" t="inlineStr">
        <is>
          <t>450</t>
        </is>
      </c>
      <c r="Z1847" t="n">
        <v>30.8</v>
      </c>
      <c r="AA1847" t="inlineStr">
        <is>
          <t>582</t>
        </is>
      </c>
      <c r="AB1847" t="n">
        <v>23.1</v>
      </c>
      <c r="AC1847" t="inlineStr">
        <is>
          <t>718</t>
        </is>
      </c>
      <c r="AD1847" t="n">
        <v>67.2</v>
      </c>
      <c r="AE1847" t="inlineStr">
        <is>
          <t>585</t>
        </is>
      </c>
      <c r="AF1847" t="n">
        <v>3.4</v>
      </c>
      <c r="AG1847" t="inlineStr">
        <is>
          <t>801+</t>
        </is>
      </c>
      <c r="AH1847" t="n">
        <v>38.7</v>
      </c>
      <c r="AI1847" t="inlineStr">
        <is>
          <t>801+</t>
        </is>
      </c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</row>
    <row r="1848">
      <c r="A1848" t="inlineStr">
        <is>
          <t>Universität zu Köln</t>
        </is>
      </c>
      <c r="B1848" t="inlineStr">
        <is>
          <t>Germany</t>
        </is>
      </c>
      <c r="C1848" t="inlineStr"/>
      <c r="D1848" t="inlineStr">
        <is>
          <t>Europe</t>
        </is>
      </c>
      <c r="E1848" t="inlineStr">
        <is>
          <t>L</t>
        </is>
      </c>
      <c r="F1848" t="inlineStr">
        <is>
          <t>FO</t>
        </is>
      </c>
      <c r="G1848" t="inlineStr">
        <is>
          <t>VH</t>
        </is>
      </c>
      <c r="H1848" t="inlineStr"/>
      <c r="I1848" t="inlineStr">
        <is>
          <t>Public</t>
        </is>
      </c>
      <c r="J1848" t="inlineStr">
        <is>
          <t>272</t>
        </is>
      </c>
      <c r="K1848" t="inlineStr">
        <is>
          <t>285</t>
        </is>
      </c>
      <c r="L1848" t="inlineStr"/>
      <c r="M1848" t="inlineStr"/>
      <c r="N1848" t="inlineStr">
        <is>
          <t>48.2</t>
        </is>
      </c>
      <c r="O1848" t="inlineStr"/>
      <c r="P1848" t="n">
        <v>45</v>
      </c>
      <c r="Q1848" t="inlineStr">
        <is>
          <t>263</t>
        </is>
      </c>
      <c r="R1848" t="n">
        <v>50.5</v>
      </c>
      <c r="S1848" t="inlineStr">
        <is>
          <t>250</t>
        </is>
      </c>
      <c r="T1848" t="n">
        <v>23.6</v>
      </c>
      <c r="U1848" t="inlineStr">
        <is>
          <t>759</t>
        </is>
      </c>
      <c r="V1848" t="n">
        <v>43.8</v>
      </c>
      <c r="W1848" t="inlineStr">
        <is>
          <t>429</t>
        </is>
      </c>
      <c r="X1848" t="n">
        <v>39.3</v>
      </c>
      <c r="Y1848" t="inlineStr">
        <is>
          <t>506</t>
        </is>
      </c>
      <c r="Z1848" t="n">
        <v>47.1</v>
      </c>
      <c r="AA1848" t="inlineStr">
        <is>
          <t>430</t>
        </is>
      </c>
      <c r="AB1848" t="n">
        <v>52</v>
      </c>
      <c r="AC1848" t="inlineStr">
        <is>
          <t>399</t>
        </is>
      </c>
      <c r="AD1848" t="n">
        <v>92.59999999999999</v>
      </c>
      <c r="AE1848" t="inlineStr">
        <is>
          <t>134</t>
        </is>
      </c>
      <c r="AF1848" t="n">
        <v>64.5</v>
      </c>
      <c r="AG1848" t="inlineStr">
        <is>
          <t>241</t>
        </is>
      </c>
      <c r="AH1848" t="n">
        <v>88.90000000000001</v>
      </c>
      <c r="AI1848" t="inlineStr">
        <is>
          <t>71=</t>
        </is>
      </c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</row>
    <row r="1849">
      <c r="A1849" t="inlineStr">
        <is>
          <t>Université Catholique de Louvain (UCL)</t>
        </is>
      </c>
      <c r="B1849" t="inlineStr">
        <is>
          <t>Belgium</t>
        </is>
      </c>
      <c r="C1849" t="inlineStr"/>
      <c r="D1849" t="inlineStr">
        <is>
          <t>Europe</t>
        </is>
      </c>
      <c r="E1849" t="inlineStr">
        <is>
          <t>L</t>
        </is>
      </c>
      <c r="F1849" t="inlineStr">
        <is>
          <t>FC</t>
        </is>
      </c>
      <c r="G1849" t="inlineStr">
        <is>
          <t>VH</t>
        </is>
      </c>
      <c r="H1849" t="inlineStr"/>
      <c r="I1849" t="inlineStr">
        <is>
          <t>Private not for Profit</t>
        </is>
      </c>
      <c r="J1849" t="inlineStr">
        <is>
          <t>191</t>
        </is>
      </c>
      <c r="K1849" t="inlineStr">
        <is>
          <t>203</t>
        </is>
      </c>
      <c r="L1849" t="inlineStr"/>
      <c r="M1849" t="inlineStr"/>
      <c r="N1849" t="inlineStr">
        <is>
          <t>56.8</t>
        </is>
      </c>
      <c r="O1849" t="inlineStr"/>
      <c r="P1849" t="n">
        <v>61.7</v>
      </c>
      <c r="Q1849" t="inlineStr">
        <is>
          <t>164</t>
        </is>
      </c>
      <c r="R1849" t="n">
        <v>36</v>
      </c>
      <c r="S1849" t="inlineStr">
        <is>
          <t>398</t>
        </is>
      </c>
      <c r="T1849" t="n">
        <v>6.4</v>
      </c>
      <c r="U1849" t="inlineStr">
        <is>
          <t>801+</t>
        </is>
      </c>
      <c r="V1849" t="n">
        <v>59.5</v>
      </c>
      <c r="W1849" t="inlineStr">
        <is>
          <t>291</t>
        </is>
      </c>
      <c r="X1849" t="n">
        <v>94.5</v>
      </c>
      <c r="Y1849" t="inlineStr">
        <is>
          <t>185</t>
        </is>
      </c>
      <c r="Z1849" t="n">
        <v>63.1</v>
      </c>
      <c r="AA1849" t="inlineStr">
        <is>
          <t>319</t>
        </is>
      </c>
      <c r="AB1849" t="n">
        <v>66.59999999999999</v>
      </c>
      <c r="AC1849" t="inlineStr">
        <is>
          <t>292</t>
        </is>
      </c>
      <c r="AD1849" t="n">
        <v>91.59999999999999</v>
      </c>
      <c r="AE1849" t="inlineStr">
        <is>
          <t>150</t>
        </is>
      </c>
      <c r="AF1849" t="n">
        <v>82</v>
      </c>
      <c r="AG1849" t="inlineStr">
        <is>
          <t>150</t>
        </is>
      </c>
      <c r="AH1849" t="n">
        <v>81.3</v>
      </c>
      <c r="AI1849" t="inlineStr">
        <is>
          <t>157</t>
        </is>
      </c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</row>
    <row r="1850">
      <c r="A1850" t="inlineStr">
        <is>
          <t>Université catholique de Louvain (UCLouvain)</t>
        </is>
      </c>
      <c r="B1850" t="inlineStr">
        <is>
          <t>Belgium</t>
        </is>
      </c>
      <c r="C1850" t="inlineStr">
        <is>
          <t>BE</t>
        </is>
      </c>
      <c r="D1850" t="inlineStr"/>
      <c r="E1850" t="inlineStr">
        <is>
          <t>L</t>
        </is>
      </c>
      <c r="F1850" t="inlineStr">
        <is>
          <t>FC</t>
        </is>
      </c>
      <c r="G1850" t="inlineStr">
        <is>
          <t>VH</t>
        </is>
      </c>
      <c r="H1850" t="inlineStr">
        <is>
          <t>5</t>
        </is>
      </c>
      <c r="I1850" t="inlineStr">
        <is>
          <t>B</t>
        </is>
      </c>
      <c r="J1850" t="inlineStr"/>
      <c r="K1850" t="inlineStr"/>
      <c r="L1850">
        <f>180</f>
        <v/>
      </c>
      <c r="M1850" t="inlineStr">
        <is>
          <t>195=</t>
        </is>
      </c>
      <c r="N1850" t="inlineStr"/>
      <c r="O1850" t="inlineStr">
        <is>
          <t>48.0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>
        <is>
          <t>49.1</t>
        </is>
      </c>
      <c r="AK1850" t="inlineStr">
        <is>
          <t>166</t>
        </is>
      </c>
      <c r="AL1850" t="inlineStr">
        <is>
          <t>30.8</t>
        </is>
      </c>
      <c r="AM1850" t="inlineStr">
        <is>
          <t>317</t>
        </is>
      </c>
      <c r="AN1850" t="inlineStr">
        <is>
          <t>4.4</t>
        </is>
      </c>
      <c r="AO1850" t="inlineStr">
        <is>
          <t>701+</t>
        </is>
      </c>
      <c r="AP1850" t="inlineStr">
        <is>
          <t>60.2</t>
        </is>
      </c>
      <c r="AQ1850" t="inlineStr">
        <is>
          <t>203</t>
        </is>
      </c>
      <c r="AR1850" t="inlineStr">
        <is>
          <t>89.4</t>
        </is>
      </c>
      <c r="AS1850" t="inlineStr">
        <is>
          <t>186</t>
        </is>
      </c>
      <c r="AT1850" t="inlineStr">
        <is>
          <t>39.3</t>
        </is>
      </c>
      <c r="AU1850" t="inlineStr">
        <is>
          <t>347</t>
        </is>
      </c>
      <c r="AV1850" t="inlineStr">
        <is>
          <t>83.2</t>
        </is>
      </c>
      <c r="AW1850" t="inlineStr">
        <is>
          <t>130</t>
        </is>
      </c>
      <c r="AX1850" t="inlineStr">
        <is>
          <t>51.7</t>
        </is>
      </c>
      <c r="AY1850" t="inlineStr">
        <is>
          <t>125</t>
        </is>
      </c>
      <c r="AZ1850" t="inlineStr">
        <is>
          <t>54.6</t>
        </is>
      </c>
      <c r="BA1850" t="inlineStr">
        <is>
          <t>279=</t>
        </is>
      </c>
    </row>
    <row r="1851">
      <c r="A1851" t="inlineStr">
        <is>
          <t>Université Claude Bernard Lyon 1</t>
        </is>
      </c>
      <c r="B1851" t="inlineStr">
        <is>
          <t>France</t>
        </is>
      </c>
      <c r="C1851" t="inlineStr">
        <is>
          <t>FR</t>
        </is>
      </c>
      <c r="D1851" t="inlineStr">
        <is>
          <t>Europe</t>
        </is>
      </c>
      <c r="E1851" t="inlineStr">
        <is>
          <t>XL</t>
        </is>
      </c>
      <c r="F1851" t="inlineStr">
        <is>
          <t>FC</t>
        </is>
      </c>
      <c r="G1851" t="inlineStr">
        <is>
          <t>VH</t>
        </is>
      </c>
      <c r="H1851" t="inlineStr">
        <is>
          <t>5</t>
        </is>
      </c>
      <c r="I1851" t="inlineStr">
        <is>
          <t>Public</t>
        </is>
      </c>
      <c r="J1851" t="inlineStr">
        <is>
          <t>587</t>
        </is>
      </c>
      <c r="K1851" t="inlineStr">
        <is>
          <t>562</t>
        </is>
      </c>
      <c r="L1851">
        <f>452</f>
        <v/>
      </c>
      <c r="M1851" t="inlineStr">
        <is>
          <t>601-650</t>
        </is>
      </c>
      <c r="N1851" t="inlineStr">
        <is>
          <t>28.6</t>
        </is>
      </c>
      <c r="O1851" t="inlineStr">
        <is>
          <t>25.5</t>
        </is>
      </c>
      <c r="P1851" t="n">
        <v>26.1</v>
      </c>
      <c r="Q1851" t="inlineStr">
        <is>
          <t>486</t>
        </is>
      </c>
      <c r="R1851" t="n">
        <v>5.9</v>
      </c>
      <c r="S1851" t="inlineStr">
        <is>
          <t>701+</t>
        </is>
      </c>
      <c r="T1851" t="n">
        <v>9.6</v>
      </c>
      <c r="U1851" t="inlineStr">
        <is>
          <t>801+</t>
        </is>
      </c>
      <c r="V1851" t="n">
        <v>53</v>
      </c>
      <c r="W1851" t="inlineStr">
        <is>
          <t>356</t>
        </is>
      </c>
      <c r="X1851" t="n">
        <v>10.1</v>
      </c>
      <c r="Y1851" t="inlineStr">
        <is>
          <t>801+</t>
        </is>
      </c>
      <c r="Z1851" t="n">
        <v>20.5</v>
      </c>
      <c r="AA1851" t="inlineStr">
        <is>
          <t>723</t>
        </is>
      </c>
      <c r="AB1851" t="n">
        <v>15.5</v>
      </c>
      <c r="AC1851" t="inlineStr">
        <is>
          <t>801+</t>
        </is>
      </c>
      <c r="AD1851" t="n">
        <v>91.7</v>
      </c>
      <c r="AE1851" t="inlineStr">
        <is>
          <t>149</t>
        </is>
      </c>
      <c r="AF1851" t="n">
        <v>16</v>
      </c>
      <c r="AG1851" t="inlineStr">
        <is>
          <t>801+</t>
        </is>
      </c>
      <c r="AH1851" t="n">
        <v>51</v>
      </c>
      <c r="AI1851" t="inlineStr">
        <is>
          <t>680=</t>
        </is>
      </c>
      <c r="AJ1851" t="inlineStr">
        <is>
          <t>18.9</t>
        </is>
      </c>
      <c r="AK1851" t="inlineStr">
        <is>
          <t>471</t>
        </is>
      </c>
      <c r="AL1851" t="inlineStr">
        <is>
          <t>4.1</t>
        </is>
      </c>
      <c r="AM1851" t="inlineStr">
        <is>
          <t>601+</t>
        </is>
      </c>
      <c r="AN1851" t="inlineStr">
        <is>
          <t>8.2</t>
        </is>
      </c>
      <c r="AO1851" t="inlineStr">
        <is>
          <t>701+</t>
        </is>
      </c>
      <c r="AP1851" t="inlineStr">
        <is>
          <t>55.3</t>
        </is>
      </c>
      <c r="AQ1851" t="inlineStr">
        <is>
          <t>233</t>
        </is>
      </c>
      <c r="AR1851" t="inlineStr">
        <is>
          <t>7.9</t>
        </is>
      </c>
      <c r="AS1851" t="inlineStr">
        <is>
          <t>701+</t>
        </is>
      </c>
      <c r="AT1851" t="inlineStr">
        <is>
          <t>13.2</t>
        </is>
      </c>
      <c r="AU1851" t="inlineStr">
        <is>
          <t>659</t>
        </is>
      </c>
      <c r="AV1851" t="inlineStr">
        <is>
          <t>90.8</t>
        </is>
      </c>
      <c r="AW1851" t="inlineStr">
        <is>
          <t>78</t>
        </is>
      </c>
      <c r="AX1851" t="inlineStr">
        <is>
          <t>8.8</t>
        </is>
      </c>
      <c r="AY1851" t="inlineStr">
        <is>
          <t>701+</t>
        </is>
      </c>
      <c r="AZ1851" t="inlineStr">
        <is>
          <t>26.6</t>
        </is>
      </c>
      <c r="BA1851" t="inlineStr">
        <is>
          <t>481=</t>
        </is>
      </c>
    </row>
    <row r="1852">
      <c r="A1852" t="inlineStr">
        <is>
          <t>Université Côte d’Azur</t>
        </is>
      </c>
      <c r="B1852" t="inlineStr">
        <is>
          <t>France</t>
        </is>
      </c>
      <c r="C1852" t="inlineStr">
        <is>
          <t>FR</t>
        </is>
      </c>
      <c r="D1852" t="inlineStr">
        <is>
          <t>Europe</t>
        </is>
      </c>
      <c r="E1852" t="inlineStr">
        <is>
          <t>XL</t>
        </is>
      </c>
      <c r="F1852" t="inlineStr">
        <is>
          <t>FC</t>
        </is>
      </c>
      <c r="G1852" t="inlineStr">
        <is>
          <t>VH</t>
        </is>
      </c>
      <c r="H1852" t="inlineStr">
        <is>
          <t>1</t>
        </is>
      </c>
      <c r="I1852" t="inlineStr">
        <is>
          <t>Public</t>
        </is>
      </c>
      <c r="J1852" t="inlineStr">
        <is>
          <t>688</t>
        </is>
      </c>
      <c r="K1852" t="inlineStr">
        <is>
          <t>731-740</t>
        </is>
      </c>
      <c r="L1852" t="inlineStr">
        <is>
          <t>721-730</t>
        </is>
      </c>
      <c r="M1852" t="inlineStr">
        <is>
          <t>751-800</t>
        </is>
      </c>
      <c r="N1852" t="inlineStr">
        <is>
          <t>25.6</t>
        </is>
      </c>
      <c r="O1852" t="inlineStr">
        <is>
          <t>-</t>
        </is>
      </c>
      <c r="P1852" t="n">
        <v>21.6</v>
      </c>
      <c r="Q1852" t="inlineStr">
        <is>
          <t>573</t>
        </is>
      </c>
      <c r="R1852" t="n">
        <v>8.199999999999999</v>
      </c>
      <c r="S1852" t="inlineStr">
        <is>
          <t>701+</t>
        </is>
      </c>
      <c r="T1852" t="n">
        <v>9.1</v>
      </c>
      <c r="U1852" t="inlineStr">
        <is>
          <t>801+</t>
        </is>
      </c>
      <c r="V1852" t="n">
        <v>27.7</v>
      </c>
      <c r="W1852" t="inlineStr">
        <is>
          <t>609</t>
        </is>
      </c>
      <c r="X1852" t="n">
        <v>36.5</v>
      </c>
      <c r="Y1852" t="inlineStr">
        <is>
          <t>526</t>
        </is>
      </c>
      <c r="Z1852" t="n">
        <v>51</v>
      </c>
      <c r="AA1852" t="inlineStr">
        <is>
          <t>402</t>
        </is>
      </c>
      <c r="AB1852" t="n">
        <v>55.6</v>
      </c>
      <c r="AC1852" t="inlineStr">
        <is>
          <t>367</t>
        </is>
      </c>
      <c r="AD1852" t="n">
        <v>83.3</v>
      </c>
      <c r="AE1852" t="inlineStr">
        <is>
          <t>288</t>
        </is>
      </c>
      <c r="AF1852" t="n">
        <v>13.6</v>
      </c>
      <c r="AG1852" t="inlineStr">
        <is>
          <t>801+</t>
        </is>
      </c>
      <c r="AH1852" t="n">
        <v>69.2</v>
      </c>
      <c r="AI1852" t="inlineStr">
        <is>
          <t>326=</t>
        </is>
      </c>
      <c r="AJ1852" t="inlineStr">
        <is>
          <t>15.8</t>
        </is>
      </c>
      <c r="AK1852" t="inlineStr">
        <is>
          <t>551</t>
        </is>
      </c>
      <c r="AL1852" t="inlineStr">
        <is>
          <t>3.0</t>
        </is>
      </c>
      <c r="AM1852" t="inlineStr">
        <is>
          <t>601+</t>
        </is>
      </c>
      <c r="AN1852" t="inlineStr">
        <is>
          <t>5.2</t>
        </is>
      </c>
      <c r="AO1852" t="inlineStr">
        <is>
          <t>701+</t>
        </is>
      </c>
      <c r="AP1852" t="inlineStr">
        <is>
          <t>21.8</t>
        </is>
      </c>
      <c r="AQ1852" t="inlineStr">
        <is>
          <t>530</t>
        </is>
      </c>
      <c r="AR1852" t="inlineStr">
        <is>
          <t>32.8</t>
        </is>
      </c>
      <c r="AS1852" t="inlineStr">
        <is>
          <t>467</t>
        </is>
      </c>
      <c r="AT1852" t="inlineStr">
        <is>
          <t>39.7</t>
        </is>
      </c>
      <c r="AU1852" t="inlineStr">
        <is>
          <t>345</t>
        </is>
      </c>
      <c r="AV1852" t="inlineStr">
        <is>
          <t>42.6</t>
        </is>
      </c>
      <c r="AW1852" t="inlineStr">
        <is>
          <t>356</t>
        </is>
      </c>
      <c r="AX1852" t="inlineStr">
        <is>
          <t>7.8</t>
        </is>
      </c>
      <c r="AY1852" t="inlineStr">
        <is>
          <t>701+</t>
        </is>
      </c>
      <c r="AZ1852" t="inlineStr">
        <is>
          <t>5.6</t>
        </is>
      </c>
      <c r="BA1852" t="inlineStr">
        <is>
          <t>701+</t>
        </is>
      </c>
    </row>
    <row r="1853">
      <c r="A1853" t="inlineStr">
        <is>
          <t>Université de Bordeaux</t>
        </is>
      </c>
      <c r="B1853" t="inlineStr">
        <is>
          <t>France</t>
        </is>
      </c>
      <c r="C1853" t="inlineStr"/>
      <c r="D1853" t="inlineStr">
        <is>
          <t>Europe</t>
        </is>
      </c>
      <c r="E1853" t="inlineStr">
        <is>
          <t>XL</t>
        </is>
      </c>
      <c r="F1853" t="inlineStr">
        <is>
          <t>FO</t>
        </is>
      </c>
      <c r="G1853" t="inlineStr">
        <is>
          <t>VH</t>
        </is>
      </c>
      <c r="H1853" t="inlineStr"/>
      <c r="I1853" t="inlineStr">
        <is>
          <t>Public</t>
        </is>
      </c>
      <c r="J1853" t="inlineStr">
        <is>
          <t>494</t>
        </is>
      </c>
      <c r="K1853" t="inlineStr">
        <is>
          <t>535</t>
        </is>
      </c>
      <c r="L1853" t="inlineStr"/>
      <c r="M1853" t="inlineStr"/>
      <c r="N1853" t="inlineStr">
        <is>
          <t>32.5</t>
        </is>
      </c>
      <c r="O1853" t="inlineStr"/>
      <c r="P1853" t="n">
        <v>43.2</v>
      </c>
      <c r="Q1853" t="inlineStr">
        <is>
          <t>274</t>
        </is>
      </c>
      <c r="R1853" t="n">
        <v>10</v>
      </c>
      <c r="S1853" t="inlineStr">
        <is>
          <t>701+</t>
        </is>
      </c>
      <c r="T1853" t="n">
        <v>13.5</v>
      </c>
      <c r="U1853" t="inlineStr">
        <is>
          <t>801+</t>
        </is>
      </c>
      <c r="V1853" t="n">
        <v>28.1</v>
      </c>
      <c r="W1853" t="inlineStr">
        <is>
          <t>605</t>
        </is>
      </c>
      <c r="X1853" t="n">
        <v>31.7</v>
      </c>
      <c r="Y1853" t="inlineStr">
        <is>
          <t>566</t>
        </is>
      </c>
      <c r="Z1853" t="n">
        <v>35.2</v>
      </c>
      <c r="AA1853" t="inlineStr">
        <is>
          <t>539</t>
        </is>
      </c>
      <c r="AB1853" t="n">
        <v>40.9</v>
      </c>
      <c r="AC1853" t="inlineStr">
        <is>
          <t>498</t>
        </is>
      </c>
      <c r="AD1853" t="n">
        <v>93.5</v>
      </c>
      <c r="AE1853" t="inlineStr">
        <is>
          <t>113</t>
        </is>
      </c>
      <c r="AF1853" t="n">
        <v>25.3</v>
      </c>
      <c r="AG1853" t="inlineStr">
        <is>
          <t>635</t>
        </is>
      </c>
      <c r="AH1853" t="n">
        <v>56.5</v>
      </c>
      <c r="AI1853" t="inlineStr">
        <is>
          <t>571=</t>
        </is>
      </c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</row>
    <row r="1854">
      <c r="A1854" t="inlineStr">
        <is>
          <t>Université de Bretagne Occidentale (UBO)</t>
        </is>
      </c>
      <c r="B1854" t="inlineStr">
        <is>
          <t>France</t>
        </is>
      </c>
      <c r="C1854" t="inlineStr"/>
      <c r="D1854" t="inlineStr">
        <is>
          <t>Europe</t>
        </is>
      </c>
      <c r="E1854" t="inlineStr">
        <is>
          <t>L</t>
        </is>
      </c>
      <c r="F1854" t="inlineStr">
        <is>
          <t>FO</t>
        </is>
      </c>
      <c r="G1854" t="inlineStr">
        <is>
          <t>VH</t>
        </is>
      </c>
      <c r="H1854" t="inlineStr"/>
      <c r="I1854" t="inlineStr"/>
      <c r="J1854" t="inlineStr">
        <is>
          <t>1001-1200</t>
        </is>
      </c>
      <c r="K1854" t="inlineStr"/>
      <c r="L1854" t="inlineStr"/>
      <c r="M1854" t="inlineStr"/>
      <c r="N1854" t="inlineStr">
        <is>
          <t>-</t>
        </is>
      </c>
      <c r="O1854" t="inlineStr"/>
      <c r="P1854" t="n">
        <v>6.2</v>
      </c>
      <c r="Q1854" t="inlineStr">
        <is>
          <t>701+</t>
        </is>
      </c>
      <c r="R1854" t="n">
        <v>5.4</v>
      </c>
      <c r="S1854" t="inlineStr">
        <is>
          <t>701+</t>
        </is>
      </c>
      <c r="T1854" t="n">
        <v>32.1</v>
      </c>
      <c r="U1854" t="inlineStr">
        <is>
          <t>600</t>
        </is>
      </c>
      <c r="V1854" t="n">
        <v>25.2</v>
      </c>
      <c r="W1854" t="inlineStr">
        <is>
          <t>634</t>
        </is>
      </c>
      <c r="X1854" t="inlineStr"/>
      <c r="Y1854" t="inlineStr"/>
      <c r="Z1854" t="inlineStr"/>
      <c r="AA1854" t="inlineStr"/>
      <c r="AB1854" t="inlineStr"/>
      <c r="AC1854" t="inlineStr"/>
      <c r="AD1854" t="n">
        <v>82.7</v>
      </c>
      <c r="AE1854" t="inlineStr">
        <is>
          <t>297</t>
        </is>
      </c>
      <c r="AF1854" t="n">
        <v>3.6</v>
      </c>
      <c r="AG1854" t="inlineStr">
        <is>
          <t>801+</t>
        </is>
      </c>
      <c r="AH1854" t="n">
        <v>47.2</v>
      </c>
      <c r="AI1854" t="inlineStr">
        <is>
          <t>783=</t>
        </is>
      </c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</row>
    <row r="1855">
      <c r="A1855" t="inlineStr">
        <is>
          <t>Université de Caen Normandie</t>
        </is>
      </c>
      <c r="B1855" t="inlineStr">
        <is>
          <t>France</t>
        </is>
      </c>
      <c r="C1855" t="inlineStr">
        <is>
          <t>FR</t>
        </is>
      </c>
      <c r="D1855" t="inlineStr">
        <is>
          <t>Europe</t>
        </is>
      </c>
      <c r="E1855" t="inlineStr">
        <is>
          <t>L</t>
        </is>
      </c>
      <c r="F1855" t="inlineStr">
        <is>
          <t>FC</t>
        </is>
      </c>
      <c r="G1855" t="inlineStr">
        <is>
          <t>HI</t>
        </is>
      </c>
      <c r="H1855" t="inlineStr">
        <is>
          <t>5</t>
        </is>
      </c>
      <c r="I1855" t="inlineStr">
        <is>
          <t>Public</t>
        </is>
      </c>
      <c r="J1855" t="inlineStr">
        <is>
          <t>1201-1400</t>
        </is>
      </c>
      <c r="K1855" t="inlineStr">
        <is>
          <t>1001-1200</t>
        </is>
      </c>
      <c r="L1855" t="inlineStr">
        <is>
          <t>1001-1200</t>
        </is>
      </c>
      <c r="M1855" t="inlineStr">
        <is>
          <t>1201-1400</t>
        </is>
      </c>
      <c r="N1855" t="inlineStr">
        <is>
          <t>-</t>
        </is>
      </c>
      <c r="O1855" t="inlineStr">
        <is>
          <t>-</t>
        </is>
      </c>
      <c r="P1855" t="n">
        <v>11.3</v>
      </c>
      <c r="Q1855" t="inlineStr">
        <is>
          <t>701+</t>
        </is>
      </c>
      <c r="R1855" t="n">
        <v>5.2</v>
      </c>
      <c r="S1855" t="inlineStr">
        <is>
          <t>701+</t>
        </is>
      </c>
      <c r="T1855" t="n">
        <v>9.199999999999999</v>
      </c>
      <c r="U1855" t="inlineStr">
        <is>
          <t>801+</t>
        </is>
      </c>
      <c r="V1855" t="n">
        <v>10.3</v>
      </c>
      <c r="W1855" t="inlineStr">
        <is>
          <t>801+</t>
        </is>
      </c>
      <c r="X1855" t="n">
        <v>11</v>
      </c>
      <c r="Y1855" t="inlineStr">
        <is>
          <t>801+</t>
        </is>
      </c>
      <c r="Z1855" t="n">
        <v>11.4</v>
      </c>
      <c r="AA1855" t="inlineStr">
        <is>
          <t>801+</t>
        </is>
      </c>
      <c r="AB1855" t="n">
        <v>8.699999999999999</v>
      </c>
      <c r="AC1855" t="inlineStr">
        <is>
          <t>801+</t>
        </is>
      </c>
      <c r="AD1855" t="n">
        <v>76.40000000000001</v>
      </c>
      <c r="AE1855" t="inlineStr">
        <is>
          <t>414</t>
        </is>
      </c>
      <c r="AF1855" t="n">
        <v>6.6</v>
      </c>
      <c r="AG1855" t="inlineStr">
        <is>
          <t>801+</t>
        </is>
      </c>
      <c r="AH1855" t="n">
        <v>35.8</v>
      </c>
      <c r="AI1855" t="inlineStr">
        <is>
          <t>801+</t>
        </is>
      </c>
      <c r="AJ1855" t="inlineStr">
        <is>
          <t>9.0</t>
        </is>
      </c>
      <c r="AK1855" t="inlineStr">
        <is>
          <t>601+</t>
        </is>
      </c>
      <c r="AL1855" t="inlineStr">
        <is>
          <t>2.6</t>
        </is>
      </c>
      <c r="AM1855" t="inlineStr">
        <is>
          <t>601+</t>
        </is>
      </c>
      <c r="AN1855" t="inlineStr">
        <is>
          <t>6.0</t>
        </is>
      </c>
      <c r="AO1855" t="inlineStr">
        <is>
          <t>701+</t>
        </is>
      </c>
      <c r="AP1855" t="inlineStr">
        <is>
          <t>5.7</t>
        </is>
      </c>
      <c r="AQ1855" t="inlineStr">
        <is>
          <t>701+</t>
        </is>
      </c>
      <c r="AR1855" t="inlineStr">
        <is>
          <t>9.3</t>
        </is>
      </c>
      <c r="AS1855" t="inlineStr">
        <is>
          <t>701+</t>
        </is>
      </c>
      <c r="AT1855" t="inlineStr">
        <is>
          <t>6.9</t>
        </is>
      </c>
      <c r="AU1855" t="inlineStr">
        <is>
          <t>701+</t>
        </is>
      </c>
      <c r="AV1855" t="inlineStr">
        <is>
          <t>36.8</t>
        </is>
      </c>
      <c r="AW1855" t="inlineStr">
        <is>
          <t>402</t>
        </is>
      </c>
      <c r="AX1855" t="inlineStr">
        <is>
          <t>6.4</t>
        </is>
      </c>
      <c r="AY1855" t="inlineStr">
        <is>
          <t>701+</t>
        </is>
      </c>
      <c r="AZ1855" t="inlineStr">
        <is>
          <t>1.2</t>
        </is>
      </c>
      <c r="BA1855" t="inlineStr">
        <is>
          <t>701+</t>
        </is>
      </c>
    </row>
    <row r="1856">
      <c r="A1856" t="inlineStr">
        <is>
          <t>Université de Franche-Comté</t>
        </is>
      </c>
      <c r="B1856" t="inlineStr">
        <is>
          <t>France</t>
        </is>
      </c>
      <c r="C1856" t="inlineStr">
        <is>
          <t>FR</t>
        </is>
      </c>
      <c r="D1856" t="inlineStr">
        <is>
          <t>Europe</t>
        </is>
      </c>
      <c r="E1856" t="inlineStr">
        <is>
          <t>S</t>
        </is>
      </c>
      <c r="F1856" t="inlineStr">
        <is>
          <t>CO</t>
        </is>
      </c>
      <c r="G1856" t="inlineStr">
        <is>
          <t>VH</t>
        </is>
      </c>
      <c r="H1856" t="inlineStr"/>
      <c r="I1856" t="inlineStr">
        <is>
          <t>Public</t>
        </is>
      </c>
      <c r="J1856" t="inlineStr">
        <is>
          <t>851-900</t>
        </is>
      </c>
      <c r="K1856" t="inlineStr">
        <is>
          <t>711-720</t>
        </is>
      </c>
      <c r="L1856" t="inlineStr">
        <is>
          <t>1201-1400</t>
        </is>
      </c>
      <c r="M1856" t="inlineStr"/>
      <c r="N1856" t="inlineStr">
        <is>
          <t>-</t>
        </is>
      </c>
      <c r="O1856" t="inlineStr">
        <is>
          <t>-</t>
        </is>
      </c>
      <c r="P1856" t="n">
        <v>7.6</v>
      </c>
      <c r="Q1856" t="inlineStr">
        <is>
          <t>701+</t>
        </is>
      </c>
      <c r="R1856" t="n">
        <v>3.6</v>
      </c>
      <c r="S1856" t="inlineStr">
        <is>
          <t>701+</t>
        </is>
      </c>
      <c r="T1856" t="n">
        <v>100</v>
      </c>
      <c r="U1856" t="inlineStr">
        <is>
          <t>8</t>
        </is>
      </c>
      <c r="V1856" t="n">
        <v>18.7</v>
      </c>
      <c r="W1856" t="inlineStr">
        <is>
          <t>740</t>
        </is>
      </c>
      <c r="X1856" t="inlineStr"/>
      <c r="Y1856" t="inlineStr"/>
      <c r="Z1856" t="inlineStr"/>
      <c r="AA1856" t="inlineStr"/>
      <c r="AB1856" t="inlineStr"/>
      <c r="AC1856" t="inlineStr"/>
      <c r="AD1856" t="n">
        <v>77.40000000000001</v>
      </c>
      <c r="AE1856" t="inlineStr">
        <is>
          <t>395</t>
        </is>
      </c>
      <c r="AF1856" t="n">
        <v>3.8</v>
      </c>
      <c r="AG1856" t="inlineStr">
        <is>
          <t>801+</t>
        </is>
      </c>
      <c r="AH1856" t="n">
        <v>32</v>
      </c>
      <c r="AI1856" t="inlineStr">
        <is>
          <t>801+</t>
        </is>
      </c>
      <c r="AJ1856" t="inlineStr">
        <is>
          <t>5.8</t>
        </is>
      </c>
      <c r="AK1856" t="inlineStr">
        <is>
          <t>601+</t>
        </is>
      </c>
      <c r="AL1856" t="inlineStr">
        <is>
          <t>2.1</t>
        </is>
      </c>
      <c r="AM1856" t="inlineStr">
        <is>
          <t>601+</t>
        </is>
      </c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>
        <is>
          <t>46.0</t>
        </is>
      </c>
      <c r="AW1856" t="inlineStr">
        <is>
          <t>336</t>
        </is>
      </c>
      <c r="AX1856" t="inlineStr"/>
      <c r="AY1856" t="inlineStr"/>
      <c r="AZ1856" t="inlineStr"/>
      <c r="BA1856" t="inlineStr"/>
    </row>
    <row r="1857">
      <c r="A1857" t="inlineStr">
        <is>
          <t>Université de Fribourg</t>
        </is>
      </c>
      <c r="B1857" t="inlineStr">
        <is>
          <t>Switzerland</t>
        </is>
      </c>
      <c r="C1857" t="inlineStr">
        <is>
          <t>CH</t>
        </is>
      </c>
      <c r="D1857" t="inlineStr"/>
      <c r="E1857" t="inlineStr">
        <is>
          <t>M</t>
        </is>
      </c>
      <c r="F1857" t="inlineStr">
        <is>
          <t>CO</t>
        </is>
      </c>
      <c r="G1857" t="inlineStr">
        <is>
          <t>VH</t>
        </is>
      </c>
      <c r="H1857" t="inlineStr">
        <is>
          <t>5</t>
        </is>
      </c>
      <c r="I1857" t="inlineStr">
        <is>
          <t>A</t>
        </is>
      </c>
      <c r="J1857" t="inlineStr"/>
      <c r="K1857" t="inlineStr"/>
      <c r="L1857">
        <f>563</f>
        <v/>
      </c>
      <c r="M1857" t="inlineStr">
        <is>
          <t>571-580</t>
        </is>
      </c>
      <c r="N1857" t="inlineStr"/>
      <c r="O1857" t="inlineStr">
        <is>
          <t>20.9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>
        <is>
          <t>10.7</t>
        </is>
      </c>
      <c r="AK1857" t="inlineStr">
        <is>
          <t>601+</t>
        </is>
      </c>
      <c r="AL1857" t="inlineStr">
        <is>
          <t>3.8</t>
        </is>
      </c>
      <c r="AM1857" t="inlineStr">
        <is>
          <t>601+</t>
        </is>
      </c>
      <c r="AN1857" t="inlineStr">
        <is>
          <t>5.3</t>
        </is>
      </c>
      <c r="AO1857" t="inlineStr">
        <is>
          <t>701+</t>
        </is>
      </c>
      <c r="AP1857" t="inlineStr">
        <is>
          <t>38.8</t>
        </is>
      </c>
      <c r="AQ1857" t="inlineStr">
        <is>
          <t>355</t>
        </is>
      </c>
      <c r="AR1857" t="inlineStr">
        <is>
          <t>100.0</t>
        </is>
      </c>
      <c r="AS1857" t="inlineStr">
        <is>
          <t>76</t>
        </is>
      </c>
      <c r="AT1857" t="inlineStr">
        <is>
          <t>45.4</t>
        </is>
      </c>
      <c r="AU1857" t="inlineStr">
        <is>
          <t>319</t>
        </is>
      </c>
      <c r="AV1857" t="inlineStr">
        <is>
          <t>8.9</t>
        </is>
      </c>
      <c r="AW1857" t="inlineStr">
        <is>
          <t>701+</t>
        </is>
      </c>
      <c r="AX1857" t="inlineStr">
        <is>
          <t>20.4</t>
        </is>
      </c>
      <c r="AY1857" t="inlineStr">
        <is>
          <t>411</t>
        </is>
      </c>
      <c r="AZ1857" t="inlineStr">
        <is>
          <t>5.2</t>
        </is>
      </c>
      <c r="BA1857" t="inlineStr">
        <is>
          <t>701+</t>
        </is>
      </c>
    </row>
    <row r="1858">
      <c r="A1858" t="inlineStr">
        <is>
          <t>Université de Lille</t>
        </is>
      </c>
      <c r="B1858" t="inlineStr">
        <is>
          <t>France</t>
        </is>
      </c>
      <c r="C1858" t="inlineStr">
        <is>
          <t>FR</t>
        </is>
      </c>
      <c r="D1858" t="inlineStr">
        <is>
          <t>Europe</t>
        </is>
      </c>
      <c r="E1858" t="inlineStr">
        <is>
          <t>XL</t>
        </is>
      </c>
      <c r="F1858" t="inlineStr">
        <is>
          <t>FC</t>
        </is>
      </c>
      <c r="G1858" t="inlineStr">
        <is>
          <t>VH</t>
        </is>
      </c>
      <c r="H1858" t="inlineStr">
        <is>
          <t>1</t>
        </is>
      </c>
      <c r="I1858" t="inlineStr">
        <is>
          <t>Public</t>
        </is>
      </c>
      <c r="J1858" t="inlineStr">
        <is>
          <t>654</t>
        </is>
      </c>
      <c r="K1858" t="inlineStr">
        <is>
          <t>721-730</t>
        </is>
      </c>
      <c r="L1858" t="inlineStr">
        <is>
          <t>631-640</t>
        </is>
      </c>
      <c r="M1858" t="inlineStr">
        <is>
          <t>751-800</t>
        </is>
      </c>
      <c r="N1858" t="inlineStr">
        <is>
          <t>26.6</t>
        </is>
      </c>
      <c r="O1858" t="inlineStr">
        <is>
          <t>-</t>
        </is>
      </c>
      <c r="P1858" t="n">
        <v>33.9</v>
      </c>
      <c r="Q1858" t="inlineStr">
        <is>
          <t>358</t>
        </is>
      </c>
      <c r="R1858" t="n">
        <v>10.6</v>
      </c>
      <c r="S1858" t="inlineStr">
        <is>
          <t>701+</t>
        </is>
      </c>
      <c r="T1858" t="n">
        <v>6.1</v>
      </c>
      <c r="U1858" t="inlineStr">
        <is>
          <t>801+</t>
        </is>
      </c>
      <c r="V1858" t="n">
        <v>27</v>
      </c>
      <c r="W1858" t="inlineStr">
        <is>
          <t>616</t>
        </is>
      </c>
      <c r="X1858" t="n">
        <v>21</v>
      </c>
      <c r="Y1858" t="inlineStr">
        <is>
          <t>698</t>
        </is>
      </c>
      <c r="Z1858" t="n">
        <v>25.4</v>
      </c>
      <c r="AA1858" t="inlineStr">
        <is>
          <t>657</t>
        </is>
      </c>
      <c r="AB1858" t="n">
        <v>19.1</v>
      </c>
      <c r="AC1858" t="inlineStr">
        <is>
          <t>778</t>
        </is>
      </c>
      <c r="AD1858" t="n">
        <v>94.2</v>
      </c>
      <c r="AE1858" t="inlineStr">
        <is>
          <t>95</t>
        </is>
      </c>
      <c r="AF1858" t="n">
        <v>6.9</v>
      </c>
      <c r="AG1858" t="inlineStr">
        <is>
          <t>801+</t>
        </is>
      </c>
      <c r="AH1858" t="n">
        <v>54.3</v>
      </c>
      <c r="AI1858" t="inlineStr">
        <is>
          <t>617=</t>
        </is>
      </c>
      <c r="AJ1858" t="inlineStr">
        <is>
          <t>25.3</t>
        </is>
      </c>
      <c r="AK1858" t="inlineStr">
        <is>
          <t>346</t>
        </is>
      </c>
      <c r="AL1858" t="inlineStr">
        <is>
          <t>4.2</t>
        </is>
      </c>
      <c r="AM1858" t="inlineStr">
        <is>
          <t>601+</t>
        </is>
      </c>
      <c r="AN1858" t="inlineStr">
        <is>
          <t>4.4</t>
        </is>
      </c>
      <c r="AO1858" t="inlineStr">
        <is>
          <t>701+</t>
        </is>
      </c>
      <c r="AP1858" t="inlineStr">
        <is>
          <t>14.6</t>
        </is>
      </c>
      <c r="AQ1858" t="inlineStr">
        <is>
          <t>643</t>
        </is>
      </c>
      <c r="AR1858" t="inlineStr">
        <is>
          <t>16.8</t>
        </is>
      </c>
      <c r="AS1858" t="inlineStr">
        <is>
          <t>637</t>
        </is>
      </c>
      <c r="AT1858" t="inlineStr">
        <is>
          <t>17.6</t>
        </is>
      </c>
      <c r="AU1858" t="inlineStr">
        <is>
          <t>580</t>
        </is>
      </c>
      <c r="AV1858" t="inlineStr">
        <is>
          <t>86.3</t>
        </is>
      </c>
      <c r="AW1858" t="inlineStr">
        <is>
          <t>106</t>
        </is>
      </c>
      <c r="AX1858" t="inlineStr">
        <is>
          <t>7</t>
        </is>
      </c>
      <c r="AY1858" t="inlineStr">
        <is>
          <t>701+</t>
        </is>
      </c>
      <c r="AZ1858" t="inlineStr">
        <is>
          <t>17.2</t>
        </is>
      </c>
      <c r="BA1858" t="inlineStr">
        <is>
          <t>574=</t>
        </is>
      </c>
    </row>
    <row r="1859">
      <c r="A1859" t="inlineStr">
        <is>
          <t>Université de Limoges</t>
        </is>
      </c>
      <c r="B1859" t="inlineStr">
        <is>
          <t>France</t>
        </is>
      </c>
      <c r="C1859" t="inlineStr">
        <is>
          <t>FR</t>
        </is>
      </c>
      <c r="D1859" t="inlineStr">
        <is>
          <t>Europe</t>
        </is>
      </c>
      <c r="E1859" t="inlineStr">
        <is>
          <t>M</t>
        </is>
      </c>
      <c r="F1859" t="inlineStr">
        <is>
          <t>SP</t>
        </is>
      </c>
      <c r="G1859" t="inlineStr">
        <is>
          <t>VH</t>
        </is>
      </c>
      <c r="H1859" t="inlineStr"/>
      <c r="I1859" t="inlineStr"/>
      <c r="J1859" t="inlineStr">
        <is>
          <t>1201-1400</t>
        </is>
      </c>
      <c r="K1859" t="inlineStr">
        <is>
          <t>1201-1400</t>
        </is>
      </c>
      <c r="L1859" t="inlineStr">
        <is>
          <t>1201-1400</t>
        </is>
      </c>
      <c r="M1859" t="inlineStr"/>
      <c r="N1859" t="inlineStr">
        <is>
          <t>-</t>
        </is>
      </c>
      <c r="O1859" t="inlineStr">
        <is>
          <t>-</t>
        </is>
      </c>
      <c r="P1859" t="n">
        <v>8.9</v>
      </c>
      <c r="Q1859" t="inlineStr">
        <is>
          <t>701+</t>
        </is>
      </c>
      <c r="R1859" t="n">
        <v>5.5</v>
      </c>
      <c r="S1859" t="inlineStr">
        <is>
          <t>701+</t>
        </is>
      </c>
      <c r="T1859" t="n">
        <v>22.4</v>
      </c>
      <c r="U1859" t="inlineStr">
        <is>
          <t>783</t>
        </is>
      </c>
      <c r="V1859" t="n">
        <v>9.1</v>
      </c>
      <c r="W1859" t="inlineStr">
        <is>
          <t>801+</t>
        </is>
      </c>
      <c r="X1859" t="inlineStr"/>
      <c r="Y1859" t="inlineStr"/>
      <c r="Z1859" t="inlineStr"/>
      <c r="AA1859" t="inlineStr"/>
      <c r="AB1859" t="inlineStr"/>
      <c r="AC1859" t="inlineStr"/>
      <c r="AD1859" t="n">
        <v>55.9</v>
      </c>
      <c r="AE1859" t="inlineStr">
        <is>
          <t>750</t>
        </is>
      </c>
      <c r="AF1859" t="n">
        <v>3.6</v>
      </c>
      <c r="AG1859" t="inlineStr">
        <is>
          <t>801+</t>
        </is>
      </c>
      <c r="AH1859" t="n">
        <v>29.6</v>
      </c>
      <c r="AI1859" t="inlineStr">
        <is>
          <t>801+</t>
        </is>
      </c>
      <c r="AJ1859" t="inlineStr">
        <is>
          <t>6.1</t>
        </is>
      </c>
      <c r="AK1859" t="inlineStr">
        <is>
          <t>601+</t>
        </is>
      </c>
      <c r="AL1859" t="inlineStr">
        <is>
          <t>1.9</t>
        </is>
      </c>
      <c r="AM1859" t="inlineStr">
        <is>
          <t>601+</t>
        </is>
      </c>
      <c r="AN1859" t="inlineStr">
        <is>
          <t>18.2</t>
        </is>
      </c>
      <c r="AO1859" t="inlineStr">
        <is>
          <t>701+</t>
        </is>
      </c>
      <c r="AP1859" t="inlineStr">
        <is>
          <t>7.2</t>
        </is>
      </c>
      <c r="AQ1859" t="inlineStr">
        <is>
          <t>701+</t>
        </is>
      </c>
      <c r="AR1859" t="inlineStr"/>
      <c r="AS1859" t="inlineStr"/>
      <c r="AT1859" t="inlineStr"/>
      <c r="AU1859" t="inlineStr"/>
      <c r="AV1859" t="inlineStr">
        <is>
          <t>16.7</t>
        </is>
      </c>
      <c r="AW1859" t="inlineStr">
        <is>
          <t>578</t>
        </is>
      </c>
      <c r="AX1859" t="inlineStr">
        <is>
          <t>6.4</t>
        </is>
      </c>
      <c r="AY1859" t="inlineStr">
        <is>
          <t>701+</t>
        </is>
      </c>
      <c r="AZ1859" t="inlineStr"/>
      <c r="BA1859" t="inlineStr"/>
    </row>
    <row r="1860">
      <c r="A1860" t="inlineStr">
        <is>
          <t>Université de Liège</t>
        </is>
      </c>
      <c r="B1860" t="inlineStr">
        <is>
          <t>Belgium</t>
        </is>
      </c>
      <c r="C1860" t="inlineStr">
        <is>
          <t>BE</t>
        </is>
      </c>
      <c r="D1860" t="inlineStr"/>
      <c r="E1860" t="inlineStr">
        <is>
          <t>L</t>
        </is>
      </c>
      <c r="F1860" t="inlineStr">
        <is>
          <t>FC</t>
        </is>
      </c>
      <c r="G1860" t="inlineStr">
        <is>
          <t>VH</t>
        </is>
      </c>
      <c r="H1860" t="inlineStr">
        <is>
          <t>5</t>
        </is>
      </c>
      <c r="I1860" t="inlineStr">
        <is>
          <t>A</t>
        </is>
      </c>
      <c r="J1860" t="inlineStr"/>
      <c r="K1860" t="inlineStr"/>
      <c r="L1860">
        <f>421</f>
        <v/>
      </c>
      <c r="M1860" t="inlineStr">
        <is>
          <t>521-530</t>
        </is>
      </c>
      <c r="N1860" t="inlineStr"/>
      <c r="O1860" t="inlineStr">
        <is>
          <t>26.7</t>
        </is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>
        <is>
          <t>18.1</t>
        </is>
      </c>
      <c r="AK1860" t="inlineStr">
        <is>
          <t>495</t>
        </is>
      </c>
      <c r="AL1860" t="inlineStr">
        <is>
          <t>16.3</t>
        </is>
      </c>
      <c r="AM1860" t="inlineStr">
        <is>
          <t>524</t>
        </is>
      </c>
      <c r="AN1860" t="inlineStr">
        <is>
          <t>12.9</t>
        </is>
      </c>
      <c r="AO1860" t="inlineStr">
        <is>
          <t>701+</t>
        </is>
      </c>
      <c r="AP1860" t="inlineStr">
        <is>
          <t>27.2</t>
        </is>
      </c>
      <c r="AQ1860" t="inlineStr">
        <is>
          <t>461</t>
        </is>
      </c>
      <c r="AR1860" t="inlineStr">
        <is>
          <t>50.7</t>
        </is>
      </c>
      <c r="AS1860" t="inlineStr">
        <is>
          <t>355</t>
        </is>
      </c>
      <c r="AT1860" t="inlineStr">
        <is>
          <t>48.5</t>
        </is>
      </c>
      <c r="AU1860" t="inlineStr">
        <is>
          <t>306</t>
        </is>
      </c>
      <c r="AV1860" t="inlineStr">
        <is>
          <t>79.3</t>
        </is>
      </c>
      <c r="AW1860" t="inlineStr">
        <is>
          <t>149</t>
        </is>
      </c>
      <c r="AX1860" t="inlineStr">
        <is>
          <t>16.2</t>
        </is>
      </c>
      <c r="AY1860" t="inlineStr">
        <is>
          <t>516</t>
        </is>
      </c>
      <c r="AZ1860" t="inlineStr">
        <is>
          <t>47.8</t>
        </is>
      </c>
      <c r="BA1860" t="inlineStr">
        <is>
          <t>318=</t>
        </is>
      </c>
    </row>
    <row r="1861">
      <c r="A1861" t="inlineStr">
        <is>
          <t>Université de Lorraine</t>
        </is>
      </c>
      <c r="B1861" t="inlineStr">
        <is>
          <t>France</t>
        </is>
      </c>
      <c r="C1861" t="inlineStr">
        <is>
          <t>FR</t>
        </is>
      </c>
      <c r="D1861" t="inlineStr">
        <is>
          <t>Europe</t>
        </is>
      </c>
      <c r="E1861" t="inlineStr">
        <is>
          <t>XL</t>
        </is>
      </c>
      <c r="F1861" t="inlineStr">
        <is>
          <t>FO</t>
        </is>
      </c>
      <c r="G1861" t="inlineStr">
        <is>
          <t>VH</t>
        </is>
      </c>
      <c r="H1861" t="inlineStr">
        <is>
          <t>5</t>
        </is>
      </c>
      <c r="I1861" t="inlineStr">
        <is>
          <t>Public</t>
        </is>
      </c>
      <c r="J1861" t="inlineStr">
        <is>
          <t>751-760</t>
        </is>
      </c>
      <c r="K1861" t="inlineStr">
        <is>
          <t>801-850</t>
        </is>
      </c>
      <c r="L1861" t="inlineStr">
        <is>
          <t>721-730</t>
        </is>
      </c>
      <c r="M1861" t="inlineStr">
        <is>
          <t>801-1000</t>
        </is>
      </c>
      <c r="N1861" t="inlineStr">
        <is>
          <t>-</t>
        </is>
      </c>
      <c r="O1861" t="inlineStr">
        <is>
          <t>-</t>
        </is>
      </c>
      <c r="P1861" t="n">
        <v>19.2</v>
      </c>
      <c r="Q1861" t="inlineStr">
        <is>
          <t>644</t>
        </is>
      </c>
      <c r="R1861" t="n">
        <v>5</v>
      </c>
      <c r="S1861" t="inlineStr">
        <is>
          <t>701+</t>
        </is>
      </c>
      <c r="T1861" t="n">
        <v>8.6</v>
      </c>
      <c r="U1861" t="inlineStr">
        <is>
          <t>801+</t>
        </is>
      </c>
      <c r="V1861" t="n">
        <v>24.7</v>
      </c>
      <c r="W1861" t="inlineStr">
        <is>
          <t>646</t>
        </is>
      </c>
      <c r="X1861" t="n">
        <v>40.5</v>
      </c>
      <c r="Y1861" t="inlineStr">
        <is>
          <t>494</t>
        </is>
      </c>
      <c r="Z1861" t="n">
        <v>40</v>
      </c>
      <c r="AA1861" t="inlineStr">
        <is>
          <t>488</t>
        </is>
      </c>
      <c r="AB1861" t="n">
        <v>29.9</v>
      </c>
      <c r="AC1861" t="inlineStr">
        <is>
          <t>617</t>
        </is>
      </c>
      <c r="AD1861" t="n">
        <v>95.59999999999999</v>
      </c>
      <c r="AE1861" t="inlineStr">
        <is>
          <t>68</t>
        </is>
      </c>
      <c r="AF1861" t="n">
        <v>22.3</v>
      </c>
      <c r="AG1861" t="inlineStr">
        <is>
          <t>692</t>
        </is>
      </c>
      <c r="AH1861" t="n">
        <v>54.5</v>
      </c>
      <c r="AI1861" t="inlineStr">
        <is>
          <t>610=</t>
        </is>
      </c>
      <c r="AJ1861" t="inlineStr">
        <is>
          <t>13.7</t>
        </is>
      </c>
      <c r="AK1861" t="inlineStr">
        <is>
          <t>601+</t>
        </is>
      </c>
      <c r="AL1861" t="inlineStr">
        <is>
          <t>3.6</t>
        </is>
      </c>
      <c r="AM1861" t="inlineStr">
        <is>
          <t>601+</t>
        </is>
      </c>
      <c r="AN1861" t="inlineStr">
        <is>
          <t>6.4</t>
        </is>
      </c>
      <c r="AO1861" t="inlineStr">
        <is>
          <t>701+</t>
        </is>
      </c>
      <c r="AP1861" t="inlineStr">
        <is>
          <t>11.4</t>
        </is>
      </c>
      <c r="AQ1861" t="inlineStr">
        <is>
          <t>701+</t>
        </is>
      </c>
      <c r="AR1861" t="inlineStr">
        <is>
          <t>28.9</t>
        </is>
      </c>
      <c r="AS1861" t="inlineStr">
        <is>
          <t>496</t>
        </is>
      </c>
      <c r="AT1861" t="inlineStr">
        <is>
          <t>28.4</t>
        </is>
      </c>
      <c r="AU1861" t="inlineStr">
        <is>
          <t>438</t>
        </is>
      </c>
      <c r="AV1861" t="inlineStr">
        <is>
          <t>93.1</t>
        </is>
      </c>
      <c r="AW1861" t="inlineStr">
        <is>
          <t>63</t>
        </is>
      </c>
      <c r="AX1861" t="inlineStr">
        <is>
          <t>10.2</t>
        </is>
      </c>
      <c r="AY1861" t="inlineStr">
        <is>
          <t>701+</t>
        </is>
      </c>
      <c r="AZ1861" t="inlineStr">
        <is>
          <t>17.2</t>
        </is>
      </c>
      <c r="BA1861" t="inlineStr">
        <is>
          <t>574=</t>
        </is>
      </c>
    </row>
    <row r="1862">
      <c r="A1862" t="inlineStr">
        <is>
          <t>Université de Montpellier</t>
        </is>
      </c>
      <c r="B1862" t="inlineStr">
        <is>
          <t>France</t>
        </is>
      </c>
      <c r="C1862" t="inlineStr">
        <is>
          <t>FR</t>
        </is>
      </c>
      <c r="D1862" t="inlineStr">
        <is>
          <t>Europe</t>
        </is>
      </c>
      <c r="E1862" t="inlineStr">
        <is>
          <t>XL</t>
        </is>
      </c>
      <c r="F1862" t="inlineStr">
        <is>
          <t>FO</t>
        </is>
      </c>
      <c r="G1862" t="inlineStr">
        <is>
          <t>VH</t>
        </is>
      </c>
      <c r="H1862" t="inlineStr">
        <is>
          <t>5</t>
        </is>
      </c>
      <c r="I1862" t="inlineStr">
        <is>
          <t>Public</t>
        </is>
      </c>
      <c r="J1862" t="inlineStr">
        <is>
          <t>430</t>
        </is>
      </c>
      <c r="K1862" t="inlineStr">
        <is>
          <t>448</t>
        </is>
      </c>
      <c r="L1862">
        <f>382</f>
        <v/>
      </c>
      <c r="M1862" t="inlineStr">
        <is>
          <t>501-510</t>
        </is>
      </c>
      <c r="N1862" t="inlineStr">
        <is>
          <t>35.7</t>
        </is>
      </c>
      <c r="O1862" t="inlineStr">
        <is>
          <t>29.0</t>
        </is>
      </c>
      <c r="P1862" t="n">
        <v>26.7</v>
      </c>
      <c r="Q1862" t="inlineStr">
        <is>
          <t>471</t>
        </is>
      </c>
      <c r="R1862" t="n">
        <v>4.9</v>
      </c>
      <c r="S1862" t="inlineStr">
        <is>
          <t>701+</t>
        </is>
      </c>
      <c r="T1862" t="n">
        <v>11.7</v>
      </c>
      <c r="U1862" t="inlineStr">
        <is>
          <t>801+</t>
        </is>
      </c>
      <c r="V1862" t="n">
        <v>72.3</v>
      </c>
      <c r="W1862" t="inlineStr">
        <is>
          <t>195</t>
        </is>
      </c>
      <c r="X1862" t="n">
        <v>29</v>
      </c>
      <c r="Y1862" t="inlineStr">
        <is>
          <t>594</t>
        </is>
      </c>
      <c r="Z1862" t="n">
        <v>42.8</v>
      </c>
      <c r="AA1862" t="inlineStr">
        <is>
          <t>468</t>
        </is>
      </c>
      <c r="AB1862" t="n">
        <v>48</v>
      </c>
      <c r="AC1862" t="inlineStr">
        <is>
          <t>433</t>
        </is>
      </c>
      <c r="AD1862" t="n">
        <v>99.40000000000001</v>
      </c>
      <c r="AE1862" t="inlineStr">
        <is>
          <t>10</t>
        </is>
      </c>
      <c r="AF1862" t="n">
        <v>18.8</v>
      </c>
      <c r="AG1862" t="inlineStr">
        <is>
          <t>745</t>
        </is>
      </c>
      <c r="AH1862" t="n">
        <v>55.3</v>
      </c>
      <c r="AI1862" t="inlineStr">
        <is>
          <t>596=</t>
        </is>
      </c>
      <c r="AJ1862" t="inlineStr">
        <is>
          <t>19.4</t>
        </is>
      </c>
      <c r="AK1862" t="inlineStr">
        <is>
          <t>461</t>
        </is>
      </c>
      <c r="AL1862" t="inlineStr">
        <is>
          <t>3.4</t>
        </is>
      </c>
      <c r="AM1862" t="inlineStr">
        <is>
          <t>601+</t>
        </is>
      </c>
      <c r="AN1862" t="inlineStr">
        <is>
          <t>8.9</t>
        </is>
      </c>
      <c r="AO1862" t="inlineStr">
        <is>
          <t>701+</t>
        </is>
      </c>
      <c r="AP1862" t="inlineStr">
        <is>
          <t>57.6</t>
        </is>
      </c>
      <c r="AQ1862" t="inlineStr">
        <is>
          <t>224</t>
        </is>
      </c>
      <c r="AR1862" t="inlineStr">
        <is>
          <t>23.9</t>
        </is>
      </c>
      <c r="AS1862" t="inlineStr">
        <is>
          <t>550</t>
        </is>
      </c>
      <c r="AT1862" t="inlineStr">
        <is>
          <t>32.3</t>
        </is>
      </c>
      <c r="AU1862" t="inlineStr">
        <is>
          <t>398</t>
        </is>
      </c>
      <c r="AV1862" t="inlineStr">
        <is>
          <t>99.8</t>
        </is>
      </c>
      <c r="AW1862" t="inlineStr">
        <is>
          <t>9</t>
        </is>
      </c>
      <c r="AX1862" t="inlineStr">
        <is>
          <t>10.7</t>
        </is>
      </c>
      <c r="AY1862" t="inlineStr">
        <is>
          <t>701+</t>
        </is>
      </c>
      <c r="AZ1862" t="inlineStr">
        <is>
          <t>38.7</t>
        </is>
      </c>
      <c r="BA1862" t="inlineStr">
        <is>
          <t>370=</t>
        </is>
      </c>
    </row>
    <row r="1863">
      <c r="A1863" t="inlineStr">
        <is>
          <t xml:space="preserve">Université de Montréal </t>
        </is>
      </c>
      <c r="B1863" t="inlineStr">
        <is>
          <t>Canada</t>
        </is>
      </c>
      <c r="C1863" t="inlineStr">
        <is>
          <t>CA</t>
        </is>
      </c>
      <c r="D1863" t="inlineStr"/>
      <c r="E1863" t="inlineStr">
        <is>
          <t>XL</t>
        </is>
      </c>
      <c r="F1863" t="inlineStr">
        <is>
          <t>FC</t>
        </is>
      </c>
      <c r="G1863" t="inlineStr">
        <is>
          <t>VH</t>
        </is>
      </c>
      <c r="H1863" t="inlineStr">
        <is>
          <t>5</t>
        </is>
      </c>
      <c r="I1863" t="inlineStr">
        <is>
          <t>A</t>
        </is>
      </c>
      <c r="J1863" t="inlineStr"/>
      <c r="K1863" t="inlineStr"/>
      <c r="L1863">
        <f>141</f>
        <v/>
      </c>
      <c r="M1863" t="inlineStr">
        <is>
          <t>116=</t>
        </is>
      </c>
      <c r="N1863" t="inlineStr"/>
      <c r="O1863" t="inlineStr">
        <is>
          <t>52.1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>
        <is>
          <t>56.6</t>
        </is>
      </c>
      <c r="AK1863" t="inlineStr">
        <is>
          <t>136</t>
        </is>
      </c>
      <c r="AL1863" t="inlineStr">
        <is>
          <t>34.5</t>
        </is>
      </c>
      <c r="AM1863" t="inlineStr">
        <is>
          <t>283</t>
        </is>
      </c>
      <c r="AN1863" t="inlineStr">
        <is>
          <t>77.0</t>
        </is>
      </c>
      <c r="AO1863" t="inlineStr">
        <is>
          <t>154</t>
        </is>
      </c>
      <c r="AP1863" t="inlineStr">
        <is>
          <t>24.9</t>
        </is>
      </c>
      <c r="AQ1863" t="inlineStr">
        <is>
          <t>491</t>
        </is>
      </c>
      <c r="AR1863" t="inlineStr">
        <is>
          <t>88.4</t>
        </is>
      </c>
      <c r="AS1863" t="inlineStr">
        <is>
          <t>191</t>
        </is>
      </c>
      <c r="AT1863" t="inlineStr">
        <is>
          <t>52.2</t>
        </is>
      </c>
      <c r="AU1863" t="inlineStr">
        <is>
          <t>277</t>
        </is>
      </c>
      <c r="AV1863" t="inlineStr">
        <is>
          <t>65.2</t>
        </is>
      </c>
      <c r="AW1863" t="inlineStr">
        <is>
          <t>216</t>
        </is>
      </c>
      <c r="AX1863" t="inlineStr">
        <is>
          <t>36</t>
        </is>
      </c>
      <c r="AY1863" t="inlineStr">
        <is>
          <t>205</t>
        </is>
      </c>
      <c r="AZ1863" t="inlineStr">
        <is>
          <t>95.5</t>
        </is>
      </c>
      <c r="BA1863" t="inlineStr">
        <is>
          <t>50</t>
        </is>
      </c>
    </row>
    <row r="1864">
      <c r="A1864" t="inlineStr">
        <is>
          <t>Université de Nantes</t>
        </is>
      </c>
      <c r="B1864" t="inlineStr">
        <is>
          <t>France</t>
        </is>
      </c>
      <c r="C1864" t="inlineStr">
        <is>
          <t>FR</t>
        </is>
      </c>
      <c r="D1864" t="inlineStr"/>
      <c r="E1864" t="inlineStr">
        <is>
          <t>XL</t>
        </is>
      </c>
      <c r="F1864" t="inlineStr">
        <is>
          <t>CO</t>
        </is>
      </c>
      <c r="G1864" t="inlineStr">
        <is>
          <t>VH</t>
        </is>
      </c>
      <c r="H1864" t="inlineStr">
        <is>
          <t>5</t>
        </is>
      </c>
      <c r="I1864" t="inlineStr">
        <is>
          <t>A</t>
        </is>
      </c>
      <c r="J1864" t="inlineStr"/>
      <c r="K1864" t="inlineStr"/>
      <c r="L1864" t="inlineStr">
        <is>
          <t>771-780</t>
        </is>
      </c>
      <c r="M1864" t="inlineStr">
        <is>
          <t>801-1000</t>
        </is>
      </c>
      <c r="N1864" t="inlineStr"/>
      <c r="O1864" t="inlineStr">
        <is>
          <t>-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>
        <is>
          <t>10.3</t>
        </is>
      </c>
      <c r="AK1864" t="inlineStr">
        <is>
          <t>601+</t>
        </is>
      </c>
      <c r="AL1864" t="inlineStr">
        <is>
          <t>2.7</t>
        </is>
      </c>
      <c r="AM1864" t="inlineStr">
        <is>
          <t>601+</t>
        </is>
      </c>
      <c r="AN1864" t="inlineStr">
        <is>
          <t>7.1</t>
        </is>
      </c>
      <c r="AO1864" t="inlineStr">
        <is>
          <t>701+</t>
        </is>
      </c>
      <c r="AP1864" t="inlineStr">
        <is>
          <t>23.6</t>
        </is>
      </c>
      <c r="AQ1864" t="inlineStr">
        <is>
          <t>505</t>
        </is>
      </c>
      <c r="AR1864" t="inlineStr">
        <is>
          <t>17.1</t>
        </is>
      </c>
      <c r="AS1864" t="inlineStr">
        <is>
          <t>625</t>
        </is>
      </c>
      <c r="AT1864" t="inlineStr">
        <is>
          <t>13.9</t>
        </is>
      </c>
      <c r="AU1864" t="inlineStr">
        <is>
          <t>642</t>
        </is>
      </c>
      <c r="AV1864" t="inlineStr">
        <is>
          <t>77.3</t>
        </is>
      </c>
      <c r="AW1864" t="inlineStr">
        <is>
          <t>161</t>
        </is>
      </c>
      <c r="AX1864" t="inlineStr">
        <is>
          <t>6.7</t>
        </is>
      </c>
      <c r="AY1864" t="inlineStr">
        <is>
          <t>701+</t>
        </is>
      </c>
      <c r="AZ1864" t="inlineStr">
        <is>
          <t>15.6</t>
        </is>
      </c>
      <c r="BA1864" t="inlineStr">
        <is>
          <t>601=</t>
        </is>
      </c>
    </row>
    <row r="1865">
      <c r="A1865" t="inlineStr">
        <is>
          <t>Université de Paris-Cité</t>
        </is>
      </c>
      <c r="B1865" t="inlineStr">
        <is>
          <t>France</t>
        </is>
      </c>
      <c r="C1865" t="inlineStr">
        <is>
          <t>FR</t>
        </is>
      </c>
      <c r="D1865" t="inlineStr"/>
      <c r="E1865" t="inlineStr">
        <is>
          <t>XL</t>
        </is>
      </c>
      <c r="F1865" t="inlineStr">
        <is>
          <t>FO</t>
        </is>
      </c>
      <c r="G1865" t="inlineStr">
        <is>
          <t>VH</t>
        </is>
      </c>
      <c r="H1865" t="inlineStr">
        <is>
          <t>1</t>
        </is>
      </c>
      <c r="I1865" t="inlineStr">
        <is>
          <t>A</t>
        </is>
      </c>
      <c r="J1865" t="inlineStr"/>
      <c r="K1865" t="inlineStr"/>
      <c r="L1865" t="inlineStr">
        <is>
          <t>236</t>
        </is>
      </c>
      <c r="M1865" t="inlineStr">
        <is>
          <t>248=</t>
        </is>
      </c>
      <c r="N1865" t="inlineStr"/>
      <c r="O1865" t="inlineStr">
        <is>
          <t>41.1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>
        <is>
          <t>31.6</t>
        </is>
      </c>
      <c r="AK1865" t="inlineStr">
        <is>
          <t>275</t>
        </is>
      </c>
      <c r="AL1865" t="inlineStr">
        <is>
          <t>5.9</t>
        </is>
      </c>
      <c r="AM1865" t="inlineStr">
        <is>
          <t>601+</t>
        </is>
      </c>
      <c r="AN1865" t="inlineStr">
        <is>
          <t>9.2</t>
        </is>
      </c>
      <c r="AO1865" t="inlineStr">
        <is>
          <t>701+</t>
        </is>
      </c>
      <c r="AP1865" t="inlineStr">
        <is>
          <t>93.7</t>
        </is>
      </c>
      <c r="AQ1865" t="inlineStr">
        <is>
          <t>61</t>
        </is>
      </c>
      <c r="AR1865" t="inlineStr">
        <is>
          <t>19.3</t>
        </is>
      </c>
      <c r="AS1865" t="inlineStr">
        <is>
          <t>598</t>
        </is>
      </c>
      <c r="AT1865" t="inlineStr">
        <is>
          <t>41.5</t>
        </is>
      </c>
      <c r="AU1865" t="inlineStr">
        <is>
          <t>336</t>
        </is>
      </c>
      <c r="AV1865" t="inlineStr">
        <is>
          <t>99.6</t>
        </is>
      </c>
      <c r="AW1865" t="inlineStr">
        <is>
          <t>11</t>
        </is>
      </c>
      <c r="AX1865" t="inlineStr">
        <is>
          <t>11.6</t>
        </is>
      </c>
      <c r="AY1865" t="inlineStr">
        <is>
          <t>701+</t>
        </is>
      </c>
      <c r="AZ1865" t="inlineStr">
        <is>
          <t>46</t>
        </is>
      </c>
      <c r="BA1865" t="inlineStr">
        <is>
          <t>331=</t>
        </is>
      </c>
    </row>
    <row r="1866">
      <c r="A1866" t="inlineStr">
        <is>
          <t>Université de Poitiers</t>
        </is>
      </c>
      <c r="B1866" t="inlineStr">
        <is>
          <t>France</t>
        </is>
      </c>
      <c r="C1866" t="inlineStr">
        <is>
          <t>FR</t>
        </is>
      </c>
      <c r="D1866" t="inlineStr">
        <is>
          <t>Europe</t>
        </is>
      </c>
      <c r="E1866" t="inlineStr">
        <is>
          <t>L</t>
        </is>
      </c>
      <c r="F1866" t="inlineStr">
        <is>
          <t>CO</t>
        </is>
      </c>
      <c r="G1866" t="inlineStr">
        <is>
          <t>VH</t>
        </is>
      </c>
      <c r="H1866" t="inlineStr">
        <is>
          <t>5</t>
        </is>
      </c>
      <c r="I1866" t="inlineStr">
        <is>
          <t>Public</t>
        </is>
      </c>
      <c r="J1866" t="inlineStr">
        <is>
          <t>1201-1400</t>
        </is>
      </c>
      <c r="K1866" t="inlineStr">
        <is>
          <t>1001-1200</t>
        </is>
      </c>
      <c r="L1866" t="inlineStr">
        <is>
          <t>1001-1200</t>
        </is>
      </c>
      <c r="M1866" t="inlineStr">
        <is>
          <t>1001-1200</t>
        </is>
      </c>
      <c r="N1866" t="inlineStr">
        <is>
          <t>-</t>
        </is>
      </c>
      <c r="O1866" t="inlineStr">
        <is>
          <t>-</t>
        </is>
      </c>
      <c r="P1866" t="n">
        <v>11.1</v>
      </c>
      <c r="Q1866" t="inlineStr">
        <is>
          <t>701+</t>
        </is>
      </c>
      <c r="R1866" t="n">
        <v>1.2</v>
      </c>
      <c r="S1866" t="inlineStr">
        <is>
          <t>701+</t>
        </is>
      </c>
      <c r="T1866" t="n">
        <v>7.6</v>
      </c>
      <c r="U1866" t="inlineStr">
        <is>
          <t>801+</t>
        </is>
      </c>
      <c r="V1866" t="n">
        <v>8.5</v>
      </c>
      <c r="W1866" t="inlineStr">
        <is>
          <t>801+</t>
        </is>
      </c>
      <c r="X1866" t="inlineStr"/>
      <c r="Y1866" t="inlineStr"/>
      <c r="Z1866" t="n">
        <v>38.9</v>
      </c>
      <c r="AA1866" t="inlineStr">
        <is>
          <t>505</t>
        </is>
      </c>
      <c r="AB1866" t="n">
        <v>29.1</v>
      </c>
      <c r="AC1866" t="inlineStr">
        <is>
          <t>626</t>
        </is>
      </c>
      <c r="AD1866" t="n">
        <v>74.59999999999999</v>
      </c>
      <c r="AE1866" t="inlineStr">
        <is>
          <t>448</t>
        </is>
      </c>
      <c r="AF1866" t="n">
        <v>13.6</v>
      </c>
      <c r="AG1866" t="inlineStr">
        <is>
          <t>801+</t>
        </is>
      </c>
      <c r="AH1866" t="n">
        <v>39.3</v>
      </c>
      <c r="AI1866" t="inlineStr">
        <is>
          <t>801+</t>
        </is>
      </c>
      <c r="AJ1866" t="inlineStr">
        <is>
          <t>8.7</t>
        </is>
      </c>
      <c r="AK1866" t="inlineStr">
        <is>
          <t>601+</t>
        </is>
      </c>
      <c r="AL1866" t="inlineStr">
        <is>
          <t>2.0</t>
        </is>
      </c>
      <c r="AM1866" t="inlineStr">
        <is>
          <t>601+</t>
        </is>
      </c>
      <c r="AN1866" t="inlineStr">
        <is>
          <t>4.9</t>
        </is>
      </c>
      <c r="AO1866" t="inlineStr">
        <is>
          <t>701+</t>
        </is>
      </c>
      <c r="AP1866" t="inlineStr">
        <is>
          <t>6.2</t>
        </is>
      </c>
      <c r="AQ1866" t="inlineStr">
        <is>
          <t>701+</t>
        </is>
      </c>
      <c r="AR1866" t="inlineStr"/>
      <c r="AS1866" t="inlineStr"/>
      <c r="AT1866" t="inlineStr">
        <is>
          <t>29.1</t>
        </is>
      </c>
      <c r="AU1866" t="inlineStr">
        <is>
          <t>431</t>
        </is>
      </c>
      <c r="AV1866" t="inlineStr">
        <is>
          <t>36.3</t>
        </is>
      </c>
      <c r="AW1866" t="inlineStr">
        <is>
          <t>409</t>
        </is>
      </c>
      <c r="AX1866" t="inlineStr">
        <is>
          <t>7.8</t>
        </is>
      </c>
      <c r="AY1866" t="inlineStr">
        <is>
          <t>701+</t>
        </is>
      </c>
      <c r="AZ1866" t="inlineStr">
        <is>
          <t>2.3</t>
        </is>
      </c>
      <c r="BA1866" t="inlineStr">
        <is>
          <t>701+</t>
        </is>
      </c>
    </row>
    <row r="1867">
      <c r="A1867" t="inlineStr">
        <is>
          <t>Université de Rennes 1</t>
        </is>
      </c>
      <c r="B1867" t="inlineStr">
        <is>
          <t>France</t>
        </is>
      </c>
      <c r="C1867" t="inlineStr"/>
      <c r="D1867" t="inlineStr">
        <is>
          <t>Europe</t>
        </is>
      </c>
      <c r="E1867" t="inlineStr">
        <is>
          <t>L</t>
        </is>
      </c>
      <c r="F1867" t="inlineStr">
        <is>
          <t>FO</t>
        </is>
      </c>
      <c r="G1867" t="inlineStr">
        <is>
          <t>VH</t>
        </is>
      </c>
      <c r="H1867" t="inlineStr"/>
      <c r="I1867" t="inlineStr">
        <is>
          <t>Public</t>
        </is>
      </c>
      <c r="J1867" t="inlineStr">
        <is>
          <t>711-720</t>
        </is>
      </c>
      <c r="K1867" t="inlineStr">
        <is>
          <t>721-730</t>
        </is>
      </c>
      <c r="L1867" t="inlineStr"/>
      <c r="M1867" t="inlineStr"/>
      <c r="N1867" t="inlineStr">
        <is>
          <t>-</t>
        </is>
      </c>
      <c r="O1867" t="inlineStr"/>
      <c r="P1867" t="n">
        <v>21.3</v>
      </c>
      <c r="Q1867" t="inlineStr">
        <is>
          <t>581</t>
        </is>
      </c>
      <c r="R1867" t="n">
        <v>11</v>
      </c>
      <c r="S1867" t="inlineStr">
        <is>
          <t>701+</t>
        </is>
      </c>
      <c r="T1867" t="n">
        <v>15.6</v>
      </c>
      <c r="U1867" t="inlineStr">
        <is>
          <t>801+</t>
        </is>
      </c>
      <c r="V1867" t="n">
        <v>36.7</v>
      </c>
      <c r="W1867" t="inlineStr">
        <is>
          <t>510</t>
        </is>
      </c>
      <c r="X1867" t="n">
        <v>15.9</v>
      </c>
      <c r="Y1867" t="inlineStr">
        <is>
          <t>781</t>
        </is>
      </c>
      <c r="Z1867" t="n">
        <v>19</v>
      </c>
      <c r="AA1867" t="inlineStr">
        <is>
          <t>745</t>
        </is>
      </c>
      <c r="AB1867" t="n">
        <v>14.4</v>
      </c>
      <c r="AC1867" t="inlineStr">
        <is>
          <t>801+</t>
        </is>
      </c>
      <c r="AD1867" t="n">
        <v>86.90000000000001</v>
      </c>
      <c r="AE1867" t="inlineStr">
        <is>
          <t>218</t>
        </is>
      </c>
      <c r="AF1867" t="n">
        <v>9.800000000000001</v>
      </c>
      <c r="AG1867" t="inlineStr">
        <is>
          <t>801+</t>
        </is>
      </c>
      <c r="AH1867" t="n">
        <v>49.4</v>
      </c>
      <c r="AI1867" t="inlineStr">
        <is>
          <t>719=</t>
        </is>
      </c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</row>
    <row r="1868">
      <c r="A1868" t="inlineStr">
        <is>
          <t>Université de Rennes 1 (University of Rennes)</t>
        </is>
      </c>
      <c r="B1868" t="inlineStr">
        <is>
          <t>France</t>
        </is>
      </c>
      <c r="C1868" t="inlineStr">
        <is>
          <t>FR</t>
        </is>
      </c>
      <c r="D1868" t="inlineStr"/>
      <c r="E1868" t="inlineStr">
        <is>
          <t>L</t>
        </is>
      </c>
      <c r="F1868" t="inlineStr">
        <is>
          <t>FO</t>
        </is>
      </c>
      <c r="G1868" t="inlineStr">
        <is>
          <t>VH</t>
        </is>
      </c>
      <c r="H1868" t="inlineStr">
        <is>
          <t>5</t>
        </is>
      </c>
      <c r="I1868" t="inlineStr">
        <is>
          <t>A</t>
        </is>
      </c>
      <c r="J1868" t="inlineStr"/>
      <c r="K1868" t="inlineStr"/>
      <c r="L1868" t="inlineStr">
        <is>
          <t>711-720</t>
        </is>
      </c>
      <c r="M1868" t="inlineStr">
        <is>
          <t>801-1000</t>
        </is>
      </c>
      <c r="N1868" t="inlineStr"/>
      <c r="O1868" t="inlineStr">
        <is>
          <t>-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>
        <is>
          <t>15.8</t>
        </is>
      </c>
      <c r="AK1868" t="inlineStr">
        <is>
          <t>550</t>
        </is>
      </c>
      <c r="AL1868" t="inlineStr">
        <is>
          <t>4.0</t>
        </is>
      </c>
      <c r="AM1868" t="inlineStr">
        <is>
          <t>601+</t>
        </is>
      </c>
      <c r="AN1868" t="inlineStr">
        <is>
          <t>12.2</t>
        </is>
      </c>
      <c r="AO1868" t="inlineStr">
        <is>
          <t>701+</t>
        </is>
      </c>
      <c r="AP1868" t="inlineStr">
        <is>
          <t>25.0</t>
        </is>
      </c>
      <c r="AQ1868" t="inlineStr">
        <is>
          <t>487</t>
        </is>
      </c>
      <c r="AR1868" t="inlineStr">
        <is>
          <t>12.6</t>
        </is>
      </c>
      <c r="AS1868" t="inlineStr">
        <is>
          <t>701+</t>
        </is>
      </c>
      <c r="AT1868" t="inlineStr">
        <is>
          <t>12.1</t>
        </is>
      </c>
      <c r="AU1868" t="inlineStr">
        <is>
          <t>677</t>
        </is>
      </c>
      <c r="AV1868" t="inlineStr">
        <is>
          <t>57.3</t>
        </is>
      </c>
      <c r="AW1868" t="inlineStr">
        <is>
          <t>265</t>
        </is>
      </c>
      <c r="AX1868" t="inlineStr">
        <is>
          <t>7.4</t>
        </is>
      </c>
      <c r="AY1868" t="inlineStr">
        <is>
          <t>701+</t>
        </is>
      </c>
      <c r="AZ1868" t="inlineStr">
        <is>
          <t>13.4</t>
        </is>
      </c>
      <c r="BA1868" t="inlineStr">
        <is>
          <t>631=</t>
        </is>
      </c>
    </row>
    <row r="1869">
      <c r="A1869" t="inlineStr">
        <is>
          <t>Université de Sfax</t>
        </is>
      </c>
      <c r="B1869" t="inlineStr">
        <is>
          <t>Tunisia</t>
        </is>
      </c>
      <c r="C1869" t="inlineStr">
        <is>
          <t>TN</t>
        </is>
      </c>
      <c r="D1869" t="inlineStr">
        <is>
          <t>Africa</t>
        </is>
      </c>
      <c r="E1869" t="inlineStr">
        <is>
          <t>XL</t>
        </is>
      </c>
      <c r="F1869" t="inlineStr">
        <is>
          <t>CO</t>
        </is>
      </c>
      <c r="G1869" t="inlineStr">
        <is>
          <t>VH</t>
        </is>
      </c>
      <c r="H1869" t="inlineStr">
        <is>
          <t>2</t>
        </is>
      </c>
      <c r="I1869" t="inlineStr">
        <is>
          <t>Public</t>
        </is>
      </c>
      <c r="J1869" t="inlineStr">
        <is>
          <t>1001-1200</t>
        </is>
      </c>
      <c r="K1869" t="inlineStr">
        <is>
          <t>1001-1200</t>
        </is>
      </c>
      <c r="L1869" t="inlineStr">
        <is>
          <t>1001-1200</t>
        </is>
      </c>
      <c r="M1869" t="inlineStr"/>
      <c r="N1869" t="inlineStr">
        <is>
          <t>-</t>
        </is>
      </c>
      <c r="O1869" t="inlineStr">
        <is>
          <t>-</t>
        </is>
      </c>
      <c r="P1869" t="n">
        <v>11.4</v>
      </c>
      <c r="Q1869" t="inlineStr">
        <is>
          <t>701+</t>
        </is>
      </c>
      <c r="R1869" t="n">
        <v>4.2</v>
      </c>
      <c r="S1869" t="inlineStr">
        <is>
          <t>701+</t>
        </is>
      </c>
      <c r="T1869" t="n">
        <v>56.3</v>
      </c>
      <c r="U1869" t="inlineStr">
        <is>
          <t>330</t>
        </is>
      </c>
      <c r="V1869" t="n">
        <v>6.1</v>
      </c>
      <c r="W1869" t="inlineStr">
        <is>
          <t>801+</t>
        </is>
      </c>
      <c r="X1869" t="n">
        <v>1.1</v>
      </c>
      <c r="Y1869" t="inlineStr">
        <is>
          <t>801+</t>
        </is>
      </c>
      <c r="Z1869" t="n">
        <v>5.6</v>
      </c>
      <c r="AA1869" t="inlineStr">
        <is>
          <t>801+</t>
        </is>
      </c>
      <c r="AB1869" t="n">
        <v>9.6</v>
      </c>
      <c r="AC1869" t="inlineStr">
        <is>
          <t>801+</t>
        </is>
      </c>
      <c r="AD1869" t="n">
        <v>58.9</v>
      </c>
      <c r="AE1869" t="inlineStr">
        <is>
          <t>708</t>
        </is>
      </c>
      <c r="AF1869" t="n">
        <v>13.6</v>
      </c>
      <c r="AG1869" t="inlineStr">
        <is>
          <t>801+</t>
        </is>
      </c>
      <c r="AH1869" t="n">
        <v>49.6</v>
      </c>
      <c r="AI1869" t="inlineStr">
        <is>
          <t>711=</t>
        </is>
      </c>
      <c r="AJ1869" t="inlineStr">
        <is>
          <t>5.9</t>
        </is>
      </c>
      <c r="AK1869" t="inlineStr">
        <is>
          <t>601+</t>
        </is>
      </c>
      <c r="AL1869" t="inlineStr">
        <is>
          <t>2.5</t>
        </is>
      </c>
      <c r="AM1869" t="inlineStr">
        <is>
          <t>601+</t>
        </is>
      </c>
      <c r="AN1869" t="inlineStr">
        <is>
          <t>40.6</t>
        </is>
      </c>
      <c r="AO1869" t="inlineStr">
        <is>
          <t>386</t>
        </is>
      </c>
      <c r="AP1869" t="inlineStr">
        <is>
          <t>4.1</t>
        </is>
      </c>
      <c r="AQ1869" t="inlineStr">
        <is>
          <t>701+</t>
        </is>
      </c>
      <c r="AR1869" t="inlineStr">
        <is>
          <t>1.1</t>
        </is>
      </c>
      <c r="AS1869" t="inlineStr">
        <is>
          <t>701+</t>
        </is>
      </c>
      <c r="AT1869" t="inlineStr">
        <is>
          <t>3.3</t>
        </is>
      </c>
      <c r="AU1869" t="inlineStr">
        <is>
          <t>701+</t>
        </is>
      </c>
      <c r="AV1869" t="inlineStr">
        <is>
          <t>4.2</t>
        </is>
      </c>
      <c r="AW1869" t="inlineStr">
        <is>
          <t>701+</t>
        </is>
      </c>
      <c r="AX1869" t="inlineStr">
        <is>
          <t>11.3</t>
        </is>
      </c>
      <c r="AY1869" t="inlineStr">
        <is>
          <t>701+</t>
        </is>
      </c>
      <c r="AZ1869" t="inlineStr"/>
      <c r="BA1869" t="inlineStr"/>
    </row>
    <row r="1870">
      <c r="A1870" t="inlineStr">
        <is>
          <t>Université de Sherbrooke</t>
        </is>
      </c>
      <c r="B1870" t="inlineStr">
        <is>
          <t>Canada</t>
        </is>
      </c>
      <c r="C1870" t="inlineStr">
        <is>
          <t>CA</t>
        </is>
      </c>
      <c r="D1870" t="inlineStr">
        <is>
          <t>Americas</t>
        </is>
      </c>
      <c r="E1870" t="inlineStr">
        <is>
          <t>L</t>
        </is>
      </c>
      <c r="F1870" t="inlineStr">
        <is>
          <t>FC</t>
        </is>
      </c>
      <c r="G1870" t="inlineStr">
        <is>
          <t>HI</t>
        </is>
      </c>
      <c r="H1870" t="inlineStr">
        <is>
          <t>4</t>
        </is>
      </c>
      <c r="I1870" t="inlineStr">
        <is>
          <t>Public</t>
        </is>
      </c>
      <c r="J1870" t="inlineStr">
        <is>
          <t>901-950</t>
        </is>
      </c>
      <c r="K1870" t="inlineStr">
        <is>
          <t>851-900</t>
        </is>
      </c>
      <c r="L1870" t="inlineStr">
        <is>
          <t>801-850</t>
        </is>
      </c>
      <c r="M1870" t="inlineStr">
        <is>
          <t>751-800</t>
        </is>
      </c>
      <c r="N1870" t="inlineStr">
        <is>
          <t>-</t>
        </is>
      </c>
      <c r="O1870" t="inlineStr">
        <is>
          <t>-</t>
        </is>
      </c>
      <c r="P1870" t="n">
        <v>8.199999999999999</v>
      </c>
      <c r="Q1870" t="inlineStr">
        <is>
          <t>701+</t>
        </is>
      </c>
      <c r="R1870" t="n">
        <v>4.4</v>
      </c>
      <c r="S1870" t="inlineStr">
        <is>
          <t>701+</t>
        </is>
      </c>
      <c r="T1870" t="n">
        <v>24.2</v>
      </c>
      <c r="U1870" t="inlineStr">
        <is>
          <t>749</t>
        </is>
      </c>
      <c r="V1870" t="n">
        <v>24.2</v>
      </c>
      <c r="W1870" t="inlineStr">
        <is>
          <t>651</t>
        </is>
      </c>
      <c r="X1870" t="n">
        <v>62.6</v>
      </c>
      <c r="Y1870" t="inlineStr">
        <is>
          <t>372</t>
        </is>
      </c>
      <c r="Z1870" t="n">
        <v>13.9</v>
      </c>
      <c r="AA1870" t="inlineStr">
        <is>
          <t>801+</t>
        </is>
      </c>
      <c r="AB1870" t="n">
        <v>10.5</v>
      </c>
      <c r="AC1870" t="inlineStr">
        <is>
          <t>801+</t>
        </is>
      </c>
      <c r="AD1870" t="n">
        <v>55</v>
      </c>
      <c r="AE1870" t="inlineStr">
        <is>
          <t>771</t>
        </is>
      </c>
      <c r="AF1870" t="n">
        <v>31.8</v>
      </c>
      <c r="AG1870" t="inlineStr">
        <is>
          <t>530</t>
        </is>
      </c>
      <c r="AH1870" t="n">
        <v>48.5</v>
      </c>
      <c r="AI1870" t="inlineStr">
        <is>
          <t>743=</t>
        </is>
      </c>
      <c r="AJ1870" t="inlineStr">
        <is>
          <t>6.9</t>
        </is>
      </c>
      <c r="AK1870" t="inlineStr">
        <is>
          <t>601+</t>
        </is>
      </c>
      <c r="AL1870" t="inlineStr">
        <is>
          <t>6.8</t>
        </is>
      </c>
      <c r="AM1870" t="inlineStr">
        <is>
          <t>601+</t>
        </is>
      </c>
      <c r="AN1870" t="inlineStr">
        <is>
          <t>19.9</t>
        </is>
      </c>
      <c r="AO1870" t="inlineStr">
        <is>
          <t>671</t>
        </is>
      </c>
      <c r="AP1870" t="inlineStr">
        <is>
          <t>20.1</t>
        </is>
      </c>
      <c r="AQ1870" t="inlineStr">
        <is>
          <t>557</t>
        </is>
      </c>
      <c r="AR1870" t="inlineStr">
        <is>
          <t>56.2</t>
        </is>
      </c>
      <c r="AS1870" t="inlineStr">
        <is>
          <t>331</t>
        </is>
      </c>
      <c r="AT1870" t="inlineStr">
        <is>
          <t>8.4</t>
        </is>
      </c>
      <c r="AU1870" t="inlineStr">
        <is>
          <t>701+</t>
        </is>
      </c>
      <c r="AV1870" t="inlineStr">
        <is>
          <t>3.2</t>
        </is>
      </c>
      <c r="AW1870" t="inlineStr">
        <is>
          <t>701+</t>
        </is>
      </c>
      <c r="AX1870" t="inlineStr">
        <is>
          <t>14.3</t>
        </is>
      </c>
      <c r="AY1870" t="inlineStr">
        <is>
          <t>592</t>
        </is>
      </c>
      <c r="AZ1870" t="inlineStr">
        <is>
          <t>7.5</t>
        </is>
      </c>
      <c r="BA1870" t="inlineStr">
        <is>
          <t>701+</t>
        </is>
      </c>
    </row>
    <row r="1871">
      <c r="A1871" t="inlineStr">
        <is>
          <t>Université de Sousse</t>
        </is>
      </c>
      <c r="B1871" t="inlineStr">
        <is>
          <t>Tunisia</t>
        </is>
      </c>
      <c r="C1871" t="inlineStr">
        <is>
          <t>TN</t>
        </is>
      </c>
      <c r="D1871" t="inlineStr">
        <is>
          <t>Africa</t>
        </is>
      </c>
      <c r="E1871" t="inlineStr">
        <is>
          <t>L</t>
        </is>
      </c>
      <c r="F1871" t="inlineStr">
        <is>
          <t>FC</t>
        </is>
      </c>
      <c r="G1871" t="inlineStr">
        <is>
          <t>HI</t>
        </is>
      </c>
      <c r="H1871" t="inlineStr">
        <is>
          <t>2</t>
        </is>
      </c>
      <c r="I1871" t="inlineStr">
        <is>
          <t>Public</t>
        </is>
      </c>
      <c r="J1871" t="inlineStr">
        <is>
          <t>1201-1400</t>
        </is>
      </c>
      <c r="K1871" t="inlineStr">
        <is>
          <t>1001-1200</t>
        </is>
      </c>
      <c r="L1871" t="inlineStr">
        <is>
          <t>1001-1200</t>
        </is>
      </c>
      <c r="M1871" t="inlineStr">
        <is>
          <t>751-800</t>
        </is>
      </c>
      <c r="N1871" t="inlineStr">
        <is>
          <t>-</t>
        </is>
      </c>
      <c r="O1871" t="inlineStr">
        <is>
          <t>-</t>
        </is>
      </c>
      <c r="P1871" t="n">
        <v>6.4</v>
      </c>
      <c r="Q1871" t="inlineStr">
        <is>
          <t>701+</t>
        </is>
      </c>
      <c r="R1871" t="n">
        <v>3.9</v>
      </c>
      <c r="S1871" t="inlineStr">
        <is>
          <t>701+</t>
        </is>
      </c>
      <c r="T1871" t="n">
        <v>51.8</v>
      </c>
      <c r="U1871" t="inlineStr">
        <is>
          <t>365</t>
        </is>
      </c>
      <c r="V1871" t="n">
        <v>2.9</v>
      </c>
      <c r="W1871" t="inlineStr">
        <is>
          <t>801+</t>
        </is>
      </c>
      <c r="X1871" t="n">
        <v>1.2</v>
      </c>
      <c r="Y1871" t="inlineStr">
        <is>
          <t>801+</t>
        </is>
      </c>
      <c r="Z1871" t="n">
        <v>3.7</v>
      </c>
      <c r="AA1871" t="inlineStr">
        <is>
          <t>801+</t>
        </is>
      </c>
      <c r="AB1871" t="n">
        <v>7.9</v>
      </c>
      <c r="AC1871" t="inlineStr">
        <is>
          <t>801+</t>
        </is>
      </c>
      <c r="AD1871" t="n">
        <v>36.6</v>
      </c>
      <c r="AE1871" t="inlineStr">
        <is>
          <t>801+</t>
        </is>
      </c>
      <c r="AF1871" t="n">
        <v>9.4</v>
      </c>
      <c r="AG1871" t="inlineStr">
        <is>
          <t>801+</t>
        </is>
      </c>
      <c r="AH1871" t="n">
        <v>44.1</v>
      </c>
      <c r="AI1871" t="inlineStr">
        <is>
          <t>801+</t>
        </is>
      </c>
      <c r="AJ1871" t="inlineStr">
        <is>
          <t>3.7</t>
        </is>
      </c>
      <c r="AK1871" t="inlineStr">
        <is>
          <t>601+</t>
        </is>
      </c>
      <c r="AL1871" t="inlineStr">
        <is>
          <t>1.1</t>
        </is>
      </c>
      <c r="AM1871" t="inlineStr">
        <is>
          <t>601+</t>
        </is>
      </c>
      <c r="AN1871" t="inlineStr">
        <is>
          <t>60.7</t>
        </is>
      </c>
      <c r="AO1871" t="inlineStr">
        <is>
          <t>233</t>
        </is>
      </c>
      <c r="AP1871" t="inlineStr">
        <is>
          <t>1.7</t>
        </is>
      </c>
      <c r="AQ1871" t="inlineStr">
        <is>
          <t>701+</t>
        </is>
      </c>
      <c r="AR1871" t="inlineStr">
        <is>
          <t>1.1</t>
        </is>
      </c>
      <c r="AS1871" t="inlineStr">
        <is>
          <t>701+</t>
        </is>
      </c>
      <c r="AT1871" t="inlineStr">
        <is>
          <t>2.1</t>
        </is>
      </c>
      <c r="AU1871" t="inlineStr">
        <is>
          <t>701+</t>
        </is>
      </c>
      <c r="AV1871" t="inlineStr">
        <is>
          <t>1.2</t>
        </is>
      </c>
      <c r="AW1871" t="inlineStr">
        <is>
          <t>701+</t>
        </is>
      </c>
      <c r="AX1871" t="inlineStr">
        <is>
          <t>7.9</t>
        </is>
      </c>
      <c r="AY1871" t="inlineStr">
        <is>
          <t>701+</t>
        </is>
      </c>
      <c r="AZ1871" t="inlineStr">
        <is>
          <t>1</t>
        </is>
      </c>
      <c r="BA1871" t="inlineStr">
        <is>
          <t>701+</t>
        </is>
      </c>
    </row>
    <row r="1872">
      <c r="A1872" t="inlineStr">
        <is>
          <t>Université de Strasbourg</t>
        </is>
      </c>
      <c r="B1872" t="inlineStr">
        <is>
          <t>France</t>
        </is>
      </c>
      <c r="C1872" t="inlineStr">
        <is>
          <t>FR</t>
        </is>
      </c>
      <c r="D1872" t="inlineStr">
        <is>
          <t>Europe</t>
        </is>
      </c>
      <c r="E1872" t="inlineStr">
        <is>
          <t>XL</t>
        </is>
      </c>
      <c r="F1872" t="inlineStr">
        <is>
          <t>FC</t>
        </is>
      </c>
      <c r="G1872" t="inlineStr">
        <is>
          <t>VH</t>
        </is>
      </c>
      <c r="H1872" t="inlineStr">
        <is>
          <t>5</t>
        </is>
      </c>
      <c r="I1872" t="inlineStr">
        <is>
          <t>Public</t>
        </is>
      </c>
      <c r="J1872" t="inlineStr">
        <is>
          <t>420</t>
        </is>
      </c>
      <c r="K1872" t="inlineStr">
        <is>
          <t>456</t>
        </is>
      </c>
      <c r="L1872">
        <f>421</f>
        <v/>
      </c>
      <c r="M1872" t="inlineStr">
        <is>
          <t>434=</t>
        </is>
      </c>
      <c r="N1872" t="inlineStr">
        <is>
          <t>36.3</t>
        </is>
      </c>
      <c r="O1872" t="inlineStr">
        <is>
          <t>26.7</t>
        </is>
      </c>
      <c r="P1872" t="n">
        <v>50.1</v>
      </c>
      <c r="Q1872" t="inlineStr">
        <is>
          <t>224</t>
        </is>
      </c>
      <c r="R1872" t="n">
        <v>16.3</v>
      </c>
      <c r="S1872" t="inlineStr">
        <is>
          <t>701+</t>
        </is>
      </c>
      <c r="T1872" t="n">
        <v>7.3</v>
      </c>
      <c r="U1872" t="inlineStr">
        <is>
          <t>801+</t>
        </is>
      </c>
      <c r="V1872" t="n">
        <v>31.5</v>
      </c>
      <c r="W1872" t="inlineStr">
        <is>
          <t>570</t>
        </is>
      </c>
      <c r="X1872" t="n">
        <v>41.7</v>
      </c>
      <c r="Y1872" t="inlineStr">
        <is>
          <t>484</t>
        </is>
      </c>
      <c r="Z1872" t="n">
        <v>45.4</v>
      </c>
      <c r="AA1872" t="inlineStr">
        <is>
          <t>445</t>
        </is>
      </c>
      <c r="AB1872" t="n">
        <v>33.9</v>
      </c>
      <c r="AC1872" t="inlineStr">
        <is>
          <t>564</t>
        </is>
      </c>
      <c r="AD1872" t="n">
        <v>90.7</v>
      </c>
      <c r="AE1872" t="inlineStr">
        <is>
          <t>166</t>
        </is>
      </c>
      <c r="AF1872" t="n">
        <v>29.8</v>
      </c>
      <c r="AG1872" t="inlineStr">
        <is>
          <t>552</t>
        </is>
      </c>
      <c r="AH1872" t="n">
        <v>47.3</v>
      </c>
      <c r="AI1872" t="inlineStr">
        <is>
          <t>780=</t>
        </is>
      </c>
      <c r="AJ1872" t="inlineStr">
        <is>
          <t>39.6</t>
        </is>
      </c>
      <c r="AK1872" t="inlineStr">
        <is>
          <t>216</t>
        </is>
      </c>
      <c r="AL1872" t="inlineStr">
        <is>
          <t>7.9</t>
        </is>
      </c>
      <c r="AM1872" t="inlineStr">
        <is>
          <t>601+</t>
        </is>
      </c>
      <c r="AN1872" t="inlineStr">
        <is>
          <t>5.3</t>
        </is>
      </c>
      <c r="AO1872" t="inlineStr">
        <is>
          <t>701+</t>
        </is>
      </c>
      <c r="AP1872" t="inlineStr">
        <is>
          <t>23.1</t>
        </is>
      </c>
      <c r="AQ1872" t="inlineStr">
        <is>
          <t>512</t>
        </is>
      </c>
      <c r="AR1872" t="inlineStr">
        <is>
          <t>35.6</t>
        </is>
      </c>
      <c r="AS1872" t="inlineStr">
        <is>
          <t>449</t>
        </is>
      </c>
      <c r="AT1872" t="inlineStr">
        <is>
          <t>38.6</t>
        </is>
      </c>
      <c r="AU1872" t="inlineStr">
        <is>
          <t>357</t>
        </is>
      </c>
      <c r="AV1872" t="inlineStr">
        <is>
          <t>70.2</t>
        </is>
      </c>
      <c r="AW1872" t="inlineStr">
        <is>
          <t>194</t>
        </is>
      </c>
      <c r="AX1872" t="inlineStr">
        <is>
          <t>10.9</t>
        </is>
      </c>
      <c r="AY1872" t="inlineStr">
        <is>
          <t>701+</t>
        </is>
      </c>
      <c r="AZ1872" t="inlineStr">
        <is>
          <t>14.9</t>
        </is>
      </c>
      <c r="BA1872" t="inlineStr">
        <is>
          <t>614=</t>
        </is>
      </c>
    </row>
    <row r="1873">
      <c r="A1873" t="inlineStr">
        <is>
          <t>Université de Toulouse II-Le Mirail</t>
        </is>
      </c>
      <c r="B1873" t="inlineStr">
        <is>
          <t>France</t>
        </is>
      </c>
      <c r="C1873" t="inlineStr">
        <is>
          <t>FR</t>
        </is>
      </c>
      <c r="D1873" t="inlineStr"/>
      <c r="E1873" t="inlineStr">
        <is>
          <t>XL</t>
        </is>
      </c>
      <c r="F1873" t="inlineStr">
        <is>
          <t>FO</t>
        </is>
      </c>
      <c r="G1873" t="inlineStr">
        <is>
          <t>VH</t>
        </is>
      </c>
      <c r="H1873" t="inlineStr">
        <is>
          <t>5</t>
        </is>
      </c>
      <c r="I1873" t="inlineStr">
        <is>
          <t>A</t>
        </is>
      </c>
      <c r="J1873" t="inlineStr"/>
      <c r="K1873" t="inlineStr"/>
      <c r="L1873" t="inlineStr">
        <is>
          <t>1001-1200</t>
        </is>
      </c>
      <c r="M1873" t="inlineStr">
        <is>
          <t>1001-1200</t>
        </is>
      </c>
      <c r="N1873" t="inlineStr"/>
      <c r="O1873" t="inlineStr">
        <is>
          <t>-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>
        <is>
          <t>10.1</t>
        </is>
      </c>
      <c r="AK1873" t="inlineStr">
        <is>
          <t>601+</t>
        </is>
      </c>
      <c r="AL1873" t="inlineStr">
        <is>
          <t>2.6</t>
        </is>
      </c>
      <c r="AM1873" t="inlineStr">
        <is>
          <t>601+</t>
        </is>
      </c>
      <c r="AN1873" t="inlineStr">
        <is>
          <t>1.2</t>
        </is>
      </c>
      <c r="AO1873" t="inlineStr">
        <is>
          <t>701+</t>
        </is>
      </c>
      <c r="AP1873" t="inlineStr">
        <is>
          <t>7.0</t>
        </is>
      </c>
      <c r="AQ1873" t="inlineStr">
        <is>
          <t>701+</t>
        </is>
      </c>
      <c r="AR1873" t="inlineStr">
        <is>
          <t>28.5</t>
        </is>
      </c>
      <c r="AS1873" t="inlineStr">
        <is>
          <t>499</t>
        </is>
      </c>
      <c r="AT1873" t="inlineStr">
        <is>
          <t>21.6</t>
        </is>
      </c>
      <c r="AU1873" t="inlineStr">
        <is>
          <t>524</t>
        </is>
      </c>
      <c r="AV1873" t="inlineStr">
        <is>
          <t>12.5</t>
        </is>
      </c>
      <c r="AW1873" t="inlineStr">
        <is>
          <t>630</t>
        </is>
      </c>
      <c r="AX1873" t="inlineStr">
        <is>
          <t>6.7</t>
        </is>
      </c>
      <c r="AY1873" t="inlineStr">
        <is>
          <t>701+</t>
        </is>
      </c>
      <c r="AZ1873" t="inlineStr">
        <is>
          <t>1.1</t>
        </is>
      </c>
      <c r="BA1873" t="inlineStr">
        <is>
          <t>701+</t>
        </is>
      </c>
    </row>
    <row r="1874">
      <c r="A1874" t="inlineStr">
        <is>
          <t>Université de Tunis</t>
        </is>
      </c>
      <c r="B1874" t="inlineStr">
        <is>
          <t>Tunisia</t>
        </is>
      </c>
      <c r="C1874" t="inlineStr">
        <is>
          <t>TN</t>
        </is>
      </c>
      <c r="D1874" t="inlineStr">
        <is>
          <t>Africa</t>
        </is>
      </c>
      <c r="E1874" t="inlineStr">
        <is>
          <t>L</t>
        </is>
      </c>
      <c r="F1874" t="inlineStr">
        <is>
          <t>FO</t>
        </is>
      </c>
      <c r="G1874" t="inlineStr">
        <is>
          <t>VH</t>
        </is>
      </c>
      <c r="H1874" t="inlineStr">
        <is>
          <t>4</t>
        </is>
      </c>
      <c r="I1874" t="inlineStr">
        <is>
          <t>Public</t>
        </is>
      </c>
      <c r="J1874" t="inlineStr">
        <is>
          <t>1201-1400</t>
        </is>
      </c>
      <c r="K1874" t="inlineStr">
        <is>
          <t>1001-1200</t>
        </is>
      </c>
      <c r="L1874" t="inlineStr">
        <is>
          <t>1201-1400</t>
        </is>
      </c>
      <c r="M1874" t="inlineStr">
        <is>
          <t>1201-1400</t>
        </is>
      </c>
      <c r="N1874" t="inlineStr">
        <is>
          <t>-</t>
        </is>
      </c>
      <c r="O1874" t="inlineStr">
        <is>
          <t>-</t>
        </is>
      </c>
      <c r="P1874" t="n">
        <v>11.3</v>
      </c>
      <c r="Q1874" t="inlineStr">
        <is>
          <t>701+</t>
        </is>
      </c>
      <c r="R1874" t="n">
        <v>5.8</v>
      </c>
      <c r="S1874" t="inlineStr">
        <is>
          <t>701+</t>
        </is>
      </c>
      <c r="T1874" t="n">
        <v>28.3</v>
      </c>
      <c r="U1874" t="inlineStr">
        <is>
          <t>674</t>
        </is>
      </c>
      <c r="V1874" t="n">
        <v>3</v>
      </c>
      <c r="W1874" t="inlineStr">
        <is>
          <t>801+</t>
        </is>
      </c>
      <c r="X1874" t="n">
        <v>2.5</v>
      </c>
      <c r="Y1874" t="inlineStr">
        <is>
          <t>801+</t>
        </is>
      </c>
      <c r="Z1874" t="n">
        <v>2.8</v>
      </c>
      <c r="AA1874" t="inlineStr">
        <is>
          <t>801+</t>
        </is>
      </c>
      <c r="AB1874" t="n">
        <v>7.1</v>
      </c>
      <c r="AC1874" t="inlineStr">
        <is>
          <t>801+</t>
        </is>
      </c>
      <c r="AD1874" t="n">
        <v>17.4</v>
      </c>
      <c r="AE1874" t="inlineStr">
        <is>
          <t>801+</t>
        </is>
      </c>
      <c r="AF1874" t="n">
        <v>58.5</v>
      </c>
      <c r="AG1874" t="inlineStr">
        <is>
          <t>280</t>
        </is>
      </c>
      <c r="AH1874" t="n">
        <v>29.6</v>
      </c>
      <c r="AI1874" t="inlineStr">
        <is>
          <t>801+</t>
        </is>
      </c>
      <c r="AJ1874" t="inlineStr">
        <is>
          <t>6.1</t>
        </is>
      </c>
      <c r="AK1874" t="inlineStr">
        <is>
          <t>601+</t>
        </is>
      </c>
      <c r="AL1874" t="inlineStr">
        <is>
          <t>2.5</t>
        </is>
      </c>
      <c r="AM1874" t="inlineStr">
        <is>
          <t>601+</t>
        </is>
      </c>
      <c r="AN1874" t="inlineStr">
        <is>
          <t>17.3</t>
        </is>
      </c>
      <c r="AO1874" t="inlineStr">
        <is>
          <t>701+</t>
        </is>
      </c>
      <c r="AP1874" t="inlineStr">
        <is>
          <t>1.9</t>
        </is>
      </c>
      <c r="AQ1874" t="inlineStr">
        <is>
          <t>701+</t>
        </is>
      </c>
      <c r="AR1874" t="inlineStr">
        <is>
          <t>2.2</t>
        </is>
      </c>
      <c r="AS1874" t="inlineStr">
        <is>
          <t>701+</t>
        </is>
      </c>
      <c r="AT1874" t="inlineStr">
        <is>
          <t>1.8</t>
        </is>
      </c>
      <c r="AU1874" t="inlineStr">
        <is>
          <t>701+</t>
        </is>
      </c>
      <c r="AV1874" t="inlineStr">
        <is>
          <t>1.0</t>
        </is>
      </c>
      <c r="AW1874" t="inlineStr">
        <is>
          <t>701+</t>
        </is>
      </c>
      <c r="AX1874" t="inlineStr">
        <is>
          <t>15.5</t>
        </is>
      </c>
      <c r="AY1874" t="inlineStr">
        <is>
          <t>542</t>
        </is>
      </c>
      <c r="AZ1874" t="inlineStr">
        <is>
          <t>1</t>
        </is>
      </c>
      <c r="BA1874" t="inlineStr">
        <is>
          <t>701+</t>
        </is>
      </c>
    </row>
    <row r="1875">
      <c r="A1875" t="inlineStr">
        <is>
          <t>Université de Tunis El Manar</t>
        </is>
      </c>
      <c r="B1875" t="inlineStr">
        <is>
          <t>Tunisia</t>
        </is>
      </c>
      <c r="C1875" t="inlineStr">
        <is>
          <t>TN</t>
        </is>
      </c>
      <c r="D1875" t="inlineStr">
        <is>
          <t>Africa</t>
        </is>
      </c>
      <c r="E1875" t="inlineStr">
        <is>
          <t>L</t>
        </is>
      </c>
      <c r="F1875" t="inlineStr">
        <is>
          <t>FC</t>
        </is>
      </c>
      <c r="G1875" t="inlineStr">
        <is>
          <t>VH</t>
        </is>
      </c>
      <c r="H1875" t="inlineStr">
        <is>
          <t>2</t>
        </is>
      </c>
      <c r="I1875" t="inlineStr">
        <is>
          <t>Public</t>
        </is>
      </c>
      <c r="J1875" t="inlineStr">
        <is>
          <t>731-740</t>
        </is>
      </c>
      <c r="K1875" t="inlineStr">
        <is>
          <t>771-780</t>
        </is>
      </c>
      <c r="L1875" t="inlineStr">
        <is>
          <t>951-1000</t>
        </is>
      </c>
      <c r="M1875" t="inlineStr">
        <is>
          <t>1201-1400</t>
        </is>
      </c>
      <c r="N1875" t="inlineStr">
        <is>
          <t>-</t>
        </is>
      </c>
      <c r="O1875" t="inlineStr">
        <is>
          <t>-</t>
        </is>
      </c>
      <c r="P1875" t="n">
        <v>15.8</v>
      </c>
      <c r="Q1875" t="inlineStr">
        <is>
          <t>701+</t>
        </is>
      </c>
      <c r="R1875" t="n">
        <v>6.2</v>
      </c>
      <c r="S1875" t="inlineStr">
        <is>
          <t>701+</t>
        </is>
      </c>
      <c r="T1875" t="n">
        <v>39.9</v>
      </c>
      <c r="U1875" t="inlineStr">
        <is>
          <t>508</t>
        </is>
      </c>
      <c r="V1875" t="n">
        <v>9.199999999999999</v>
      </c>
      <c r="W1875" t="inlineStr">
        <is>
          <t>801+</t>
        </is>
      </c>
      <c r="X1875" t="n">
        <v>61.9</v>
      </c>
      <c r="Y1875" t="inlineStr">
        <is>
          <t>376</t>
        </is>
      </c>
      <c r="Z1875" t="n">
        <v>16.7</v>
      </c>
      <c r="AA1875" t="inlineStr">
        <is>
          <t>787</t>
        </is>
      </c>
      <c r="AB1875" t="n">
        <v>19.9</v>
      </c>
      <c r="AC1875" t="inlineStr">
        <is>
          <t>764</t>
        </is>
      </c>
      <c r="AD1875" t="n">
        <v>82.5</v>
      </c>
      <c r="AE1875" t="inlineStr">
        <is>
          <t>301</t>
        </is>
      </c>
      <c r="AF1875" t="n">
        <v>61.3</v>
      </c>
      <c r="AG1875" t="inlineStr">
        <is>
          <t>259</t>
        </is>
      </c>
      <c r="AH1875" t="n">
        <v>56.7</v>
      </c>
      <c r="AI1875" t="inlineStr">
        <is>
          <t>562=</t>
        </is>
      </c>
      <c r="AJ1875" t="inlineStr">
        <is>
          <t>8.0</t>
        </is>
      </c>
      <c r="AK1875" t="inlineStr">
        <is>
          <t>601+</t>
        </is>
      </c>
      <c r="AL1875" t="inlineStr">
        <is>
          <t>2.6</t>
        </is>
      </c>
      <c r="AM1875" t="inlineStr">
        <is>
          <t>601+</t>
        </is>
      </c>
      <c r="AN1875" t="inlineStr">
        <is>
          <t>20.8</t>
        </is>
      </c>
      <c r="AO1875" t="inlineStr">
        <is>
          <t>649</t>
        </is>
      </c>
      <c r="AP1875" t="inlineStr">
        <is>
          <t>4.8</t>
        </is>
      </c>
      <c r="AQ1875" t="inlineStr">
        <is>
          <t>701+</t>
        </is>
      </c>
      <c r="AR1875" t="inlineStr">
        <is>
          <t>21.9</t>
        </is>
      </c>
      <c r="AS1875" t="inlineStr">
        <is>
          <t>573</t>
        </is>
      </c>
      <c r="AT1875" t="inlineStr">
        <is>
          <t>5.1</t>
        </is>
      </c>
      <c r="AU1875" t="inlineStr">
        <is>
          <t>701+</t>
        </is>
      </c>
      <c r="AV1875" t="inlineStr">
        <is>
          <t>50.2</t>
        </is>
      </c>
      <c r="AW1875" t="inlineStr">
        <is>
          <t>311</t>
        </is>
      </c>
      <c r="AX1875" t="inlineStr">
        <is>
          <t>27.3</t>
        </is>
      </c>
      <c r="AY1875" t="inlineStr">
        <is>
          <t>299</t>
        </is>
      </c>
      <c r="AZ1875" t="inlineStr">
        <is>
          <t>8.3</t>
        </is>
      </c>
      <c r="BA1875" t="inlineStr">
        <is>
          <t>701+</t>
        </is>
      </c>
    </row>
    <row r="1876">
      <c r="A1876" t="inlineStr">
        <is>
          <t>Université du Québec</t>
        </is>
      </c>
      <c r="B1876" t="inlineStr">
        <is>
          <t>Canada</t>
        </is>
      </c>
      <c r="C1876" t="inlineStr">
        <is>
          <t>CA</t>
        </is>
      </c>
      <c r="D1876" t="inlineStr">
        <is>
          <t>Americas</t>
        </is>
      </c>
      <c r="E1876" t="inlineStr">
        <is>
          <t>XL</t>
        </is>
      </c>
      <c r="F1876" t="inlineStr">
        <is>
          <t>FC</t>
        </is>
      </c>
      <c r="G1876" t="inlineStr">
        <is>
          <t>HI</t>
        </is>
      </c>
      <c r="H1876" t="inlineStr">
        <is>
          <t>4</t>
        </is>
      </c>
      <c r="I1876" t="inlineStr">
        <is>
          <t>Public</t>
        </is>
      </c>
      <c r="J1876" t="inlineStr">
        <is>
          <t>851-900</t>
        </is>
      </c>
      <c r="K1876" t="inlineStr">
        <is>
          <t>851-900</t>
        </is>
      </c>
      <c r="L1876" t="inlineStr">
        <is>
          <t>751-760</t>
        </is>
      </c>
      <c r="M1876" t="inlineStr">
        <is>
          <t>571-580</t>
        </is>
      </c>
      <c r="N1876" t="inlineStr">
        <is>
          <t>-</t>
        </is>
      </c>
      <c r="O1876" t="inlineStr">
        <is>
          <t>-</t>
        </is>
      </c>
      <c r="P1876" t="n">
        <v>20.5</v>
      </c>
      <c r="Q1876" t="inlineStr">
        <is>
          <t>600</t>
        </is>
      </c>
      <c r="R1876" t="n">
        <v>14.9</v>
      </c>
      <c r="S1876" t="inlineStr">
        <is>
          <t>701+</t>
        </is>
      </c>
      <c r="T1876" t="n">
        <v>2.5</v>
      </c>
      <c r="U1876" t="inlineStr">
        <is>
          <t>801+</t>
        </is>
      </c>
      <c r="V1876" t="n">
        <v>16.8</v>
      </c>
      <c r="W1876" t="inlineStr">
        <is>
          <t>767</t>
        </is>
      </c>
      <c r="X1876" t="n">
        <v>40.3</v>
      </c>
      <c r="Y1876" t="inlineStr">
        <is>
          <t>497</t>
        </is>
      </c>
      <c r="Z1876" t="n">
        <v>19</v>
      </c>
      <c r="AA1876" t="inlineStr">
        <is>
          <t>744</t>
        </is>
      </c>
      <c r="AB1876" t="n">
        <v>14.4</v>
      </c>
      <c r="AC1876" t="inlineStr">
        <is>
          <t>801+</t>
        </is>
      </c>
      <c r="AD1876" t="n">
        <v>65.40000000000001</v>
      </c>
      <c r="AE1876" t="inlineStr">
        <is>
          <t>616</t>
        </is>
      </c>
      <c r="AF1876" t="n">
        <v>31.4</v>
      </c>
      <c r="AG1876" t="inlineStr">
        <is>
          <t>531</t>
        </is>
      </c>
      <c r="AH1876" t="n">
        <v>51.6</v>
      </c>
      <c r="AI1876" t="inlineStr">
        <is>
          <t>669=</t>
        </is>
      </c>
      <c r="AJ1876" t="inlineStr">
        <is>
          <t>17.3</t>
        </is>
      </c>
      <c r="AK1876" t="inlineStr">
        <is>
          <t>516</t>
        </is>
      </c>
      <c r="AL1876" t="inlineStr">
        <is>
          <t>11.8</t>
        </is>
      </c>
      <c r="AM1876" t="inlineStr">
        <is>
          <t>601+</t>
        </is>
      </c>
      <c r="AN1876" t="inlineStr">
        <is>
          <t>1.6</t>
        </is>
      </c>
      <c r="AO1876" t="inlineStr">
        <is>
          <t>701+</t>
        </is>
      </c>
      <c r="AP1876" t="inlineStr">
        <is>
          <t>16.3</t>
        </is>
      </c>
      <c r="AQ1876" t="inlineStr">
        <is>
          <t>610</t>
        </is>
      </c>
      <c r="AR1876" t="inlineStr">
        <is>
          <t>37.1</t>
        </is>
      </c>
      <c r="AS1876" t="inlineStr">
        <is>
          <t>435</t>
        </is>
      </c>
      <c r="AT1876" t="inlineStr">
        <is>
          <t>11.6</t>
        </is>
      </c>
      <c r="AU1876" t="inlineStr">
        <is>
          <t>683</t>
        </is>
      </c>
      <c r="AV1876" t="inlineStr">
        <is>
          <t>19.7</t>
        </is>
      </c>
      <c r="AW1876" t="inlineStr">
        <is>
          <t>545</t>
        </is>
      </c>
      <c r="AX1876" t="inlineStr">
        <is>
          <t>14.8</t>
        </is>
      </c>
      <c r="AY1876" t="inlineStr">
        <is>
          <t>563</t>
        </is>
      </c>
      <c r="AZ1876" t="inlineStr">
        <is>
          <t>27.3</t>
        </is>
      </c>
      <c r="BA1876" t="inlineStr">
        <is>
          <t>478=</t>
        </is>
      </c>
    </row>
    <row r="1877">
      <c r="A1877" t="inlineStr">
        <is>
          <t>Université Grenoble Alpes</t>
        </is>
      </c>
      <c r="B1877" t="inlineStr">
        <is>
          <t>France</t>
        </is>
      </c>
      <c r="C1877" t="inlineStr">
        <is>
          <t>FR</t>
        </is>
      </c>
      <c r="D1877" t="inlineStr">
        <is>
          <t>Europe</t>
        </is>
      </c>
      <c r="E1877" t="inlineStr">
        <is>
          <t>XL</t>
        </is>
      </c>
      <c r="F1877" t="inlineStr">
        <is>
          <t>FC</t>
        </is>
      </c>
      <c r="G1877" t="inlineStr">
        <is>
          <t>VH</t>
        </is>
      </c>
      <c r="H1877" t="inlineStr">
        <is>
          <t>1</t>
        </is>
      </c>
      <c r="I1877" t="inlineStr">
        <is>
          <t>Public</t>
        </is>
      </c>
      <c r="J1877" t="inlineStr">
        <is>
          <t>321</t>
        </is>
      </c>
      <c r="K1877" t="inlineStr">
        <is>
          <t>334</t>
        </is>
      </c>
      <c r="L1877" t="inlineStr">
        <is>
          <t>294</t>
        </is>
      </c>
      <c r="M1877" t="inlineStr">
        <is>
          <t>317=</t>
        </is>
      </c>
      <c r="N1877" t="inlineStr">
        <is>
          <t>43.4</t>
        </is>
      </c>
      <c r="O1877" t="inlineStr">
        <is>
          <t>35.6</t>
        </is>
      </c>
      <c r="P1877" t="n">
        <v>55.3</v>
      </c>
      <c r="Q1877" t="inlineStr">
        <is>
          <t>200</t>
        </is>
      </c>
      <c r="R1877" t="n">
        <v>19.2</v>
      </c>
      <c r="S1877" t="inlineStr">
        <is>
          <t>679</t>
        </is>
      </c>
      <c r="T1877" t="n">
        <v>10.4</v>
      </c>
      <c r="U1877" t="inlineStr">
        <is>
          <t>801+</t>
        </is>
      </c>
      <c r="V1877" t="n">
        <v>51.8</v>
      </c>
      <c r="W1877" t="inlineStr">
        <is>
          <t>365</t>
        </is>
      </c>
      <c r="X1877" t="n">
        <v>30.9</v>
      </c>
      <c r="Y1877" t="inlineStr">
        <is>
          <t>579</t>
        </is>
      </c>
      <c r="Z1877" t="n">
        <v>47.9</v>
      </c>
      <c r="AA1877" t="inlineStr">
        <is>
          <t>421</t>
        </is>
      </c>
      <c r="AB1877" t="n">
        <v>52.7</v>
      </c>
      <c r="AC1877" t="inlineStr">
        <is>
          <t>390</t>
        </is>
      </c>
      <c r="AD1877" t="n">
        <v>94.09999999999999</v>
      </c>
      <c r="AE1877" t="inlineStr">
        <is>
          <t>97</t>
        </is>
      </c>
      <c r="AF1877" t="n">
        <v>31.8</v>
      </c>
      <c r="AG1877" t="inlineStr">
        <is>
          <t>529</t>
        </is>
      </c>
      <c r="AH1877" t="n">
        <v>60</v>
      </c>
      <c r="AI1877" t="inlineStr">
        <is>
          <t>502=</t>
        </is>
      </c>
      <c r="AJ1877" t="inlineStr">
        <is>
          <t>44.5</t>
        </is>
      </c>
      <c r="AK1877" t="inlineStr">
        <is>
          <t>188</t>
        </is>
      </c>
      <c r="AL1877" t="inlineStr">
        <is>
          <t>10.1</t>
        </is>
      </c>
      <c r="AM1877" t="inlineStr">
        <is>
          <t>601+</t>
        </is>
      </c>
      <c r="AN1877" t="inlineStr">
        <is>
          <t>7.8</t>
        </is>
      </c>
      <c r="AO1877" t="inlineStr">
        <is>
          <t>701+</t>
        </is>
      </c>
      <c r="AP1877" t="inlineStr">
        <is>
          <t>48.8</t>
        </is>
      </c>
      <c r="AQ1877" t="inlineStr">
        <is>
          <t>276</t>
        </is>
      </c>
      <c r="AR1877" t="inlineStr">
        <is>
          <t>18.4</t>
        </is>
      </c>
      <c r="AS1877" t="inlineStr">
        <is>
          <t>611</t>
        </is>
      </c>
      <c r="AT1877" t="inlineStr">
        <is>
          <t>34.9</t>
        </is>
      </c>
      <c r="AU1877" t="inlineStr">
        <is>
          <t>380</t>
        </is>
      </c>
      <c r="AV1877" t="inlineStr">
        <is>
          <t>92.6</t>
        </is>
      </c>
      <c r="AW1877" t="inlineStr">
        <is>
          <t>64</t>
        </is>
      </c>
      <c r="AX1877" t="inlineStr">
        <is>
          <t>14.2</t>
        </is>
      </c>
      <c r="AY1877" t="inlineStr">
        <is>
          <t>596</t>
        </is>
      </c>
      <c r="AZ1877" t="inlineStr">
        <is>
          <t>40.8</t>
        </is>
      </c>
      <c r="BA1877" t="inlineStr">
        <is>
          <t>360=</t>
        </is>
      </c>
    </row>
    <row r="1878">
      <c r="A1878" t="inlineStr">
        <is>
          <t>Université Ibn Tofail</t>
        </is>
      </c>
      <c r="B1878" t="inlineStr">
        <is>
          <t>Morocco</t>
        </is>
      </c>
      <c r="C1878" t="inlineStr"/>
      <c r="D1878" t="inlineStr">
        <is>
          <t>Africa</t>
        </is>
      </c>
      <c r="E1878" t="inlineStr">
        <is>
          <t>XL</t>
        </is>
      </c>
      <c r="F1878" t="inlineStr">
        <is>
          <t>CO</t>
        </is>
      </c>
      <c r="G1878" t="inlineStr">
        <is>
          <t>HI</t>
        </is>
      </c>
      <c r="H1878" t="inlineStr"/>
      <c r="I1878" t="inlineStr">
        <is>
          <t>Public</t>
        </is>
      </c>
      <c r="J1878" t="inlineStr">
        <is>
          <t>1201-1400</t>
        </is>
      </c>
      <c r="K1878" t="inlineStr"/>
      <c r="L1878" t="inlineStr"/>
      <c r="M1878" t="inlineStr"/>
      <c r="N1878" t="inlineStr">
        <is>
          <t>-</t>
        </is>
      </c>
      <c r="O1878" t="inlineStr"/>
      <c r="P1878" t="n">
        <v>14.6</v>
      </c>
      <c r="Q1878" t="inlineStr">
        <is>
          <t>701+</t>
        </is>
      </c>
      <c r="R1878" t="n">
        <v>3.1</v>
      </c>
      <c r="S1878" t="inlineStr">
        <is>
          <t>701+</t>
        </is>
      </c>
      <c r="T1878" t="n">
        <v>1.5</v>
      </c>
      <c r="U1878" t="inlineStr">
        <is>
          <t>801+</t>
        </is>
      </c>
      <c r="V1878" t="n">
        <v>12</v>
      </c>
      <c r="W1878" t="inlineStr">
        <is>
          <t>801+</t>
        </is>
      </c>
      <c r="X1878" t="n">
        <v>27</v>
      </c>
      <c r="Y1878" t="inlineStr">
        <is>
          <t>624</t>
        </is>
      </c>
      <c r="Z1878" t="n">
        <v>4.2</v>
      </c>
      <c r="AA1878" t="inlineStr">
        <is>
          <t>801+</t>
        </is>
      </c>
      <c r="AB1878" t="n">
        <v>9.1</v>
      </c>
      <c r="AC1878" t="inlineStr">
        <is>
          <t>801+</t>
        </is>
      </c>
      <c r="AD1878" t="n">
        <v>28.6</v>
      </c>
      <c r="AE1878" t="inlineStr">
        <is>
          <t>801+</t>
        </is>
      </c>
      <c r="AF1878" t="n">
        <v>5</v>
      </c>
      <c r="AG1878" t="inlineStr">
        <is>
          <t>801+</t>
        </is>
      </c>
      <c r="AH1878" t="n">
        <v>36.8</v>
      </c>
      <c r="AI1878" t="inlineStr">
        <is>
          <t>801+</t>
        </is>
      </c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</row>
    <row r="1879">
      <c r="A1879" t="inlineStr">
        <is>
          <t>Université Jean Moulin Lyon 3</t>
        </is>
      </c>
      <c r="B1879" t="inlineStr">
        <is>
          <t>France</t>
        </is>
      </c>
      <c r="C1879" t="inlineStr">
        <is>
          <t>FR</t>
        </is>
      </c>
      <c r="D1879" t="inlineStr">
        <is>
          <t>Europe</t>
        </is>
      </c>
      <c r="E1879" t="inlineStr">
        <is>
          <t>L</t>
        </is>
      </c>
      <c r="F1879" t="inlineStr">
        <is>
          <t>SP</t>
        </is>
      </c>
      <c r="G1879" t="inlineStr">
        <is>
          <t>VH</t>
        </is>
      </c>
      <c r="H1879" t="inlineStr">
        <is>
          <t>5</t>
        </is>
      </c>
      <c r="I1879" t="inlineStr">
        <is>
          <t>Public</t>
        </is>
      </c>
      <c r="J1879" t="inlineStr">
        <is>
          <t>1201-1400</t>
        </is>
      </c>
      <c r="K1879" t="inlineStr">
        <is>
          <t>1201-1400</t>
        </is>
      </c>
      <c r="L1879" t="inlineStr">
        <is>
          <t>1201-1400</t>
        </is>
      </c>
      <c r="M1879" t="inlineStr">
        <is>
          <t>1201-1400</t>
        </is>
      </c>
      <c r="N1879" t="inlineStr">
        <is>
          <t>-</t>
        </is>
      </c>
      <c r="O1879" t="inlineStr">
        <is>
          <t>-</t>
        </is>
      </c>
      <c r="P1879" t="n">
        <v>11.2</v>
      </c>
      <c r="Q1879" t="inlineStr">
        <is>
          <t>701+</t>
        </is>
      </c>
      <c r="R1879" t="n">
        <v>11.4</v>
      </c>
      <c r="S1879" t="inlineStr">
        <is>
          <t>701+</t>
        </is>
      </c>
      <c r="T1879" t="n">
        <v>2.4</v>
      </c>
      <c r="U1879" t="inlineStr">
        <is>
          <t>801+</t>
        </is>
      </c>
      <c r="V1879" t="n">
        <v>4.3</v>
      </c>
      <c r="W1879" t="inlineStr">
        <is>
          <t>801+</t>
        </is>
      </c>
      <c r="X1879" t="n">
        <v>27</v>
      </c>
      <c r="Y1879" t="inlineStr">
        <is>
          <t>626</t>
        </is>
      </c>
      <c r="Z1879" t="n">
        <v>44.1</v>
      </c>
      <c r="AA1879" t="inlineStr">
        <is>
          <t>456</t>
        </is>
      </c>
      <c r="AB1879" t="n">
        <v>49.2</v>
      </c>
      <c r="AC1879" t="inlineStr">
        <is>
          <t>421</t>
        </is>
      </c>
      <c r="AD1879" t="n">
        <v>11.8</v>
      </c>
      <c r="AE1879" t="inlineStr">
        <is>
          <t>801+</t>
        </is>
      </c>
      <c r="AF1879" t="n">
        <v>5.9</v>
      </c>
      <c r="AG1879" t="inlineStr">
        <is>
          <t>801+</t>
        </is>
      </c>
      <c r="AH1879" t="n">
        <v>25.4</v>
      </c>
      <c r="AI1879" t="inlineStr">
        <is>
          <t>801+</t>
        </is>
      </c>
      <c r="AJ1879" t="inlineStr">
        <is>
          <t>8.9</t>
        </is>
      </c>
      <c r="AK1879" t="inlineStr">
        <is>
          <t>601+</t>
        </is>
      </c>
      <c r="AL1879" t="inlineStr">
        <is>
          <t>3.4</t>
        </is>
      </c>
      <c r="AM1879" t="inlineStr">
        <is>
          <t>601+</t>
        </is>
      </c>
      <c r="AN1879" t="inlineStr">
        <is>
          <t>1.8</t>
        </is>
      </c>
      <c r="AO1879" t="inlineStr">
        <is>
          <t>701+</t>
        </is>
      </c>
      <c r="AP1879" t="inlineStr">
        <is>
          <t>2.2</t>
        </is>
      </c>
      <c r="AQ1879" t="inlineStr">
        <is>
          <t>701+</t>
        </is>
      </c>
      <c r="AR1879" t="inlineStr">
        <is>
          <t>25.5</t>
        </is>
      </c>
      <c r="AS1879" t="inlineStr">
        <is>
          <t>528</t>
        </is>
      </c>
      <c r="AT1879" t="inlineStr">
        <is>
          <t>30.8</t>
        </is>
      </c>
      <c r="AU1879" t="inlineStr">
        <is>
          <t>414</t>
        </is>
      </c>
      <c r="AV1879" t="inlineStr">
        <is>
          <t>1.0</t>
        </is>
      </c>
      <c r="AW1879" t="inlineStr">
        <is>
          <t>701+</t>
        </is>
      </c>
      <c r="AX1879" t="inlineStr">
        <is>
          <t>7.1</t>
        </is>
      </c>
      <c r="AY1879" t="inlineStr">
        <is>
          <t>701+</t>
        </is>
      </c>
      <c r="AZ1879" t="inlineStr">
        <is>
          <t>1.1</t>
        </is>
      </c>
      <c r="BA1879" t="inlineStr">
        <is>
          <t>701+</t>
        </is>
      </c>
    </row>
    <row r="1880">
      <c r="A1880" t="inlineStr">
        <is>
          <t>Université Laval</t>
        </is>
      </c>
      <c r="B1880" t="inlineStr">
        <is>
          <t>Canada</t>
        </is>
      </c>
      <c r="C1880" t="inlineStr">
        <is>
          <t>CA</t>
        </is>
      </c>
      <c r="D1880" t="inlineStr"/>
      <c r="E1880" t="inlineStr">
        <is>
          <t>L</t>
        </is>
      </c>
      <c r="F1880" t="inlineStr">
        <is>
          <t>FC</t>
        </is>
      </c>
      <c r="G1880" t="inlineStr">
        <is>
          <t>VH</t>
        </is>
      </c>
      <c r="H1880" t="inlineStr">
        <is>
          <t>5</t>
        </is>
      </c>
      <c r="I1880" t="inlineStr">
        <is>
          <t>A</t>
        </is>
      </c>
      <c r="J1880" t="inlineStr"/>
      <c r="K1880" t="inlineStr"/>
      <c r="L1880">
        <f>441</f>
        <v/>
      </c>
      <c r="M1880" t="inlineStr">
        <is>
          <t>433</t>
        </is>
      </c>
      <c r="N1880" t="inlineStr"/>
      <c r="O1880" t="inlineStr">
        <is>
          <t>25.9</t>
        </is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>
        <is>
          <t>19.9</t>
        </is>
      </c>
      <c r="AK1880" t="inlineStr">
        <is>
          <t>443</t>
        </is>
      </c>
      <c r="AL1880" t="inlineStr">
        <is>
          <t>11.0</t>
        </is>
      </c>
      <c r="AM1880" t="inlineStr">
        <is>
          <t>601+</t>
        </is>
      </c>
      <c r="AN1880" t="inlineStr">
        <is>
          <t>25.6</t>
        </is>
      </c>
      <c r="AO1880" t="inlineStr">
        <is>
          <t>577</t>
        </is>
      </c>
      <c r="AP1880" t="inlineStr">
        <is>
          <t>25.1</t>
        </is>
      </c>
      <c r="AQ1880" t="inlineStr">
        <is>
          <t>484</t>
        </is>
      </c>
      <c r="AR1880" t="inlineStr">
        <is>
          <t>67.4</t>
        </is>
      </c>
      <c r="AS1880" t="inlineStr">
        <is>
          <t>290</t>
        </is>
      </c>
      <c r="AT1880" t="inlineStr">
        <is>
          <t>36.3</t>
        </is>
      </c>
      <c r="AU1880" t="inlineStr">
        <is>
          <t>372</t>
        </is>
      </c>
      <c r="AV1880" t="inlineStr">
        <is>
          <t>55.4</t>
        </is>
      </c>
      <c r="AW1880" t="inlineStr">
        <is>
          <t>280</t>
        </is>
      </c>
      <c r="AX1880" t="inlineStr">
        <is>
          <t>24.4</t>
        </is>
      </c>
      <c r="AY1880" t="inlineStr">
        <is>
          <t>343</t>
        </is>
      </c>
      <c r="AZ1880" t="inlineStr">
        <is>
          <t>31</t>
        </is>
      </c>
      <c r="BA1880" t="inlineStr">
        <is>
          <t>432=</t>
        </is>
      </c>
    </row>
    <row r="1881">
      <c r="A1881" t="inlineStr">
        <is>
          <t>Université Libre de Bruxelles (ULB)</t>
        </is>
      </c>
      <c r="B1881" t="inlineStr">
        <is>
          <t>Belgium</t>
        </is>
      </c>
      <c r="C1881" t="inlineStr"/>
      <c r="D1881" t="inlineStr">
        <is>
          <t>Europe</t>
        </is>
      </c>
      <c r="E1881" t="inlineStr">
        <is>
          <t>L</t>
        </is>
      </c>
      <c r="F1881" t="inlineStr">
        <is>
          <t>FC</t>
        </is>
      </c>
      <c r="G1881" t="inlineStr">
        <is>
          <t>VH</t>
        </is>
      </c>
      <c r="H1881" t="inlineStr"/>
      <c r="I1881" t="inlineStr">
        <is>
          <t>Public</t>
        </is>
      </c>
      <c r="J1881" t="inlineStr">
        <is>
          <t>227</t>
        </is>
      </c>
      <c r="K1881" t="inlineStr">
        <is>
          <t>230</t>
        </is>
      </c>
      <c r="L1881" t="inlineStr"/>
      <c r="M1881" t="inlineStr"/>
      <c r="N1881" t="inlineStr">
        <is>
          <t>53.1</t>
        </is>
      </c>
      <c r="O1881" t="inlineStr"/>
      <c r="P1881" t="n">
        <v>43.3</v>
      </c>
      <c r="Q1881" t="inlineStr">
        <is>
          <t>271</t>
        </is>
      </c>
      <c r="R1881" t="n">
        <v>46.8</v>
      </c>
      <c r="S1881" t="inlineStr">
        <is>
          <t>281</t>
        </is>
      </c>
      <c r="T1881" t="n">
        <v>4.6</v>
      </c>
      <c r="U1881" t="inlineStr">
        <is>
          <t>801+</t>
        </is>
      </c>
      <c r="V1881" t="n">
        <v>60.3</v>
      </c>
      <c r="W1881" t="inlineStr">
        <is>
          <t>287</t>
        </is>
      </c>
      <c r="X1881" t="n">
        <v>99.2</v>
      </c>
      <c r="Y1881" t="inlineStr">
        <is>
          <t>124</t>
        </is>
      </c>
      <c r="Z1881" t="n">
        <v>89.59999999999999</v>
      </c>
      <c r="AA1881" t="inlineStr">
        <is>
          <t>171</t>
        </is>
      </c>
      <c r="AB1881" t="n">
        <v>90.40000000000001</v>
      </c>
      <c r="AC1881" t="inlineStr">
        <is>
          <t>145</t>
        </is>
      </c>
      <c r="AD1881" t="n">
        <v>90.90000000000001</v>
      </c>
      <c r="AE1881" t="inlineStr">
        <is>
          <t>162</t>
        </is>
      </c>
      <c r="AF1881" t="n">
        <v>74.8</v>
      </c>
      <c r="AG1881" t="inlineStr">
        <is>
          <t>184</t>
        </is>
      </c>
      <c r="AH1881" t="n">
        <v>65.2</v>
      </c>
      <c r="AI1881" t="inlineStr">
        <is>
          <t>393=</t>
        </is>
      </c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</row>
    <row r="1882">
      <c r="A1882" t="inlineStr">
        <is>
          <t>Université Lumière Lyon 2</t>
        </is>
      </c>
      <c r="B1882" t="inlineStr">
        <is>
          <t>France</t>
        </is>
      </c>
      <c r="C1882" t="inlineStr">
        <is>
          <t>FR</t>
        </is>
      </c>
      <c r="D1882" t="inlineStr">
        <is>
          <t>Europe</t>
        </is>
      </c>
      <c r="E1882" t="inlineStr">
        <is>
          <t>L</t>
        </is>
      </c>
      <c r="F1882" t="inlineStr">
        <is>
          <t>SP</t>
        </is>
      </c>
      <c r="G1882" t="inlineStr">
        <is>
          <t>VH</t>
        </is>
      </c>
      <c r="H1882" t="inlineStr">
        <is>
          <t>4</t>
        </is>
      </c>
      <c r="I1882" t="inlineStr">
        <is>
          <t>Public</t>
        </is>
      </c>
      <c r="J1882" t="inlineStr">
        <is>
          <t>1001-1200</t>
        </is>
      </c>
      <c r="K1882" t="inlineStr">
        <is>
          <t>1001-1200</t>
        </is>
      </c>
      <c r="L1882" t="inlineStr">
        <is>
          <t>1001-1200</t>
        </is>
      </c>
      <c r="M1882" t="inlineStr">
        <is>
          <t>1001-1200</t>
        </is>
      </c>
      <c r="N1882" t="inlineStr">
        <is>
          <t>-</t>
        </is>
      </c>
      <c r="O1882" t="inlineStr">
        <is>
          <t>-</t>
        </is>
      </c>
      <c r="P1882" t="n">
        <v>14.3</v>
      </c>
      <c r="Q1882" t="inlineStr">
        <is>
          <t>701+</t>
        </is>
      </c>
      <c r="R1882" t="n">
        <v>5.6</v>
      </c>
      <c r="S1882" t="inlineStr">
        <is>
          <t>701+</t>
        </is>
      </c>
      <c r="T1882" t="n">
        <v>5.6</v>
      </c>
      <c r="U1882" t="inlineStr">
        <is>
          <t>801+</t>
        </is>
      </c>
      <c r="V1882" t="n">
        <v>11.8</v>
      </c>
      <c r="W1882" t="inlineStr">
        <is>
          <t>801+</t>
        </is>
      </c>
      <c r="X1882" t="n">
        <v>33.5</v>
      </c>
      <c r="Y1882" t="inlineStr">
        <is>
          <t>548</t>
        </is>
      </c>
      <c r="Z1882" t="n">
        <v>48.8</v>
      </c>
      <c r="AA1882" t="inlineStr">
        <is>
          <t>415</t>
        </is>
      </c>
      <c r="AB1882" t="n">
        <v>53.6</v>
      </c>
      <c r="AC1882" t="inlineStr">
        <is>
          <t>382</t>
        </is>
      </c>
      <c r="AD1882" t="n">
        <v>62.5</v>
      </c>
      <c r="AE1882" t="inlineStr">
        <is>
          <t>658</t>
        </is>
      </c>
      <c r="AF1882" t="n">
        <v>2.4</v>
      </c>
      <c r="AG1882" t="inlineStr">
        <is>
          <t>801+</t>
        </is>
      </c>
      <c r="AH1882" t="n">
        <v>31.9</v>
      </c>
      <c r="AI1882" t="inlineStr">
        <is>
          <t>801+</t>
        </is>
      </c>
      <c r="AJ1882" t="inlineStr">
        <is>
          <t>10.9</t>
        </is>
      </c>
      <c r="AK1882" t="inlineStr">
        <is>
          <t>601+</t>
        </is>
      </c>
      <c r="AL1882" t="inlineStr">
        <is>
          <t>2.5</t>
        </is>
      </c>
      <c r="AM1882" t="inlineStr">
        <is>
          <t>601+</t>
        </is>
      </c>
      <c r="AN1882" t="inlineStr">
        <is>
          <t>5.5</t>
        </is>
      </c>
      <c r="AO1882" t="inlineStr">
        <is>
          <t>701+</t>
        </is>
      </c>
      <c r="AP1882" t="inlineStr">
        <is>
          <t>6.3</t>
        </is>
      </c>
      <c r="AQ1882" t="inlineStr">
        <is>
          <t>701+</t>
        </is>
      </c>
      <c r="AR1882" t="inlineStr">
        <is>
          <t>28.0</t>
        </is>
      </c>
      <c r="AS1882" t="inlineStr">
        <is>
          <t>501</t>
        </is>
      </c>
      <c r="AT1882" t="inlineStr">
        <is>
          <t>38.2</t>
        </is>
      </c>
      <c r="AU1882" t="inlineStr">
        <is>
          <t>361</t>
        </is>
      </c>
      <c r="AV1882" t="inlineStr">
        <is>
          <t>12.2</t>
        </is>
      </c>
      <c r="AW1882" t="inlineStr">
        <is>
          <t>633</t>
        </is>
      </c>
      <c r="AX1882" t="inlineStr">
        <is>
          <t>6.7</t>
        </is>
      </c>
      <c r="AY1882" t="inlineStr">
        <is>
          <t>701+</t>
        </is>
      </c>
      <c r="AZ1882" t="inlineStr">
        <is>
          <t>3.7</t>
        </is>
      </c>
      <c r="BA1882" t="inlineStr">
        <is>
          <t>701+</t>
        </is>
      </c>
    </row>
    <row r="1883">
      <c r="A1883" t="inlineStr">
        <is>
          <t>Université Mohammed V de Rabat</t>
        </is>
      </c>
      <c r="B1883" t="inlineStr">
        <is>
          <t>Morocco</t>
        </is>
      </c>
      <c r="C1883" t="inlineStr">
        <is>
          <t>MA</t>
        </is>
      </c>
      <c r="D1883" t="inlineStr">
        <is>
          <t>Africa</t>
        </is>
      </c>
      <c r="E1883" t="inlineStr">
        <is>
          <t>XL</t>
        </is>
      </c>
      <c r="F1883" t="inlineStr">
        <is>
          <t>CO</t>
        </is>
      </c>
      <c r="G1883" t="inlineStr">
        <is>
          <t>VH</t>
        </is>
      </c>
      <c r="H1883" t="inlineStr">
        <is>
          <t>3</t>
        </is>
      </c>
      <c r="I1883" t="inlineStr">
        <is>
          <t>Public</t>
        </is>
      </c>
      <c r="J1883" t="inlineStr">
        <is>
          <t>1201-1400</t>
        </is>
      </c>
      <c r="K1883" t="inlineStr">
        <is>
          <t>1001-1200</t>
        </is>
      </c>
      <c r="L1883" t="inlineStr">
        <is>
          <t>1201-1400</t>
        </is>
      </c>
      <c r="M1883" t="inlineStr">
        <is>
          <t>1401+</t>
        </is>
      </c>
      <c r="N1883" t="inlineStr">
        <is>
          <t>-</t>
        </is>
      </c>
      <c r="O1883" t="inlineStr">
        <is>
          <t>-</t>
        </is>
      </c>
      <c r="P1883" t="n">
        <v>4.8</v>
      </c>
      <c r="Q1883" t="inlineStr">
        <is>
          <t>701+</t>
        </is>
      </c>
      <c r="R1883" t="n">
        <v>3.1</v>
      </c>
      <c r="S1883" t="inlineStr">
        <is>
          <t>701+</t>
        </is>
      </c>
      <c r="T1883" t="n">
        <v>2.4</v>
      </c>
      <c r="U1883" t="inlineStr">
        <is>
          <t>801+</t>
        </is>
      </c>
      <c r="V1883" t="n">
        <v>9.5</v>
      </c>
      <c r="W1883" t="inlineStr">
        <is>
          <t>801+</t>
        </is>
      </c>
      <c r="X1883" t="n">
        <v>4.7</v>
      </c>
      <c r="Y1883" t="inlineStr">
        <is>
          <t>801+</t>
        </is>
      </c>
      <c r="Z1883" t="n">
        <v>5.7</v>
      </c>
      <c r="AA1883" t="inlineStr">
        <is>
          <t>801+</t>
        </is>
      </c>
      <c r="AB1883" t="n">
        <v>11.1</v>
      </c>
      <c r="AC1883" t="inlineStr">
        <is>
          <t>801+</t>
        </is>
      </c>
      <c r="AD1883" t="n">
        <v>75.59999999999999</v>
      </c>
      <c r="AE1883" t="inlineStr">
        <is>
          <t>428</t>
        </is>
      </c>
      <c r="AF1883" t="n">
        <v>75.8</v>
      </c>
      <c r="AG1883" t="inlineStr">
        <is>
          <t>178</t>
        </is>
      </c>
      <c r="AH1883" t="n">
        <v>42.6</v>
      </c>
      <c r="AI1883" t="inlineStr">
        <is>
          <t>801+</t>
        </is>
      </c>
      <c r="AJ1883" t="inlineStr">
        <is>
          <t>3.1</t>
        </is>
      </c>
      <c r="AK1883" t="inlineStr">
        <is>
          <t>601+</t>
        </is>
      </c>
      <c r="AL1883" t="inlineStr">
        <is>
          <t>2.2</t>
        </is>
      </c>
      <c r="AM1883" t="inlineStr">
        <is>
          <t>601+</t>
        </is>
      </c>
      <c r="AN1883" t="inlineStr">
        <is>
          <t>1.6</t>
        </is>
      </c>
      <c r="AO1883" t="inlineStr">
        <is>
          <t>701+</t>
        </is>
      </c>
      <c r="AP1883" t="inlineStr">
        <is>
          <t>4.0</t>
        </is>
      </c>
      <c r="AQ1883" t="inlineStr">
        <is>
          <t>701+</t>
        </is>
      </c>
      <c r="AR1883" t="inlineStr">
        <is>
          <t>3.7</t>
        </is>
      </c>
      <c r="AS1883" t="inlineStr">
        <is>
          <t>701+</t>
        </is>
      </c>
      <c r="AT1883" t="inlineStr">
        <is>
          <t>2.6</t>
        </is>
      </c>
      <c r="AU1883" t="inlineStr">
        <is>
          <t>701+</t>
        </is>
      </c>
      <c r="AV1883" t="inlineStr">
        <is>
          <t>17.6</t>
        </is>
      </c>
      <c r="AW1883" t="inlineStr">
        <is>
          <t>566</t>
        </is>
      </c>
      <c r="AX1883" t="inlineStr">
        <is>
          <t>22</t>
        </is>
      </c>
      <c r="AY1883" t="inlineStr">
        <is>
          <t>376</t>
        </is>
      </c>
      <c r="AZ1883" t="inlineStr">
        <is>
          <t>2.7</t>
        </is>
      </c>
      <c r="BA1883" t="inlineStr">
        <is>
          <t>701+</t>
        </is>
      </c>
    </row>
    <row r="1884">
      <c r="A1884" t="inlineStr">
        <is>
          <t>Université Paris 1 Panthéon-Sorbonne</t>
        </is>
      </c>
      <c r="B1884" t="inlineStr">
        <is>
          <t>France</t>
        </is>
      </c>
      <c r="C1884" t="inlineStr">
        <is>
          <t>FR</t>
        </is>
      </c>
      <c r="D1884" t="inlineStr">
        <is>
          <t>Europe</t>
        </is>
      </c>
      <c r="E1884" t="inlineStr">
        <is>
          <t>XL</t>
        </is>
      </c>
      <c r="F1884" t="inlineStr">
        <is>
          <t>FO</t>
        </is>
      </c>
      <c r="G1884" t="inlineStr">
        <is>
          <t>VH</t>
        </is>
      </c>
      <c r="H1884" t="inlineStr">
        <is>
          <t>5</t>
        </is>
      </c>
      <c r="I1884" t="inlineStr">
        <is>
          <t>Public</t>
        </is>
      </c>
      <c r="J1884" t="inlineStr">
        <is>
          <t>257</t>
        </is>
      </c>
      <c r="K1884" t="inlineStr">
        <is>
          <t>283</t>
        </is>
      </c>
      <c r="L1884">
        <f>328</f>
        <v/>
      </c>
      <c r="M1884" t="inlineStr">
        <is>
          <t>300=</t>
        </is>
      </c>
      <c r="N1884" t="inlineStr">
        <is>
          <t>49.7</t>
        </is>
      </c>
      <c r="O1884" t="inlineStr">
        <is>
          <t>32.6</t>
        </is>
      </c>
      <c r="P1884" t="n">
        <v>78</v>
      </c>
      <c r="Q1884" t="inlineStr">
        <is>
          <t>103</t>
        </is>
      </c>
      <c r="R1884" t="n">
        <v>62.2</v>
      </c>
      <c r="S1884" t="inlineStr">
        <is>
          <t>180</t>
        </is>
      </c>
      <c r="T1884" t="n">
        <v>6.8</v>
      </c>
      <c r="U1884" t="inlineStr">
        <is>
          <t>801+</t>
        </is>
      </c>
      <c r="V1884" t="n">
        <v>4.8</v>
      </c>
      <c r="W1884" t="inlineStr">
        <is>
          <t>801+</t>
        </is>
      </c>
      <c r="X1884" t="n">
        <v>39</v>
      </c>
      <c r="Y1884" t="inlineStr">
        <is>
          <t>508</t>
        </is>
      </c>
      <c r="Z1884" t="n">
        <v>61.2</v>
      </c>
      <c r="AA1884" t="inlineStr">
        <is>
          <t>333</t>
        </is>
      </c>
      <c r="AB1884" t="n">
        <v>65</v>
      </c>
      <c r="AC1884" t="inlineStr">
        <is>
          <t>304</t>
        </is>
      </c>
      <c r="AD1884" t="n">
        <v>70.8</v>
      </c>
      <c r="AE1884" t="inlineStr">
        <is>
          <t>513</t>
        </is>
      </c>
      <c r="AF1884" t="n">
        <v>84.3</v>
      </c>
      <c r="AG1884" t="inlineStr">
        <is>
          <t>139</t>
        </is>
      </c>
      <c r="AH1884" t="n">
        <v>61.8</v>
      </c>
      <c r="AI1884" t="inlineStr">
        <is>
          <t>460=</t>
        </is>
      </c>
      <c r="AJ1884" t="inlineStr">
        <is>
          <t>65.2</t>
        </is>
      </c>
      <c r="AK1884" t="inlineStr">
        <is>
          <t>104</t>
        </is>
      </c>
      <c r="AL1884" t="inlineStr">
        <is>
          <t>24.9</t>
        </is>
      </c>
      <c r="AM1884" t="inlineStr">
        <is>
          <t>385</t>
        </is>
      </c>
      <c r="AN1884" t="inlineStr">
        <is>
          <t>4.2</t>
        </is>
      </c>
      <c r="AO1884" t="inlineStr">
        <is>
          <t>701+</t>
        </is>
      </c>
      <c r="AP1884" t="inlineStr">
        <is>
          <t>3.4</t>
        </is>
      </c>
      <c r="AQ1884" t="inlineStr">
        <is>
          <t>701+</t>
        </is>
      </c>
      <c r="AR1884" t="inlineStr">
        <is>
          <t>38.2</t>
        </is>
      </c>
      <c r="AS1884" t="inlineStr">
        <is>
          <t>421</t>
        </is>
      </c>
      <c r="AT1884" t="inlineStr">
        <is>
          <t>46.4</t>
        </is>
      </c>
      <c r="AU1884" t="inlineStr">
        <is>
          <t>314</t>
        </is>
      </c>
      <c r="AV1884" t="inlineStr">
        <is>
          <t>30.0</t>
        </is>
      </c>
      <c r="AW1884" t="inlineStr">
        <is>
          <t>458</t>
        </is>
      </c>
      <c r="AX1884" t="inlineStr">
        <is>
          <t>32.2</t>
        </is>
      </c>
      <c r="AY1884" t="inlineStr">
        <is>
          <t>238</t>
        </is>
      </c>
      <c r="AZ1884" t="inlineStr">
        <is>
          <t>16.3</t>
        </is>
      </c>
      <c r="BA1884" t="inlineStr">
        <is>
          <t>588=</t>
        </is>
      </c>
    </row>
    <row r="1885">
      <c r="A1885" t="inlineStr">
        <is>
          <t>Université Paris 2 Panthéon-Assas</t>
        </is>
      </c>
      <c r="B1885" t="inlineStr">
        <is>
          <t>France</t>
        </is>
      </c>
      <c r="C1885" t="inlineStr"/>
      <c r="D1885" t="inlineStr">
        <is>
          <t>Europe</t>
        </is>
      </c>
      <c r="E1885" t="inlineStr">
        <is>
          <t>L</t>
        </is>
      </c>
      <c r="F1885" t="inlineStr">
        <is>
          <t>SP</t>
        </is>
      </c>
      <c r="G1885" t="inlineStr">
        <is>
          <t>VH</t>
        </is>
      </c>
      <c r="H1885" t="inlineStr"/>
      <c r="I1885" t="inlineStr">
        <is>
          <t>Public</t>
        </is>
      </c>
      <c r="J1885" t="inlineStr">
        <is>
          <t>1001-1200</t>
        </is>
      </c>
      <c r="K1885" t="inlineStr">
        <is>
          <t>901-950</t>
        </is>
      </c>
      <c r="L1885" t="inlineStr"/>
      <c r="M1885" t="inlineStr"/>
      <c r="N1885" t="inlineStr">
        <is>
          <t>-</t>
        </is>
      </c>
      <c r="O1885" t="inlineStr"/>
      <c r="P1885" t="n">
        <v>8.5</v>
      </c>
      <c r="Q1885" t="inlineStr">
        <is>
          <t>701+</t>
        </is>
      </c>
      <c r="R1885" t="n">
        <v>8.199999999999999</v>
      </c>
      <c r="S1885" t="inlineStr">
        <is>
          <t>701+</t>
        </is>
      </c>
      <c r="T1885" t="n">
        <v>63.1</v>
      </c>
      <c r="U1885" t="inlineStr">
        <is>
          <t>280</t>
        </is>
      </c>
      <c r="V1885" t="n">
        <v>1.4</v>
      </c>
      <c r="W1885" t="inlineStr">
        <is>
          <t>801+</t>
        </is>
      </c>
      <c r="X1885" t="n">
        <v>15.8</v>
      </c>
      <c r="Y1885" t="inlineStr">
        <is>
          <t>785</t>
        </is>
      </c>
      <c r="Z1885" t="n">
        <v>38.6</v>
      </c>
      <c r="AA1885" t="inlineStr">
        <is>
          <t>510</t>
        </is>
      </c>
      <c r="AB1885" t="n">
        <v>44.1</v>
      </c>
      <c r="AC1885" t="inlineStr">
        <is>
          <t>473</t>
        </is>
      </c>
      <c r="AD1885" t="n">
        <v>6.1</v>
      </c>
      <c r="AE1885" t="inlineStr">
        <is>
          <t>801+</t>
        </is>
      </c>
      <c r="AF1885" t="n">
        <v>64.40000000000001</v>
      </c>
      <c r="AG1885" t="inlineStr">
        <is>
          <t>242</t>
        </is>
      </c>
      <c r="AH1885" t="n">
        <v>17</v>
      </c>
      <c r="AI1885" t="inlineStr">
        <is>
          <t>801+</t>
        </is>
      </c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</row>
    <row r="1886">
      <c r="A1886" t="inlineStr">
        <is>
          <t>Université Paris Cité</t>
        </is>
      </c>
      <c r="B1886" t="inlineStr">
        <is>
          <t>France</t>
        </is>
      </c>
      <c r="C1886" t="inlineStr"/>
      <c r="D1886" t="inlineStr">
        <is>
          <t>Europe</t>
        </is>
      </c>
      <c r="E1886" t="inlineStr">
        <is>
          <t>XL</t>
        </is>
      </c>
      <c r="F1886" t="inlineStr">
        <is>
          <t>FO</t>
        </is>
      </c>
      <c r="G1886" t="inlineStr">
        <is>
          <t>VH</t>
        </is>
      </c>
      <c r="H1886" t="inlineStr"/>
      <c r="I1886" t="inlineStr">
        <is>
          <t>Public</t>
        </is>
      </c>
      <c r="J1886" t="inlineStr">
        <is>
          <t>300</t>
        </is>
      </c>
      <c r="K1886" t="inlineStr">
        <is>
          <t>302</t>
        </is>
      </c>
      <c r="L1886" t="inlineStr"/>
      <c r="M1886" t="inlineStr"/>
      <c r="N1886" t="inlineStr">
        <is>
          <t>45.5</t>
        </is>
      </c>
      <c r="O1886" t="inlineStr"/>
      <c r="P1886" t="n">
        <v>37.7</v>
      </c>
      <c r="Q1886" t="inlineStr">
        <is>
          <t>317</t>
        </is>
      </c>
      <c r="R1886" t="n">
        <v>13.9</v>
      </c>
      <c r="S1886" t="inlineStr">
        <is>
          <t>701+</t>
        </is>
      </c>
      <c r="T1886" t="n">
        <v>11</v>
      </c>
      <c r="U1886" t="inlineStr">
        <is>
          <t>801+</t>
        </is>
      </c>
      <c r="V1886" t="n">
        <v>92.5</v>
      </c>
      <c r="W1886" t="inlineStr">
        <is>
          <t>91</t>
        </is>
      </c>
      <c r="X1886" t="n">
        <v>24.8</v>
      </c>
      <c r="Y1886" t="inlineStr">
        <is>
          <t>653</t>
        </is>
      </c>
      <c r="Z1886" t="n">
        <v>61</v>
      </c>
      <c r="AA1886" t="inlineStr">
        <is>
          <t>336</t>
        </is>
      </c>
      <c r="AB1886" t="n">
        <v>45.5</v>
      </c>
      <c r="AC1886" t="inlineStr">
        <is>
          <t>455</t>
        </is>
      </c>
      <c r="AD1886" t="n">
        <v>99.5</v>
      </c>
      <c r="AE1886" t="inlineStr">
        <is>
          <t>6</t>
        </is>
      </c>
      <c r="AF1886" t="n">
        <v>22.8</v>
      </c>
      <c r="AG1886" t="inlineStr">
        <is>
          <t>676</t>
        </is>
      </c>
      <c r="AH1886" t="n">
        <v>55.7</v>
      </c>
      <c r="AI1886" t="inlineStr">
        <is>
          <t>582=</t>
        </is>
      </c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</row>
    <row r="1887">
      <c r="A1887" t="inlineStr">
        <is>
          <t>Université Paris-Nanterre</t>
        </is>
      </c>
      <c r="B1887" t="inlineStr">
        <is>
          <t>France</t>
        </is>
      </c>
      <c r="C1887" t="inlineStr">
        <is>
          <t>FR</t>
        </is>
      </c>
      <c r="D1887" t="inlineStr">
        <is>
          <t>Europe</t>
        </is>
      </c>
      <c r="E1887" t="inlineStr">
        <is>
          <t>XL</t>
        </is>
      </c>
      <c r="F1887" t="inlineStr">
        <is>
          <t>FO</t>
        </is>
      </c>
      <c r="G1887" t="inlineStr">
        <is>
          <t>VH</t>
        </is>
      </c>
      <c r="H1887" t="inlineStr">
        <is>
          <t>5</t>
        </is>
      </c>
      <c r="I1887" t="inlineStr">
        <is>
          <t>Public</t>
        </is>
      </c>
      <c r="J1887" t="inlineStr">
        <is>
          <t>1201-1400</t>
        </is>
      </c>
      <c r="K1887" t="inlineStr">
        <is>
          <t>1001-1200</t>
        </is>
      </c>
      <c r="L1887" t="inlineStr">
        <is>
          <t>1201-1400</t>
        </is>
      </c>
      <c r="M1887" t="inlineStr">
        <is>
          <t>1201-1400</t>
        </is>
      </c>
      <c r="N1887" t="inlineStr">
        <is>
          <t>-</t>
        </is>
      </c>
      <c r="O1887" t="inlineStr">
        <is>
          <t>-</t>
        </is>
      </c>
      <c r="P1887" t="n">
        <v>14.6</v>
      </c>
      <c r="Q1887" t="inlineStr">
        <is>
          <t>701+</t>
        </is>
      </c>
      <c r="R1887" t="n">
        <v>4.7</v>
      </c>
      <c r="S1887" t="inlineStr">
        <is>
          <t>701+</t>
        </is>
      </c>
      <c r="T1887" t="n">
        <v>4.7</v>
      </c>
      <c r="U1887" t="inlineStr">
        <is>
          <t>801+</t>
        </is>
      </c>
      <c r="V1887" t="n">
        <v>4</v>
      </c>
      <c r="W1887" t="inlineStr">
        <is>
          <t>801+</t>
        </is>
      </c>
      <c r="X1887" t="n">
        <v>11.7</v>
      </c>
      <c r="Y1887" t="inlineStr">
        <is>
          <t>801+</t>
        </is>
      </c>
      <c r="Z1887" t="n">
        <v>2.1</v>
      </c>
      <c r="AA1887" t="inlineStr">
        <is>
          <t>801+</t>
        </is>
      </c>
      <c r="AB1887" t="n">
        <v>1.8</v>
      </c>
      <c r="AC1887" t="inlineStr">
        <is>
          <t>801+</t>
        </is>
      </c>
      <c r="AD1887" t="n">
        <v>60</v>
      </c>
      <c r="AE1887" t="inlineStr">
        <is>
          <t>692</t>
        </is>
      </c>
      <c r="AF1887" t="n">
        <v>44.3</v>
      </c>
      <c r="AG1887" t="inlineStr">
        <is>
          <t>398</t>
        </is>
      </c>
      <c r="AH1887" t="n">
        <v>39.8</v>
      </c>
      <c r="AI1887" t="inlineStr">
        <is>
          <t>801+</t>
        </is>
      </c>
      <c r="AJ1887" t="inlineStr">
        <is>
          <t>11.9</t>
        </is>
      </c>
      <c r="AK1887" t="inlineStr">
        <is>
          <t>601+</t>
        </is>
      </c>
      <c r="AL1887" t="inlineStr">
        <is>
          <t>2.4</t>
        </is>
      </c>
      <c r="AM1887" t="inlineStr">
        <is>
          <t>601+</t>
        </is>
      </c>
      <c r="AN1887" t="inlineStr">
        <is>
          <t>3.0</t>
        </is>
      </c>
      <c r="AO1887" t="inlineStr">
        <is>
          <t>701+</t>
        </is>
      </c>
      <c r="AP1887" t="inlineStr">
        <is>
          <t>3.0</t>
        </is>
      </c>
      <c r="AQ1887" t="inlineStr">
        <is>
          <t>701+</t>
        </is>
      </c>
      <c r="AR1887" t="inlineStr">
        <is>
          <t>9.9</t>
        </is>
      </c>
      <c r="AS1887" t="inlineStr">
        <is>
          <t>701+</t>
        </is>
      </c>
      <c r="AT1887" t="inlineStr">
        <is>
          <t>1.5</t>
        </is>
      </c>
      <c r="AU1887" t="inlineStr">
        <is>
          <t>701+</t>
        </is>
      </c>
      <c r="AV1887" t="inlineStr">
        <is>
          <t>14.6</t>
        </is>
      </c>
      <c r="AW1887" t="inlineStr">
        <is>
          <t>601</t>
        </is>
      </c>
      <c r="AX1887" t="inlineStr">
        <is>
          <t>15.2</t>
        </is>
      </c>
      <c r="AY1887" t="inlineStr">
        <is>
          <t>553</t>
        </is>
      </c>
      <c r="AZ1887" t="inlineStr">
        <is>
          <t>1.9</t>
        </is>
      </c>
      <c r="BA1887" t="inlineStr">
        <is>
          <t>701+</t>
        </is>
      </c>
    </row>
    <row r="1888">
      <c r="A1888" t="inlineStr">
        <is>
          <t>Université Paris-Saclay</t>
        </is>
      </c>
      <c r="B1888" t="inlineStr">
        <is>
          <t>France</t>
        </is>
      </c>
      <c r="C1888" t="inlineStr">
        <is>
          <t>FR</t>
        </is>
      </c>
      <c r="D1888" t="inlineStr">
        <is>
          <t>Europe</t>
        </is>
      </c>
      <c r="E1888" t="inlineStr">
        <is>
          <t>XL</t>
        </is>
      </c>
      <c r="F1888" t="inlineStr">
        <is>
          <t>CO</t>
        </is>
      </c>
      <c r="G1888" t="inlineStr">
        <is>
          <t>VH</t>
        </is>
      </c>
      <c r="H1888" t="inlineStr">
        <is>
          <t>1</t>
        </is>
      </c>
      <c r="I1888" t="inlineStr">
        <is>
          <t>Public</t>
        </is>
      </c>
      <c r="J1888" t="inlineStr">
        <is>
          <t>70</t>
        </is>
      </c>
      <c r="K1888" t="inlineStr">
        <is>
          <t>73</t>
        </is>
      </c>
      <c r="L1888" t="inlineStr">
        <is>
          <t>71</t>
        </is>
      </c>
      <c r="M1888" t="inlineStr">
        <is>
          <t>69</t>
        </is>
      </c>
      <c r="N1888" t="inlineStr">
        <is>
          <t>75.9</t>
        </is>
      </c>
      <c r="O1888" t="inlineStr">
        <is>
          <t>67.6</t>
        </is>
      </c>
      <c r="P1888" t="n">
        <v>75.3</v>
      </c>
      <c r="Q1888" t="inlineStr">
        <is>
          <t>112</t>
        </is>
      </c>
      <c r="R1888" t="n">
        <v>99.40000000000001</v>
      </c>
      <c r="S1888" t="inlineStr">
        <is>
          <t>19</t>
        </is>
      </c>
      <c r="T1888" t="n">
        <v>99.90000000000001</v>
      </c>
      <c r="U1888" t="inlineStr">
        <is>
          <t>24</t>
        </is>
      </c>
      <c r="V1888" t="n">
        <v>42.4</v>
      </c>
      <c r="W1888" t="inlineStr">
        <is>
          <t>450</t>
        </is>
      </c>
      <c r="X1888" t="n">
        <v>45.9</v>
      </c>
      <c r="Y1888" t="inlineStr">
        <is>
          <t>463</t>
        </is>
      </c>
      <c r="Z1888" t="n">
        <v>72.7</v>
      </c>
      <c r="AA1888" t="inlineStr">
        <is>
          <t>263</t>
        </is>
      </c>
      <c r="AB1888" t="n">
        <v>75.40000000000001</v>
      </c>
      <c r="AC1888" t="inlineStr">
        <is>
          <t>233</t>
        </is>
      </c>
      <c r="AD1888" t="n">
        <v>98.5</v>
      </c>
      <c r="AE1888" t="inlineStr">
        <is>
          <t>16</t>
        </is>
      </c>
      <c r="AF1888" t="n">
        <v>82.90000000000001</v>
      </c>
      <c r="AG1888" t="inlineStr">
        <is>
          <t>146</t>
        </is>
      </c>
      <c r="AH1888" t="n">
        <v>92.7</v>
      </c>
      <c r="AI1888" t="inlineStr">
        <is>
          <t>39=</t>
        </is>
      </c>
      <c r="AJ1888" t="inlineStr">
        <is>
          <t>58.9</t>
        </is>
      </c>
      <c r="AK1888" t="inlineStr">
        <is>
          <t>128</t>
        </is>
      </c>
      <c r="AL1888" t="inlineStr">
        <is>
          <t>99.1</t>
        </is>
      </c>
      <c r="AM1888" t="inlineStr">
        <is>
          <t>13</t>
        </is>
      </c>
      <c r="AN1888" t="inlineStr">
        <is>
          <t>99.8</t>
        </is>
      </c>
      <c r="AO1888" t="inlineStr">
        <is>
          <t>25</t>
        </is>
      </c>
      <c r="AP1888" t="inlineStr">
        <is>
          <t>45.8</t>
        </is>
      </c>
      <c r="AQ1888" t="inlineStr">
        <is>
          <t>294</t>
        </is>
      </c>
      <c r="AR1888" t="inlineStr">
        <is>
          <t>39.1</t>
        </is>
      </c>
      <c r="AS1888" t="inlineStr">
        <is>
          <t>416</t>
        </is>
      </c>
      <c r="AT1888" t="inlineStr">
        <is>
          <t>60.8</t>
        </is>
      </c>
      <c r="AU1888" t="inlineStr">
        <is>
          <t>244</t>
        </is>
      </c>
      <c r="AV1888" t="inlineStr">
        <is>
          <t>98.7</t>
        </is>
      </c>
      <c r="AW1888" t="inlineStr">
        <is>
          <t>17</t>
        </is>
      </c>
      <c r="AX1888" t="inlineStr">
        <is>
          <t>34.3</t>
        </is>
      </c>
      <c r="AY1888" t="inlineStr">
        <is>
          <t>224</t>
        </is>
      </c>
      <c r="AZ1888" t="inlineStr">
        <is>
          <t>73.6</t>
        </is>
      </c>
      <c r="BA1888" t="inlineStr">
        <is>
          <t>182=</t>
        </is>
      </c>
    </row>
    <row r="1889">
      <c r="A1889" t="inlineStr">
        <is>
          <t>Université Paul Sabatier Toulouse III</t>
        </is>
      </c>
      <c r="B1889" t="inlineStr">
        <is>
          <t>France</t>
        </is>
      </c>
      <c r="C1889" t="inlineStr">
        <is>
          <t>FR</t>
        </is>
      </c>
      <c r="D1889" t="inlineStr">
        <is>
          <t>Europe</t>
        </is>
      </c>
      <c r="E1889" t="inlineStr">
        <is>
          <t>L</t>
        </is>
      </c>
      <c r="F1889" t="inlineStr">
        <is>
          <t>FO</t>
        </is>
      </c>
      <c r="G1889" t="inlineStr">
        <is>
          <t>VH</t>
        </is>
      </c>
      <c r="H1889" t="inlineStr">
        <is>
          <t>5</t>
        </is>
      </c>
      <c r="I1889" t="inlineStr">
        <is>
          <t>Public</t>
        </is>
      </c>
      <c r="J1889" t="inlineStr">
        <is>
          <t>587</t>
        </is>
      </c>
      <c r="K1889" t="inlineStr">
        <is>
          <t>580</t>
        </is>
      </c>
      <c r="L1889">
        <f>511</f>
        <v/>
      </c>
      <c r="M1889" t="inlineStr">
        <is>
          <t>581-590</t>
        </is>
      </c>
      <c r="N1889" t="inlineStr">
        <is>
          <t>28.6</t>
        </is>
      </c>
      <c r="O1889" t="inlineStr">
        <is>
          <t>22.8</t>
        </is>
      </c>
      <c r="P1889" t="n">
        <v>24.6</v>
      </c>
      <c r="Q1889" t="inlineStr">
        <is>
          <t>519</t>
        </is>
      </c>
      <c r="R1889" t="n">
        <v>4.4</v>
      </c>
      <c r="S1889" t="inlineStr">
        <is>
          <t>701+</t>
        </is>
      </c>
      <c r="T1889" t="n">
        <v>45.5</v>
      </c>
      <c r="U1889" t="inlineStr">
        <is>
          <t>432</t>
        </is>
      </c>
      <c r="V1889" t="n">
        <v>36.4</v>
      </c>
      <c r="W1889" t="inlineStr">
        <is>
          <t>514</t>
        </is>
      </c>
      <c r="X1889" t="n">
        <v>6.9</v>
      </c>
      <c r="Y1889" t="inlineStr">
        <is>
          <t>801+</t>
        </is>
      </c>
      <c r="Z1889" t="n">
        <v>33.2</v>
      </c>
      <c r="AA1889" t="inlineStr">
        <is>
          <t>557</t>
        </is>
      </c>
      <c r="AB1889" t="n">
        <v>24.8</v>
      </c>
      <c r="AC1889" t="inlineStr">
        <is>
          <t>687</t>
        </is>
      </c>
      <c r="AD1889" t="n">
        <v>98.09999999999999</v>
      </c>
      <c r="AE1889" t="inlineStr">
        <is>
          <t>21</t>
        </is>
      </c>
      <c r="AF1889" t="n">
        <v>9.300000000000001</v>
      </c>
      <c r="AG1889" t="inlineStr">
        <is>
          <t>801+</t>
        </is>
      </c>
      <c r="AH1889" t="n">
        <v>50.4</v>
      </c>
      <c r="AI1889" t="inlineStr">
        <is>
          <t>696=</t>
        </is>
      </c>
      <c r="AJ1889" t="inlineStr">
        <is>
          <t>18.4</t>
        </is>
      </c>
      <c r="AK1889" t="inlineStr">
        <is>
          <t>485</t>
        </is>
      </c>
      <c r="AL1889" t="inlineStr">
        <is>
          <t>3.4</t>
        </is>
      </c>
      <c r="AM1889" t="inlineStr">
        <is>
          <t>601+</t>
        </is>
      </c>
      <c r="AN1889" t="inlineStr">
        <is>
          <t>40.4</t>
        </is>
      </c>
      <c r="AO1889" t="inlineStr">
        <is>
          <t>388</t>
        </is>
      </c>
      <c r="AP1889" t="inlineStr">
        <is>
          <t>24.8</t>
        </is>
      </c>
      <c r="AQ1889" t="inlineStr">
        <is>
          <t>493</t>
        </is>
      </c>
      <c r="AR1889" t="inlineStr">
        <is>
          <t>5.5</t>
        </is>
      </c>
      <c r="AS1889" t="inlineStr">
        <is>
          <t>701+</t>
        </is>
      </c>
      <c r="AT1889" t="inlineStr">
        <is>
          <t>23.5</t>
        </is>
      </c>
      <c r="AU1889" t="inlineStr">
        <is>
          <t>493</t>
        </is>
      </c>
      <c r="AV1889" t="inlineStr">
        <is>
          <t>98.2</t>
        </is>
      </c>
      <c r="AW1889" t="inlineStr">
        <is>
          <t>20</t>
        </is>
      </c>
      <c r="AX1889" t="inlineStr">
        <is>
          <t>7.4</t>
        </is>
      </c>
      <c r="AY1889" t="inlineStr">
        <is>
          <t>701+</t>
        </is>
      </c>
      <c r="AZ1889" t="inlineStr">
        <is>
          <t>21.8</t>
        </is>
      </c>
      <c r="BA1889" t="inlineStr">
        <is>
          <t>524=</t>
        </is>
      </c>
    </row>
    <row r="1890">
      <c r="A1890" t="inlineStr">
        <is>
          <t>Université Paul-Valéry Montpellier 3</t>
        </is>
      </c>
      <c r="B1890" t="inlineStr">
        <is>
          <t>France</t>
        </is>
      </c>
      <c r="C1890" t="inlineStr"/>
      <c r="D1890" t="inlineStr">
        <is>
          <t>Europe</t>
        </is>
      </c>
      <c r="E1890" t="inlineStr">
        <is>
          <t>L</t>
        </is>
      </c>
      <c r="F1890" t="inlineStr">
        <is>
          <t>FO</t>
        </is>
      </c>
      <c r="G1890" t="inlineStr">
        <is>
          <t>VH</t>
        </is>
      </c>
      <c r="H1890" t="inlineStr"/>
      <c r="I1890" t="inlineStr">
        <is>
          <t>Public</t>
        </is>
      </c>
      <c r="J1890" t="inlineStr">
        <is>
          <t>1201-1400</t>
        </is>
      </c>
      <c r="K1890" t="inlineStr">
        <is>
          <t>1001-1200</t>
        </is>
      </c>
      <c r="L1890" t="inlineStr"/>
      <c r="M1890" t="inlineStr"/>
      <c r="N1890" t="inlineStr">
        <is>
          <t>-</t>
        </is>
      </c>
      <c r="O1890" t="inlineStr"/>
      <c r="P1890" t="n">
        <v>14.9</v>
      </c>
      <c r="Q1890" t="inlineStr">
        <is>
          <t>701+</t>
        </is>
      </c>
      <c r="R1890" t="n">
        <v>6.1</v>
      </c>
      <c r="S1890" t="inlineStr">
        <is>
          <t>701+</t>
        </is>
      </c>
      <c r="T1890" t="n">
        <v>4</v>
      </c>
      <c r="U1890" t="inlineStr">
        <is>
          <t>801+</t>
        </is>
      </c>
      <c r="V1890" t="n">
        <v>8.699999999999999</v>
      </c>
      <c r="W1890" t="inlineStr">
        <is>
          <t>801+</t>
        </is>
      </c>
      <c r="X1890" t="n">
        <v>6.8</v>
      </c>
      <c r="Y1890" t="inlineStr">
        <is>
          <t>801+</t>
        </is>
      </c>
      <c r="Z1890" t="n">
        <v>45.3</v>
      </c>
      <c r="AA1890" t="inlineStr">
        <is>
          <t>446</t>
        </is>
      </c>
      <c r="AB1890" t="n">
        <v>33.9</v>
      </c>
      <c r="AC1890" t="inlineStr">
        <is>
          <t>565</t>
        </is>
      </c>
      <c r="AD1890" t="n">
        <v>50.9</v>
      </c>
      <c r="AE1890" t="inlineStr">
        <is>
          <t>801+</t>
        </is>
      </c>
      <c r="AF1890" t="n">
        <v>2.4</v>
      </c>
      <c r="AG1890" t="inlineStr">
        <is>
          <t>801+</t>
        </is>
      </c>
      <c r="AH1890" t="n">
        <v>36.3</v>
      </c>
      <c r="AI1890" t="inlineStr">
        <is>
          <t>801+</t>
        </is>
      </c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</row>
    <row r="1891">
      <c r="A1891" t="inlineStr">
        <is>
          <t>Université PSL</t>
        </is>
      </c>
      <c r="B1891" t="inlineStr">
        <is>
          <t>France</t>
        </is>
      </c>
      <c r="C1891" t="inlineStr">
        <is>
          <t>FR</t>
        </is>
      </c>
      <c r="D1891" t="inlineStr"/>
      <c r="E1891" t="inlineStr">
        <is>
          <t>L</t>
        </is>
      </c>
      <c r="F1891" t="inlineStr">
        <is>
          <t>CO</t>
        </is>
      </c>
      <c r="G1891" t="inlineStr">
        <is>
          <t>VH</t>
        </is>
      </c>
      <c r="H1891" t="inlineStr">
        <is>
          <t>1</t>
        </is>
      </c>
      <c r="I1891" t="inlineStr">
        <is>
          <t>A</t>
        </is>
      </c>
      <c r="J1891" t="inlineStr"/>
      <c r="K1891" t="inlineStr"/>
      <c r="L1891" t="inlineStr">
        <is>
          <t>24</t>
        </is>
      </c>
      <c r="M1891" t="inlineStr">
        <is>
          <t>26</t>
        </is>
      </c>
      <c r="N1891" t="inlineStr"/>
      <c r="O1891" t="inlineStr">
        <is>
          <t>85.8</t>
        </is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>
        <is>
          <t>73.7</t>
        </is>
      </c>
      <c r="AK1891" t="inlineStr">
        <is>
          <t>82</t>
        </is>
      </c>
      <c r="AL1891" t="inlineStr">
        <is>
          <t>97.0</t>
        </is>
      </c>
      <c r="AM1891" t="inlineStr">
        <is>
          <t>25</t>
        </is>
      </c>
      <c r="AN1891" t="inlineStr">
        <is>
          <t>99.3</t>
        </is>
      </c>
      <c r="AO1891" t="inlineStr">
        <is>
          <t>33</t>
        </is>
      </c>
      <c r="AP1891" t="inlineStr">
        <is>
          <t>95.7</t>
        </is>
      </c>
      <c r="AQ1891" t="inlineStr">
        <is>
          <t>49</t>
        </is>
      </c>
      <c r="AR1891" t="inlineStr">
        <is>
          <t>69.2</t>
        </is>
      </c>
      <c r="AS1891" t="inlineStr">
        <is>
          <t>280</t>
        </is>
      </c>
      <c r="AT1891" t="inlineStr">
        <is>
          <t>72.7</t>
        </is>
      </c>
      <c r="AU1891" t="inlineStr">
        <is>
          <t>196</t>
        </is>
      </c>
      <c r="AV1891" t="inlineStr">
        <is>
          <t>100.0</t>
        </is>
      </c>
      <c r="AW1891" t="inlineStr">
        <is>
          <t>3</t>
        </is>
      </c>
      <c r="AX1891" t="inlineStr">
        <is>
          <t>60.8</t>
        </is>
      </c>
      <c r="AY1891" t="inlineStr">
        <is>
          <t>97</t>
        </is>
      </c>
      <c r="AZ1891" t="inlineStr">
        <is>
          <t>80.4</t>
        </is>
      </c>
      <c r="BA1891" t="inlineStr">
        <is>
          <t>146=</t>
        </is>
      </c>
    </row>
    <row r="1892">
      <c r="A1892" t="inlineStr">
        <is>
          <t>Université Sorbonne Paris Nord</t>
        </is>
      </c>
      <c r="B1892" t="inlineStr">
        <is>
          <t>France</t>
        </is>
      </c>
      <c r="C1892" t="inlineStr">
        <is>
          <t>FR</t>
        </is>
      </c>
      <c r="D1892" t="inlineStr">
        <is>
          <t>Europe</t>
        </is>
      </c>
      <c r="E1892" t="inlineStr">
        <is>
          <t>L</t>
        </is>
      </c>
      <c r="F1892" t="inlineStr">
        <is>
          <t>FO</t>
        </is>
      </c>
      <c r="G1892" t="inlineStr">
        <is>
          <t>VH</t>
        </is>
      </c>
      <c r="H1892" t="inlineStr"/>
      <c r="I1892" t="inlineStr"/>
      <c r="J1892" t="inlineStr">
        <is>
          <t>1001-1200</t>
        </is>
      </c>
      <c r="K1892" t="inlineStr">
        <is>
          <t>951-1000</t>
        </is>
      </c>
      <c r="L1892" t="inlineStr">
        <is>
          <t>1401+</t>
        </is>
      </c>
      <c r="M1892" t="inlineStr"/>
      <c r="N1892" t="inlineStr">
        <is>
          <t>-</t>
        </is>
      </c>
      <c r="O1892" t="inlineStr">
        <is>
          <t>-</t>
        </is>
      </c>
      <c r="P1892" t="n">
        <v>14</v>
      </c>
      <c r="Q1892" t="inlineStr">
        <is>
          <t>701+</t>
        </is>
      </c>
      <c r="R1892" t="n">
        <v>7.9</v>
      </c>
      <c r="S1892" t="inlineStr">
        <is>
          <t>701+</t>
        </is>
      </c>
      <c r="T1892" t="n">
        <v>6</v>
      </c>
      <c r="U1892" t="inlineStr">
        <is>
          <t>801+</t>
        </is>
      </c>
      <c r="V1892" t="n">
        <v>37.6</v>
      </c>
      <c r="W1892" t="inlineStr">
        <is>
          <t>496</t>
        </is>
      </c>
      <c r="X1892" t="inlineStr"/>
      <c r="Y1892" t="inlineStr"/>
      <c r="Z1892" t="inlineStr"/>
      <c r="AA1892" t="inlineStr"/>
      <c r="AB1892" t="inlineStr"/>
      <c r="AC1892" t="inlineStr"/>
      <c r="AD1892" t="n">
        <v>57.2</v>
      </c>
      <c r="AE1892" t="inlineStr">
        <is>
          <t>729</t>
        </is>
      </c>
      <c r="AF1892" t="n">
        <v>6.9</v>
      </c>
      <c r="AG1892" t="inlineStr">
        <is>
          <t>801+</t>
        </is>
      </c>
      <c r="AH1892" t="n">
        <v>33.5</v>
      </c>
      <c r="AI1892" t="inlineStr">
        <is>
          <t>801+</t>
        </is>
      </c>
      <c r="AJ1892" t="inlineStr">
        <is>
          <t>9.5</t>
        </is>
      </c>
      <c r="AK1892" t="inlineStr">
        <is>
          <t>601+</t>
        </is>
      </c>
      <c r="AL1892" t="inlineStr">
        <is>
          <t>5.1</t>
        </is>
      </c>
      <c r="AM1892" t="inlineStr">
        <is>
          <t>601+</t>
        </is>
      </c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>
        <is>
          <t>14.3</t>
        </is>
      </c>
      <c r="AW1892" t="inlineStr">
        <is>
          <t>611</t>
        </is>
      </c>
      <c r="AX1892" t="inlineStr"/>
      <c r="AY1892" t="inlineStr"/>
      <c r="AZ1892" t="inlineStr"/>
      <c r="BA1892" t="inlineStr"/>
    </row>
    <row r="1893">
      <c r="A1893" t="inlineStr">
        <is>
          <t>Université Toulouse 1, Capitole</t>
        </is>
      </c>
      <c r="B1893" t="inlineStr">
        <is>
          <t>France</t>
        </is>
      </c>
      <c r="C1893" t="inlineStr">
        <is>
          <t>FR</t>
        </is>
      </c>
      <c r="D1893" t="inlineStr">
        <is>
          <t>Europe</t>
        </is>
      </c>
      <c r="E1893" t="inlineStr">
        <is>
          <t>L</t>
        </is>
      </c>
      <c r="F1893" t="inlineStr">
        <is>
          <t>FO</t>
        </is>
      </c>
      <c r="G1893" t="inlineStr">
        <is>
          <t>VH</t>
        </is>
      </c>
      <c r="H1893" t="inlineStr">
        <is>
          <t>5</t>
        </is>
      </c>
      <c r="I1893" t="inlineStr">
        <is>
          <t>Public</t>
        </is>
      </c>
      <c r="J1893" t="inlineStr">
        <is>
          <t>1001-1200</t>
        </is>
      </c>
      <c r="K1893" t="inlineStr">
        <is>
          <t>951-1000</t>
        </is>
      </c>
      <c r="L1893" t="inlineStr">
        <is>
          <t>951-1000</t>
        </is>
      </c>
      <c r="M1893" t="inlineStr">
        <is>
          <t>1001-1200</t>
        </is>
      </c>
      <c r="N1893" t="inlineStr">
        <is>
          <t>-</t>
        </is>
      </c>
      <c r="O1893" t="inlineStr">
        <is>
          <t>-</t>
        </is>
      </c>
      <c r="P1893" t="n">
        <v>18.3</v>
      </c>
      <c r="Q1893" t="inlineStr">
        <is>
          <t>667</t>
        </is>
      </c>
      <c r="R1893" t="n">
        <v>8.699999999999999</v>
      </c>
      <c r="S1893" t="inlineStr">
        <is>
          <t>701+</t>
        </is>
      </c>
      <c r="T1893" t="n">
        <v>2.2</v>
      </c>
      <c r="U1893" t="inlineStr">
        <is>
          <t>801+</t>
        </is>
      </c>
      <c r="V1893" t="n">
        <v>10.1</v>
      </c>
      <c r="W1893" t="inlineStr">
        <is>
          <t>801+</t>
        </is>
      </c>
      <c r="X1893" t="n">
        <v>32.1</v>
      </c>
      <c r="Y1893" t="inlineStr">
        <is>
          <t>562</t>
        </is>
      </c>
      <c r="Z1893" t="n">
        <v>63</v>
      </c>
      <c r="AA1893" t="inlineStr">
        <is>
          <t>320</t>
        </is>
      </c>
      <c r="AB1893" t="n">
        <v>46.9</v>
      </c>
      <c r="AC1893" t="inlineStr">
        <is>
          <t>442</t>
        </is>
      </c>
      <c r="AD1893" t="n">
        <v>52.2</v>
      </c>
      <c r="AE1893" t="inlineStr">
        <is>
          <t>801+</t>
        </is>
      </c>
      <c r="AF1893" t="n">
        <v>7.9</v>
      </c>
      <c r="AG1893" t="inlineStr">
        <is>
          <t>801+</t>
        </is>
      </c>
      <c r="AH1893" t="n">
        <v>33</v>
      </c>
      <c r="AI1893" t="inlineStr">
        <is>
          <t>801+</t>
        </is>
      </c>
      <c r="AJ1893" t="inlineStr">
        <is>
          <t>14.0</t>
        </is>
      </c>
      <c r="AK1893" t="inlineStr">
        <is>
          <t>601+</t>
        </is>
      </c>
      <c r="AL1893" t="inlineStr">
        <is>
          <t>3.0</t>
        </is>
      </c>
      <c r="AM1893" t="inlineStr">
        <is>
          <t>601+</t>
        </is>
      </c>
      <c r="AN1893" t="inlineStr">
        <is>
          <t>1.5</t>
        </is>
      </c>
      <c r="AO1893" t="inlineStr">
        <is>
          <t>701+</t>
        </is>
      </c>
      <c r="AP1893" t="inlineStr">
        <is>
          <t>5.4</t>
        </is>
      </c>
      <c r="AQ1893" t="inlineStr">
        <is>
          <t>701+</t>
        </is>
      </c>
      <c r="AR1893" t="inlineStr">
        <is>
          <t>29.4</t>
        </is>
      </c>
      <c r="AS1893" t="inlineStr">
        <is>
          <t>493</t>
        </is>
      </c>
      <c r="AT1893" t="inlineStr">
        <is>
          <t>52.3</t>
        </is>
      </c>
      <c r="AU1893" t="inlineStr">
        <is>
          <t>276</t>
        </is>
      </c>
      <c r="AV1893" t="inlineStr">
        <is>
          <t>13.6</t>
        </is>
      </c>
      <c r="AW1893" t="inlineStr">
        <is>
          <t>615</t>
        </is>
      </c>
      <c r="AX1893" t="inlineStr">
        <is>
          <t>6.4</t>
        </is>
      </c>
      <c r="AY1893" t="inlineStr">
        <is>
          <t>701+</t>
        </is>
      </c>
      <c r="AZ1893" t="inlineStr">
        <is>
          <t>1</t>
        </is>
      </c>
      <c r="BA1893" t="inlineStr">
        <is>
          <t>701+</t>
        </is>
      </c>
    </row>
    <row r="1894">
      <c r="A1894" t="inlineStr">
        <is>
          <t>Uppsala University</t>
        </is>
      </c>
      <c r="B1894" t="inlineStr">
        <is>
          <t>Sweden</t>
        </is>
      </c>
      <c r="C1894" t="inlineStr">
        <is>
          <t>SE</t>
        </is>
      </c>
      <c r="D1894" t="inlineStr">
        <is>
          <t>Europe</t>
        </is>
      </c>
      <c r="E1894" t="inlineStr">
        <is>
          <t>L</t>
        </is>
      </c>
      <c r="F1894" t="inlineStr">
        <is>
          <t>FC</t>
        </is>
      </c>
      <c r="G1894" t="inlineStr">
        <is>
          <t>VH</t>
        </is>
      </c>
      <c r="H1894" t="inlineStr">
        <is>
          <t>5</t>
        </is>
      </c>
      <c r="I1894" t="inlineStr">
        <is>
          <t>Public</t>
        </is>
      </c>
      <c r="J1894" t="inlineStr">
        <is>
          <t>93</t>
        </is>
      </c>
      <c r="K1894" t="inlineStr">
        <is>
          <t>103</t>
        </is>
      </c>
      <c r="L1894" t="inlineStr">
        <is>
          <t>105</t>
        </is>
      </c>
      <c r="M1894" t="inlineStr">
        <is>
          <t>128</t>
        </is>
      </c>
      <c r="N1894" t="inlineStr">
        <is>
          <t>70.3</t>
        </is>
      </c>
      <c r="O1894" t="inlineStr">
        <is>
          <t>59.4</t>
        </is>
      </c>
      <c r="P1894" t="n">
        <v>74.7</v>
      </c>
      <c r="Q1894" t="inlineStr">
        <is>
          <t>113</t>
        </is>
      </c>
      <c r="R1894" t="n">
        <v>48.1</v>
      </c>
      <c r="S1894" t="inlineStr">
        <is>
          <t>268</t>
        </is>
      </c>
      <c r="T1894" t="n">
        <v>66.3</v>
      </c>
      <c r="U1894" t="inlineStr">
        <is>
          <t>260</t>
        </is>
      </c>
      <c r="V1894" t="n">
        <v>55.9</v>
      </c>
      <c r="W1894" t="inlineStr">
        <is>
          <t>318</t>
        </is>
      </c>
      <c r="X1894" t="n">
        <v>99.7</v>
      </c>
      <c r="Y1894" t="inlineStr">
        <is>
          <t>106</t>
        </is>
      </c>
      <c r="Z1894" t="n">
        <v>82.90000000000001</v>
      </c>
      <c r="AA1894" t="inlineStr">
        <is>
          <t>207</t>
        </is>
      </c>
      <c r="AB1894" t="n">
        <v>84.5</v>
      </c>
      <c r="AC1894" t="inlineStr">
        <is>
          <t>174</t>
        </is>
      </c>
      <c r="AD1894" t="n">
        <v>95.90000000000001</v>
      </c>
      <c r="AE1894" t="inlineStr">
        <is>
          <t>60</t>
        </is>
      </c>
      <c r="AF1894" t="n">
        <v>82.90000000000001</v>
      </c>
      <c r="AG1894" t="inlineStr">
        <is>
          <t>145</t>
        </is>
      </c>
      <c r="AH1894" t="n">
        <v>94.40000000000001</v>
      </c>
      <c r="AI1894" t="inlineStr">
        <is>
          <t>26</t>
        </is>
      </c>
      <c r="AJ1894" t="inlineStr">
        <is>
          <t>62.7</t>
        </is>
      </c>
      <c r="AK1894" t="inlineStr">
        <is>
          <t>111</t>
        </is>
      </c>
      <c r="AL1894" t="inlineStr">
        <is>
          <t>30.5</t>
        </is>
      </c>
      <c r="AM1894" t="inlineStr">
        <is>
          <t>320</t>
        </is>
      </c>
      <c r="AN1894" t="inlineStr">
        <is>
          <t>47.7</t>
        </is>
      </c>
      <c r="AO1894" t="inlineStr">
        <is>
          <t>330</t>
        </is>
      </c>
      <c r="AP1894" t="inlineStr">
        <is>
          <t>45.6</t>
        </is>
      </c>
      <c r="AQ1894" t="inlineStr">
        <is>
          <t>296</t>
        </is>
      </c>
      <c r="AR1894" t="inlineStr">
        <is>
          <t>98.3</t>
        </is>
      </c>
      <c r="AS1894" t="inlineStr">
        <is>
          <t>108</t>
        </is>
      </c>
      <c r="AT1894" t="inlineStr">
        <is>
          <t>82.4</t>
        </is>
      </c>
      <c r="AU1894" t="inlineStr">
        <is>
          <t>152</t>
        </is>
      </c>
      <c r="AV1894" t="inlineStr">
        <is>
          <t>95.5</t>
        </is>
      </c>
      <c r="AW1894" t="inlineStr">
        <is>
          <t>47</t>
        </is>
      </c>
      <c r="AX1894" t="inlineStr">
        <is>
          <t>58.2</t>
        </is>
      </c>
      <c r="AY1894" t="inlineStr">
        <is>
          <t>105</t>
        </is>
      </c>
      <c r="AZ1894" t="inlineStr">
        <is>
          <t>99.4</t>
        </is>
      </c>
      <c r="BA1894" t="inlineStr">
        <is>
          <t>12</t>
        </is>
      </c>
    </row>
    <row r="1895">
      <c r="A1895" t="inlineStr">
        <is>
          <t>Ural Federal University</t>
        </is>
      </c>
      <c r="B1895" t="inlineStr">
        <is>
          <t>Russia</t>
        </is>
      </c>
      <c r="C1895" t="inlineStr"/>
      <c r="D1895" t="inlineStr">
        <is>
          <t>Europe</t>
        </is>
      </c>
      <c r="E1895" t="inlineStr">
        <is>
          <t>XL</t>
        </is>
      </c>
      <c r="F1895" t="inlineStr">
        <is>
          <t>CO</t>
        </is>
      </c>
      <c r="G1895" t="inlineStr">
        <is>
          <t>VH</t>
        </is>
      </c>
      <c r="H1895" t="inlineStr"/>
      <c r="I1895" t="inlineStr">
        <is>
          <t>Public</t>
        </is>
      </c>
      <c r="J1895" t="inlineStr">
        <is>
          <t>519</t>
        </is>
      </c>
      <c r="K1895" t="inlineStr">
        <is>
          <t>516</t>
        </is>
      </c>
      <c r="L1895" t="inlineStr"/>
      <c r="M1895" t="inlineStr"/>
      <c r="N1895" t="inlineStr">
        <is>
          <t>31.3</t>
        </is>
      </c>
      <c r="O1895" t="inlineStr"/>
      <c r="P1895" t="n">
        <v>25.8</v>
      </c>
      <c r="Q1895" t="inlineStr">
        <is>
          <t>488</t>
        </is>
      </c>
      <c r="R1895" t="n">
        <v>24.7</v>
      </c>
      <c r="S1895" t="inlineStr">
        <is>
          <t>544</t>
        </is>
      </c>
      <c r="T1895" t="n">
        <v>98.2</v>
      </c>
      <c r="U1895" t="inlineStr">
        <is>
          <t>53</t>
        </is>
      </c>
      <c r="V1895" t="n">
        <v>3.5</v>
      </c>
      <c r="W1895" t="inlineStr">
        <is>
          <t>801+</t>
        </is>
      </c>
      <c r="X1895" t="n">
        <v>8.699999999999999</v>
      </c>
      <c r="Y1895" t="inlineStr">
        <is>
          <t>801+</t>
        </is>
      </c>
      <c r="Z1895" t="n">
        <v>49.3</v>
      </c>
      <c r="AA1895" t="inlineStr">
        <is>
          <t>412</t>
        </is>
      </c>
      <c r="AB1895" t="n">
        <v>54.1</v>
      </c>
      <c r="AC1895" t="inlineStr">
        <is>
          <t>379</t>
        </is>
      </c>
      <c r="AD1895" t="n">
        <v>91</v>
      </c>
      <c r="AE1895" t="inlineStr">
        <is>
          <t>158</t>
        </is>
      </c>
      <c r="AF1895" t="n">
        <v>5.6</v>
      </c>
      <c r="AG1895" t="inlineStr">
        <is>
          <t>801+</t>
        </is>
      </c>
      <c r="AH1895" t="n">
        <v>54.4</v>
      </c>
      <c r="AI1895" t="inlineStr">
        <is>
          <t>613=</t>
        </is>
      </c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</row>
    <row r="1896">
      <c r="A1896" t="inlineStr">
        <is>
          <t>Ural Federal University - UrFU</t>
        </is>
      </c>
      <c r="B1896" t="inlineStr">
        <is>
          <t>Russia</t>
        </is>
      </c>
      <c r="C1896" t="inlineStr">
        <is>
          <t>RU</t>
        </is>
      </c>
      <c r="D1896" t="inlineStr"/>
      <c r="E1896" t="inlineStr">
        <is>
          <t>XL</t>
        </is>
      </c>
      <c r="F1896" t="inlineStr">
        <is>
          <t>CO</t>
        </is>
      </c>
      <c r="G1896" t="inlineStr">
        <is>
          <t>VH</t>
        </is>
      </c>
      <c r="H1896" t="inlineStr">
        <is>
          <t>5</t>
        </is>
      </c>
      <c r="I1896" t="inlineStr">
        <is>
          <t>A</t>
        </is>
      </c>
      <c r="J1896" t="inlineStr"/>
      <c r="K1896" t="inlineStr"/>
      <c r="L1896">
        <f>473</f>
        <v/>
      </c>
      <c r="M1896" t="inlineStr">
        <is>
          <t>335=</t>
        </is>
      </c>
      <c r="N1896" t="inlineStr"/>
      <c r="O1896" t="inlineStr">
        <is>
          <t>24.4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>
        <is>
          <t>21.3</t>
        </is>
      </c>
      <c r="AK1896" t="inlineStr">
        <is>
          <t>410</t>
        </is>
      </c>
      <c r="AL1896" t="inlineStr">
        <is>
          <t>13.3</t>
        </is>
      </c>
      <c r="AM1896" t="inlineStr">
        <is>
          <t>601+</t>
        </is>
      </c>
      <c r="AN1896" t="inlineStr">
        <is>
          <t>93.2</t>
        </is>
      </c>
      <c r="AO1896" t="inlineStr">
        <is>
          <t>70</t>
        </is>
      </c>
      <c r="AP1896" t="inlineStr">
        <is>
          <t>2.1</t>
        </is>
      </c>
      <c r="AQ1896" t="inlineStr">
        <is>
          <t>701+</t>
        </is>
      </c>
      <c r="AR1896" t="inlineStr">
        <is>
          <t>5.7</t>
        </is>
      </c>
      <c r="AS1896" t="inlineStr">
        <is>
          <t>701+</t>
        </is>
      </c>
      <c r="AT1896" t="inlineStr">
        <is>
          <t>25.8</t>
        </is>
      </c>
      <c r="AU1896" t="inlineStr">
        <is>
          <t>465</t>
        </is>
      </c>
      <c r="AV1896" t="inlineStr">
        <is>
          <t>63.3</t>
        </is>
      </c>
      <c r="AW1896" t="inlineStr">
        <is>
          <t>225</t>
        </is>
      </c>
      <c r="AX1896" t="inlineStr">
        <is>
          <t>7.4</t>
        </is>
      </c>
      <c r="AY1896" t="inlineStr">
        <is>
          <t>701+</t>
        </is>
      </c>
      <c r="AZ1896" t="inlineStr">
        <is>
          <t>24.8</t>
        </is>
      </c>
      <c r="BA1896" t="inlineStr">
        <is>
          <t>490=</t>
        </is>
      </c>
    </row>
    <row r="1897">
      <c r="A1897" t="inlineStr">
        <is>
          <t>USI - Università della Svizzera italiana</t>
        </is>
      </c>
      <c r="B1897" t="inlineStr">
        <is>
          <t>Switzerland</t>
        </is>
      </c>
      <c r="C1897" t="inlineStr">
        <is>
          <t>CH</t>
        </is>
      </c>
      <c r="D1897" t="inlineStr"/>
      <c r="E1897" t="inlineStr">
        <is>
          <t>S</t>
        </is>
      </c>
      <c r="F1897" t="inlineStr">
        <is>
          <t>FO</t>
        </is>
      </c>
      <c r="G1897" t="inlineStr">
        <is>
          <t>VH</t>
        </is>
      </c>
      <c r="H1897" t="inlineStr">
        <is>
          <t>3</t>
        </is>
      </c>
      <c r="I1897" t="inlineStr">
        <is>
          <t>A</t>
        </is>
      </c>
      <c r="J1897" t="inlineStr"/>
      <c r="K1897" t="inlineStr"/>
      <c r="L1897">
        <f>328</f>
        <v/>
      </c>
      <c r="M1897" t="inlineStr">
        <is>
          <t>240=</t>
        </is>
      </c>
      <c r="N1897" t="inlineStr"/>
      <c r="O1897" t="inlineStr">
        <is>
          <t>32.6</t>
        </is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>
        <is>
          <t>5.8</t>
        </is>
      </c>
      <c r="AK1897" t="inlineStr">
        <is>
          <t>601+</t>
        </is>
      </c>
      <c r="AL1897" t="inlineStr">
        <is>
          <t>3.9</t>
        </is>
      </c>
      <c r="AM1897" t="inlineStr">
        <is>
          <t>601+</t>
        </is>
      </c>
      <c r="AN1897" t="inlineStr">
        <is>
          <t>82.9</t>
        </is>
      </c>
      <c r="AO1897" t="inlineStr">
        <is>
          <t>120</t>
        </is>
      </c>
      <c r="AP1897" t="inlineStr">
        <is>
          <t>56.4</t>
        </is>
      </c>
      <c r="AQ1897" t="inlineStr">
        <is>
          <t>229</t>
        </is>
      </c>
      <c r="AR1897" t="inlineStr">
        <is>
          <t>100.0</t>
        </is>
      </c>
      <c r="AS1897" t="inlineStr">
        <is>
          <t>23</t>
        </is>
      </c>
      <c r="AT1897" t="inlineStr">
        <is>
          <t>100.0</t>
        </is>
      </c>
      <c r="AU1897" t="inlineStr">
        <is>
          <t>11</t>
        </is>
      </c>
      <c r="AV1897" t="inlineStr">
        <is>
          <t>4.2</t>
        </is>
      </c>
      <c r="AW1897" t="inlineStr">
        <is>
          <t>701+</t>
        </is>
      </c>
      <c r="AX1897" t="inlineStr">
        <is>
          <t>7.9</t>
        </is>
      </c>
      <c r="AY1897" t="inlineStr">
        <is>
          <t>701+</t>
        </is>
      </c>
      <c r="AZ1897" t="inlineStr">
        <is>
          <t>1.2</t>
        </is>
      </c>
      <c r="BA1897" t="inlineStr">
        <is>
          <t>701+</t>
        </is>
      </c>
    </row>
    <row r="1898">
      <c r="A1898" t="inlineStr">
        <is>
          <t>Utah State University</t>
        </is>
      </c>
      <c r="B1898" t="inlineStr">
        <is>
          <t>United States</t>
        </is>
      </c>
      <c r="C1898" t="inlineStr">
        <is>
          <t>US</t>
        </is>
      </c>
      <c r="D1898" t="inlineStr">
        <is>
          <t>Americas</t>
        </is>
      </c>
      <c r="E1898" t="inlineStr">
        <is>
          <t>L</t>
        </is>
      </c>
      <c r="F1898" t="inlineStr">
        <is>
          <t>CO</t>
        </is>
      </c>
      <c r="G1898" t="inlineStr">
        <is>
          <t>VH</t>
        </is>
      </c>
      <c r="H1898" t="inlineStr">
        <is>
          <t>5</t>
        </is>
      </c>
      <c r="I1898" t="inlineStr">
        <is>
          <t>Public</t>
        </is>
      </c>
      <c r="J1898" t="inlineStr">
        <is>
          <t>1001-1200</t>
        </is>
      </c>
      <c r="K1898" t="inlineStr">
        <is>
          <t>1001-1200</t>
        </is>
      </c>
      <c r="L1898" t="inlineStr">
        <is>
          <t>1001-1200</t>
        </is>
      </c>
      <c r="M1898" t="inlineStr">
        <is>
          <t>1001-1200</t>
        </is>
      </c>
      <c r="N1898" t="inlineStr">
        <is>
          <t>-</t>
        </is>
      </c>
      <c r="O1898" t="inlineStr">
        <is>
          <t>-</t>
        </is>
      </c>
      <c r="P1898" t="n">
        <v>7.4</v>
      </c>
      <c r="Q1898" t="inlineStr">
        <is>
          <t>701+</t>
        </is>
      </c>
      <c r="R1898" t="n">
        <v>4.2</v>
      </c>
      <c r="S1898" t="inlineStr">
        <is>
          <t>701+</t>
        </is>
      </c>
      <c r="T1898" t="n">
        <v>8.6</v>
      </c>
      <c r="U1898" t="inlineStr">
        <is>
          <t>801+</t>
        </is>
      </c>
      <c r="V1898" t="n">
        <v>32.8</v>
      </c>
      <c r="W1898" t="inlineStr">
        <is>
          <t>554</t>
        </is>
      </c>
      <c r="X1898" t="n">
        <v>1.1</v>
      </c>
      <c r="Y1898" t="inlineStr">
        <is>
          <t>801+</t>
        </is>
      </c>
      <c r="Z1898" t="n">
        <v>2.7</v>
      </c>
      <c r="AA1898" t="inlineStr">
        <is>
          <t>801+</t>
        </is>
      </c>
      <c r="AB1898" t="n">
        <v>2.3</v>
      </c>
      <c r="AC1898" t="inlineStr">
        <is>
          <t>801+</t>
        </is>
      </c>
      <c r="AD1898" t="n">
        <v>67.2</v>
      </c>
      <c r="AE1898" t="inlineStr">
        <is>
          <t>584</t>
        </is>
      </c>
      <c r="AF1898" t="n">
        <v>11.3</v>
      </c>
      <c r="AG1898" t="inlineStr">
        <is>
          <t>801+</t>
        </is>
      </c>
      <c r="AH1898" t="n">
        <v>48.2</v>
      </c>
      <c r="AI1898" t="inlineStr">
        <is>
          <t>751=</t>
        </is>
      </c>
      <c r="AJ1898" t="inlineStr">
        <is>
          <t>6.6</t>
        </is>
      </c>
      <c r="AK1898" t="inlineStr">
        <is>
          <t>601+</t>
        </is>
      </c>
      <c r="AL1898" t="inlineStr">
        <is>
          <t>3.2</t>
        </is>
      </c>
      <c r="AM1898" t="inlineStr">
        <is>
          <t>601+</t>
        </is>
      </c>
      <c r="AN1898" t="inlineStr">
        <is>
          <t>6.3</t>
        </is>
      </c>
      <c r="AO1898" t="inlineStr">
        <is>
          <t>701+</t>
        </is>
      </c>
      <c r="AP1898" t="inlineStr">
        <is>
          <t>24.4</t>
        </is>
      </c>
      <c r="AQ1898" t="inlineStr">
        <is>
          <t>495</t>
        </is>
      </c>
      <c r="AR1898" t="inlineStr">
        <is>
          <t>1.1</t>
        </is>
      </c>
      <c r="AS1898" t="inlineStr">
        <is>
          <t>701+</t>
        </is>
      </c>
      <c r="AT1898" t="inlineStr">
        <is>
          <t>1.7</t>
        </is>
      </c>
      <c r="AU1898" t="inlineStr">
        <is>
          <t>701+</t>
        </is>
      </c>
      <c r="AV1898" t="inlineStr">
        <is>
          <t>23.8</t>
        </is>
      </c>
      <c r="AW1898" t="inlineStr">
        <is>
          <t>510</t>
        </is>
      </c>
      <c r="AX1898" t="inlineStr">
        <is>
          <t>9.5</t>
        </is>
      </c>
      <c r="AY1898" t="inlineStr">
        <is>
          <t>701+</t>
        </is>
      </c>
      <c r="AZ1898" t="inlineStr">
        <is>
          <t>15.8</t>
        </is>
      </c>
      <c r="BA1898" t="inlineStr">
        <is>
          <t>598=</t>
        </is>
      </c>
    </row>
    <row r="1899">
      <c r="A1899" t="inlineStr">
        <is>
          <t>Utrecht University</t>
        </is>
      </c>
      <c r="B1899" t="inlineStr">
        <is>
          <t>Netherlands</t>
        </is>
      </c>
      <c r="C1899" t="inlineStr">
        <is>
          <t>NL</t>
        </is>
      </c>
      <c r="D1899" t="inlineStr">
        <is>
          <t>Europe</t>
        </is>
      </c>
      <c r="E1899" t="inlineStr">
        <is>
          <t>XL</t>
        </is>
      </c>
      <c r="F1899" t="inlineStr">
        <is>
          <t>FC</t>
        </is>
      </c>
      <c r="G1899" t="inlineStr">
        <is>
          <t>VH</t>
        </is>
      </c>
      <c r="H1899" t="inlineStr">
        <is>
          <t>5</t>
        </is>
      </c>
      <c r="I1899" t="inlineStr">
        <is>
          <t>Public</t>
        </is>
      </c>
      <c r="J1899" t="inlineStr">
        <is>
          <t>103</t>
        </is>
      </c>
      <c r="K1899" t="inlineStr">
        <is>
          <t>105</t>
        </is>
      </c>
      <c r="L1899">
        <f>107</f>
        <v/>
      </c>
      <c r="M1899" t="inlineStr">
        <is>
          <t>112=</t>
        </is>
      </c>
      <c r="N1899" t="inlineStr">
        <is>
          <t>67.7</t>
        </is>
      </c>
      <c r="O1899" t="inlineStr">
        <is>
          <t>58.8</t>
        </is>
      </c>
      <c r="P1899" t="n">
        <v>79.3</v>
      </c>
      <c r="Q1899" t="inlineStr">
        <is>
          <t>100</t>
        </is>
      </c>
      <c r="R1899" t="n">
        <v>49.2</v>
      </c>
      <c r="S1899" t="inlineStr">
        <is>
          <t>258</t>
        </is>
      </c>
      <c r="T1899" t="n">
        <v>39.5</v>
      </c>
      <c r="U1899" t="inlineStr">
        <is>
          <t>514</t>
        </is>
      </c>
      <c r="V1899" t="n">
        <v>77.90000000000001</v>
      </c>
      <c r="W1899" t="inlineStr">
        <is>
          <t>165</t>
        </is>
      </c>
      <c r="X1899" t="n">
        <v>63.4</v>
      </c>
      <c r="Y1899" t="inlineStr">
        <is>
          <t>367</t>
        </is>
      </c>
      <c r="Z1899" t="n">
        <v>30.5</v>
      </c>
      <c r="AA1899" t="inlineStr">
        <is>
          <t>586</t>
        </is>
      </c>
      <c r="AB1899" t="n">
        <v>22.8</v>
      </c>
      <c r="AC1899" t="inlineStr">
        <is>
          <t>723</t>
        </is>
      </c>
      <c r="AD1899" t="n">
        <v>97.8</v>
      </c>
      <c r="AE1899" t="inlineStr">
        <is>
          <t>23</t>
        </is>
      </c>
      <c r="AF1899" t="n">
        <v>73.2</v>
      </c>
      <c r="AG1899" t="inlineStr">
        <is>
          <t>194</t>
        </is>
      </c>
      <c r="AH1899" t="n">
        <v>75.09999999999999</v>
      </c>
      <c r="AI1899" t="inlineStr">
        <is>
          <t>235</t>
        </is>
      </c>
      <c r="AJ1899" t="inlineStr">
        <is>
          <t>66.6</t>
        </is>
      </c>
      <c r="AK1899" t="inlineStr">
        <is>
          <t>102</t>
        </is>
      </c>
      <c r="AL1899" t="inlineStr">
        <is>
          <t>31.6</t>
        </is>
      </c>
      <c r="AM1899" t="inlineStr">
        <is>
          <t>311</t>
        </is>
      </c>
      <c r="AN1899" t="inlineStr">
        <is>
          <t>32.6</t>
        </is>
      </c>
      <c r="AO1899" t="inlineStr">
        <is>
          <t>487</t>
        </is>
      </c>
      <c r="AP1899" t="inlineStr">
        <is>
          <t>80.8</t>
        </is>
      </c>
      <c r="AQ1899" t="inlineStr">
        <is>
          <t>108</t>
        </is>
      </c>
      <c r="AR1899" t="inlineStr">
        <is>
          <t>57.1</t>
        </is>
      </c>
      <c r="AS1899" t="inlineStr">
        <is>
          <t>323</t>
        </is>
      </c>
      <c r="AT1899" t="inlineStr">
        <is>
          <t>21.2</t>
        </is>
      </c>
      <c r="AU1899" t="inlineStr">
        <is>
          <t>531</t>
        </is>
      </c>
      <c r="AV1899" t="inlineStr">
        <is>
          <t>95.0</t>
        </is>
      </c>
      <c r="AW1899" t="inlineStr">
        <is>
          <t>54</t>
        </is>
      </c>
      <c r="AX1899" t="inlineStr">
        <is>
          <t>26.5</t>
        </is>
      </c>
      <c r="AY1899" t="inlineStr">
        <is>
          <t>309</t>
        </is>
      </c>
      <c r="AZ1899" t="inlineStr">
        <is>
          <t>83.5</t>
        </is>
      </c>
      <c r="BA1899" t="inlineStr">
        <is>
          <t>128=</t>
        </is>
      </c>
    </row>
    <row r="1900">
      <c r="A1900" t="inlineStr">
        <is>
          <t>UWE Bristol (University of the West of England)</t>
        </is>
      </c>
      <c r="B1900" t="inlineStr">
        <is>
          <t>United Kingdom</t>
        </is>
      </c>
      <c r="C1900" t="inlineStr"/>
      <c r="D1900" t="inlineStr">
        <is>
          <t>Europe</t>
        </is>
      </c>
      <c r="E1900" t="inlineStr">
        <is>
          <t>XL</t>
        </is>
      </c>
      <c r="F1900" t="inlineStr">
        <is>
          <t>CO</t>
        </is>
      </c>
      <c r="G1900" t="inlineStr">
        <is>
          <t>HI</t>
        </is>
      </c>
      <c r="H1900" t="inlineStr"/>
      <c r="I1900" t="inlineStr">
        <is>
          <t>Public</t>
        </is>
      </c>
      <c r="J1900" t="inlineStr">
        <is>
          <t>721-730</t>
        </is>
      </c>
      <c r="K1900" t="inlineStr">
        <is>
          <t>741-750</t>
        </is>
      </c>
      <c r="L1900" t="inlineStr"/>
      <c r="M1900" t="inlineStr"/>
      <c r="N1900" t="inlineStr">
        <is>
          <t>-</t>
        </is>
      </c>
      <c r="O1900" t="inlineStr"/>
      <c r="P1900" t="n">
        <v>10.6</v>
      </c>
      <c r="Q1900" t="inlineStr">
        <is>
          <t>701+</t>
        </is>
      </c>
      <c r="R1900" t="n">
        <v>15.1</v>
      </c>
      <c r="S1900" t="inlineStr">
        <is>
          <t>701+</t>
        </is>
      </c>
      <c r="T1900" t="n">
        <v>8.9</v>
      </c>
      <c r="U1900" t="inlineStr">
        <is>
          <t>801+</t>
        </is>
      </c>
      <c r="V1900" t="n">
        <v>25.2</v>
      </c>
      <c r="W1900" t="inlineStr">
        <is>
          <t>633</t>
        </is>
      </c>
      <c r="X1900" t="n">
        <v>66.09999999999999</v>
      </c>
      <c r="Y1900" t="inlineStr">
        <is>
          <t>354</t>
        </is>
      </c>
      <c r="Z1900" t="n">
        <v>88.90000000000001</v>
      </c>
      <c r="AA1900" t="inlineStr">
        <is>
          <t>176</t>
        </is>
      </c>
      <c r="AB1900" t="n">
        <v>89.90000000000001</v>
      </c>
      <c r="AC1900" t="inlineStr">
        <is>
          <t>150</t>
        </is>
      </c>
      <c r="AD1900" t="n">
        <v>72.40000000000001</v>
      </c>
      <c r="AE1900" t="inlineStr">
        <is>
          <t>493</t>
        </is>
      </c>
      <c r="AF1900" t="n">
        <v>4.2</v>
      </c>
      <c r="AG1900" t="inlineStr">
        <is>
          <t>801+</t>
        </is>
      </c>
      <c r="AH1900" t="n">
        <v>53.3</v>
      </c>
      <c r="AI1900" t="inlineStr">
        <is>
          <t>636=</t>
        </is>
      </c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</row>
    <row r="1901">
      <c r="A1901" t="inlineStr">
        <is>
          <t>V.N. Karazin Kharkiv National University</t>
        </is>
      </c>
      <c r="B1901" t="inlineStr">
        <is>
          <t>Ukraine</t>
        </is>
      </c>
      <c r="C1901" t="inlineStr">
        <is>
          <t>UA</t>
        </is>
      </c>
      <c r="D1901" t="inlineStr">
        <is>
          <t>Europe</t>
        </is>
      </c>
      <c r="E1901" t="inlineStr">
        <is>
          <t>L</t>
        </is>
      </c>
      <c r="F1901" t="inlineStr">
        <is>
          <t>FC</t>
        </is>
      </c>
      <c r="G1901" t="inlineStr">
        <is>
          <t>HI</t>
        </is>
      </c>
      <c r="H1901" t="inlineStr">
        <is>
          <t>5</t>
        </is>
      </c>
      <c r="I1901" t="inlineStr">
        <is>
          <t>Public</t>
        </is>
      </c>
      <c r="J1901" t="inlineStr">
        <is>
          <t>781-790</t>
        </is>
      </c>
      <c r="K1901" t="inlineStr">
        <is>
          <t>741-750</t>
        </is>
      </c>
      <c r="L1901" t="inlineStr">
        <is>
          <t>691-700</t>
        </is>
      </c>
      <c r="M1901" t="inlineStr">
        <is>
          <t>541-550</t>
        </is>
      </c>
      <c r="N1901" t="inlineStr">
        <is>
          <t>-</t>
        </is>
      </c>
      <c r="O1901" t="inlineStr">
        <is>
          <t>-</t>
        </is>
      </c>
      <c r="P1901" t="n">
        <v>14.3</v>
      </c>
      <c r="Q1901" t="inlineStr">
        <is>
          <t>701+</t>
        </is>
      </c>
      <c r="R1901" t="n">
        <v>30.2</v>
      </c>
      <c r="S1901" t="inlineStr">
        <is>
          <t>470</t>
        </is>
      </c>
      <c r="T1901" t="n">
        <v>70.5</v>
      </c>
      <c r="U1901" t="inlineStr">
        <is>
          <t>222</t>
        </is>
      </c>
      <c r="V1901" t="n">
        <v>1.9</v>
      </c>
      <c r="W1901" t="inlineStr">
        <is>
          <t>801+</t>
        </is>
      </c>
      <c r="X1901" t="n">
        <v>4.4</v>
      </c>
      <c r="Y1901" t="inlineStr">
        <is>
          <t>801+</t>
        </is>
      </c>
      <c r="Z1901" t="n">
        <v>67.8</v>
      </c>
      <c r="AA1901" t="inlineStr">
        <is>
          <t>291</t>
        </is>
      </c>
      <c r="AB1901" t="n">
        <v>69</v>
      </c>
      <c r="AC1901" t="inlineStr">
        <is>
          <t>276</t>
        </is>
      </c>
      <c r="AD1901" t="n">
        <v>35.2</v>
      </c>
      <c r="AE1901" t="inlineStr">
        <is>
          <t>801+</t>
        </is>
      </c>
      <c r="AF1901" t="n">
        <v>4.6</v>
      </c>
      <c r="AG1901" t="inlineStr">
        <is>
          <t>801+</t>
        </is>
      </c>
      <c r="AH1901" t="n">
        <v>46.2</v>
      </c>
      <c r="AI1901" t="inlineStr">
        <is>
          <t>801+</t>
        </is>
      </c>
      <c r="AJ1901" t="inlineStr">
        <is>
          <t>12.6</t>
        </is>
      </c>
      <c r="AK1901" t="inlineStr">
        <is>
          <t>601+</t>
        </is>
      </c>
      <c r="AL1901" t="inlineStr">
        <is>
          <t>17.9</t>
        </is>
      </c>
      <c r="AM1901" t="inlineStr">
        <is>
          <t>491</t>
        </is>
      </c>
      <c r="AN1901" t="inlineStr">
        <is>
          <t>66.0</t>
        </is>
      </c>
      <c r="AO1901" t="inlineStr">
        <is>
          <t>204</t>
        </is>
      </c>
      <c r="AP1901" t="inlineStr">
        <is>
          <t>1.4</t>
        </is>
      </c>
      <c r="AQ1901" t="inlineStr">
        <is>
          <t>701+</t>
        </is>
      </c>
      <c r="AR1901" t="inlineStr">
        <is>
          <t>3.1</t>
        </is>
      </c>
      <c r="AS1901" t="inlineStr">
        <is>
          <t>701+</t>
        </is>
      </c>
      <c r="AT1901" t="inlineStr">
        <is>
          <t>58.8</t>
        </is>
      </c>
      <c r="AU1901" t="inlineStr">
        <is>
          <t>257</t>
        </is>
      </c>
      <c r="AV1901" t="inlineStr">
        <is>
          <t>1.6</t>
        </is>
      </c>
      <c r="AW1901" t="inlineStr">
        <is>
          <t>701+</t>
        </is>
      </c>
      <c r="AX1901" t="inlineStr">
        <is>
          <t>9.9</t>
        </is>
      </c>
      <c r="AY1901" t="inlineStr">
        <is>
          <t>701+</t>
        </is>
      </c>
      <c r="AZ1901" t="inlineStr">
        <is>
          <t>1.1</t>
        </is>
      </c>
      <c r="BA1901" t="inlineStr">
        <is>
          <t>701+</t>
        </is>
      </c>
    </row>
    <row r="1902">
      <c r="A1902" t="inlineStr">
        <is>
          <t>Van Lang University</t>
        </is>
      </c>
      <c r="B1902" t="inlineStr">
        <is>
          <t>Viet Nam</t>
        </is>
      </c>
      <c r="C1902" t="inlineStr"/>
      <c r="D1902" t="inlineStr">
        <is>
          <t>Asia</t>
        </is>
      </c>
      <c r="E1902" t="inlineStr">
        <is>
          <t>L</t>
        </is>
      </c>
      <c r="F1902" t="inlineStr">
        <is>
          <t>FO</t>
        </is>
      </c>
      <c r="G1902" t="inlineStr">
        <is>
          <t>HI</t>
        </is>
      </c>
      <c r="H1902" t="inlineStr"/>
      <c r="I1902" t="inlineStr">
        <is>
          <t>Private for Profit</t>
        </is>
      </c>
      <c r="J1902" t="inlineStr">
        <is>
          <t>1001-1200</t>
        </is>
      </c>
      <c r="K1902" t="inlineStr"/>
      <c r="L1902" t="inlineStr"/>
      <c r="M1902" t="inlineStr"/>
      <c r="N1902" t="inlineStr">
        <is>
          <t>-</t>
        </is>
      </c>
      <c r="O1902" t="inlineStr"/>
      <c r="P1902" t="n">
        <v>31.4</v>
      </c>
      <c r="Q1902" t="inlineStr">
        <is>
          <t>392</t>
        </is>
      </c>
      <c r="R1902" t="n">
        <v>10.3</v>
      </c>
      <c r="S1902" t="inlineStr">
        <is>
          <t>701+</t>
        </is>
      </c>
      <c r="T1902" t="n">
        <v>28.9</v>
      </c>
      <c r="U1902" t="inlineStr">
        <is>
          <t>650</t>
        </is>
      </c>
      <c r="V1902" t="n">
        <v>2.3</v>
      </c>
      <c r="W1902" t="inlineStr">
        <is>
          <t>801+</t>
        </is>
      </c>
      <c r="X1902" t="n">
        <v>10.6</v>
      </c>
      <c r="Y1902" t="inlineStr">
        <is>
          <t>801+</t>
        </is>
      </c>
      <c r="Z1902" t="n">
        <v>1.3</v>
      </c>
      <c r="AA1902" t="inlineStr">
        <is>
          <t>801+</t>
        </is>
      </c>
      <c r="AB1902" t="n">
        <v>5.7</v>
      </c>
      <c r="AC1902" t="inlineStr">
        <is>
          <t>801+</t>
        </is>
      </c>
      <c r="AD1902" t="n">
        <v>45.3</v>
      </c>
      <c r="AE1902" t="inlineStr">
        <is>
          <t>801+</t>
        </is>
      </c>
      <c r="AF1902" t="n">
        <v>4.9</v>
      </c>
      <c r="AG1902" t="inlineStr">
        <is>
          <t>801+</t>
        </is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</row>
    <row r="1903">
      <c r="A1903" t="inlineStr">
        <is>
          <t>Vancouver Island University</t>
        </is>
      </c>
      <c r="B1903" t="inlineStr">
        <is>
          <t>Canada</t>
        </is>
      </c>
      <c r="C1903" t="inlineStr">
        <is>
          <t>CA</t>
        </is>
      </c>
      <c r="D1903" t="inlineStr"/>
      <c r="E1903" t="inlineStr">
        <is>
          <t>M</t>
        </is>
      </c>
      <c r="F1903" t="inlineStr">
        <is>
          <t>CO</t>
        </is>
      </c>
      <c r="G1903" t="inlineStr">
        <is>
          <t>MD</t>
        </is>
      </c>
      <c r="H1903" t="inlineStr"/>
      <c r="I1903" t="inlineStr"/>
      <c r="J1903" t="inlineStr"/>
      <c r="K1903" t="inlineStr"/>
      <c r="L1903" t="inlineStr">
        <is>
          <t>1001-1200</t>
        </is>
      </c>
      <c r="M1903" t="inlineStr">
        <is>
          <t>1001-1200</t>
        </is>
      </c>
      <c r="N1903" t="inlineStr"/>
      <c r="O1903" t="inlineStr">
        <is>
          <t>-</t>
        </is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>
        <is>
          <t>5.0</t>
        </is>
      </c>
      <c r="AK1903" t="inlineStr">
        <is>
          <t>601+</t>
        </is>
      </c>
      <c r="AL1903" t="inlineStr">
        <is>
          <t>3.3</t>
        </is>
      </c>
      <c r="AM1903" t="inlineStr">
        <is>
          <t>601+</t>
        </is>
      </c>
      <c r="AN1903" t="inlineStr">
        <is>
          <t>58.0</t>
        </is>
      </c>
      <c r="AO1903" t="inlineStr">
        <is>
          <t>251</t>
        </is>
      </c>
      <c r="AP1903" t="inlineStr">
        <is>
          <t>1.1</t>
        </is>
      </c>
      <c r="AQ1903" t="inlineStr">
        <is>
          <t>701+</t>
        </is>
      </c>
      <c r="AR1903" t="inlineStr"/>
      <c r="AS1903" t="inlineStr"/>
      <c r="AT1903" t="inlineStr"/>
      <c r="AU1903" t="inlineStr"/>
      <c r="AV1903" t="inlineStr">
        <is>
          <t>1.1</t>
        </is>
      </c>
      <c r="AW1903" t="inlineStr">
        <is>
          <t>701+</t>
        </is>
      </c>
      <c r="AX1903" t="inlineStr">
        <is>
          <t>6.8</t>
        </is>
      </c>
      <c r="AY1903" t="inlineStr">
        <is>
          <t>701+</t>
        </is>
      </c>
      <c r="AZ1903" t="inlineStr"/>
      <c r="BA1903" t="inlineStr"/>
    </row>
    <row r="1904">
      <c r="A1904" t="inlineStr">
        <is>
          <t>Vanderbilt University</t>
        </is>
      </c>
      <c r="B1904" t="inlineStr">
        <is>
          <t>United States</t>
        </is>
      </c>
      <c r="C1904" t="inlineStr">
        <is>
          <t>US</t>
        </is>
      </c>
      <c r="D1904" t="inlineStr">
        <is>
          <t>Americas</t>
        </is>
      </c>
      <c r="E1904" t="inlineStr">
        <is>
          <t>L</t>
        </is>
      </c>
      <c r="F1904" t="inlineStr">
        <is>
          <t>FC</t>
        </is>
      </c>
      <c r="G1904" t="inlineStr">
        <is>
          <t>VH</t>
        </is>
      </c>
      <c r="H1904" t="inlineStr">
        <is>
          <t>5</t>
        </is>
      </c>
      <c r="I1904" t="inlineStr">
        <is>
          <t>Private not for Profit</t>
        </is>
      </c>
      <c r="J1904" t="inlineStr">
        <is>
          <t>250</t>
        </is>
      </c>
      <c r="K1904" t="inlineStr">
        <is>
          <t>248</t>
        </is>
      </c>
      <c r="L1904" t="inlineStr">
        <is>
          <t>261</t>
        </is>
      </c>
      <c r="M1904" t="inlineStr">
        <is>
          <t>199</t>
        </is>
      </c>
      <c r="N1904" t="inlineStr">
        <is>
          <t>50.4</t>
        </is>
      </c>
      <c r="O1904" t="inlineStr">
        <is>
          <t>38.4</t>
        </is>
      </c>
      <c r="P1904" t="n">
        <v>32.3</v>
      </c>
      <c r="Q1904" t="inlineStr">
        <is>
          <t>382</t>
        </is>
      </c>
      <c r="R1904" t="n">
        <v>41.8</v>
      </c>
      <c r="S1904" t="inlineStr">
        <is>
          <t>323</t>
        </is>
      </c>
      <c r="T1904" t="n">
        <v>100</v>
      </c>
      <c r="U1904" t="inlineStr">
        <is>
          <t>10</t>
        </is>
      </c>
      <c r="V1904" t="n">
        <v>50.6</v>
      </c>
      <c r="W1904" t="inlineStr">
        <is>
          <t>372</t>
        </is>
      </c>
      <c r="X1904" t="n">
        <v>48.4</v>
      </c>
      <c r="Y1904" t="inlineStr">
        <is>
          <t>446</t>
        </is>
      </c>
      <c r="Z1904" t="n">
        <v>50.9</v>
      </c>
      <c r="AA1904" t="inlineStr">
        <is>
          <t>404</t>
        </is>
      </c>
      <c r="AB1904" t="n">
        <v>55.5</v>
      </c>
      <c r="AC1904" t="inlineStr">
        <is>
          <t>370</t>
        </is>
      </c>
      <c r="AD1904" t="n">
        <v>77.90000000000001</v>
      </c>
      <c r="AE1904" t="inlineStr">
        <is>
          <t>383</t>
        </is>
      </c>
      <c r="AF1904" t="n">
        <v>57.5</v>
      </c>
      <c r="AG1904" t="inlineStr">
        <is>
          <t>288</t>
        </is>
      </c>
      <c r="AH1904" t="n">
        <v>61.8</v>
      </c>
      <c r="AI1904" t="inlineStr">
        <is>
          <t>460=</t>
        </is>
      </c>
      <c r="AJ1904" t="inlineStr">
        <is>
          <t>25.2</t>
        </is>
      </c>
      <c r="AK1904" t="inlineStr">
        <is>
          <t>348</t>
        </is>
      </c>
      <c r="AL1904" t="inlineStr">
        <is>
          <t>19.8</t>
        </is>
      </c>
      <c r="AM1904" t="inlineStr">
        <is>
          <t>459</t>
        </is>
      </c>
      <c r="AN1904" t="inlineStr">
        <is>
          <t>100.0</t>
        </is>
      </c>
      <c r="AO1904" t="inlineStr">
        <is>
          <t>9</t>
        </is>
      </c>
      <c r="AP1904" t="inlineStr">
        <is>
          <t>37.2</t>
        </is>
      </c>
      <c r="AQ1904" t="inlineStr">
        <is>
          <t>377</t>
        </is>
      </c>
      <c r="AR1904" t="inlineStr">
        <is>
          <t>36.4</t>
        </is>
      </c>
      <c r="AS1904" t="inlineStr">
        <is>
          <t>442</t>
        </is>
      </c>
      <c r="AT1904" t="inlineStr">
        <is>
          <t>34.6</t>
        </is>
      </c>
      <c r="AU1904" t="inlineStr">
        <is>
          <t>383</t>
        </is>
      </c>
      <c r="AV1904" t="inlineStr">
        <is>
          <t>47.1</t>
        </is>
      </c>
      <c r="AW1904" t="inlineStr">
        <is>
          <t>332</t>
        </is>
      </c>
      <c r="AX1904" t="inlineStr">
        <is>
          <t>35.7</t>
        </is>
      </c>
      <c r="AY1904" t="inlineStr">
        <is>
          <t>206</t>
        </is>
      </c>
      <c r="AZ1904" t="inlineStr">
        <is>
          <t>51.2</t>
        </is>
      </c>
      <c r="BA1904" t="inlineStr">
        <is>
          <t>299=</t>
        </is>
      </c>
    </row>
    <row r="1905">
      <c r="A1905" t="inlineStr">
        <is>
          <t>Vellore Institute of Technology (VIT)</t>
        </is>
      </c>
      <c r="B1905" t="inlineStr">
        <is>
          <t>India</t>
        </is>
      </c>
      <c r="C1905" t="inlineStr">
        <is>
          <t>IN</t>
        </is>
      </c>
      <c r="D1905" t="inlineStr"/>
      <c r="E1905" t="inlineStr">
        <is>
          <t>XL</t>
        </is>
      </c>
      <c r="F1905" t="inlineStr">
        <is>
          <t>FO</t>
        </is>
      </c>
      <c r="G1905" t="inlineStr">
        <is>
          <t>VH</t>
        </is>
      </c>
      <c r="H1905" t="inlineStr">
        <is>
          <t>3</t>
        </is>
      </c>
      <c r="I1905" t="inlineStr">
        <is>
          <t>B</t>
        </is>
      </c>
      <c r="J1905" t="inlineStr"/>
      <c r="K1905" t="inlineStr"/>
      <c r="L1905" t="inlineStr">
        <is>
          <t>851-900</t>
        </is>
      </c>
      <c r="M1905" t="inlineStr">
        <is>
          <t>1001-1200</t>
        </is>
      </c>
      <c r="N1905" t="inlineStr"/>
      <c r="O1905" t="inlineStr">
        <is>
          <t>-</t>
        </is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>
        <is>
          <t>11.2</t>
        </is>
      </c>
      <c r="AK1905" t="inlineStr">
        <is>
          <t>601+</t>
        </is>
      </c>
      <c r="AL1905" t="inlineStr">
        <is>
          <t>12.2</t>
        </is>
      </c>
      <c r="AM1905" t="inlineStr">
        <is>
          <t>601+</t>
        </is>
      </c>
      <c r="AN1905" t="inlineStr">
        <is>
          <t>6.5</t>
        </is>
      </c>
      <c r="AO1905" t="inlineStr">
        <is>
          <t>701+</t>
        </is>
      </c>
      <c r="AP1905" t="inlineStr">
        <is>
          <t>21.3</t>
        </is>
      </c>
      <c r="AQ1905" t="inlineStr">
        <is>
          <t>540</t>
        </is>
      </c>
      <c r="AR1905" t="inlineStr">
        <is>
          <t>19.0</t>
        </is>
      </c>
      <c r="AS1905" t="inlineStr">
        <is>
          <t>599</t>
        </is>
      </c>
      <c r="AT1905" t="inlineStr">
        <is>
          <t>2.2</t>
        </is>
      </c>
      <c r="AU1905" t="inlineStr">
        <is>
          <t>701+</t>
        </is>
      </c>
      <c r="AV1905" t="inlineStr">
        <is>
          <t>13.3</t>
        </is>
      </c>
      <c r="AW1905" t="inlineStr">
        <is>
          <t>622</t>
        </is>
      </c>
      <c r="AX1905" t="inlineStr">
        <is>
          <t>10.2</t>
        </is>
      </c>
      <c r="AY1905" t="inlineStr">
        <is>
          <t>701+</t>
        </is>
      </c>
      <c r="AZ1905" t="inlineStr">
        <is>
          <t>9.7</t>
        </is>
      </c>
      <c r="BA1905" t="inlineStr">
        <is>
          <t>673=</t>
        </is>
      </c>
    </row>
    <row r="1906">
      <c r="A1906" t="inlineStr">
        <is>
          <t>Vellore Institute of Technology (VIT), Vellore, India</t>
        </is>
      </c>
      <c r="B1906" t="inlineStr">
        <is>
          <t>India</t>
        </is>
      </c>
      <c r="C1906" t="inlineStr"/>
      <c r="D1906" t="inlineStr">
        <is>
          <t>Asia</t>
        </is>
      </c>
      <c r="E1906" t="inlineStr">
        <is>
          <t>XL</t>
        </is>
      </c>
      <c r="F1906" t="inlineStr">
        <is>
          <t>CO</t>
        </is>
      </c>
      <c r="G1906" t="inlineStr">
        <is>
          <t>VH</t>
        </is>
      </c>
      <c r="H1906" t="inlineStr"/>
      <c r="I1906" t="inlineStr">
        <is>
          <t>Private not for Profit</t>
        </is>
      </c>
      <c r="J1906" t="inlineStr">
        <is>
          <t>691</t>
        </is>
      </c>
      <c r="K1906" t="inlineStr">
        <is>
          <t>791-800</t>
        </is>
      </c>
      <c r="L1906" t="inlineStr"/>
      <c r="M1906" t="inlineStr"/>
      <c r="N1906" t="inlineStr">
        <is>
          <t>25.4</t>
        </is>
      </c>
      <c r="O1906" t="inlineStr"/>
      <c r="P1906" t="n">
        <v>20.5</v>
      </c>
      <c r="Q1906" t="inlineStr">
        <is>
          <t>601</t>
        </is>
      </c>
      <c r="R1906" t="n">
        <v>26</v>
      </c>
      <c r="S1906" t="inlineStr">
        <is>
          <t>519</t>
        </is>
      </c>
      <c r="T1906" t="n">
        <v>11.6</v>
      </c>
      <c r="U1906" t="inlineStr">
        <is>
          <t>801+</t>
        </is>
      </c>
      <c r="V1906" t="n">
        <v>34.3</v>
      </c>
      <c r="W1906" t="inlineStr">
        <is>
          <t>531</t>
        </is>
      </c>
      <c r="X1906" t="n">
        <v>5</v>
      </c>
      <c r="Y1906" t="inlineStr">
        <is>
          <t>801+</t>
        </is>
      </c>
      <c r="Z1906" t="n">
        <v>5.3</v>
      </c>
      <c r="AA1906" t="inlineStr">
        <is>
          <t>801+</t>
        </is>
      </c>
      <c r="AB1906" t="n">
        <v>10.1</v>
      </c>
      <c r="AC1906" t="inlineStr">
        <is>
          <t>801+</t>
        </is>
      </c>
      <c r="AD1906" t="n">
        <v>81.2</v>
      </c>
      <c r="AE1906" t="inlineStr">
        <is>
          <t>327</t>
        </is>
      </c>
      <c r="AF1906" t="n">
        <v>15.8</v>
      </c>
      <c r="AG1906" t="inlineStr">
        <is>
          <t>801+</t>
        </is>
      </c>
      <c r="AH1906" t="n">
        <v>65.2</v>
      </c>
      <c r="AI1906" t="inlineStr">
        <is>
          <t>393=</t>
        </is>
      </c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</row>
    <row r="1907">
      <c r="A1907" t="inlineStr">
        <is>
          <t>Verona University</t>
        </is>
      </c>
      <c r="B1907" t="inlineStr">
        <is>
          <t>Italy</t>
        </is>
      </c>
      <c r="C1907" t="inlineStr">
        <is>
          <t>IT</t>
        </is>
      </c>
      <c r="D1907" t="inlineStr">
        <is>
          <t>Europe</t>
        </is>
      </c>
      <c r="E1907" t="inlineStr">
        <is>
          <t>L</t>
        </is>
      </c>
      <c r="F1907" t="inlineStr">
        <is>
          <t>FO</t>
        </is>
      </c>
      <c r="G1907" t="inlineStr">
        <is>
          <t>VH</t>
        </is>
      </c>
      <c r="H1907" t="inlineStr">
        <is>
          <t>3</t>
        </is>
      </c>
      <c r="I1907" t="inlineStr">
        <is>
          <t>Public</t>
        </is>
      </c>
      <c r="J1907" t="inlineStr">
        <is>
          <t>851-900</t>
        </is>
      </c>
      <c r="K1907" t="inlineStr">
        <is>
          <t>771-780</t>
        </is>
      </c>
      <c r="L1907" t="inlineStr">
        <is>
          <t>801-850</t>
        </is>
      </c>
      <c r="M1907" t="inlineStr">
        <is>
          <t>801-1000</t>
        </is>
      </c>
      <c r="N1907" t="inlineStr">
        <is>
          <t>-</t>
        </is>
      </c>
      <c r="O1907" t="inlineStr">
        <is>
          <t>-</t>
        </is>
      </c>
      <c r="P1907" t="n">
        <v>13.1</v>
      </c>
      <c r="Q1907" t="inlineStr">
        <is>
          <t>701+</t>
        </is>
      </c>
      <c r="R1907" t="n">
        <v>5</v>
      </c>
      <c r="S1907" t="inlineStr">
        <is>
          <t>701+</t>
        </is>
      </c>
      <c r="T1907" t="n">
        <v>5.9</v>
      </c>
      <c r="U1907" t="inlineStr">
        <is>
          <t>801+</t>
        </is>
      </c>
      <c r="V1907" t="n">
        <v>50</v>
      </c>
      <c r="W1907" t="inlineStr">
        <is>
          <t>375</t>
        </is>
      </c>
      <c r="X1907" t="n">
        <v>6.3</v>
      </c>
      <c r="Y1907" t="inlineStr">
        <is>
          <t>801+</t>
        </is>
      </c>
      <c r="Z1907" t="n">
        <v>8.4</v>
      </c>
      <c r="AA1907" t="inlineStr">
        <is>
          <t>801+</t>
        </is>
      </c>
      <c r="AB1907" t="n">
        <v>14.1</v>
      </c>
      <c r="AC1907" t="inlineStr">
        <is>
          <t>801+</t>
        </is>
      </c>
      <c r="AD1907" t="n">
        <v>70.3</v>
      </c>
      <c r="AE1907" t="inlineStr">
        <is>
          <t>523</t>
        </is>
      </c>
      <c r="AF1907" t="n">
        <v>6.9</v>
      </c>
      <c r="AG1907" t="inlineStr">
        <is>
          <t>801+</t>
        </is>
      </c>
      <c r="AH1907" t="n">
        <v>52.7</v>
      </c>
      <c r="AI1907" t="inlineStr">
        <is>
          <t>652=</t>
        </is>
      </c>
      <c r="AJ1907" t="inlineStr">
        <is>
          <t>8.7</t>
        </is>
      </c>
      <c r="AK1907" t="inlineStr">
        <is>
          <t>601+</t>
        </is>
      </c>
      <c r="AL1907" t="inlineStr">
        <is>
          <t>2.9</t>
        </is>
      </c>
      <c r="AM1907" t="inlineStr">
        <is>
          <t>601+</t>
        </is>
      </c>
      <c r="AN1907" t="inlineStr">
        <is>
          <t>4.8</t>
        </is>
      </c>
      <c r="AO1907" t="inlineStr">
        <is>
          <t>701+</t>
        </is>
      </c>
      <c r="AP1907" t="inlineStr">
        <is>
          <t>40.0</t>
        </is>
      </c>
      <c r="AQ1907" t="inlineStr">
        <is>
          <t>345</t>
        </is>
      </c>
      <c r="AR1907" t="inlineStr">
        <is>
          <t>4.7</t>
        </is>
      </c>
      <c r="AS1907" t="inlineStr">
        <is>
          <t>701+</t>
        </is>
      </c>
      <c r="AT1907" t="inlineStr">
        <is>
          <t>3.6</t>
        </is>
      </c>
      <c r="AU1907" t="inlineStr">
        <is>
          <t>701+</t>
        </is>
      </c>
      <c r="AV1907" t="inlineStr">
        <is>
          <t>32.0</t>
        </is>
      </c>
      <c r="AW1907" t="inlineStr">
        <is>
          <t>448</t>
        </is>
      </c>
      <c r="AX1907" t="inlineStr">
        <is>
          <t>6.9</t>
        </is>
      </c>
      <c r="AY1907" t="inlineStr">
        <is>
          <t>701+</t>
        </is>
      </c>
      <c r="AZ1907" t="inlineStr">
        <is>
          <t>14.7</t>
        </is>
      </c>
      <c r="BA1907" t="inlineStr">
        <is>
          <t>616</t>
        </is>
      </c>
    </row>
    <row r="1908">
      <c r="A1908" t="inlineStr">
        <is>
          <t>Victoria University</t>
        </is>
      </c>
      <c r="B1908" t="inlineStr">
        <is>
          <t>Australia</t>
        </is>
      </c>
      <c r="C1908" t="inlineStr">
        <is>
          <t>AU</t>
        </is>
      </c>
      <c r="D1908" t="inlineStr">
        <is>
          <t>Oceania</t>
        </is>
      </c>
      <c r="E1908" t="inlineStr">
        <is>
          <t>L</t>
        </is>
      </c>
      <c r="F1908" t="inlineStr">
        <is>
          <t>CO</t>
        </is>
      </c>
      <c r="G1908" t="inlineStr">
        <is>
          <t>HI</t>
        </is>
      </c>
      <c r="H1908" t="inlineStr">
        <is>
          <t>3</t>
        </is>
      </c>
      <c r="I1908" t="inlineStr">
        <is>
          <t>Public</t>
        </is>
      </c>
      <c r="J1908" t="inlineStr">
        <is>
          <t>741-750</t>
        </is>
      </c>
      <c r="K1908" t="inlineStr">
        <is>
          <t>741-750</t>
        </is>
      </c>
      <c r="L1908" t="inlineStr">
        <is>
          <t>711-720</t>
        </is>
      </c>
      <c r="M1908" t="inlineStr">
        <is>
          <t>701-750</t>
        </is>
      </c>
      <c r="N1908" t="inlineStr">
        <is>
          <t>-</t>
        </is>
      </c>
      <c r="O1908" t="inlineStr">
        <is>
          <t>-</t>
        </is>
      </c>
      <c r="P1908" t="n">
        <v>9.199999999999999</v>
      </c>
      <c r="Q1908" t="inlineStr">
        <is>
          <t>701+</t>
        </is>
      </c>
      <c r="R1908" t="n">
        <v>10.1</v>
      </c>
      <c r="S1908" t="inlineStr">
        <is>
          <t>701+</t>
        </is>
      </c>
      <c r="T1908" t="n">
        <v>3.4</v>
      </c>
      <c r="U1908" t="inlineStr">
        <is>
          <t>801+</t>
        </is>
      </c>
      <c r="V1908" t="n">
        <v>48.7</v>
      </c>
      <c r="W1908" t="inlineStr">
        <is>
          <t>381</t>
        </is>
      </c>
      <c r="X1908" t="n">
        <v>23.6</v>
      </c>
      <c r="Y1908" t="inlineStr">
        <is>
          <t>667</t>
        </is>
      </c>
      <c r="Z1908" t="n">
        <v>74.59999999999999</v>
      </c>
      <c r="AA1908" t="inlineStr">
        <is>
          <t>256</t>
        </is>
      </c>
      <c r="AB1908" t="n">
        <v>77.09999999999999</v>
      </c>
      <c r="AC1908" t="inlineStr">
        <is>
          <t>225</t>
        </is>
      </c>
      <c r="AD1908" t="n">
        <v>48.9</v>
      </c>
      <c r="AE1908" t="inlineStr">
        <is>
          <t>801+</t>
        </is>
      </c>
      <c r="AF1908" t="n">
        <v>9.699999999999999</v>
      </c>
      <c r="AG1908" t="inlineStr">
        <is>
          <t>801+</t>
        </is>
      </c>
      <c r="AH1908" t="n">
        <v>59.3</v>
      </c>
      <c r="AI1908" t="inlineStr">
        <is>
          <t>514=</t>
        </is>
      </c>
      <c r="AJ1908" t="inlineStr">
        <is>
          <t>7.6</t>
        </is>
      </c>
      <c r="AK1908" t="inlineStr">
        <is>
          <t>601+</t>
        </is>
      </c>
      <c r="AL1908" t="inlineStr">
        <is>
          <t>6.5</t>
        </is>
      </c>
      <c r="AM1908" t="inlineStr">
        <is>
          <t>601+</t>
        </is>
      </c>
      <c r="AN1908" t="inlineStr">
        <is>
          <t>2.4</t>
        </is>
      </c>
      <c r="AO1908" t="inlineStr">
        <is>
          <t>701+</t>
        </is>
      </c>
      <c r="AP1908" t="inlineStr">
        <is>
          <t>34.6</t>
        </is>
      </c>
      <c r="AQ1908" t="inlineStr">
        <is>
          <t>395</t>
        </is>
      </c>
      <c r="AR1908" t="inlineStr">
        <is>
          <t>34.1</t>
        </is>
      </c>
      <c r="AS1908" t="inlineStr">
        <is>
          <t>462</t>
        </is>
      </c>
      <c r="AT1908" t="inlineStr">
        <is>
          <t>57.6</t>
        </is>
      </c>
      <c r="AU1908" t="inlineStr">
        <is>
          <t>260</t>
        </is>
      </c>
      <c r="AV1908" t="inlineStr">
        <is>
          <t>15.0</t>
        </is>
      </c>
      <c r="AW1908" t="inlineStr">
        <is>
          <t>598</t>
        </is>
      </c>
      <c r="AX1908" t="inlineStr">
        <is>
          <t>12.3</t>
        </is>
      </c>
      <c r="AY1908" t="inlineStr">
        <is>
          <t>701+</t>
        </is>
      </c>
      <c r="AZ1908" t="inlineStr">
        <is>
          <t>4.1</t>
        </is>
      </c>
      <c r="BA1908" t="inlineStr">
        <is>
          <t>701+</t>
        </is>
      </c>
    </row>
    <row r="1909">
      <c r="A1909" t="inlineStr">
        <is>
          <t>Victoria University of Wellington</t>
        </is>
      </c>
      <c r="B1909" t="inlineStr">
        <is>
          <t>New Zealand</t>
        </is>
      </c>
      <c r="C1909" t="inlineStr">
        <is>
          <t>NZ</t>
        </is>
      </c>
      <c r="D1909" t="inlineStr">
        <is>
          <t>Oceania</t>
        </is>
      </c>
      <c r="E1909" t="inlineStr">
        <is>
          <t>L</t>
        </is>
      </c>
      <c r="F1909" t="inlineStr">
        <is>
          <t>CO</t>
        </is>
      </c>
      <c r="G1909" t="inlineStr">
        <is>
          <t>VH</t>
        </is>
      </c>
      <c r="H1909" t="inlineStr">
        <is>
          <t>4</t>
        </is>
      </c>
      <c r="I1909" t="inlineStr">
        <is>
          <t>Public</t>
        </is>
      </c>
      <c r="J1909" t="inlineStr">
        <is>
          <t>240</t>
        </is>
      </c>
      <c r="K1909" t="inlineStr">
        <is>
          <t>244</t>
        </is>
      </c>
      <c r="L1909" t="inlineStr">
        <is>
          <t>241</t>
        </is>
      </c>
      <c r="M1909" t="inlineStr">
        <is>
          <t>275=</t>
        </is>
      </c>
      <c r="N1909" t="inlineStr">
        <is>
          <t>51.3</t>
        </is>
      </c>
      <c r="O1909" t="inlineStr">
        <is>
          <t>40.5</t>
        </is>
      </c>
      <c r="P1909" t="n">
        <v>57.2</v>
      </c>
      <c r="Q1909" t="inlineStr">
        <is>
          <t>192</t>
        </is>
      </c>
      <c r="R1909" t="n">
        <v>32.2</v>
      </c>
      <c r="S1909" t="inlineStr">
        <is>
          <t>445</t>
        </is>
      </c>
      <c r="T1909" t="n">
        <v>15.7</v>
      </c>
      <c r="U1909" t="inlineStr">
        <is>
          <t>801+</t>
        </is>
      </c>
      <c r="V1909" t="n">
        <v>44.3</v>
      </c>
      <c r="W1909" t="inlineStr">
        <is>
          <t>424</t>
        </is>
      </c>
      <c r="X1909" t="n">
        <v>100</v>
      </c>
      <c r="Y1909" t="inlineStr">
        <is>
          <t>96</t>
        </is>
      </c>
      <c r="Z1909" t="n">
        <v>56.7</v>
      </c>
      <c r="AA1909" t="inlineStr">
        <is>
          <t>367</t>
        </is>
      </c>
      <c r="AB1909" t="n">
        <v>60.9</v>
      </c>
      <c r="AC1909" t="inlineStr">
        <is>
          <t>332</t>
        </is>
      </c>
      <c r="AD1909" t="n">
        <v>70.09999999999999</v>
      </c>
      <c r="AE1909" t="inlineStr">
        <is>
          <t>530</t>
        </is>
      </c>
      <c r="AF1909" t="n">
        <v>77.59999999999999</v>
      </c>
      <c r="AG1909" t="inlineStr">
        <is>
          <t>168</t>
        </is>
      </c>
      <c r="AH1909" t="n">
        <v>83.3</v>
      </c>
      <c r="AI1909" t="inlineStr">
        <is>
          <t>132</t>
        </is>
      </c>
      <c r="AJ1909" t="inlineStr">
        <is>
          <t>44.8</t>
        </is>
      </c>
      <c r="AK1909" t="inlineStr">
        <is>
          <t>186</t>
        </is>
      </c>
      <c r="AL1909" t="inlineStr">
        <is>
          <t>25.5</t>
        </is>
      </c>
      <c r="AM1909" t="inlineStr">
        <is>
          <t>375</t>
        </is>
      </c>
      <c r="AN1909" t="inlineStr">
        <is>
          <t>9.1</t>
        </is>
      </c>
      <c r="AO1909" t="inlineStr">
        <is>
          <t>701+</t>
        </is>
      </c>
      <c r="AP1909" t="inlineStr">
        <is>
          <t>32.3</t>
        </is>
      </c>
      <c r="AQ1909" t="inlineStr">
        <is>
          <t>418</t>
        </is>
      </c>
      <c r="AR1909" t="inlineStr">
        <is>
          <t>99.5</t>
        </is>
      </c>
      <c r="AS1909" t="inlineStr">
        <is>
          <t>88</t>
        </is>
      </c>
      <c r="AT1909" t="inlineStr">
        <is>
          <t>34.6</t>
        </is>
      </c>
      <c r="AU1909" t="inlineStr">
        <is>
          <t>382</t>
        </is>
      </c>
      <c r="AV1909" t="inlineStr">
        <is>
          <t>38.1</t>
        </is>
      </c>
      <c r="AW1909" t="inlineStr">
        <is>
          <t>393</t>
        </is>
      </c>
      <c r="AX1909" t="inlineStr">
        <is>
          <t>47</t>
        </is>
      </c>
      <c r="AY1909" t="inlineStr">
        <is>
          <t>149</t>
        </is>
      </c>
      <c r="AZ1909" t="inlineStr">
        <is>
          <t>93.6</t>
        </is>
      </c>
      <c r="BA1909" t="inlineStr">
        <is>
          <t>66</t>
        </is>
      </c>
    </row>
    <row r="1910">
      <c r="A1910" t="inlineStr">
        <is>
          <t>Vienna University of Technology</t>
        </is>
      </c>
      <c r="B1910" t="inlineStr">
        <is>
          <t>Austria</t>
        </is>
      </c>
      <c r="C1910" t="inlineStr"/>
      <c r="D1910" t="inlineStr">
        <is>
          <t>Europe</t>
        </is>
      </c>
      <c r="E1910" t="inlineStr">
        <is>
          <t>M</t>
        </is>
      </c>
      <c r="F1910" t="inlineStr">
        <is>
          <t>FO</t>
        </is>
      </c>
      <c r="G1910" t="inlineStr">
        <is>
          <t>VH</t>
        </is>
      </c>
      <c r="H1910" t="inlineStr"/>
      <c r="I1910" t="inlineStr">
        <is>
          <t>Public</t>
        </is>
      </c>
      <c r="J1910" t="inlineStr">
        <is>
          <t>197</t>
        </is>
      </c>
      <c r="K1910" t="inlineStr">
        <is>
          <t>190</t>
        </is>
      </c>
      <c r="L1910" t="inlineStr"/>
      <c r="M1910" t="inlineStr"/>
      <c r="N1910" t="inlineStr">
        <is>
          <t>55.8</t>
        </is>
      </c>
      <c r="O1910" t="inlineStr"/>
      <c r="P1910" t="n">
        <v>47.6</v>
      </c>
      <c r="Q1910" t="inlineStr">
        <is>
          <t>246</t>
        </is>
      </c>
      <c r="R1910" t="n">
        <v>56.3</v>
      </c>
      <c r="S1910" t="inlineStr">
        <is>
          <t>211</t>
        </is>
      </c>
      <c r="T1910" t="n">
        <v>18.5</v>
      </c>
      <c r="U1910" t="inlineStr">
        <is>
          <t>801+</t>
        </is>
      </c>
      <c r="V1910" t="n">
        <v>71.09999999999999</v>
      </c>
      <c r="W1910" t="inlineStr">
        <is>
          <t>207</t>
        </is>
      </c>
      <c r="X1910" t="n">
        <v>91.8</v>
      </c>
      <c r="Y1910" t="inlineStr">
        <is>
          <t>211</t>
        </is>
      </c>
      <c r="Z1910" t="n">
        <v>95.90000000000001</v>
      </c>
      <c r="AA1910" t="inlineStr">
        <is>
          <t>114</t>
        </is>
      </c>
      <c r="AB1910" t="n">
        <v>71.3</v>
      </c>
      <c r="AC1910" t="inlineStr">
        <is>
          <t>258</t>
        </is>
      </c>
      <c r="AD1910" t="n">
        <v>71.90000000000001</v>
      </c>
      <c r="AE1910" t="inlineStr">
        <is>
          <t>502</t>
        </is>
      </c>
      <c r="AF1910" t="n">
        <v>29.1</v>
      </c>
      <c r="AG1910" t="inlineStr">
        <is>
          <t>569</t>
        </is>
      </c>
      <c r="AH1910" t="n">
        <v>59</v>
      </c>
      <c r="AI1910" t="inlineStr">
        <is>
          <t>520</t>
        </is>
      </c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</row>
    <row r="1911">
      <c r="A1911" t="inlineStr">
        <is>
          <t>Viet Nam National University Ho Chi Minh City (VNU-HCM)</t>
        </is>
      </c>
      <c r="B1911" t="inlineStr">
        <is>
          <t>Vietnam</t>
        </is>
      </c>
      <c r="C1911" t="inlineStr">
        <is>
          <t>VN</t>
        </is>
      </c>
      <c r="D1911" t="inlineStr"/>
      <c r="E1911" t="inlineStr">
        <is>
          <t>XL</t>
        </is>
      </c>
      <c r="F1911" t="inlineStr">
        <is>
          <t>CO</t>
        </is>
      </c>
      <c r="G1911" t="inlineStr">
        <is>
          <t>HI</t>
        </is>
      </c>
      <c r="H1911" t="inlineStr">
        <is>
          <t>3</t>
        </is>
      </c>
      <c r="I1911" t="inlineStr">
        <is>
          <t>A</t>
        </is>
      </c>
      <c r="J1911" t="inlineStr"/>
      <c r="K1911" t="inlineStr"/>
      <c r="L1911" t="inlineStr">
        <is>
          <t>951-1000</t>
        </is>
      </c>
      <c r="M1911" t="inlineStr">
        <is>
          <t>801-1000</t>
        </is>
      </c>
      <c r="N1911" t="inlineStr"/>
      <c r="O1911" t="inlineStr">
        <is>
          <t>-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>
        <is>
          <t>16.9</t>
        </is>
      </c>
      <c r="AK1911" t="inlineStr">
        <is>
          <t>524</t>
        </is>
      </c>
      <c r="AL1911" t="inlineStr">
        <is>
          <t>26.4</t>
        </is>
      </c>
      <c r="AM1911" t="inlineStr">
        <is>
          <t>366</t>
        </is>
      </c>
      <c r="AN1911" t="inlineStr">
        <is>
          <t>7.0</t>
        </is>
      </c>
      <c r="AO1911" t="inlineStr">
        <is>
          <t>701+</t>
        </is>
      </c>
      <c r="AP1911" t="inlineStr">
        <is>
          <t>2.0</t>
        </is>
      </c>
      <c r="AQ1911" t="inlineStr">
        <is>
          <t>701+</t>
        </is>
      </c>
      <c r="AR1911" t="inlineStr">
        <is>
          <t>2.8</t>
        </is>
      </c>
      <c r="AS1911" t="inlineStr">
        <is>
          <t>701+</t>
        </is>
      </c>
      <c r="AT1911" t="inlineStr">
        <is>
          <t>1.2</t>
        </is>
      </c>
      <c r="AU1911" t="inlineStr">
        <is>
          <t>701+</t>
        </is>
      </c>
      <c r="AV1911" t="inlineStr">
        <is>
          <t>2.3</t>
        </is>
      </c>
      <c r="AW1911" t="inlineStr">
        <is>
          <t>701+</t>
        </is>
      </c>
      <c r="AX1911" t="inlineStr">
        <is>
          <t>21.6</t>
        </is>
      </c>
      <c r="AY1911" t="inlineStr">
        <is>
          <t>386</t>
        </is>
      </c>
      <c r="AZ1911" t="inlineStr">
        <is>
          <t>3.4</t>
        </is>
      </c>
      <c r="BA1911" t="inlineStr">
        <is>
          <t>701+</t>
        </is>
      </c>
    </row>
    <row r="1912">
      <c r="A1912" t="inlineStr">
        <is>
          <t>Vietnam National University, Hanoi</t>
        </is>
      </c>
      <c r="B1912" t="inlineStr">
        <is>
          <t>Viet Nam</t>
        </is>
      </c>
      <c r="C1912" t="inlineStr"/>
      <c r="D1912" t="inlineStr">
        <is>
          <t>Asia</t>
        </is>
      </c>
      <c r="E1912" t="inlineStr">
        <is>
          <t>XL</t>
        </is>
      </c>
      <c r="F1912" t="inlineStr">
        <is>
          <t>CO</t>
        </is>
      </c>
      <c r="G1912" t="inlineStr">
        <is>
          <t>HI</t>
        </is>
      </c>
      <c r="H1912" t="inlineStr"/>
      <c r="I1912" t="inlineStr">
        <is>
          <t>Public</t>
        </is>
      </c>
      <c r="J1912" t="inlineStr">
        <is>
          <t>761-770</t>
        </is>
      </c>
      <c r="K1912" t="inlineStr">
        <is>
          <t>851-900</t>
        </is>
      </c>
      <c r="L1912" t="inlineStr"/>
      <c r="M1912" t="inlineStr"/>
      <c r="N1912" t="inlineStr">
        <is>
          <t>-</t>
        </is>
      </c>
      <c r="O1912" t="inlineStr"/>
      <c r="P1912" t="n">
        <v>24.3</v>
      </c>
      <c r="Q1912" t="inlineStr">
        <is>
          <t>525</t>
        </is>
      </c>
      <c r="R1912" t="n">
        <v>33</v>
      </c>
      <c r="S1912" t="inlineStr">
        <is>
          <t>435</t>
        </is>
      </c>
      <c r="T1912" t="n">
        <v>9.199999999999999</v>
      </c>
      <c r="U1912" t="inlineStr">
        <is>
          <t>801+</t>
        </is>
      </c>
      <c r="V1912" t="n">
        <v>4.3</v>
      </c>
      <c r="W1912" t="inlineStr">
        <is>
          <t>801+</t>
        </is>
      </c>
      <c r="X1912" t="n">
        <v>6.6</v>
      </c>
      <c r="Y1912" t="inlineStr">
        <is>
          <t>801+</t>
        </is>
      </c>
      <c r="Z1912" t="n">
        <v>1.3</v>
      </c>
      <c r="AA1912" t="inlineStr">
        <is>
          <t>801+</t>
        </is>
      </c>
      <c r="AB1912" t="n">
        <v>1.3</v>
      </c>
      <c r="AC1912" t="inlineStr">
        <is>
          <t>801+</t>
        </is>
      </c>
      <c r="AD1912" t="n">
        <v>68.3</v>
      </c>
      <c r="AE1912" t="inlineStr">
        <is>
          <t>562</t>
        </is>
      </c>
      <c r="AF1912" t="n">
        <v>68.7</v>
      </c>
      <c r="AG1912" t="inlineStr">
        <is>
          <t>223</t>
        </is>
      </c>
      <c r="AH1912" t="n">
        <v>69.40000000000001</v>
      </c>
      <c r="AI1912" t="inlineStr">
        <is>
          <t>323=</t>
        </is>
      </c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</row>
    <row r="1913">
      <c r="A1913" t="inlineStr">
        <is>
          <t xml:space="preserve">Vietnam National University, Hanoi </t>
        </is>
      </c>
      <c r="B1913" t="inlineStr">
        <is>
          <t>Vietnam</t>
        </is>
      </c>
      <c r="C1913" t="inlineStr">
        <is>
          <t>VN</t>
        </is>
      </c>
      <c r="D1913" t="inlineStr"/>
      <c r="E1913" t="inlineStr">
        <is>
          <t>XL</t>
        </is>
      </c>
      <c r="F1913" t="inlineStr">
        <is>
          <t>FO</t>
        </is>
      </c>
      <c r="G1913" t="inlineStr">
        <is>
          <t>VH</t>
        </is>
      </c>
      <c r="H1913" t="inlineStr">
        <is>
          <t>3</t>
        </is>
      </c>
      <c r="I1913" t="inlineStr">
        <is>
          <t>A</t>
        </is>
      </c>
      <c r="J1913" t="inlineStr"/>
      <c r="K1913" t="inlineStr"/>
      <c r="L1913" t="inlineStr">
        <is>
          <t>951-1000</t>
        </is>
      </c>
      <c r="M1913" t="inlineStr">
        <is>
          <t>801-1000</t>
        </is>
      </c>
      <c r="N1913" t="inlineStr"/>
      <c r="O1913" t="inlineStr">
        <is>
          <t>-</t>
        </is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>
        <is>
          <t>13.5</t>
        </is>
      </c>
      <c r="AK1913" t="inlineStr">
        <is>
          <t>601+</t>
        </is>
      </c>
      <c r="AL1913" t="inlineStr">
        <is>
          <t>21.1</t>
        </is>
      </c>
      <c r="AM1913" t="inlineStr">
        <is>
          <t>439</t>
        </is>
      </c>
      <c r="AN1913" t="inlineStr">
        <is>
          <t>9.4</t>
        </is>
      </c>
      <c r="AO1913" t="inlineStr">
        <is>
          <t>701+</t>
        </is>
      </c>
      <c r="AP1913" t="inlineStr">
        <is>
          <t>2.3</t>
        </is>
      </c>
      <c r="AQ1913" t="inlineStr">
        <is>
          <t>701+</t>
        </is>
      </c>
      <c r="AR1913" t="inlineStr">
        <is>
          <t>4.7</t>
        </is>
      </c>
      <c r="AS1913" t="inlineStr">
        <is>
          <t>701+</t>
        </is>
      </c>
      <c r="AT1913" t="inlineStr">
        <is>
          <t>1.2</t>
        </is>
      </c>
      <c r="AU1913" t="inlineStr">
        <is>
          <t>701+</t>
        </is>
      </c>
      <c r="AV1913" t="inlineStr">
        <is>
          <t>10.7</t>
        </is>
      </c>
      <c r="AW1913" t="inlineStr">
        <is>
          <t>657</t>
        </is>
      </c>
      <c r="AX1913" t="inlineStr">
        <is>
          <t>20.8</t>
        </is>
      </c>
      <c r="AY1913" t="inlineStr">
        <is>
          <t>399</t>
        </is>
      </c>
      <c r="AZ1913" t="inlineStr">
        <is>
          <t>6.1</t>
        </is>
      </c>
      <c r="BA1913" t="inlineStr">
        <is>
          <t>701+</t>
        </is>
      </c>
    </row>
    <row r="1914">
      <c r="A1914" t="inlineStr">
        <is>
          <t>Vietnam National University - Ho Chi Minh City (VNU-HCM)</t>
        </is>
      </c>
      <c r="B1914" t="inlineStr">
        <is>
          <t>Viet Nam</t>
        </is>
      </c>
      <c r="C1914" t="inlineStr"/>
      <c r="D1914" t="inlineStr">
        <is>
          <t>Asia</t>
        </is>
      </c>
      <c r="E1914" t="inlineStr">
        <is>
          <t>XL</t>
        </is>
      </c>
      <c r="F1914" t="inlineStr">
        <is>
          <t>CO</t>
        </is>
      </c>
      <c r="G1914" t="inlineStr">
        <is>
          <t>VH</t>
        </is>
      </c>
      <c r="H1914" t="inlineStr"/>
      <c r="I1914" t="inlineStr">
        <is>
          <t>Public</t>
        </is>
      </c>
      <c r="J1914" t="inlineStr">
        <is>
          <t>801-850</t>
        </is>
      </c>
      <c r="K1914" t="inlineStr">
        <is>
          <t>901-950</t>
        </is>
      </c>
      <c r="L1914" t="inlineStr"/>
      <c r="M1914" t="inlineStr"/>
      <c r="N1914" t="inlineStr">
        <is>
          <t>-</t>
        </is>
      </c>
      <c r="O1914" t="inlineStr"/>
      <c r="P1914" t="n">
        <v>29.1</v>
      </c>
      <c r="Q1914" t="inlineStr">
        <is>
          <t>426</t>
        </is>
      </c>
      <c r="R1914" t="n">
        <v>44.7</v>
      </c>
      <c r="S1914" t="inlineStr">
        <is>
          <t>300</t>
        </is>
      </c>
      <c r="T1914" t="n">
        <v>7.1</v>
      </c>
      <c r="U1914" t="inlineStr">
        <is>
          <t>801+</t>
        </is>
      </c>
      <c r="V1914" t="n">
        <v>3.9</v>
      </c>
      <c r="W1914" t="inlineStr">
        <is>
          <t>801+</t>
        </is>
      </c>
      <c r="X1914" t="n">
        <v>7.3</v>
      </c>
      <c r="Y1914" t="inlineStr">
        <is>
          <t>801+</t>
        </is>
      </c>
      <c r="Z1914" t="n">
        <v>1.2</v>
      </c>
      <c r="AA1914" t="inlineStr">
        <is>
          <t>801+</t>
        </is>
      </c>
      <c r="AB1914" t="n">
        <v>5.7</v>
      </c>
      <c r="AC1914" t="inlineStr">
        <is>
          <t>801+</t>
        </is>
      </c>
      <c r="AD1914" t="n">
        <v>46.8</v>
      </c>
      <c r="AE1914" t="inlineStr">
        <is>
          <t>801+</t>
        </is>
      </c>
      <c r="AF1914" t="n">
        <v>34.4</v>
      </c>
      <c r="AG1914" t="inlineStr">
        <is>
          <t>495</t>
        </is>
      </c>
      <c r="AH1914" t="n">
        <v>45.1</v>
      </c>
      <c r="AI1914" t="inlineStr">
        <is>
          <t>801+</t>
        </is>
      </c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</row>
    <row r="1915">
      <c r="A1915" t="inlineStr">
        <is>
          <t>Vilnius Gediminas Technical University</t>
        </is>
      </c>
      <c r="B1915" t="inlineStr">
        <is>
          <t>Lithuania</t>
        </is>
      </c>
      <c r="C1915" t="inlineStr">
        <is>
          <t>LT</t>
        </is>
      </c>
      <c r="D1915" t="inlineStr">
        <is>
          <t>Europe</t>
        </is>
      </c>
      <c r="E1915" t="inlineStr">
        <is>
          <t>M</t>
        </is>
      </c>
      <c r="F1915" t="inlineStr">
        <is>
          <t>SP</t>
        </is>
      </c>
      <c r="G1915" t="inlineStr">
        <is>
          <t>VH</t>
        </is>
      </c>
      <c r="H1915" t="inlineStr">
        <is>
          <t>4</t>
        </is>
      </c>
      <c r="I1915" t="inlineStr">
        <is>
          <t>Public</t>
        </is>
      </c>
      <c r="J1915" t="inlineStr">
        <is>
          <t>851-900</t>
        </is>
      </c>
      <c r="K1915" t="inlineStr">
        <is>
          <t>851-900</t>
        </is>
      </c>
      <c r="L1915" t="inlineStr">
        <is>
          <t>801-850</t>
        </is>
      </c>
      <c r="M1915" t="inlineStr">
        <is>
          <t>701-750</t>
        </is>
      </c>
      <c r="N1915" t="inlineStr">
        <is>
          <t>-</t>
        </is>
      </c>
      <c r="O1915" t="inlineStr">
        <is>
          <t>-</t>
        </is>
      </c>
      <c r="P1915" t="n">
        <v>13.8</v>
      </c>
      <c r="Q1915" t="inlineStr">
        <is>
          <t>701+</t>
        </is>
      </c>
      <c r="R1915" t="n">
        <v>17.4</v>
      </c>
      <c r="S1915" t="inlineStr">
        <is>
          <t>701+</t>
        </is>
      </c>
      <c r="T1915" t="n">
        <v>38.4</v>
      </c>
      <c r="U1915" t="inlineStr">
        <is>
          <t>529</t>
        </is>
      </c>
      <c r="V1915" t="n">
        <v>15.6</v>
      </c>
      <c r="W1915" t="inlineStr">
        <is>
          <t>790</t>
        </is>
      </c>
      <c r="X1915" t="n">
        <v>19.3</v>
      </c>
      <c r="Y1915" t="inlineStr">
        <is>
          <t>723</t>
        </is>
      </c>
      <c r="Z1915" t="n">
        <v>54.3</v>
      </c>
      <c r="AA1915" t="inlineStr">
        <is>
          <t>381</t>
        </is>
      </c>
      <c r="AB1915" t="n">
        <v>58.7</v>
      </c>
      <c r="AC1915" t="inlineStr">
        <is>
          <t>347</t>
        </is>
      </c>
      <c r="AD1915" t="n">
        <v>42.7</v>
      </c>
      <c r="AE1915" t="inlineStr">
        <is>
          <t>801+</t>
        </is>
      </c>
      <c r="AF1915" t="n">
        <v>9.300000000000001</v>
      </c>
      <c r="AG1915" t="inlineStr">
        <is>
          <t>801+</t>
        </is>
      </c>
      <c r="AH1915" t="n">
        <v>35.1</v>
      </c>
      <c r="AI1915" t="inlineStr">
        <is>
          <t>801+</t>
        </is>
      </c>
      <c r="AJ1915" t="inlineStr">
        <is>
          <t>9.0</t>
        </is>
      </c>
      <c r="AK1915" t="inlineStr">
        <is>
          <t>601+</t>
        </is>
      </c>
      <c r="AL1915" t="inlineStr">
        <is>
          <t>16.7</t>
        </is>
      </c>
      <c r="AM1915" t="inlineStr">
        <is>
          <t>516</t>
        </is>
      </c>
      <c r="AN1915" t="inlineStr">
        <is>
          <t>40.9</t>
        </is>
      </c>
      <c r="AO1915" t="inlineStr">
        <is>
          <t>385</t>
        </is>
      </c>
      <c r="AP1915" t="inlineStr">
        <is>
          <t>7.3</t>
        </is>
      </c>
      <c r="AQ1915" t="inlineStr">
        <is>
          <t>701+</t>
        </is>
      </c>
      <c r="AR1915" t="inlineStr">
        <is>
          <t>15.8</t>
        </is>
      </c>
      <c r="AS1915" t="inlineStr">
        <is>
          <t>655</t>
        </is>
      </c>
      <c r="AT1915" t="inlineStr">
        <is>
          <t>38.8</t>
        </is>
      </c>
      <c r="AU1915" t="inlineStr">
        <is>
          <t>355</t>
        </is>
      </c>
      <c r="AV1915" t="inlineStr">
        <is>
          <t>4.7</t>
        </is>
      </c>
      <c r="AW1915" t="inlineStr">
        <is>
          <t>701+</t>
        </is>
      </c>
      <c r="AX1915" t="inlineStr">
        <is>
          <t>11.5</t>
        </is>
      </c>
      <c r="AY1915" t="inlineStr">
        <is>
          <t>701+</t>
        </is>
      </c>
      <c r="AZ1915" t="inlineStr">
        <is>
          <t>1.9</t>
        </is>
      </c>
      <c r="BA1915" t="inlineStr">
        <is>
          <t>701+</t>
        </is>
      </c>
    </row>
    <row r="1916">
      <c r="A1916" t="inlineStr">
        <is>
          <t>Vilnius University</t>
        </is>
      </c>
      <c r="B1916" t="inlineStr">
        <is>
          <t>Lithuania</t>
        </is>
      </c>
      <c r="C1916" t="inlineStr">
        <is>
          <t>LT</t>
        </is>
      </c>
      <c r="D1916" t="inlineStr">
        <is>
          <t>Europe</t>
        </is>
      </c>
      <c r="E1916" t="inlineStr">
        <is>
          <t>L</t>
        </is>
      </c>
      <c r="F1916" t="inlineStr">
        <is>
          <t>FC</t>
        </is>
      </c>
      <c r="G1916" t="inlineStr">
        <is>
          <t>HI</t>
        </is>
      </c>
      <c r="H1916" t="inlineStr">
        <is>
          <t>5</t>
        </is>
      </c>
      <c r="I1916" t="inlineStr">
        <is>
          <t>Public</t>
        </is>
      </c>
      <c r="J1916" t="inlineStr">
        <is>
          <t>446</t>
        </is>
      </c>
      <c r="K1916" t="inlineStr">
        <is>
          <t>439</t>
        </is>
      </c>
      <c r="L1916">
        <f>473</f>
        <v/>
      </c>
      <c r="M1916" t="inlineStr">
        <is>
          <t>400=</t>
        </is>
      </c>
      <c r="N1916" t="inlineStr">
        <is>
          <t>34.8</t>
        </is>
      </c>
      <c r="O1916" t="inlineStr">
        <is>
          <t>24.4</t>
        </is>
      </c>
      <c r="P1916" t="n">
        <v>26.9</v>
      </c>
      <c r="Q1916" t="inlineStr">
        <is>
          <t>467</t>
        </is>
      </c>
      <c r="R1916" t="n">
        <v>28</v>
      </c>
      <c r="S1916" t="inlineStr">
        <is>
          <t>496</t>
        </is>
      </c>
      <c r="T1916" t="n">
        <v>73.09999999999999</v>
      </c>
      <c r="U1916" t="inlineStr">
        <is>
          <t>210</t>
        </is>
      </c>
      <c r="V1916" t="n">
        <v>6.2</v>
      </c>
      <c r="W1916" t="inlineStr">
        <is>
          <t>801+</t>
        </is>
      </c>
      <c r="X1916" t="n">
        <v>28.4</v>
      </c>
      <c r="Y1916" t="inlineStr">
        <is>
          <t>601</t>
        </is>
      </c>
      <c r="Z1916" t="n">
        <v>28.5</v>
      </c>
      <c r="AA1916" t="inlineStr">
        <is>
          <t>609</t>
        </is>
      </c>
      <c r="AB1916" t="n">
        <v>34.5</v>
      </c>
      <c r="AC1916" t="inlineStr">
        <is>
          <t>557</t>
        </is>
      </c>
      <c r="AD1916" t="n">
        <v>80.2</v>
      </c>
      <c r="AE1916" t="inlineStr">
        <is>
          <t>351</t>
        </is>
      </c>
      <c r="AF1916" t="n">
        <v>91.3</v>
      </c>
      <c r="AG1916" t="inlineStr">
        <is>
          <t>93</t>
        </is>
      </c>
      <c r="AH1916" t="n">
        <v>70.3</v>
      </c>
      <c r="AI1916" t="inlineStr">
        <is>
          <t>313=</t>
        </is>
      </c>
      <c r="AJ1916" t="inlineStr">
        <is>
          <t>19.8</t>
        </is>
      </c>
      <c r="AK1916" t="inlineStr">
        <is>
          <t>447</t>
        </is>
      </c>
      <c r="AL1916" t="inlineStr">
        <is>
          <t>27.8</t>
        </is>
      </c>
      <c r="AM1916" t="inlineStr">
        <is>
          <t>346</t>
        </is>
      </c>
      <c r="AN1916" t="inlineStr">
        <is>
          <t>83.0</t>
        </is>
      </c>
      <c r="AO1916" t="inlineStr">
        <is>
          <t>119</t>
        </is>
      </c>
      <c r="AP1916" t="inlineStr">
        <is>
          <t>3.0</t>
        </is>
      </c>
      <c r="AQ1916" t="inlineStr">
        <is>
          <t>701+</t>
        </is>
      </c>
      <c r="AR1916" t="inlineStr">
        <is>
          <t>13.0</t>
        </is>
      </c>
      <c r="AS1916" t="inlineStr">
        <is>
          <t>701+</t>
        </is>
      </c>
      <c r="AT1916" t="inlineStr">
        <is>
          <t>14.9</t>
        </is>
      </c>
      <c r="AU1916" t="inlineStr">
        <is>
          <t>622</t>
        </is>
      </c>
      <c r="AV1916" t="inlineStr">
        <is>
          <t>43.5</t>
        </is>
      </c>
      <c r="AW1916" t="inlineStr">
        <is>
          <t>351</t>
        </is>
      </c>
      <c r="AX1916" t="inlineStr">
        <is>
          <t>25.5</t>
        </is>
      </c>
      <c r="AY1916" t="inlineStr">
        <is>
          <t>325</t>
        </is>
      </c>
      <c r="AZ1916" t="inlineStr">
        <is>
          <t>11.7</t>
        </is>
      </c>
      <c r="BA1916" t="inlineStr">
        <is>
          <t>647=</t>
        </is>
      </c>
    </row>
    <row r="1917">
      <c r="A1917" t="inlineStr">
        <is>
          <t>Virginia Commonwealth University</t>
        </is>
      </c>
      <c r="B1917" t="inlineStr">
        <is>
          <t>United States</t>
        </is>
      </c>
      <c r="C1917" t="inlineStr">
        <is>
          <t>US</t>
        </is>
      </c>
      <c r="D1917" t="inlineStr">
        <is>
          <t>Americas</t>
        </is>
      </c>
      <c r="E1917" t="inlineStr">
        <is>
          <t>L</t>
        </is>
      </c>
      <c r="F1917" t="inlineStr">
        <is>
          <t>FC</t>
        </is>
      </c>
      <c r="G1917" t="inlineStr">
        <is>
          <t>VH</t>
        </is>
      </c>
      <c r="H1917" t="inlineStr">
        <is>
          <t>5</t>
        </is>
      </c>
      <c r="I1917" t="inlineStr">
        <is>
          <t>Public</t>
        </is>
      </c>
      <c r="J1917" t="inlineStr">
        <is>
          <t>901-950</t>
        </is>
      </c>
      <c r="K1917" t="inlineStr">
        <is>
          <t>851-900</t>
        </is>
      </c>
      <c r="L1917" t="inlineStr">
        <is>
          <t>761-770</t>
        </is>
      </c>
      <c r="M1917" t="inlineStr">
        <is>
          <t>701-750</t>
        </is>
      </c>
      <c r="N1917" t="inlineStr">
        <is>
          <t>-</t>
        </is>
      </c>
      <c r="O1917" t="inlineStr">
        <is>
          <t>-</t>
        </is>
      </c>
      <c r="P1917" t="n">
        <v>9.5</v>
      </c>
      <c r="Q1917" t="inlineStr">
        <is>
          <t>701+</t>
        </is>
      </c>
      <c r="R1917" t="n">
        <v>9.9</v>
      </c>
      <c r="S1917" t="inlineStr">
        <is>
          <t>701+</t>
        </is>
      </c>
      <c r="T1917" t="n">
        <v>42.8</v>
      </c>
      <c r="U1917" t="inlineStr">
        <is>
          <t>464</t>
        </is>
      </c>
      <c r="V1917" t="n">
        <v>20</v>
      </c>
      <c r="W1917" t="inlineStr">
        <is>
          <t>712</t>
        </is>
      </c>
      <c r="X1917" t="n">
        <v>12.6</v>
      </c>
      <c r="Y1917" t="inlineStr">
        <is>
          <t>801+</t>
        </is>
      </c>
      <c r="Z1917" t="n">
        <v>6</v>
      </c>
      <c r="AA1917" t="inlineStr">
        <is>
          <t>801+</t>
        </is>
      </c>
      <c r="AB1917" t="n">
        <v>11.5</v>
      </c>
      <c r="AC1917" t="inlineStr">
        <is>
          <t>801+</t>
        </is>
      </c>
      <c r="AD1917" t="n">
        <v>68.8</v>
      </c>
      <c r="AE1917" t="inlineStr">
        <is>
          <t>550</t>
        </is>
      </c>
      <c r="AF1917" t="n">
        <v>18.3</v>
      </c>
      <c r="AG1917" t="inlineStr">
        <is>
          <t>753</t>
        </is>
      </c>
      <c r="AH1917" t="n">
        <v>48.4</v>
      </c>
      <c r="AI1917" t="inlineStr">
        <is>
          <t>746=</t>
        </is>
      </c>
      <c r="AJ1917" t="inlineStr">
        <is>
          <t>6.7</t>
        </is>
      </c>
      <c r="AK1917" t="inlineStr">
        <is>
          <t>601+</t>
        </is>
      </c>
      <c r="AL1917" t="inlineStr">
        <is>
          <t>16.5</t>
        </is>
      </c>
      <c r="AM1917" t="inlineStr">
        <is>
          <t>521</t>
        </is>
      </c>
      <c r="AN1917" t="inlineStr">
        <is>
          <t>43.1</t>
        </is>
      </c>
      <c r="AO1917" t="inlineStr">
        <is>
          <t>365</t>
        </is>
      </c>
      <c r="AP1917" t="inlineStr">
        <is>
          <t>13.7</t>
        </is>
      </c>
      <c r="AQ1917" t="inlineStr">
        <is>
          <t>662</t>
        </is>
      </c>
      <c r="AR1917" t="inlineStr">
        <is>
          <t>15.9</t>
        </is>
      </c>
      <c r="AS1917" t="inlineStr">
        <is>
          <t>653</t>
        </is>
      </c>
      <c r="AT1917" t="inlineStr">
        <is>
          <t>3.2</t>
        </is>
      </c>
      <c r="AU1917" t="inlineStr">
        <is>
          <t>701+</t>
        </is>
      </c>
      <c r="AV1917" t="inlineStr">
        <is>
          <t>39.2</t>
        </is>
      </c>
      <c r="AW1917" t="inlineStr">
        <is>
          <t>383</t>
        </is>
      </c>
      <c r="AX1917" t="inlineStr">
        <is>
          <t>12.4</t>
        </is>
      </c>
      <c r="AY1917" t="inlineStr">
        <is>
          <t>701+</t>
        </is>
      </c>
      <c r="AZ1917" t="inlineStr">
        <is>
          <t>12</t>
        </is>
      </c>
      <c r="BA1917" t="inlineStr">
        <is>
          <t>642=</t>
        </is>
      </c>
    </row>
    <row r="1918">
      <c r="A1918" t="inlineStr">
        <is>
          <t>Virginia Polytechnic Institute and State University</t>
        </is>
      </c>
      <c r="B1918" t="inlineStr">
        <is>
          <t>United States</t>
        </is>
      </c>
      <c r="C1918" t="inlineStr">
        <is>
          <t>US</t>
        </is>
      </c>
      <c r="D1918" t="inlineStr"/>
      <c r="E1918" t="inlineStr">
        <is>
          <t>XL</t>
        </is>
      </c>
      <c r="F1918" t="inlineStr">
        <is>
          <t>FC</t>
        </is>
      </c>
      <c r="G1918" t="inlineStr">
        <is>
          <t>VH</t>
        </is>
      </c>
      <c r="H1918" t="inlineStr">
        <is>
          <t>5</t>
        </is>
      </c>
      <c r="I1918" t="inlineStr">
        <is>
          <t>A</t>
        </is>
      </c>
      <c r="J1918" t="inlineStr"/>
      <c r="K1918" t="inlineStr"/>
      <c r="L1918">
        <f>302</f>
        <v/>
      </c>
      <c r="M1918" t="inlineStr">
        <is>
          <t>363=</t>
        </is>
      </c>
      <c r="N1918" t="inlineStr"/>
      <c r="O1918" t="inlineStr">
        <is>
          <t>34.5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>
        <is>
          <t>26.2</t>
        </is>
      </c>
      <c r="AK1918" t="inlineStr">
        <is>
          <t>337</t>
        </is>
      </c>
      <c r="AL1918" t="inlineStr">
        <is>
          <t>40.4</t>
        </is>
      </c>
      <c r="AM1918" t="inlineStr">
        <is>
          <t>232</t>
        </is>
      </c>
      <c r="AN1918" t="inlineStr">
        <is>
          <t>18.7</t>
        </is>
      </c>
      <c r="AO1918" t="inlineStr">
        <is>
          <t>701+</t>
        </is>
      </c>
      <c r="AP1918" t="inlineStr">
        <is>
          <t>34.8</t>
        </is>
      </c>
      <c r="AQ1918" t="inlineStr">
        <is>
          <t>389</t>
        </is>
      </c>
      <c r="AR1918" t="inlineStr">
        <is>
          <t>71.7</t>
        </is>
      </c>
      <c r="AS1918" t="inlineStr">
        <is>
          <t>267</t>
        </is>
      </c>
      <c r="AT1918" t="inlineStr">
        <is>
          <t>17.9</t>
        </is>
      </c>
      <c r="AU1918" t="inlineStr">
        <is>
          <t>577</t>
        </is>
      </c>
      <c r="AV1918" t="inlineStr">
        <is>
          <t>70.0</t>
        </is>
      </c>
      <c r="AW1918" t="inlineStr">
        <is>
          <t>197</t>
        </is>
      </c>
      <c r="AX1918" t="inlineStr">
        <is>
          <t>20.7</t>
        </is>
      </c>
      <c r="AY1918" t="inlineStr">
        <is>
          <t>402</t>
        </is>
      </c>
      <c r="AZ1918" t="inlineStr">
        <is>
          <t>52.8</t>
        </is>
      </c>
      <c r="BA1918" t="inlineStr">
        <is>
          <t>292=</t>
        </is>
      </c>
    </row>
    <row r="1919">
      <c r="A1919" t="inlineStr">
        <is>
          <t>Virginia Polytechnic Institute (Virginia Tech)</t>
        </is>
      </c>
      <c r="B1919" t="inlineStr">
        <is>
          <t>United States</t>
        </is>
      </c>
      <c r="C1919" t="inlineStr"/>
      <c r="D1919" t="inlineStr">
        <is>
          <t>Americas</t>
        </is>
      </c>
      <c r="E1919" t="inlineStr">
        <is>
          <t>XL</t>
        </is>
      </c>
      <c r="F1919" t="inlineStr">
        <is>
          <t>FC</t>
        </is>
      </c>
      <c r="G1919" t="inlineStr">
        <is>
          <t>VH</t>
        </is>
      </c>
      <c r="H1919" t="inlineStr"/>
      <c r="I1919" t="inlineStr">
        <is>
          <t>Public</t>
        </is>
      </c>
      <c r="J1919" t="inlineStr">
        <is>
          <t>358</t>
        </is>
      </c>
      <c r="K1919" t="inlineStr">
        <is>
          <t>389</t>
        </is>
      </c>
      <c r="L1919" t="inlineStr"/>
      <c r="M1919" t="inlineStr"/>
      <c r="N1919" t="inlineStr">
        <is>
          <t>41.1</t>
        </is>
      </c>
      <c r="O1919" t="inlineStr"/>
      <c r="P1919" t="n">
        <v>34.5</v>
      </c>
      <c r="Q1919" t="inlineStr">
        <is>
          <t>352</t>
        </is>
      </c>
      <c r="R1919" t="n">
        <v>39.4</v>
      </c>
      <c r="S1919" t="inlineStr">
        <is>
          <t>347</t>
        </is>
      </c>
      <c r="T1919" t="n">
        <v>26.3</v>
      </c>
      <c r="U1919" t="inlineStr">
        <is>
          <t>710</t>
        </is>
      </c>
      <c r="V1919" t="n">
        <v>38.7</v>
      </c>
      <c r="W1919" t="inlineStr">
        <is>
          <t>484</t>
        </is>
      </c>
      <c r="X1919" t="n">
        <v>81.59999999999999</v>
      </c>
      <c r="Y1919" t="inlineStr">
        <is>
          <t>282</t>
        </is>
      </c>
      <c r="Z1919" t="n">
        <v>27.9</v>
      </c>
      <c r="AA1919" t="inlineStr">
        <is>
          <t>616</t>
        </is>
      </c>
      <c r="AB1919" t="n">
        <v>33.9</v>
      </c>
      <c r="AC1919" t="inlineStr">
        <is>
          <t>563</t>
        </is>
      </c>
      <c r="AD1919" t="n">
        <v>86.09999999999999</v>
      </c>
      <c r="AE1919" t="inlineStr">
        <is>
          <t>236</t>
        </is>
      </c>
      <c r="AF1919" t="n">
        <v>41.1</v>
      </c>
      <c r="AG1919" t="inlineStr">
        <is>
          <t>426</t>
        </is>
      </c>
      <c r="AH1919" t="n">
        <v>68.2</v>
      </c>
      <c r="AI1919" t="inlineStr">
        <is>
          <t>346=</t>
        </is>
      </c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</row>
    <row r="1920">
      <c r="A1920" t="inlineStr">
        <is>
          <t>Voronezh State University</t>
        </is>
      </c>
      <c r="B1920" t="inlineStr">
        <is>
          <t>Russia</t>
        </is>
      </c>
      <c r="C1920" t="inlineStr">
        <is>
          <t>RU</t>
        </is>
      </c>
      <c r="D1920" t="inlineStr">
        <is>
          <t>Europe</t>
        </is>
      </c>
      <c r="E1920" t="inlineStr">
        <is>
          <t>L</t>
        </is>
      </c>
      <c r="F1920" t="inlineStr">
        <is>
          <t>CO</t>
        </is>
      </c>
      <c r="G1920" t="inlineStr">
        <is>
          <t>HI</t>
        </is>
      </c>
      <c r="H1920" t="inlineStr">
        <is>
          <t>5</t>
        </is>
      </c>
      <c r="I1920" t="inlineStr">
        <is>
          <t>Public</t>
        </is>
      </c>
      <c r="J1920" t="inlineStr">
        <is>
          <t>1401+</t>
        </is>
      </c>
      <c r="K1920" t="inlineStr">
        <is>
          <t>1201-1400</t>
        </is>
      </c>
      <c r="L1920" t="inlineStr">
        <is>
          <t>1201-1400</t>
        </is>
      </c>
      <c r="M1920" t="inlineStr">
        <is>
          <t>1001-1200</t>
        </is>
      </c>
      <c r="N1920" t="inlineStr">
        <is>
          <t>-</t>
        </is>
      </c>
      <c r="O1920" t="inlineStr">
        <is>
          <t>-</t>
        </is>
      </c>
      <c r="P1920" t="n">
        <v>5.7</v>
      </c>
      <c r="Q1920" t="inlineStr">
        <is>
          <t>701+</t>
        </is>
      </c>
      <c r="R1920" t="n">
        <v>4.7</v>
      </c>
      <c r="S1920" t="inlineStr">
        <is>
          <t>701+</t>
        </is>
      </c>
      <c r="T1920" t="n">
        <v>31.3</v>
      </c>
      <c r="U1920" t="inlineStr">
        <is>
          <t>610</t>
        </is>
      </c>
      <c r="V1920" t="n">
        <v>1.6</v>
      </c>
      <c r="W1920" t="inlineStr">
        <is>
          <t>801+</t>
        </is>
      </c>
      <c r="X1920" t="n">
        <v>3.7</v>
      </c>
      <c r="Y1920" t="inlineStr">
        <is>
          <t>801+</t>
        </is>
      </c>
      <c r="Z1920" t="n">
        <v>34.5</v>
      </c>
      <c r="AA1920" t="inlineStr">
        <is>
          <t>546</t>
        </is>
      </c>
      <c r="AB1920" t="n">
        <v>40.2</v>
      </c>
      <c r="AC1920" t="inlineStr">
        <is>
          <t>502</t>
        </is>
      </c>
      <c r="AD1920" t="n">
        <v>12.2</v>
      </c>
      <c r="AE1920" t="inlineStr">
        <is>
          <t>801+</t>
        </is>
      </c>
      <c r="AF1920" t="n">
        <v>3.5</v>
      </c>
      <c r="AG1920" t="inlineStr">
        <is>
          <t>801+</t>
        </is>
      </c>
      <c r="AH1920" t="n">
        <v>20.4</v>
      </c>
      <c r="AI1920" t="inlineStr">
        <is>
          <t>801+</t>
        </is>
      </c>
      <c r="AJ1920" t="inlineStr">
        <is>
          <t>5.9</t>
        </is>
      </c>
      <c r="AK1920" t="inlineStr">
        <is>
          <t>601+</t>
        </is>
      </c>
      <c r="AL1920" t="inlineStr">
        <is>
          <t>2.3</t>
        </is>
      </c>
      <c r="AM1920" t="inlineStr">
        <is>
          <t>601+</t>
        </is>
      </c>
      <c r="AN1920" t="inlineStr">
        <is>
          <t>19.9</t>
        </is>
      </c>
      <c r="AO1920" t="inlineStr">
        <is>
          <t>670</t>
        </is>
      </c>
      <c r="AP1920" t="inlineStr">
        <is>
          <t>1.3</t>
        </is>
      </c>
      <c r="AQ1920" t="inlineStr">
        <is>
          <t>701+</t>
        </is>
      </c>
      <c r="AR1920" t="inlineStr">
        <is>
          <t>3.4</t>
        </is>
      </c>
      <c r="AS1920" t="inlineStr">
        <is>
          <t>701+</t>
        </is>
      </c>
      <c r="AT1920" t="inlineStr">
        <is>
          <t>25.6</t>
        </is>
      </c>
      <c r="AU1920" t="inlineStr">
        <is>
          <t>466</t>
        </is>
      </c>
      <c r="AV1920" t="inlineStr">
        <is>
          <t>1.0</t>
        </is>
      </c>
      <c r="AW1920" t="inlineStr">
        <is>
          <t>701+</t>
        </is>
      </c>
      <c r="AX1920" t="inlineStr">
        <is>
          <t>6.6</t>
        </is>
      </c>
      <c r="AY1920" t="inlineStr">
        <is>
          <t>701+</t>
        </is>
      </c>
      <c r="AZ1920" t="inlineStr">
        <is>
          <t>1.4</t>
        </is>
      </c>
      <c r="BA1920" t="inlineStr">
        <is>
          <t>701+</t>
        </is>
      </c>
    </row>
    <row r="1921">
      <c r="A1921" t="inlineStr">
        <is>
          <t>Vrije Universiteit Amsterdam</t>
        </is>
      </c>
      <c r="B1921" t="inlineStr">
        <is>
          <t>Netherlands</t>
        </is>
      </c>
      <c r="C1921" t="inlineStr">
        <is>
          <t>NL</t>
        </is>
      </c>
      <c r="D1921" t="inlineStr">
        <is>
          <t>Europe</t>
        </is>
      </c>
      <c r="E1921" t="inlineStr">
        <is>
          <t>L</t>
        </is>
      </c>
      <c r="F1921" t="inlineStr">
        <is>
          <t>FC</t>
        </is>
      </c>
      <c r="G1921" t="inlineStr">
        <is>
          <t>VH</t>
        </is>
      </c>
      <c r="H1921" t="inlineStr">
        <is>
          <t>5</t>
        </is>
      </c>
      <c r="I1921" t="inlineStr">
        <is>
          <t>Public</t>
        </is>
      </c>
      <c r="J1921" t="inlineStr">
        <is>
          <t>194</t>
        </is>
      </c>
      <c r="K1921" t="inlineStr">
        <is>
          <t>221</t>
        </is>
      </c>
      <c r="L1921" t="inlineStr">
        <is>
          <t>207</t>
        </is>
      </c>
      <c r="M1921" t="inlineStr">
        <is>
          <t>214</t>
        </is>
      </c>
      <c r="N1921" t="inlineStr">
        <is>
          <t>56.2</t>
        </is>
      </c>
      <c r="O1921" t="inlineStr">
        <is>
          <t>44.9</t>
        </is>
      </c>
      <c r="P1921" t="n">
        <v>53.3</v>
      </c>
      <c r="Q1921" t="inlineStr">
        <is>
          <t>208</t>
        </is>
      </c>
      <c r="R1921" t="n">
        <v>28.8</v>
      </c>
      <c r="S1921" t="inlineStr">
        <is>
          <t>489</t>
        </is>
      </c>
      <c r="T1921" t="n">
        <v>23.3</v>
      </c>
      <c r="U1921" t="inlineStr">
        <is>
          <t>767</t>
        </is>
      </c>
      <c r="V1921" t="n">
        <v>80.7</v>
      </c>
      <c r="W1921" t="inlineStr">
        <is>
          <t>154</t>
        </is>
      </c>
      <c r="X1921" t="n">
        <v>82.90000000000001</v>
      </c>
      <c r="Y1921" t="inlineStr">
        <is>
          <t>272</t>
        </is>
      </c>
      <c r="Z1921" t="n">
        <v>57.6</v>
      </c>
      <c r="AA1921" t="inlineStr">
        <is>
          <t>358</t>
        </is>
      </c>
      <c r="AB1921" t="n">
        <v>42.9</v>
      </c>
      <c r="AC1921" t="inlineStr">
        <is>
          <t>484</t>
        </is>
      </c>
      <c r="AD1921" t="n">
        <v>90.09999999999999</v>
      </c>
      <c r="AE1921" t="inlineStr">
        <is>
          <t>173</t>
        </is>
      </c>
      <c r="AF1921" t="n">
        <v>56.4</v>
      </c>
      <c r="AG1921" t="inlineStr">
        <is>
          <t>296</t>
        </is>
      </c>
      <c r="AH1921" t="n">
        <v>68.8</v>
      </c>
      <c r="AI1921" t="inlineStr">
        <is>
          <t>338</t>
        </is>
      </c>
      <c r="AJ1921" t="inlineStr">
        <is>
          <t>39.6</t>
        </is>
      </c>
      <c r="AK1921" t="inlineStr">
        <is>
          <t>217</t>
        </is>
      </c>
      <c r="AL1921" t="inlineStr">
        <is>
          <t>15.7</t>
        </is>
      </c>
      <c r="AM1921" t="inlineStr">
        <is>
          <t>531</t>
        </is>
      </c>
      <c r="AN1921" t="inlineStr">
        <is>
          <t>23.6</t>
        </is>
      </c>
      <c r="AO1921" t="inlineStr">
        <is>
          <t>607</t>
        </is>
      </c>
      <c r="AP1921" t="inlineStr">
        <is>
          <t>68.1</t>
        </is>
      </c>
      <c r="AQ1921" t="inlineStr">
        <is>
          <t>156</t>
        </is>
      </c>
      <c r="AR1921" t="inlineStr">
        <is>
          <t>68.5</t>
        </is>
      </c>
      <c r="AS1921" t="inlineStr">
        <is>
          <t>284</t>
        </is>
      </c>
      <c r="AT1921" t="inlineStr">
        <is>
          <t>40.2</t>
        </is>
      </c>
      <c r="AU1921" t="inlineStr">
        <is>
          <t>340</t>
        </is>
      </c>
      <c r="AV1921" t="inlineStr">
        <is>
          <t>70.1</t>
        </is>
      </c>
      <c r="AW1921" t="inlineStr">
        <is>
          <t>195</t>
        </is>
      </c>
      <c r="AX1921" t="inlineStr">
        <is>
          <t>20.2</t>
        </is>
      </c>
      <c r="AY1921" t="inlineStr">
        <is>
          <t>414</t>
        </is>
      </c>
      <c r="AZ1921" t="inlineStr">
        <is>
          <t>89.1</t>
        </is>
      </c>
      <c r="BA1921" t="inlineStr">
        <is>
          <t>95=</t>
        </is>
      </c>
    </row>
    <row r="1922">
      <c r="A1922" t="inlineStr">
        <is>
          <t>Vrije Universiteit Brussel (VUB)</t>
        </is>
      </c>
      <c r="B1922" t="inlineStr">
        <is>
          <t>Belgium</t>
        </is>
      </c>
      <c r="C1922" t="inlineStr">
        <is>
          <t>BE</t>
        </is>
      </c>
      <c r="D1922" t="inlineStr">
        <is>
          <t>Europe</t>
        </is>
      </c>
      <c r="E1922" t="inlineStr">
        <is>
          <t>L</t>
        </is>
      </c>
      <c r="F1922" t="inlineStr">
        <is>
          <t>FC</t>
        </is>
      </c>
      <c r="G1922" t="inlineStr">
        <is>
          <t>VH</t>
        </is>
      </c>
      <c r="H1922" t="inlineStr">
        <is>
          <t>4</t>
        </is>
      </c>
      <c r="I1922" t="inlineStr">
        <is>
          <t>Public</t>
        </is>
      </c>
      <c r="J1922" t="inlineStr">
        <is>
          <t>294</t>
        </is>
      </c>
      <c r="K1922" t="inlineStr">
        <is>
          <t>278</t>
        </is>
      </c>
      <c r="L1922" t="inlineStr">
        <is>
          <t>259</t>
        </is>
      </c>
      <c r="M1922" t="inlineStr">
        <is>
          <t>251</t>
        </is>
      </c>
      <c r="N1922" t="inlineStr">
        <is>
          <t>46</t>
        </is>
      </c>
      <c r="O1922" t="inlineStr">
        <is>
          <t>38.6</t>
        </is>
      </c>
      <c r="P1922" t="n">
        <v>33.3</v>
      </c>
      <c r="Q1922" t="inlineStr">
        <is>
          <t>369</t>
        </is>
      </c>
      <c r="R1922" t="n">
        <v>22.1</v>
      </c>
      <c r="S1922" t="inlineStr">
        <is>
          <t>599</t>
        </is>
      </c>
      <c r="T1922" t="n">
        <v>75.59999999999999</v>
      </c>
      <c r="U1922" t="inlineStr">
        <is>
          <t>192</t>
        </is>
      </c>
      <c r="V1922" t="n">
        <v>27.7</v>
      </c>
      <c r="W1922" t="inlineStr">
        <is>
          <t>611</t>
        </is>
      </c>
      <c r="X1922" t="n">
        <v>96.8</v>
      </c>
      <c r="Y1922" t="inlineStr">
        <is>
          <t>152</t>
        </is>
      </c>
      <c r="Z1922" t="n">
        <v>72.09999999999999</v>
      </c>
      <c r="AA1922" t="inlineStr">
        <is>
          <t>264</t>
        </is>
      </c>
      <c r="AB1922" t="n">
        <v>74.8</v>
      </c>
      <c r="AC1922" t="inlineStr">
        <is>
          <t>235</t>
        </is>
      </c>
      <c r="AD1922" t="n">
        <v>92.2</v>
      </c>
      <c r="AE1922" t="inlineStr">
        <is>
          <t>143</t>
        </is>
      </c>
      <c r="AF1922" t="n">
        <v>63.2</v>
      </c>
      <c r="AG1922" t="inlineStr">
        <is>
          <t>245</t>
        </is>
      </c>
      <c r="AH1922" t="n">
        <v>80</v>
      </c>
      <c r="AI1922" t="inlineStr">
        <is>
          <t>169=</t>
        </is>
      </c>
      <c r="AJ1922" t="inlineStr">
        <is>
          <t>23.1</t>
        </is>
      </c>
      <c r="AK1922" t="inlineStr">
        <is>
          <t>373</t>
        </is>
      </c>
      <c r="AL1922" t="inlineStr">
        <is>
          <t>16.8</t>
        </is>
      </c>
      <c r="AM1922" t="inlineStr">
        <is>
          <t>512</t>
        </is>
      </c>
      <c r="AN1922" t="inlineStr">
        <is>
          <t>75.9</t>
        </is>
      </c>
      <c r="AO1922" t="inlineStr">
        <is>
          <t>160</t>
        </is>
      </c>
      <c r="AP1922" t="inlineStr">
        <is>
          <t>22.0</t>
        </is>
      </c>
      <c r="AQ1922" t="inlineStr">
        <is>
          <t>527</t>
        </is>
      </c>
      <c r="AR1922" t="inlineStr">
        <is>
          <t>93.6</t>
        </is>
      </c>
      <c r="AS1922" t="inlineStr">
        <is>
          <t>158</t>
        </is>
      </c>
      <c r="AT1922" t="inlineStr">
        <is>
          <t>59.2</t>
        </is>
      </c>
      <c r="AU1922" t="inlineStr">
        <is>
          <t>252</t>
        </is>
      </c>
      <c r="AV1922" t="inlineStr">
        <is>
          <t>88.4</t>
        </is>
      </c>
      <c r="AW1922" t="inlineStr">
        <is>
          <t>94</t>
        </is>
      </c>
      <c r="AX1922" t="inlineStr">
        <is>
          <t>31.1</t>
        </is>
      </c>
      <c r="AY1922" t="inlineStr">
        <is>
          <t>244</t>
        </is>
      </c>
      <c r="AZ1922" t="inlineStr">
        <is>
          <t>67.4</t>
        </is>
      </c>
      <c r="BA1922" t="inlineStr">
        <is>
          <t>215=</t>
        </is>
      </c>
    </row>
    <row r="1923">
      <c r="A1923" t="inlineStr">
        <is>
          <t>VSB - Technical University of Ostrava</t>
        </is>
      </c>
      <c r="B1923" t="inlineStr">
        <is>
          <t>Czech Republic</t>
        </is>
      </c>
      <c r="C1923" t="inlineStr">
        <is>
          <t>CZ</t>
        </is>
      </c>
      <c r="D1923" t="inlineStr"/>
      <c r="E1923" t="inlineStr">
        <is>
          <t>M</t>
        </is>
      </c>
      <c r="F1923" t="inlineStr">
        <is>
          <t>FO</t>
        </is>
      </c>
      <c r="G1923" t="inlineStr">
        <is>
          <t>VH</t>
        </is>
      </c>
      <c r="H1923" t="inlineStr">
        <is>
          <t>5</t>
        </is>
      </c>
      <c r="I1923" t="inlineStr">
        <is>
          <t>A</t>
        </is>
      </c>
      <c r="J1923" t="inlineStr"/>
      <c r="K1923" t="inlineStr"/>
      <c r="L1923" t="inlineStr">
        <is>
          <t>1001-1200</t>
        </is>
      </c>
      <c r="M1923" t="inlineStr">
        <is>
          <t>1201-1400</t>
        </is>
      </c>
      <c r="N1923" t="inlineStr"/>
      <c r="O1923" t="inlineStr">
        <is>
          <t>-</t>
        </is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>
        <is>
          <t>5.4</t>
        </is>
      </c>
      <c r="AK1923" t="inlineStr">
        <is>
          <t>601+</t>
        </is>
      </c>
      <c r="AL1923" t="inlineStr">
        <is>
          <t>10.3</t>
        </is>
      </c>
      <c r="AM1923" t="inlineStr">
        <is>
          <t>601+</t>
        </is>
      </c>
      <c r="AN1923" t="inlineStr">
        <is>
          <t>15.5</t>
        </is>
      </c>
      <c r="AO1923" t="inlineStr">
        <is>
          <t>701+</t>
        </is>
      </c>
      <c r="AP1923" t="inlineStr">
        <is>
          <t>4.3</t>
        </is>
      </c>
      <c r="AQ1923" t="inlineStr">
        <is>
          <t>701+</t>
        </is>
      </c>
      <c r="AR1923" t="inlineStr">
        <is>
          <t>8.4</t>
        </is>
      </c>
      <c r="AS1923" t="inlineStr">
        <is>
          <t>701+</t>
        </is>
      </c>
      <c r="AT1923" t="inlineStr">
        <is>
          <t>22.0</t>
        </is>
      </c>
      <c r="AU1923" t="inlineStr">
        <is>
          <t>514</t>
        </is>
      </c>
      <c r="AV1923" t="inlineStr">
        <is>
          <t>1.8</t>
        </is>
      </c>
      <c r="AW1923" t="inlineStr">
        <is>
          <t>701+</t>
        </is>
      </c>
      <c r="AX1923" t="inlineStr">
        <is>
          <t>9.4</t>
        </is>
      </c>
      <c r="AY1923" t="inlineStr">
        <is>
          <t>701+</t>
        </is>
      </c>
      <c r="AZ1923" t="inlineStr">
        <is>
          <t>8.4</t>
        </is>
      </c>
      <c r="BA1923" t="inlineStr">
        <is>
          <t>695=</t>
        </is>
      </c>
    </row>
    <row r="1924">
      <c r="A1924" t="inlineStr">
        <is>
          <t>Vytautas Magnus University</t>
        </is>
      </c>
      <c r="B1924" t="inlineStr">
        <is>
          <t>Lithuania</t>
        </is>
      </c>
      <c r="C1924" t="inlineStr">
        <is>
          <t>LT</t>
        </is>
      </c>
      <c r="D1924" t="inlineStr">
        <is>
          <t>Europe</t>
        </is>
      </c>
      <c r="E1924" t="inlineStr">
        <is>
          <t>M</t>
        </is>
      </c>
      <c r="F1924" t="inlineStr">
        <is>
          <t>FO</t>
        </is>
      </c>
      <c r="G1924" t="inlineStr">
        <is>
          <t>VH</t>
        </is>
      </c>
      <c r="H1924" t="inlineStr">
        <is>
          <t>5</t>
        </is>
      </c>
      <c r="I1924" t="inlineStr">
        <is>
          <t>Public</t>
        </is>
      </c>
      <c r="J1924" t="inlineStr">
        <is>
          <t>741-750</t>
        </is>
      </c>
      <c r="K1924" t="inlineStr">
        <is>
          <t>741-750</t>
        </is>
      </c>
      <c r="L1924" t="inlineStr">
        <is>
          <t>801-850</t>
        </is>
      </c>
      <c r="M1924" t="inlineStr">
        <is>
          <t>801-1000</t>
        </is>
      </c>
      <c r="N1924" t="inlineStr">
        <is>
          <t>-</t>
        </is>
      </c>
      <c r="O1924" t="inlineStr">
        <is>
          <t>-</t>
        </is>
      </c>
      <c r="P1924" t="n">
        <v>14</v>
      </c>
      <c r="Q1924" t="inlineStr">
        <is>
          <t>701+</t>
        </is>
      </c>
      <c r="R1924" t="n">
        <v>19.9</v>
      </c>
      <c r="S1924" t="inlineStr">
        <is>
          <t>658</t>
        </is>
      </c>
      <c r="T1924" t="n">
        <v>44.2</v>
      </c>
      <c r="U1924" t="inlineStr">
        <is>
          <t>447</t>
        </is>
      </c>
      <c r="V1924" t="n">
        <v>5</v>
      </c>
      <c r="W1924" t="inlineStr">
        <is>
          <t>801+</t>
        </is>
      </c>
      <c r="X1924" t="n">
        <v>46.8</v>
      </c>
      <c r="Y1924" t="inlineStr">
        <is>
          <t>455</t>
        </is>
      </c>
      <c r="Z1924" t="n">
        <v>70.8</v>
      </c>
      <c r="AA1924" t="inlineStr">
        <is>
          <t>270</t>
        </is>
      </c>
      <c r="AB1924" t="n">
        <v>73.5</v>
      </c>
      <c r="AC1924" t="inlineStr">
        <is>
          <t>244</t>
        </is>
      </c>
      <c r="AD1924" t="n">
        <v>62.8</v>
      </c>
      <c r="AE1924" t="inlineStr">
        <is>
          <t>653</t>
        </is>
      </c>
      <c r="AF1924" t="n">
        <v>26.8</v>
      </c>
      <c r="AG1924" t="inlineStr">
        <is>
          <t>611</t>
        </is>
      </c>
      <c r="AH1924" t="n">
        <v>47</v>
      </c>
      <c r="AI1924" t="inlineStr">
        <is>
          <t>789=</t>
        </is>
      </c>
      <c r="AJ1924" t="inlineStr">
        <is>
          <t>11.0</t>
        </is>
      </c>
      <c r="AK1924" t="inlineStr">
        <is>
          <t>601+</t>
        </is>
      </c>
      <c r="AL1924" t="inlineStr">
        <is>
          <t>20.6</t>
        </is>
      </c>
      <c r="AM1924" t="inlineStr">
        <is>
          <t>449</t>
        </is>
      </c>
      <c r="AN1924" t="inlineStr">
        <is>
          <t>38.5</t>
        </is>
      </c>
      <c r="AO1924" t="inlineStr">
        <is>
          <t>410</t>
        </is>
      </c>
      <c r="AP1924" t="inlineStr">
        <is>
          <t>2.1</t>
        </is>
      </c>
      <c r="AQ1924" t="inlineStr">
        <is>
          <t>701+</t>
        </is>
      </c>
      <c r="AR1924" t="inlineStr">
        <is>
          <t>15.1</t>
        </is>
      </c>
      <c r="AS1924" t="inlineStr">
        <is>
          <t>666</t>
        </is>
      </c>
      <c r="AT1924" t="inlineStr">
        <is>
          <t>40.2</t>
        </is>
      </c>
      <c r="AU1924" t="inlineStr">
        <is>
          <t>341</t>
        </is>
      </c>
      <c r="AV1924" t="inlineStr">
        <is>
          <t>2.4</t>
        </is>
      </c>
      <c r="AW1924" t="inlineStr">
        <is>
          <t>701+</t>
        </is>
      </c>
      <c r="AX1924" t="inlineStr">
        <is>
          <t>11.4</t>
        </is>
      </c>
      <c r="AY1924" t="inlineStr">
        <is>
          <t>701+</t>
        </is>
      </c>
      <c r="AZ1924" t="inlineStr">
        <is>
          <t>1.6</t>
        </is>
      </c>
      <c r="BA1924" t="inlineStr">
        <is>
          <t>701+</t>
        </is>
      </c>
    </row>
    <row r="1925">
      <c r="A1925" t="inlineStr">
        <is>
          <t>Wageningen University &amp; Research</t>
        </is>
      </c>
      <c r="B1925" t="inlineStr">
        <is>
          <t>Netherlands</t>
        </is>
      </c>
      <c r="C1925" t="inlineStr">
        <is>
          <t>NL</t>
        </is>
      </c>
      <c r="D1925" t="inlineStr">
        <is>
          <t>Europe</t>
        </is>
      </c>
      <c r="E1925" t="inlineStr">
        <is>
          <t>L</t>
        </is>
      </c>
      <c r="F1925" t="inlineStr">
        <is>
          <t>CO</t>
        </is>
      </c>
      <c r="G1925" t="inlineStr">
        <is>
          <t>VH</t>
        </is>
      </c>
      <c r="H1925" t="inlineStr">
        <is>
          <t>5</t>
        </is>
      </c>
      <c r="I1925" t="inlineStr">
        <is>
          <t>Public</t>
        </is>
      </c>
      <c r="J1925" t="inlineStr">
        <is>
          <t>153</t>
        </is>
      </c>
      <c r="K1925" t="inlineStr">
        <is>
          <t>155</t>
        </is>
      </c>
      <c r="L1925">
        <f>151</f>
        <v/>
      </c>
      <c r="M1925" t="inlineStr">
        <is>
          <t>124</t>
        </is>
      </c>
      <c r="N1925" t="inlineStr">
        <is>
          <t>61.6</t>
        </is>
      </c>
      <c r="O1925" t="inlineStr">
        <is>
          <t>51.3</t>
        </is>
      </c>
      <c r="P1925" t="n">
        <v>55</v>
      </c>
      <c r="Q1925" t="inlineStr">
        <is>
          <t>203</t>
        </is>
      </c>
      <c r="R1925" t="n">
        <v>34.4</v>
      </c>
      <c r="S1925" t="inlineStr">
        <is>
          <t>420</t>
        </is>
      </c>
      <c r="T1925" t="n">
        <v>99.5</v>
      </c>
      <c r="U1925" t="inlineStr">
        <is>
          <t>37</t>
        </is>
      </c>
      <c r="V1925" t="n">
        <v>54.8</v>
      </c>
      <c r="W1925" t="inlineStr">
        <is>
          <t>329</t>
        </is>
      </c>
      <c r="X1925" t="n">
        <v>72</v>
      </c>
      <c r="Y1925" t="inlineStr">
        <is>
          <t>329</t>
        </is>
      </c>
      <c r="Z1925" t="n">
        <v>90.7</v>
      </c>
      <c r="AA1925" t="inlineStr">
        <is>
          <t>159</t>
        </is>
      </c>
      <c r="AB1925" t="n">
        <v>91.5</v>
      </c>
      <c r="AC1925" t="inlineStr">
        <is>
          <t>134</t>
        </is>
      </c>
      <c r="AD1925" t="n">
        <v>97.2</v>
      </c>
      <c r="AE1925" t="inlineStr">
        <is>
          <t>34</t>
        </is>
      </c>
      <c r="AF1925" t="n">
        <v>32.9</v>
      </c>
      <c r="AG1925" t="inlineStr">
        <is>
          <t>516</t>
        </is>
      </c>
      <c r="AH1925" t="n">
        <v>91.2</v>
      </c>
      <c r="AI1925" t="inlineStr">
        <is>
          <t>53</t>
        </is>
      </c>
      <c r="AJ1925" t="inlineStr">
        <is>
          <t>43.3</t>
        </is>
      </c>
      <c r="AK1925" t="inlineStr">
        <is>
          <t>196</t>
        </is>
      </c>
      <c r="AL1925" t="inlineStr">
        <is>
          <t>19.0</t>
        </is>
      </c>
      <c r="AM1925" t="inlineStr">
        <is>
          <t>472</t>
        </is>
      </c>
      <c r="AN1925" t="inlineStr">
        <is>
          <t>97.9</t>
        </is>
      </c>
      <c r="AO1925" t="inlineStr">
        <is>
          <t>47</t>
        </is>
      </c>
      <c r="AP1925" t="inlineStr">
        <is>
          <t>46.0</t>
        </is>
      </c>
      <c r="AQ1925" t="inlineStr">
        <is>
          <t>292</t>
        </is>
      </c>
      <c r="AR1925" t="inlineStr">
        <is>
          <t>55.0</t>
        </is>
      </c>
      <c r="AS1925" t="inlineStr">
        <is>
          <t>336</t>
        </is>
      </c>
      <c r="AT1925" t="inlineStr">
        <is>
          <t>78.5</t>
        </is>
      </c>
      <c r="AU1925" t="inlineStr">
        <is>
          <t>170</t>
        </is>
      </c>
      <c r="AV1925" t="inlineStr">
        <is>
          <t>97.8</t>
        </is>
      </c>
      <c r="AW1925" t="inlineStr">
        <is>
          <t>22</t>
        </is>
      </c>
      <c r="AX1925" t="inlineStr">
        <is>
          <t>19</t>
        </is>
      </c>
      <c r="AY1925" t="inlineStr">
        <is>
          <t>438</t>
        </is>
      </c>
      <c r="AZ1925" t="inlineStr">
        <is>
          <t>71.5</t>
        </is>
      </c>
      <c r="BA1925" t="inlineStr">
        <is>
          <t>196=</t>
        </is>
      </c>
    </row>
    <row r="1926">
      <c r="A1926" t="inlineStr">
        <is>
          <t>Wake Forest University</t>
        </is>
      </c>
      <c r="B1926" t="inlineStr">
        <is>
          <t>United States</t>
        </is>
      </c>
      <c r="C1926" t="inlineStr">
        <is>
          <t>US</t>
        </is>
      </c>
      <c r="D1926" t="inlineStr">
        <is>
          <t>Americas</t>
        </is>
      </c>
      <c r="E1926" t="inlineStr">
        <is>
          <t>M</t>
        </is>
      </c>
      <c r="F1926" t="inlineStr">
        <is>
          <t>FC</t>
        </is>
      </c>
      <c r="G1926" t="inlineStr">
        <is>
          <t>VH</t>
        </is>
      </c>
      <c r="H1926" t="inlineStr">
        <is>
          <t>5</t>
        </is>
      </c>
      <c r="I1926" t="inlineStr">
        <is>
          <t>Private not for Profit</t>
        </is>
      </c>
      <c r="J1926" t="inlineStr">
        <is>
          <t>791-800</t>
        </is>
      </c>
      <c r="K1926" t="inlineStr">
        <is>
          <t>741-750</t>
        </is>
      </c>
      <c r="L1926" t="inlineStr">
        <is>
          <t>701-710</t>
        </is>
      </c>
      <c r="M1926" t="inlineStr">
        <is>
          <t>438=</t>
        </is>
      </c>
      <c r="N1926" t="inlineStr">
        <is>
          <t>-</t>
        </is>
      </c>
      <c r="O1926" t="inlineStr">
        <is>
          <t>-</t>
        </is>
      </c>
      <c r="P1926" t="n">
        <v>7.4</v>
      </c>
      <c r="Q1926" t="inlineStr">
        <is>
          <t>701+</t>
        </is>
      </c>
      <c r="R1926" t="n">
        <v>18.9</v>
      </c>
      <c r="S1926" t="inlineStr">
        <is>
          <t>688</t>
        </is>
      </c>
      <c r="T1926" t="n">
        <v>100</v>
      </c>
      <c r="U1926" t="inlineStr">
        <is>
          <t>6</t>
        </is>
      </c>
      <c r="V1926" t="n">
        <v>11.9</v>
      </c>
      <c r="W1926" t="inlineStr">
        <is>
          <t>801+</t>
        </is>
      </c>
      <c r="X1926" t="n">
        <v>6.2</v>
      </c>
      <c r="Y1926" t="inlineStr">
        <is>
          <t>801+</t>
        </is>
      </c>
      <c r="Z1926" t="n">
        <v>16</v>
      </c>
      <c r="AA1926" t="inlineStr">
        <is>
          <t>798</t>
        </is>
      </c>
      <c r="AB1926" t="n">
        <v>12.1</v>
      </c>
      <c r="AC1926" t="inlineStr">
        <is>
          <t>801+</t>
        </is>
      </c>
      <c r="AD1926" t="n">
        <v>38.8</v>
      </c>
      <c r="AE1926" t="inlineStr">
        <is>
          <t>801+</t>
        </is>
      </c>
      <c r="AF1926" t="n">
        <v>28.3</v>
      </c>
      <c r="AG1926" t="inlineStr">
        <is>
          <t>589</t>
        </is>
      </c>
      <c r="AH1926" t="n">
        <v>42.2</v>
      </c>
      <c r="AI1926" t="inlineStr">
        <is>
          <t>801+</t>
        </is>
      </c>
      <c r="AJ1926" t="inlineStr">
        <is>
          <t>5.4</t>
        </is>
      </c>
      <c r="AK1926" t="inlineStr">
        <is>
          <t>601+</t>
        </is>
      </c>
      <c r="AL1926" t="inlineStr">
        <is>
          <t>6.1</t>
        </is>
      </c>
      <c r="AM1926" t="inlineStr">
        <is>
          <t>601+</t>
        </is>
      </c>
      <c r="AN1926" t="inlineStr">
        <is>
          <t>100.0</t>
        </is>
      </c>
      <c r="AO1926" t="inlineStr">
        <is>
          <t>13</t>
        </is>
      </c>
      <c r="AP1926" t="inlineStr">
        <is>
          <t>11.0</t>
        </is>
      </c>
      <c r="AQ1926" t="inlineStr">
        <is>
          <t>701+</t>
        </is>
      </c>
      <c r="AR1926" t="inlineStr">
        <is>
          <t>5.4</t>
        </is>
      </c>
      <c r="AS1926" t="inlineStr">
        <is>
          <t>701+</t>
        </is>
      </c>
      <c r="AT1926" t="inlineStr">
        <is>
          <t>13.5</t>
        </is>
      </c>
      <c r="AU1926" t="inlineStr">
        <is>
          <t>654</t>
        </is>
      </c>
      <c r="AV1926" t="inlineStr">
        <is>
          <t>5.5</t>
        </is>
      </c>
      <c r="AW1926" t="inlineStr">
        <is>
          <t>701+</t>
        </is>
      </c>
      <c r="AX1926" t="inlineStr">
        <is>
          <t>16.5</t>
        </is>
      </c>
      <c r="AY1926" t="inlineStr">
        <is>
          <t>514</t>
        </is>
      </c>
      <c r="AZ1926" t="inlineStr">
        <is>
          <t>2.3</t>
        </is>
      </c>
      <c r="BA1926" t="inlineStr">
        <is>
          <t>701+</t>
        </is>
      </c>
    </row>
    <row r="1927">
      <c r="A1927" t="inlineStr">
        <is>
          <t>Walailak University</t>
        </is>
      </c>
      <c r="B1927" t="inlineStr">
        <is>
          <t>Thailand</t>
        </is>
      </c>
      <c r="C1927" t="inlineStr"/>
      <c r="D1927" t="inlineStr">
        <is>
          <t>Asia</t>
        </is>
      </c>
      <c r="E1927" t="inlineStr">
        <is>
          <t>L</t>
        </is>
      </c>
      <c r="F1927" t="inlineStr">
        <is>
          <t>FC</t>
        </is>
      </c>
      <c r="G1927" t="inlineStr">
        <is>
          <t>MD</t>
        </is>
      </c>
      <c r="H1927" t="inlineStr"/>
      <c r="I1927" t="inlineStr">
        <is>
          <t>Public</t>
        </is>
      </c>
      <c r="J1927" t="inlineStr">
        <is>
          <t>1401+</t>
        </is>
      </c>
      <c r="K1927" t="inlineStr"/>
      <c r="L1927" t="inlineStr"/>
      <c r="M1927" t="inlineStr"/>
      <c r="N1927" t="inlineStr">
        <is>
          <t>-</t>
        </is>
      </c>
      <c r="O1927" t="inlineStr"/>
      <c r="P1927" t="n">
        <v>8.300000000000001</v>
      </c>
      <c r="Q1927" t="inlineStr">
        <is>
          <t>701+</t>
        </is>
      </c>
      <c r="R1927" t="n">
        <v>2.7</v>
      </c>
      <c r="S1927" t="inlineStr">
        <is>
          <t>701+</t>
        </is>
      </c>
      <c r="T1927" t="n">
        <v>12.5</v>
      </c>
      <c r="U1927" t="inlineStr">
        <is>
          <t>801+</t>
        </is>
      </c>
      <c r="V1927" t="n">
        <v>5.6</v>
      </c>
      <c r="W1927" t="inlineStr">
        <is>
          <t>801+</t>
        </is>
      </c>
      <c r="X1927" t="n">
        <v>13.9</v>
      </c>
      <c r="Y1927" t="inlineStr">
        <is>
          <t>801+</t>
        </is>
      </c>
      <c r="Z1927" t="n">
        <v>3</v>
      </c>
      <c r="AA1927" t="inlineStr">
        <is>
          <t>801+</t>
        </is>
      </c>
      <c r="AB1927" t="n">
        <v>7.4</v>
      </c>
      <c r="AC1927" t="inlineStr">
        <is>
          <t>801+</t>
        </is>
      </c>
      <c r="AD1927" t="n">
        <v>31.5</v>
      </c>
      <c r="AE1927" t="inlineStr">
        <is>
          <t>801+</t>
        </is>
      </c>
      <c r="AF1927" t="n">
        <v>3.2</v>
      </c>
      <c r="AG1927" t="inlineStr">
        <is>
          <t>801+</t>
        </is>
      </c>
      <c r="AH1927" t="n">
        <v>43</v>
      </c>
      <c r="AI1927" t="inlineStr">
        <is>
          <t>801+</t>
        </is>
      </c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</row>
    <row r="1928">
      <c r="A1928" t="inlineStr">
        <is>
          <t>Warsaw University of Life Sciences</t>
        </is>
      </c>
      <c r="B1928" t="inlineStr">
        <is>
          <t>Poland</t>
        </is>
      </c>
      <c r="C1928" t="inlineStr"/>
      <c r="D1928" t="inlineStr">
        <is>
          <t>Europe</t>
        </is>
      </c>
      <c r="E1928" t="inlineStr">
        <is>
          <t>L</t>
        </is>
      </c>
      <c r="F1928" t="inlineStr">
        <is>
          <t>FO</t>
        </is>
      </c>
      <c r="G1928" t="inlineStr">
        <is>
          <t>VH</t>
        </is>
      </c>
      <c r="H1928" t="inlineStr"/>
      <c r="I1928" t="inlineStr">
        <is>
          <t>Public</t>
        </is>
      </c>
      <c r="J1928" t="inlineStr">
        <is>
          <t>1001-1200</t>
        </is>
      </c>
      <c r="K1928" t="inlineStr">
        <is>
          <t>1001-1200</t>
        </is>
      </c>
      <c r="L1928" t="inlineStr"/>
      <c r="M1928" t="inlineStr"/>
      <c r="N1928" t="inlineStr">
        <is>
          <t>-</t>
        </is>
      </c>
      <c r="O1928" t="inlineStr"/>
      <c r="P1928" t="n">
        <v>8</v>
      </c>
      <c r="Q1928" t="inlineStr">
        <is>
          <t>701+</t>
        </is>
      </c>
      <c r="R1928" t="n">
        <v>7.9</v>
      </c>
      <c r="S1928" t="inlineStr">
        <is>
          <t>701+</t>
        </is>
      </c>
      <c r="T1928" t="n">
        <v>23.1</v>
      </c>
      <c r="U1928" t="inlineStr">
        <is>
          <t>773</t>
        </is>
      </c>
      <c r="V1928" t="n">
        <v>14.6</v>
      </c>
      <c r="W1928" t="inlineStr">
        <is>
          <t>801+</t>
        </is>
      </c>
      <c r="X1928" t="n">
        <v>2.4</v>
      </c>
      <c r="Y1928" t="inlineStr">
        <is>
          <t>801+</t>
        </is>
      </c>
      <c r="Z1928" t="n">
        <v>11.9</v>
      </c>
      <c r="AA1928" t="inlineStr">
        <is>
          <t>801+</t>
        </is>
      </c>
      <c r="AB1928" t="n">
        <v>15.8</v>
      </c>
      <c r="AC1928" t="inlineStr">
        <is>
          <t>801+</t>
        </is>
      </c>
      <c r="AD1928" t="n">
        <v>67.5</v>
      </c>
      <c r="AE1928" t="inlineStr">
        <is>
          <t>576</t>
        </is>
      </c>
      <c r="AF1928" t="n">
        <v>7.1</v>
      </c>
      <c r="AG1928" t="inlineStr">
        <is>
          <t>801+</t>
        </is>
      </c>
      <c r="AH1928" t="n">
        <v>42.6</v>
      </c>
      <c r="AI1928" t="inlineStr">
        <is>
          <t>801+</t>
        </is>
      </c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</row>
    <row r="1929">
      <c r="A1929" t="inlineStr">
        <is>
          <t>Warsaw University of Life Sciences – SGGW (WULS-SGGW)</t>
        </is>
      </c>
      <c r="B1929" t="inlineStr">
        <is>
          <t>Poland</t>
        </is>
      </c>
      <c r="C1929" t="inlineStr">
        <is>
          <t>PL</t>
        </is>
      </c>
      <c r="D1929" t="inlineStr"/>
      <c r="E1929" t="inlineStr">
        <is>
          <t>L</t>
        </is>
      </c>
      <c r="F1929" t="inlineStr">
        <is>
          <t>FO</t>
        </is>
      </c>
      <c r="G1929" t="inlineStr">
        <is>
          <t>VH</t>
        </is>
      </c>
      <c r="H1929" t="inlineStr">
        <is>
          <t>5</t>
        </is>
      </c>
      <c r="I1929" t="inlineStr">
        <is>
          <t>A</t>
        </is>
      </c>
      <c r="J1929" t="inlineStr"/>
      <c r="K1929" t="inlineStr"/>
      <c r="L1929" t="inlineStr">
        <is>
          <t>1001-1200</t>
        </is>
      </c>
      <c r="M1929" t="inlineStr">
        <is>
          <t>1001-1200</t>
        </is>
      </c>
      <c r="N1929" t="inlineStr"/>
      <c r="O1929" t="inlineStr">
        <is>
          <t>-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>
        <is>
          <t>6.9</t>
        </is>
      </c>
      <c r="AK1929" t="inlineStr">
        <is>
          <t>601+</t>
        </is>
      </c>
      <c r="AL1929" t="inlineStr">
        <is>
          <t>5.0</t>
        </is>
      </c>
      <c r="AM1929" t="inlineStr">
        <is>
          <t>601+</t>
        </is>
      </c>
      <c r="AN1929" t="inlineStr">
        <is>
          <t>20.2</t>
        </is>
      </c>
      <c r="AO1929" t="inlineStr">
        <is>
          <t>661</t>
        </is>
      </c>
      <c r="AP1929" t="inlineStr">
        <is>
          <t>6.0</t>
        </is>
      </c>
      <c r="AQ1929" t="inlineStr">
        <is>
          <t>701+</t>
        </is>
      </c>
      <c r="AR1929" t="inlineStr">
        <is>
          <t>2.4</t>
        </is>
      </c>
      <c r="AS1929" t="inlineStr">
        <is>
          <t>701+</t>
        </is>
      </c>
      <c r="AT1929" t="inlineStr">
        <is>
          <t>7.7</t>
        </is>
      </c>
      <c r="AU1929" t="inlineStr">
        <is>
          <t>701+</t>
        </is>
      </c>
      <c r="AV1929" t="inlineStr">
        <is>
          <t>32.3</t>
        </is>
      </c>
      <c r="AW1929" t="inlineStr">
        <is>
          <t>442</t>
        </is>
      </c>
      <c r="AX1929" t="inlineStr">
        <is>
          <t>6.3</t>
        </is>
      </c>
      <c r="AY1929" t="inlineStr">
        <is>
          <t>701+</t>
        </is>
      </c>
      <c r="AZ1929" t="inlineStr">
        <is>
          <t>1.9</t>
        </is>
      </c>
      <c r="BA1929" t="inlineStr">
        <is>
          <t>701+</t>
        </is>
      </c>
    </row>
    <row r="1930">
      <c r="A1930" t="inlineStr">
        <is>
          <t>Warsaw University of Technology</t>
        </is>
      </c>
      <c r="B1930" t="inlineStr">
        <is>
          <t>Poland</t>
        </is>
      </c>
      <c r="C1930" t="inlineStr">
        <is>
          <t>PL</t>
        </is>
      </c>
      <c r="D1930" t="inlineStr">
        <is>
          <t>Europe</t>
        </is>
      </c>
      <c r="E1930" t="inlineStr">
        <is>
          <t>L</t>
        </is>
      </c>
      <c r="F1930" t="inlineStr">
        <is>
          <t>FO</t>
        </is>
      </c>
      <c r="G1930" t="inlineStr">
        <is>
          <t>VH</t>
        </is>
      </c>
      <c r="H1930" t="inlineStr">
        <is>
          <t>5</t>
        </is>
      </c>
      <c r="I1930" t="inlineStr">
        <is>
          <t>Public</t>
        </is>
      </c>
      <c r="J1930" t="inlineStr">
        <is>
          <t>487</t>
        </is>
      </c>
      <c r="K1930" t="inlineStr">
        <is>
          <t>527</t>
        </is>
      </c>
      <c r="L1930">
        <f>571</f>
        <v/>
      </c>
      <c r="M1930" t="inlineStr">
        <is>
          <t>521-530</t>
        </is>
      </c>
      <c r="N1930" t="inlineStr">
        <is>
          <t>32.8</t>
        </is>
      </c>
      <c r="O1930" t="inlineStr">
        <is>
          <t>20.7</t>
        </is>
      </c>
      <c r="P1930" t="n">
        <v>28.4</v>
      </c>
      <c r="Q1930" t="inlineStr">
        <is>
          <t>442</t>
        </is>
      </c>
      <c r="R1930" t="n">
        <v>72.40000000000001</v>
      </c>
      <c r="S1930" t="inlineStr">
        <is>
          <t>137</t>
        </is>
      </c>
      <c r="T1930" t="n">
        <v>55.7</v>
      </c>
      <c r="U1930" t="inlineStr">
        <is>
          <t>337</t>
        </is>
      </c>
      <c r="V1930" t="n">
        <v>9.5</v>
      </c>
      <c r="W1930" t="inlineStr">
        <is>
          <t>801+</t>
        </is>
      </c>
      <c r="X1930" t="n">
        <v>3.4</v>
      </c>
      <c r="Y1930" t="inlineStr">
        <is>
          <t>801+</t>
        </is>
      </c>
      <c r="Z1930" t="n">
        <v>17.6</v>
      </c>
      <c r="AA1930" t="inlineStr">
        <is>
          <t>771</t>
        </is>
      </c>
      <c r="AB1930" t="n">
        <v>23.7</v>
      </c>
      <c r="AC1930" t="inlineStr">
        <is>
          <t>710</t>
        </is>
      </c>
      <c r="AD1930" t="n">
        <v>63.8</v>
      </c>
      <c r="AE1930" t="inlineStr">
        <is>
          <t>638</t>
        </is>
      </c>
      <c r="AF1930" t="n">
        <v>15.9</v>
      </c>
      <c r="AG1930" t="inlineStr">
        <is>
          <t>801+</t>
        </is>
      </c>
      <c r="AH1930" t="n">
        <v>38.4</v>
      </c>
      <c r="AI1930" t="inlineStr">
        <is>
          <t>801+</t>
        </is>
      </c>
      <c r="AJ1930" t="inlineStr">
        <is>
          <t>22.8</t>
        </is>
      </c>
      <c r="AK1930" t="inlineStr">
        <is>
          <t>382</t>
        </is>
      </c>
      <c r="AL1930" t="inlineStr">
        <is>
          <t>49.8</t>
        </is>
      </c>
      <c r="AM1930" t="inlineStr">
        <is>
          <t>172</t>
        </is>
      </c>
      <c r="AN1930" t="inlineStr">
        <is>
          <t>38.7</t>
        </is>
      </c>
      <c r="AO1930" t="inlineStr">
        <is>
          <t>408</t>
        </is>
      </c>
      <c r="AP1930" t="inlineStr">
        <is>
          <t>4.3</t>
        </is>
      </c>
      <c r="AQ1930" t="inlineStr">
        <is>
          <t>701+</t>
        </is>
      </c>
      <c r="AR1930" t="inlineStr">
        <is>
          <t>1.8</t>
        </is>
      </c>
      <c r="AS1930" t="inlineStr">
        <is>
          <t>701+</t>
        </is>
      </c>
      <c r="AT1930" t="inlineStr">
        <is>
          <t>10.3</t>
        </is>
      </c>
      <c r="AU1930" t="inlineStr">
        <is>
          <t>701+</t>
        </is>
      </c>
      <c r="AV1930" t="inlineStr">
        <is>
          <t>9.7</t>
        </is>
      </c>
      <c r="AW1930" t="inlineStr">
        <is>
          <t>676</t>
        </is>
      </c>
      <c r="AX1930" t="inlineStr">
        <is>
          <t>11.5</t>
        </is>
      </c>
      <c r="AY1930" t="inlineStr">
        <is>
          <t>701+</t>
        </is>
      </c>
      <c r="AZ1930" t="inlineStr">
        <is>
          <t>2.1</t>
        </is>
      </c>
      <c r="BA1930" t="inlineStr">
        <is>
          <t>701+</t>
        </is>
      </c>
    </row>
    <row r="1931">
      <c r="A1931" t="inlineStr">
        <is>
          <t>Waseda University</t>
        </is>
      </c>
      <c r="B1931" t="inlineStr">
        <is>
          <t>Japan</t>
        </is>
      </c>
      <c r="C1931" t="inlineStr">
        <is>
          <t>JP</t>
        </is>
      </c>
      <c r="D1931" t="inlineStr">
        <is>
          <t>Asia</t>
        </is>
      </c>
      <c r="E1931" t="inlineStr">
        <is>
          <t>XL</t>
        </is>
      </c>
      <c r="F1931" t="inlineStr">
        <is>
          <t>CO</t>
        </is>
      </c>
      <c r="G1931" t="inlineStr">
        <is>
          <t>VH</t>
        </is>
      </c>
      <c r="H1931" t="inlineStr">
        <is>
          <t>5</t>
        </is>
      </c>
      <c r="I1931" t="inlineStr">
        <is>
          <t>Private not for Profit</t>
        </is>
      </c>
      <c r="J1931" t="inlineStr">
        <is>
          <t>196</t>
        </is>
      </c>
      <c r="K1931" t="inlineStr">
        <is>
          <t>181</t>
        </is>
      </c>
      <c r="L1931">
        <f>199</f>
        <v/>
      </c>
      <c r="M1931" t="inlineStr">
        <is>
          <t>205=</t>
        </is>
      </c>
      <c r="N1931" t="inlineStr">
        <is>
          <t>56.1</t>
        </is>
      </c>
      <c r="O1931" t="inlineStr">
        <is>
          <t>45.9</t>
        </is>
      </c>
      <c r="P1931" t="n">
        <v>73.59999999999999</v>
      </c>
      <c r="Q1931" t="inlineStr">
        <is>
          <t>118</t>
        </is>
      </c>
      <c r="R1931" t="n">
        <v>97.2</v>
      </c>
      <c r="S1931" t="inlineStr">
        <is>
          <t>37</t>
        </is>
      </c>
      <c r="T1931" t="n">
        <v>29.5</v>
      </c>
      <c r="U1931" t="inlineStr">
        <is>
          <t>639</t>
        </is>
      </c>
      <c r="V1931" t="n">
        <v>7.3</v>
      </c>
      <c r="W1931" t="inlineStr">
        <is>
          <t>801+</t>
        </is>
      </c>
      <c r="X1931" t="n">
        <v>35.2</v>
      </c>
      <c r="Y1931" t="inlineStr">
        <is>
          <t>535</t>
        </is>
      </c>
      <c r="Z1931" t="n">
        <v>43.7</v>
      </c>
      <c r="AA1931" t="inlineStr">
        <is>
          <t>461</t>
        </is>
      </c>
      <c r="AB1931" t="n">
        <v>48.9</v>
      </c>
      <c r="AC1931" t="inlineStr">
        <is>
          <t>426</t>
        </is>
      </c>
      <c r="AD1931" t="n">
        <v>63.1</v>
      </c>
      <c r="AE1931" t="inlineStr">
        <is>
          <t>650</t>
        </is>
      </c>
      <c r="AF1931" t="n">
        <v>90.7</v>
      </c>
      <c r="AG1931" t="inlineStr">
        <is>
          <t>98</t>
        </is>
      </c>
      <c r="AH1931" t="n">
        <v>74.3</v>
      </c>
      <c r="AI1931" t="inlineStr">
        <is>
          <t>252</t>
        </is>
      </c>
      <c r="AJ1931" t="inlineStr">
        <is>
          <t>60.2</t>
        </is>
      </c>
      <c r="AK1931" t="inlineStr">
        <is>
          <t>118</t>
        </is>
      </c>
      <c r="AL1931" t="inlineStr">
        <is>
          <t>97.3</t>
        </is>
      </c>
      <c r="AM1931" t="inlineStr">
        <is>
          <t>24</t>
        </is>
      </c>
      <c r="AN1931" t="inlineStr">
        <is>
          <t>23.7</t>
        </is>
      </c>
      <c r="AO1931" t="inlineStr">
        <is>
          <t>602</t>
        </is>
      </c>
      <c r="AP1931" t="inlineStr">
        <is>
          <t>4.3</t>
        </is>
      </c>
      <c r="AQ1931" t="inlineStr">
        <is>
          <t>701+</t>
        </is>
      </c>
      <c r="AR1931" t="inlineStr">
        <is>
          <t>27.6</t>
        </is>
      </c>
      <c r="AS1931" t="inlineStr">
        <is>
          <t>503</t>
        </is>
      </c>
      <c r="AT1931" t="inlineStr">
        <is>
          <t>28.6</t>
        </is>
      </c>
      <c r="AU1931" t="inlineStr">
        <is>
          <t>436</t>
        </is>
      </c>
      <c r="AV1931" t="inlineStr">
        <is>
          <t>17.5</t>
        </is>
      </c>
      <c r="AW1931" t="inlineStr">
        <is>
          <t>569</t>
        </is>
      </c>
      <c r="AX1931" t="inlineStr">
        <is>
          <t>65.6</t>
        </is>
      </c>
      <c r="AY1931" t="inlineStr">
        <is>
          <t>87</t>
        </is>
      </c>
      <c r="AZ1931" t="inlineStr">
        <is>
          <t>56.5</t>
        </is>
      </c>
      <c r="BA1931" t="inlineStr">
        <is>
          <t>268=</t>
        </is>
      </c>
    </row>
    <row r="1932">
      <c r="A1932" t="inlineStr">
        <is>
          <t>Washington State University</t>
        </is>
      </c>
      <c r="B1932" t="inlineStr">
        <is>
          <t>United States</t>
        </is>
      </c>
      <c r="C1932" t="inlineStr">
        <is>
          <t>US</t>
        </is>
      </c>
      <c r="D1932" t="inlineStr">
        <is>
          <t>Americas</t>
        </is>
      </c>
      <c r="E1932" t="inlineStr">
        <is>
          <t>L</t>
        </is>
      </c>
      <c r="F1932" t="inlineStr">
        <is>
          <t>FC</t>
        </is>
      </c>
      <c r="G1932" t="inlineStr">
        <is>
          <t>VH</t>
        </is>
      </c>
      <c r="H1932" t="inlineStr">
        <is>
          <t>5</t>
        </is>
      </c>
      <c r="I1932" t="inlineStr">
        <is>
          <t>Public</t>
        </is>
      </c>
      <c r="J1932" t="inlineStr">
        <is>
          <t>423</t>
        </is>
      </c>
      <c r="K1932" t="inlineStr">
        <is>
          <t>466</t>
        </is>
      </c>
      <c r="L1932">
        <f>419</f>
        <v/>
      </c>
      <c r="M1932" t="inlineStr">
        <is>
          <t>443=</t>
        </is>
      </c>
      <c r="N1932" t="inlineStr">
        <is>
          <t>36.1</t>
        </is>
      </c>
      <c r="O1932" t="inlineStr">
        <is>
          <t>26.8</t>
        </is>
      </c>
      <c r="P1932" t="n">
        <v>28.7</v>
      </c>
      <c r="Q1932" t="inlineStr">
        <is>
          <t>434</t>
        </is>
      </c>
      <c r="R1932" t="n">
        <v>39.9</v>
      </c>
      <c r="S1932" t="inlineStr">
        <is>
          <t>345</t>
        </is>
      </c>
      <c r="T1932" t="n">
        <v>23.1</v>
      </c>
      <c r="U1932" t="inlineStr">
        <is>
          <t>771</t>
        </is>
      </c>
      <c r="V1932" t="n">
        <v>42.7</v>
      </c>
      <c r="W1932" t="inlineStr">
        <is>
          <t>444</t>
        </is>
      </c>
      <c r="X1932" t="n">
        <v>50.7</v>
      </c>
      <c r="Y1932" t="inlineStr">
        <is>
          <t>438</t>
        </is>
      </c>
      <c r="Z1932" t="n">
        <v>9.199999999999999</v>
      </c>
      <c r="AA1932" t="inlineStr">
        <is>
          <t>801+</t>
        </is>
      </c>
      <c r="AB1932" t="n">
        <v>15</v>
      </c>
      <c r="AC1932" t="inlineStr">
        <is>
          <t>801+</t>
        </is>
      </c>
      <c r="AD1932" t="n">
        <v>77.90000000000001</v>
      </c>
      <c r="AE1932" t="inlineStr">
        <is>
          <t>386</t>
        </is>
      </c>
      <c r="AF1932" t="n">
        <v>15.5</v>
      </c>
      <c r="AG1932" t="inlineStr">
        <is>
          <t>801+</t>
        </is>
      </c>
      <c r="AH1932" t="n">
        <v>78.5</v>
      </c>
      <c r="AI1932" t="inlineStr">
        <is>
          <t>192=</t>
        </is>
      </c>
      <c r="AJ1932" t="inlineStr">
        <is>
          <t>24.4</t>
        </is>
      </c>
      <c r="AK1932" t="inlineStr">
        <is>
          <t>354</t>
        </is>
      </c>
      <c r="AL1932" t="inlineStr">
        <is>
          <t>17.9</t>
        </is>
      </c>
      <c r="AM1932" t="inlineStr">
        <is>
          <t>489</t>
        </is>
      </c>
      <c r="AN1932" t="inlineStr">
        <is>
          <t>16.2</t>
        </is>
      </c>
      <c r="AO1932" t="inlineStr">
        <is>
          <t>701+</t>
        </is>
      </c>
      <c r="AP1932" t="inlineStr">
        <is>
          <t>35.4</t>
        </is>
      </c>
      <c r="AQ1932" t="inlineStr">
        <is>
          <t>386</t>
        </is>
      </c>
      <c r="AR1932" t="inlineStr">
        <is>
          <t>50.0</t>
        </is>
      </c>
      <c r="AS1932" t="inlineStr">
        <is>
          <t>358</t>
        </is>
      </c>
      <c r="AT1932" t="inlineStr">
        <is>
          <t>5.5</t>
        </is>
      </c>
      <c r="AU1932" t="inlineStr">
        <is>
          <t>701+</t>
        </is>
      </c>
      <c r="AV1932" t="inlineStr">
        <is>
          <t>46.5</t>
        </is>
      </c>
      <c r="AW1932" t="inlineStr">
        <is>
          <t>335</t>
        </is>
      </c>
      <c r="AX1932" t="inlineStr">
        <is>
          <t>11.1</t>
        </is>
      </c>
      <c r="AY1932" t="inlineStr">
        <is>
          <t>701+</t>
        </is>
      </c>
      <c r="AZ1932" t="inlineStr">
        <is>
          <t>49.7</t>
        </is>
      </c>
      <c r="BA1932" t="inlineStr">
        <is>
          <t>309=</t>
        </is>
      </c>
    </row>
    <row r="1933">
      <c r="A1933" t="inlineStr">
        <is>
          <t>Washington University in St. Louis</t>
        </is>
      </c>
      <c r="B1933" t="inlineStr">
        <is>
          <t>United States</t>
        </is>
      </c>
      <c r="C1933" t="inlineStr">
        <is>
          <t>US</t>
        </is>
      </c>
      <c r="D1933" t="inlineStr">
        <is>
          <t>Americas</t>
        </is>
      </c>
      <c r="E1933" t="inlineStr">
        <is>
          <t>L</t>
        </is>
      </c>
      <c r="F1933" t="inlineStr">
        <is>
          <t>FC</t>
        </is>
      </c>
      <c r="G1933" t="inlineStr">
        <is>
          <t>VH</t>
        </is>
      </c>
      <c r="H1933" t="inlineStr">
        <is>
          <t>5</t>
        </is>
      </c>
      <c r="I1933" t="inlineStr">
        <is>
          <t>Private not for Profit</t>
        </is>
      </c>
      <c r="J1933" t="inlineStr">
        <is>
          <t>167</t>
        </is>
      </c>
      <c r="K1933" t="inlineStr">
        <is>
          <t>171</t>
        </is>
      </c>
      <c r="L1933">
        <f>154</f>
        <v/>
      </c>
      <c r="M1933" t="inlineStr">
        <is>
          <t>118=</t>
        </is>
      </c>
      <c r="N1933" t="inlineStr">
        <is>
          <t>59.6</t>
        </is>
      </c>
      <c r="O1933" t="inlineStr">
        <is>
          <t>50.5</t>
        </is>
      </c>
      <c r="P1933" t="n">
        <v>46.5</v>
      </c>
      <c r="Q1933" t="inlineStr">
        <is>
          <t>251</t>
        </is>
      </c>
      <c r="R1933" t="n">
        <v>25.7</v>
      </c>
      <c r="S1933" t="inlineStr">
        <is>
          <t>529</t>
        </is>
      </c>
      <c r="T1933" t="n">
        <v>99.8</v>
      </c>
      <c r="U1933" t="inlineStr">
        <is>
          <t>31</t>
        </is>
      </c>
      <c r="V1933" t="n">
        <v>62.6</v>
      </c>
      <c r="W1933" t="inlineStr">
        <is>
          <t>263</t>
        </is>
      </c>
      <c r="X1933" t="n">
        <v>93.09999999999999</v>
      </c>
      <c r="Y1933" t="inlineStr">
        <is>
          <t>199</t>
        </is>
      </c>
      <c r="Z1933" t="n">
        <v>81.8</v>
      </c>
      <c r="AA1933" t="inlineStr">
        <is>
          <t>214</t>
        </is>
      </c>
      <c r="AB1933" t="n">
        <v>83.5</v>
      </c>
      <c r="AC1933" t="inlineStr">
        <is>
          <t>182</t>
        </is>
      </c>
      <c r="AD1933" t="n">
        <v>74.8</v>
      </c>
      <c r="AE1933" t="inlineStr">
        <is>
          <t>445</t>
        </is>
      </c>
      <c r="AF1933" t="n">
        <v>55.1</v>
      </c>
      <c r="AG1933" t="inlineStr">
        <is>
          <t>301</t>
        </is>
      </c>
      <c r="AH1933" t="n">
        <v>85.8</v>
      </c>
      <c r="AI1933" t="inlineStr">
        <is>
          <t>102=</t>
        </is>
      </c>
      <c r="AJ1933" t="inlineStr">
        <is>
          <t>38.6</t>
        </is>
      </c>
      <c r="AK1933" t="inlineStr">
        <is>
          <t>224</t>
        </is>
      </c>
      <c r="AL1933" t="inlineStr">
        <is>
          <t>10.4</t>
        </is>
      </c>
      <c r="AM1933" t="inlineStr">
        <is>
          <t>601+</t>
        </is>
      </c>
      <c r="AN1933" t="inlineStr">
        <is>
          <t>99.8</t>
        </is>
      </c>
      <c r="AO1933" t="inlineStr">
        <is>
          <t>28</t>
        </is>
      </c>
      <c r="AP1933" t="inlineStr">
        <is>
          <t>50.7</t>
        </is>
      </c>
      <c r="AQ1933" t="inlineStr">
        <is>
          <t>259</t>
        </is>
      </c>
      <c r="AR1933" t="inlineStr">
        <is>
          <t>84.3</t>
        </is>
      </c>
      <c r="AS1933" t="inlineStr">
        <is>
          <t>214</t>
        </is>
      </c>
      <c r="AT1933" t="inlineStr">
        <is>
          <t>68.0</t>
        </is>
      </c>
      <c r="AU1933" t="inlineStr">
        <is>
          <t>219</t>
        </is>
      </c>
      <c r="AV1933" t="inlineStr">
        <is>
          <t>60.5</t>
        </is>
      </c>
      <c r="AW1933" t="inlineStr">
        <is>
          <t>241</t>
        </is>
      </c>
      <c r="AX1933" t="inlineStr">
        <is>
          <t>33.7</t>
        </is>
      </c>
      <c r="AY1933" t="inlineStr">
        <is>
          <t>228</t>
        </is>
      </c>
      <c r="AZ1933" t="inlineStr">
        <is>
          <t>91.4</t>
        </is>
      </c>
      <c r="BA1933" t="inlineStr">
        <is>
          <t>83</t>
        </is>
      </c>
    </row>
    <row r="1934">
      <c r="A1934" t="inlineStr">
        <is>
          <t>Wayne State University</t>
        </is>
      </c>
      <c r="B1934" t="inlineStr">
        <is>
          <t>United States</t>
        </is>
      </c>
      <c r="C1934" t="inlineStr">
        <is>
          <t>US</t>
        </is>
      </c>
      <c r="D1934" t="inlineStr">
        <is>
          <t>Americas</t>
        </is>
      </c>
      <c r="E1934" t="inlineStr">
        <is>
          <t>L</t>
        </is>
      </c>
      <c r="F1934" t="inlineStr">
        <is>
          <t>FC</t>
        </is>
      </c>
      <c r="G1934" t="inlineStr">
        <is>
          <t>VH</t>
        </is>
      </c>
      <c r="H1934" t="inlineStr">
        <is>
          <t>5</t>
        </is>
      </c>
      <c r="I1934" t="inlineStr">
        <is>
          <t>Public</t>
        </is>
      </c>
      <c r="J1934" t="inlineStr">
        <is>
          <t>781-790</t>
        </is>
      </c>
      <c r="K1934" t="inlineStr">
        <is>
          <t>791-800</t>
        </is>
      </c>
      <c r="L1934" t="inlineStr">
        <is>
          <t>751-760</t>
        </is>
      </c>
      <c r="M1934" t="inlineStr">
        <is>
          <t>601-650</t>
        </is>
      </c>
      <c r="N1934" t="inlineStr">
        <is>
          <t>-</t>
        </is>
      </c>
      <c r="O1934" t="inlineStr">
        <is>
          <t>-</t>
        </is>
      </c>
      <c r="P1934" t="n">
        <v>9</v>
      </c>
      <c r="Q1934" t="inlineStr">
        <is>
          <t>701+</t>
        </is>
      </c>
      <c r="R1934" t="n">
        <v>6.8</v>
      </c>
      <c r="S1934" t="inlineStr">
        <is>
          <t>701+</t>
        </is>
      </c>
      <c r="T1934" t="n">
        <v>70.3</v>
      </c>
      <c r="U1934" t="inlineStr">
        <is>
          <t>228</t>
        </is>
      </c>
      <c r="V1934" t="n">
        <v>18</v>
      </c>
      <c r="W1934" t="inlineStr">
        <is>
          <t>752</t>
        </is>
      </c>
      <c r="X1934" t="n">
        <v>17.9</v>
      </c>
      <c r="Y1934" t="inlineStr">
        <is>
          <t>747</t>
        </is>
      </c>
      <c r="Z1934" t="n">
        <v>10.5</v>
      </c>
      <c r="AA1934" t="inlineStr">
        <is>
          <t>801+</t>
        </is>
      </c>
      <c r="AB1934" t="n">
        <v>8.1</v>
      </c>
      <c r="AC1934" t="inlineStr">
        <is>
          <t>801+</t>
        </is>
      </c>
      <c r="AD1934" t="n">
        <v>69.8</v>
      </c>
      <c r="AE1934" t="inlineStr">
        <is>
          <t>536</t>
        </is>
      </c>
      <c r="AF1934" t="n">
        <v>34.1</v>
      </c>
      <c r="AG1934" t="inlineStr">
        <is>
          <t>499</t>
        </is>
      </c>
      <c r="AH1934" t="n">
        <v>66.90000000000001</v>
      </c>
      <c r="AI1934" t="inlineStr">
        <is>
          <t>363=</t>
        </is>
      </c>
      <c r="AJ1934" t="inlineStr">
        <is>
          <t>7.8</t>
        </is>
      </c>
      <c r="AK1934" t="inlineStr">
        <is>
          <t>601+</t>
        </is>
      </c>
      <c r="AL1934" t="inlineStr">
        <is>
          <t>3.2</t>
        </is>
      </c>
      <c r="AM1934" t="inlineStr">
        <is>
          <t>601+</t>
        </is>
      </c>
      <c r="AN1934" t="inlineStr">
        <is>
          <t>64.7</t>
        </is>
      </c>
      <c r="AO1934" t="inlineStr">
        <is>
          <t>214</t>
        </is>
      </c>
      <c r="AP1934" t="inlineStr">
        <is>
          <t>12.3</t>
        </is>
      </c>
      <c r="AQ1934" t="inlineStr">
        <is>
          <t>693</t>
        </is>
      </c>
      <c r="AR1934" t="inlineStr">
        <is>
          <t>12.5</t>
        </is>
      </c>
      <c r="AS1934" t="inlineStr">
        <is>
          <t>701+</t>
        </is>
      </c>
      <c r="AT1934" t="inlineStr">
        <is>
          <t>4.8</t>
        </is>
      </c>
      <c r="AU1934" t="inlineStr">
        <is>
          <t>701+</t>
        </is>
      </c>
      <c r="AV1934" t="inlineStr">
        <is>
          <t>41.9</t>
        </is>
      </c>
      <c r="AW1934" t="inlineStr">
        <is>
          <t>364</t>
        </is>
      </c>
      <c r="AX1934" t="inlineStr">
        <is>
          <t>15.4</t>
        </is>
      </c>
      <c r="AY1934" t="inlineStr">
        <is>
          <t>545</t>
        </is>
      </c>
      <c r="AZ1934" t="inlineStr">
        <is>
          <t>6.4</t>
        </is>
      </c>
      <c r="BA1934" t="inlineStr">
        <is>
          <t>701+</t>
        </is>
      </c>
    </row>
    <row r="1935">
      <c r="A1935" t="inlineStr">
        <is>
          <t>Wesleyan University</t>
        </is>
      </c>
      <c r="B1935" t="inlineStr">
        <is>
          <t>United States</t>
        </is>
      </c>
      <c r="C1935" t="inlineStr">
        <is>
          <t>US</t>
        </is>
      </c>
      <c r="D1935" t="inlineStr"/>
      <c r="E1935" t="inlineStr">
        <is>
          <t>S</t>
        </is>
      </c>
      <c r="F1935" t="inlineStr">
        <is>
          <t>FO</t>
        </is>
      </c>
      <c r="G1935" t="inlineStr">
        <is>
          <t>VH</t>
        </is>
      </c>
      <c r="H1935" t="inlineStr"/>
      <c r="I1935" t="inlineStr">
        <is>
          <t>B</t>
        </is>
      </c>
      <c r="J1935" t="inlineStr"/>
      <c r="K1935" t="inlineStr"/>
      <c r="L1935" t="inlineStr">
        <is>
          <t>851-900</t>
        </is>
      </c>
      <c r="M1935" t="inlineStr">
        <is>
          <t>601-650</t>
        </is>
      </c>
      <c r="N1935" t="inlineStr"/>
      <c r="O1935" t="inlineStr">
        <is>
          <t>-</t>
        </is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>
        <is>
          <t>4.4</t>
        </is>
      </c>
      <c r="AK1935" t="inlineStr">
        <is>
          <t>601+</t>
        </is>
      </c>
      <c r="AL1935" t="inlineStr">
        <is>
          <t>1.8</t>
        </is>
      </c>
      <c r="AM1935" t="inlineStr">
        <is>
          <t>601+</t>
        </is>
      </c>
      <c r="AN1935" t="inlineStr">
        <is>
          <t>63.5</t>
        </is>
      </c>
      <c r="AO1935" t="inlineStr">
        <is>
          <t>221</t>
        </is>
      </c>
      <c r="AP1935" t="inlineStr">
        <is>
          <t>8.6</t>
        </is>
      </c>
      <c r="AQ1935" t="inlineStr">
        <is>
          <t>701+</t>
        </is>
      </c>
      <c r="AR1935" t="inlineStr">
        <is>
          <t>18.0</t>
        </is>
      </c>
      <c r="AS1935" t="inlineStr">
        <is>
          <t>614</t>
        </is>
      </c>
      <c r="AT1935" t="inlineStr">
        <is>
          <t>16.8</t>
        </is>
      </c>
      <c r="AU1935" t="inlineStr">
        <is>
          <t>587</t>
        </is>
      </c>
      <c r="AV1935" t="inlineStr">
        <is>
          <t>1.0</t>
        </is>
      </c>
      <c r="AW1935" t="inlineStr">
        <is>
          <t>701+</t>
        </is>
      </c>
      <c r="AX1935" t="inlineStr">
        <is>
          <t>27.7</t>
        </is>
      </c>
      <c r="AY1935" t="inlineStr">
        <is>
          <t>293</t>
        </is>
      </c>
      <c r="AZ1935" t="inlineStr"/>
      <c r="BA1935" t="inlineStr"/>
    </row>
    <row r="1936">
      <c r="A1936" t="inlineStr">
        <is>
          <t>West University of Timisoara</t>
        </is>
      </c>
      <c r="B1936" t="inlineStr">
        <is>
          <t>Romania</t>
        </is>
      </c>
      <c r="C1936" t="inlineStr"/>
      <c r="D1936" t="inlineStr">
        <is>
          <t>Europe</t>
        </is>
      </c>
      <c r="E1936" t="inlineStr">
        <is>
          <t>L</t>
        </is>
      </c>
      <c r="F1936" t="inlineStr">
        <is>
          <t>CO</t>
        </is>
      </c>
      <c r="G1936" t="inlineStr">
        <is>
          <t>HI</t>
        </is>
      </c>
      <c r="H1936" t="inlineStr"/>
      <c r="I1936" t="inlineStr">
        <is>
          <t>Public</t>
        </is>
      </c>
      <c r="J1936" t="inlineStr">
        <is>
          <t>1201-1400</t>
        </is>
      </c>
      <c r="K1936" t="inlineStr">
        <is>
          <t>1201-1400</t>
        </is>
      </c>
      <c r="L1936" t="inlineStr"/>
      <c r="M1936" t="inlineStr"/>
      <c r="N1936" t="inlineStr">
        <is>
          <t>-</t>
        </is>
      </c>
      <c r="O1936" t="inlineStr"/>
      <c r="P1936" t="n">
        <v>13.7</v>
      </c>
      <c r="Q1936" t="inlineStr">
        <is>
          <t>701+</t>
        </is>
      </c>
      <c r="R1936" t="n">
        <v>17</v>
      </c>
      <c r="S1936" t="inlineStr">
        <is>
          <t>701+</t>
        </is>
      </c>
      <c r="T1936" t="n">
        <v>7.4</v>
      </c>
      <c r="U1936" t="inlineStr">
        <is>
          <t>801+</t>
        </is>
      </c>
      <c r="V1936" t="n">
        <v>5.5</v>
      </c>
      <c r="W1936" t="inlineStr">
        <is>
          <t>801+</t>
        </is>
      </c>
      <c r="X1936" t="n">
        <v>2</v>
      </c>
      <c r="Y1936" t="inlineStr">
        <is>
          <t>801+</t>
        </is>
      </c>
      <c r="Z1936" t="n">
        <v>10.6</v>
      </c>
      <c r="AA1936" t="inlineStr">
        <is>
          <t>801+</t>
        </is>
      </c>
      <c r="AB1936" t="n">
        <v>14.8</v>
      </c>
      <c r="AC1936" t="inlineStr">
        <is>
          <t>801+</t>
        </is>
      </c>
      <c r="AD1936" t="n">
        <v>29.8</v>
      </c>
      <c r="AE1936" t="inlineStr">
        <is>
          <t>801+</t>
        </is>
      </c>
      <c r="AF1936" t="n">
        <v>32.8</v>
      </c>
      <c r="AG1936" t="inlineStr">
        <is>
          <t>518</t>
        </is>
      </c>
      <c r="AH1936" t="n">
        <v>42.2</v>
      </c>
      <c r="AI1936" t="inlineStr">
        <is>
          <t>801+</t>
        </is>
      </c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</row>
    <row r="1937">
      <c r="A1937" t="inlineStr">
        <is>
          <t>West Virginia University</t>
        </is>
      </c>
      <c r="B1937" t="inlineStr">
        <is>
          <t>United States</t>
        </is>
      </c>
      <c r="C1937" t="inlineStr">
        <is>
          <t>US</t>
        </is>
      </c>
      <c r="D1937" t="inlineStr">
        <is>
          <t>Americas</t>
        </is>
      </c>
      <c r="E1937" t="inlineStr">
        <is>
          <t>L</t>
        </is>
      </c>
      <c r="F1937" t="inlineStr">
        <is>
          <t>FC</t>
        </is>
      </c>
      <c r="G1937" t="inlineStr">
        <is>
          <t>VH</t>
        </is>
      </c>
      <c r="H1937" t="inlineStr">
        <is>
          <t>5</t>
        </is>
      </c>
      <c r="I1937" t="inlineStr">
        <is>
          <t>Public</t>
        </is>
      </c>
      <c r="J1937" t="inlineStr">
        <is>
          <t>1001-1200</t>
        </is>
      </c>
      <c r="K1937" t="inlineStr">
        <is>
          <t>1001-1200</t>
        </is>
      </c>
      <c r="L1937" t="inlineStr">
        <is>
          <t>901-950</t>
        </is>
      </c>
      <c r="M1937" t="inlineStr">
        <is>
          <t>1001-1200</t>
        </is>
      </c>
      <c r="N1937" t="inlineStr">
        <is>
          <t>-</t>
        </is>
      </c>
      <c r="O1937" t="inlineStr">
        <is>
          <t>-</t>
        </is>
      </c>
      <c r="P1937" t="n">
        <v>6.4</v>
      </c>
      <c r="Q1937" t="inlineStr">
        <is>
          <t>701+</t>
        </is>
      </c>
      <c r="R1937" t="n">
        <v>7.5</v>
      </c>
      <c r="S1937" t="inlineStr">
        <is>
          <t>701+</t>
        </is>
      </c>
      <c r="T1937" t="n">
        <v>15</v>
      </c>
      <c r="U1937" t="inlineStr">
        <is>
          <t>801+</t>
        </is>
      </c>
      <c r="V1937" t="n">
        <v>28.4</v>
      </c>
      <c r="W1937" t="inlineStr">
        <is>
          <t>603</t>
        </is>
      </c>
      <c r="X1937" t="n">
        <v>8.300000000000001</v>
      </c>
      <c r="Y1937" t="inlineStr">
        <is>
          <t>801+</t>
        </is>
      </c>
      <c r="Z1937" t="n">
        <v>8.800000000000001</v>
      </c>
      <c r="AA1937" t="inlineStr">
        <is>
          <t>801+</t>
        </is>
      </c>
      <c r="AB1937" t="n">
        <v>6.8</v>
      </c>
      <c r="AC1937" t="inlineStr">
        <is>
          <t>801+</t>
        </is>
      </c>
      <c r="AD1937" t="n">
        <v>66.90000000000001</v>
      </c>
      <c r="AE1937" t="inlineStr">
        <is>
          <t>591</t>
        </is>
      </c>
      <c r="AF1937" t="n">
        <v>21.4</v>
      </c>
      <c r="AG1937" t="inlineStr">
        <is>
          <t>700</t>
        </is>
      </c>
      <c r="AH1937" t="n">
        <v>44.6</v>
      </c>
      <c r="AI1937" t="inlineStr">
        <is>
          <t>801+</t>
        </is>
      </c>
      <c r="AJ1937" t="inlineStr">
        <is>
          <t>6.4</t>
        </is>
      </c>
      <c r="AK1937" t="inlineStr">
        <is>
          <t>601+</t>
        </is>
      </c>
      <c r="AL1937" t="inlineStr">
        <is>
          <t>6.2</t>
        </is>
      </c>
      <c r="AM1937" t="inlineStr">
        <is>
          <t>601+</t>
        </is>
      </c>
      <c r="AN1937" t="inlineStr">
        <is>
          <t>11.7</t>
        </is>
      </c>
      <c r="AO1937" t="inlineStr">
        <is>
          <t>701+</t>
        </is>
      </c>
      <c r="AP1937" t="inlineStr">
        <is>
          <t>21.5</t>
        </is>
      </c>
      <c r="AQ1937" t="inlineStr">
        <is>
          <t>536</t>
        </is>
      </c>
      <c r="AR1937" t="inlineStr">
        <is>
          <t>6.5</t>
        </is>
      </c>
      <c r="AS1937" t="inlineStr">
        <is>
          <t>701+</t>
        </is>
      </c>
      <c r="AT1937" t="inlineStr">
        <is>
          <t>5.2</t>
        </is>
      </c>
      <c r="AU1937" t="inlineStr">
        <is>
          <t>701+</t>
        </is>
      </c>
      <c r="AV1937" t="inlineStr">
        <is>
          <t>25.4</t>
        </is>
      </c>
      <c r="AW1937" t="inlineStr">
        <is>
          <t>495</t>
        </is>
      </c>
      <c r="AX1937" t="inlineStr">
        <is>
          <t>14.1</t>
        </is>
      </c>
      <c r="AY1937" t="inlineStr">
        <is>
          <t>603</t>
        </is>
      </c>
      <c r="AZ1937" t="inlineStr">
        <is>
          <t>20.3</t>
        </is>
      </c>
      <c r="BA1937" t="inlineStr">
        <is>
          <t>542=</t>
        </is>
      </c>
    </row>
    <row r="1938">
      <c r="A1938" t="inlineStr">
        <is>
          <t>Western Michigan University</t>
        </is>
      </c>
      <c r="B1938" t="inlineStr">
        <is>
          <t>United States</t>
        </is>
      </c>
      <c r="C1938" t="inlineStr">
        <is>
          <t>US</t>
        </is>
      </c>
      <c r="D1938" t="inlineStr">
        <is>
          <t>Americas</t>
        </is>
      </c>
      <c r="E1938" t="inlineStr">
        <is>
          <t>L</t>
        </is>
      </c>
      <c r="F1938" t="inlineStr">
        <is>
          <t>FC</t>
        </is>
      </c>
      <c r="G1938" t="inlineStr">
        <is>
          <t>HI</t>
        </is>
      </c>
      <c r="H1938" t="inlineStr">
        <is>
          <t>5</t>
        </is>
      </c>
      <c r="I1938" t="inlineStr">
        <is>
          <t>Public</t>
        </is>
      </c>
      <c r="J1938" t="inlineStr">
        <is>
          <t>1201-1400</t>
        </is>
      </c>
      <c r="K1938" t="inlineStr">
        <is>
          <t>1201-1400</t>
        </is>
      </c>
      <c r="L1938" t="inlineStr">
        <is>
          <t>1001-1200</t>
        </is>
      </c>
      <c r="M1938" t="inlineStr">
        <is>
          <t>1001-1200</t>
        </is>
      </c>
      <c r="N1938" t="inlineStr">
        <is>
          <t>-</t>
        </is>
      </c>
      <c r="O1938" t="inlineStr">
        <is>
          <t>-</t>
        </is>
      </c>
      <c r="P1938" t="n">
        <v>5</v>
      </c>
      <c r="Q1938" t="inlineStr">
        <is>
          <t>701+</t>
        </is>
      </c>
      <c r="R1938" t="n">
        <v>9.5</v>
      </c>
      <c r="S1938" t="inlineStr">
        <is>
          <t>701+</t>
        </is>
      </c>
      <c r="T1938" t="n">
        <v>15.7</v>
      </c>
      <c r="U1938" t="inlineStr">
        <is>
          <t>801+</t>
        </is>
      </c>
      <c r="V1938" t="n">
        <v>10.7</v>
      </c>
      <c r="W1938" t="inlineStr">
        <is>
          <t>801+</t>
        </is>
      </c>
      <c r="X1938" t="n">
        <v>37.6</v>
      </c>
      <c r="Y1938" t="inlineStr">
        <is>
          <t>517</t>
        </is>
      </c>
      <c r="Z1938" t="n">
        <v>17.5</v>
      </c>
      <c r="AA1938" t="inlineStr">
        <is>
          <t>774</t>
        </is>
      </c>
      <c r="AB1938" t="n">
        <v>23.6</v>
      </c>
      <c r="AC1938" t="inlineStr">
        <is>
          <t>712</t>
        </is>
      </c>
      <c r="AD1938" t="n">
        <v>33</v>
      </c>
      <c r="AE1938" t="inlineStr">
        <is>
          <t>801+</t>
        </is>
      </c>
      <c r="AF1938" t="n">
        <v>26.3</v>
      </c>
      <c r="AG1938" t="inlineStr">
        <is>
          <t>619</t>
        </is>
      </c>
      <c r="AH1938" t="n">
        <v>37.6</v>
      </c>
      <c r="AI1938" t="inlineStr">
        <is>
          <t>801+</t>
        </is>
      </c>
      <c r="AJ1938" t="inlineStr">
        <is>
          <t>5.3</t>
        </is>
      </c>
      <c r="AK1938" t="inlineStr">
        <is>
          <t>601+</t>
        </is>
      </c>
      <c r="AL1938" t="inlineStr">
        <is>
          <t>3.6</t>
        </is>
      </c>
      <c r="AM1938" t="inlineStr">
        <is>
          <t>601+</t>
        </is>
      </c>
      <c r="AN1938" t="inlineStr">
        <is>
          <t>10.8</t>
        </is>
      </c>
      <c r="AO1938" t="inlineStr">
        <is>
          <t>701+</t>
        </is>
      </c>
      <c r="AP1938" t="inlineStr">
        <is>
          <t>5.8</t>
        </is>
      </c>
      <c r="AQ1938" t="inlineStr">
        <is>
          <t>701+</t>
        </is>
      </c>
      <c r="AR1938" t="inlineStr">
        <is>
          <t>32.3</t>
        </is>
      </c>
      <c r="AS1938" t="inlineStr">
        <is>
          <t>472</t>
        </is>
      </c>
      <c r="AT1938" t="inlineStr">
        <is>
          <t>10.4</t>
        </is>
      </c>
      <c r="AU1938" t="inlineStr">
        <is>
          <t>701+</t>
        </is>
      </c>
      <c r="AV1938" t="inlineStr">
        <is>
          <t>2.2</t>
        </is>
      </c>
      <c r="AW1938" t="inlineStr">
        <is>
          <t>701+</t>
        </is>
      </c>
      <c r="AX1938" t="inlineStr">
        <is>
          <t>17</t>
        </is>
      </c>
      <c r="AY1938" t="inlineStr">
        <is>
          <t>498</t>
        </is>
      </c>
      <c r="AZ1938" t="inlineStr">
        <is>
          <t>1.9</t>
        </is>
      </c>
      <c r="BA1938" t="inlineStr">
        <is>
          <t>701+</t>
        </is>
      </c>
    </row>
    <row r="1939">
      <c r="A1939" t="inlineStr">
        <is>
          <t>Western Sydney University</t>
        </is>
      </c>
      <c r="B1939" t="inlineStr">
        <is>
          <t>Australia</t>
        </is>
      </c>
      <c r="C1939" t="inlineStr">
        <is>
          <t>AU</t>
        </is>
      </c>
      <c r="D1939" t="inlineStr">
        <is>
          <t>Oceania</t>
        </is>
      </c>
      <c r="E1939" t="inlineStr">
        <is>
          <t>XL</t>
        </is>
      </c>
      <c r="F1939" t="inlineStr">
        <is>
          <t>FC</t>
        </is>
      </c>
      <c r="G1939" t="inlineStr">
        <is>
          <t>VH</t>
        </is>
      </c>
      <c r="H1939" t="inlineStr">
        <is>
          <t>3</t>
        </is>
      </c>
      <c r="I1939" t="inlineStr">
        <is>
          <t>Public</t>
        </is>
      </c>
      <c r="J1939" t="inlineStr">
        <is>
          <t>400</t>
        </is>
      </c>
      <c r="K1939" t="inlineStr">
        <is>
          <t>384</t>
        </is>
      </c>
      <c r="L1939">
        <f>375</f>
        <v/>
      </c>
      <c r="M1939" t="inlineStr">
        <is>
          <t>501-510</t>
        </is>
      </c>
      <c r="N1939" t="inlineStr">
        <is>
          <t>37.5</t>
        </is>
      </c>
      <c r="O1939" t="inlineStr">
        <is>
          <t>29.5</t>
        </is>
      </c>
      <c r="P1939" t="n">
        <v>26.3</v>
      </c>
      <c r="Q1939" t="inlineStr">
        <is>
          <t>480</t>
        </is>
      </c>
      <c r="R1939" t="n">
        <v>22.5</v>
      </c>
      <c r="S1939" t="inlineStr">
        <is>
          <t>593</t>
        </is>
      </c>
      <c r="T1939" t="n">
        <v>7.4</v>
      </c>
      <c r="U1939" t="inlineStr">
        <is>
          <t>801+</t>
        </is>
      </c>
      <c r="V1939" t="n">
        <v>44.5</v>
      </c>
      <c r="W1939" t="inlineStr">
        <is>
          <t>419</t>
        </is>
      </c>
      <c r="X1939" t="n">
        <v>100</v>
      </c>
      <c r="Y1939" t="inlineStr">
        <is>
          <t>59</t>
        </is>
      </c>
      <c r="Z1939" t="n">
        <v>67.7</v>
      </c>
      <c r="AA1939" t="inlineStr">
        <is>
          <t>292</t>
        </is>
      </c>
      <c r="AB1939" t="n">
        <v>70.90000000000001</v>
      </c>
      <c r="AC1939" t="inlineStr">
        <is>
          <t>263</t>
        </is>
      </c>
      <c r="AD1939" t="n">
        <v>87.3</v>
      </c>
      <c r="AE1939" t="inlineStr">
        <is>
          <t>211</t>
        </is>
      </c>
      <c r="AF1939" t="n">
        <v>11.8</v>
      </c>
      <c r="AG1939" t="inlineStr">
        <is>
          <t>801+</t>
        </is>
      </c>
      <c r="AH1939" t="n">
        <v>82.59999999999999</v>
      </c>
      <c r="AI1939" t="inlineStr">
        <is>
          <t>140</t>
        </is>
      </c>
      <c r="AJ1939" t="inlineStr">
        <is>
          <t>18.4</t>
        </is>
      </c>
      <c r="AK1939" t="inlineStr">
        <is>
          <t>483</t>
        </is>
      </c>
      <c r="AL1939" t="inlineStr">
        <is>
          <t>15.0</t>
        </is>
      </c>
      <c r="AM1939" t="inlineStr">
        <is>
          <t>546</t>
        </is>
      </c>
      <c r="AN1939" t="inlineStr">
        <is>
          <t>4.5</t>
        </is>
      </c>
      <c r="AO1939" t="inlineStr">
        <is>
          <t>701+</t>
        </is>
      </c>
      <c r="AP1939" t="inlineStr">
        <is>
          <t>29.5</t>
        </is>
      </c>
      <c r="AQ1939" t="inlineStr">
        <is>
          <t>437</t>
        </is>
      </c>
      <c r="AR1939" t="inlineStr">
        <is>
          <t>100.0</t>
        </is>
      </c>
      <c r="AS1939" t="inlineStr">
        <is>
          <t>48</t>
        </is>
      </c>
      <c r="AT1939" t="inlineStr">
        <is>
          <t>39.2</t>
        </is>
      </c>
      <c r="AU1939" t="inlineStr">
        <is>
          <t>351</t>
        </is>
      </c>
      <c r="AV1939" t="inlineStr">
        <is>
          <t>68.3</t>
        </is>
      </c>
      <c r="AW1939" t="inlineStr">
        <is>
          <t>206</t>
        </is>
      </c>
      <c r="AX1939" t="inlineStr">
        <is>
          <t>10.3</t>
        </is>
      </c>
      <c r="AY1939" t="inlineStr">
        <is>
          <t>701+</t>
        </is>
      </c>
      <c r="AZ1939" t="inlineStr">
        <is>
          <t>90.4</t>
        </is>
      </c>
      <c r="BA1939" t="inlineStr">
        <is>
          <t>92=</t>
        </is>
      </c>
    </row>
    <row r="1940">
      <c r="A1940" t="inlineStr">
        <is>
          <t>Western University</t>
        </is>
      </c>
      <c r="B1940" t="inlineStr">
        <is>
          <t>Canada</t>
        </is>
      </c>
      <c r="C1940" t="inlineStr">
        <is>
          <t>CA</t>
        </is>
      </c>
      <c r="D1940" t="inlineStr">
        <is>
          <t>Americas</t>
        </is>
      </c>
      <c r="E1940" t="inlineStr">
        <is>
          <t>L</t>
        </is>
      </c>
      <c r="F1940" t="inlineStr">
        <is>
          <t>FC</t>
        </is>
      </c>
      <c r="G1940" t="inlineStr">
        <is>
          <t>VH</t>
        </is>
      </c>
      <c r="H1940" t="inlineStr">
        <is>
          <t>5</t>
        </is>
      </c>
      <c r="I1940" t="inlineStr">
        <is>
          <t>Public</t>
        </is>
      </c>
      <c r="J1940" t="inlineStr">
        <is>
          <t>151</t>
        </is>
      </c>
      <c r="K1940" t="inlineStr">
        <is>
          <t>120</t>
        </is>
      </c>
      <c r="L1940" t="inlineStr">
        <is>
          <t>114</t>
        </is>
      </c>
      <c r="M1940" t="inlineStr">
        <is>
          <t>172=</t>
        </is>
      </c>
      <c r="N1940" t="inlineStr">
        <is>
          <t>62</t>
        </is>
      </c>
      <c r="O1940" t="inlineStr">
        <is>
          <t>57.4</t>
        </is>
      </c>
      <c r="P1940" t="n">
        <v>42.3</v>
      </c>
      <c r="Q1940" t="inlineStr">
        <is>
          <t>282</t>
        </is>
      </c>
      <c r="R1940" t="n">
        <v>53.5</v>
      </c>
      <c r="S1940" t="inlineStr">
        <is>
          <t>227</t>
        </is>
      </c>
      <c r="T1940" t="n">
        <v>5.2</v>
      </c>
      <c r="U1940" t="inlineStr">
        <is>
          <t>801+</t>
        </is>
      </c>
      <c r="V1940" t="n">
        <v>93.5</v>
      </c>
      <c r="W1940" t="inlineStr">
        <is>
          <t>84</t>
        </is>
      </c>
      <c r="X1940" t="n">
        <v>100</v>
      </c>
      <c r="Y1940" t="inlineStr">
        <is>
          <t>85</t>
        </is>
      </c>
      <c r="Z1940" t="n">
        <v>68.7</v>
      </c>
      <c r="AA1940" t="inlineStr">
        <is>
          <t>283</t>
        </is>
      </c>
      <c r="AB1940" t="n">
        <v>71.7</v>
      </c>
      <c r="AC1940" t="inlineStr">
        <is>
          <t>254</t>
        </is>
      </c>
      <c r="AD1940" t="n">
        <v>83.59999999999999</v>
      </c>
      <c r="AE1940" t="inlineStr">
        <is>
          <t>282</t>
        </is>
      </c>
      <c r="AF1940" t="n">
        <v>98</v>
      </c>
      <c r="AG1940" t="inlineStr">
        <is>
          <t>42</t>
        </is>
      </c>
      <c r="AH1940" t="n">
        <v>94</v>
      </c>
      <c r="AI1940" t="inlineStr">
        <is>
          <t>30=</t>
        </is>
      </c>
      <c r="AJ1940" t="inlineStr">
        <is>
          <t>32.1</t>
        </is>
      </c>
      <c r="AK1940" t="inlineStr">
        <is>
          <t>273</t>
        </is>
      </c>
      <c r="AL1940" t="inlineStr">
        <is>
          <t>47.4</t>
        </is>
      </c>
      <c r="AM1940" t="inlineStr">
        <is>
          <t>186</t>
        </is>
      </c>
      <c r="AN1940" t="inlineStr">
        <is>
          <t>3.7</t>
        </is>
      </c>
      <c r="AO1940" t="inlineStr">
        <is>
          <t>701+</t>
        </is>
      </c>
      <c r="AP1940" t="inlineStr">
        <is>
          <t>98.3</t>
        </is>
      </c>
      <c r="AQ1940" t="inlineStr">
        <is>
          <t>30</t>
        </is>
      </c>
      <c r="AR1940" t="inlineStr">
        <is>
          <t>99.7</t>
        </is>
      </c>
      <c r="AS1940" t="inlineStr">
        <is>
          <t>86</t>
        </is>
      </c>
      <c r="AT1940" t="inlineStr">
        <is>
          <t>54.6</t>
        </is>
      </c>
      <c r="AU1940" t="inlineStr">
        <is>
          <t>268</t>
        </is>
      </c>
      <c r="AV1940" t="inlineStr">
        <is>
          <t>56.4</t>
        </is>
      </c>
      <c r="AW1940" t="inlineStr">
        <is>
          <t>274</t>
        </is>
      </c>
      <c r="AX1940" t="inlineStr">
        <is>
          <t>93.3</t>
        </is>
      </c>
      <c r="AY1940" t="inlineStr">
        <is>
          <t>30</t>
        </is>
      </c>
      <c r="AZ1940" t="inlineStr">
        <is>
          <t>99.6</t>
        </is>
      </c>
      <c r="BA1940" t="inlineStr">
        <is>
          <t>8</t>
        </is>
      </c>
    </row>
    <row r="1941">
      <c r="A1941" t="inlineStr">
        <is>
          <t>Western Washington University</t>
        </is>
      </c>
      <c r="B1941" t="inlineStr">
        <is>
          <t>United States</t>
        </is>
      </c>
      <c r="C1941" t="inlineStr">
        <is>
          <t>US</t>
        </is>
      </c>
      <c r="D1941" t="inlineStr"/>
      <c r="E1941" t="inlineStr">
        <is>
          <t>L</t>
        </is>
      </c>
      <c r="F1941" t="inlineStr">
        <is>
          <t>CO</t>
        </is>
      </c>
      <c r="G1941" t="inlineStr">
        <is>
          <t>HI</t>
        </is>
      </c>
      <c r="H1941" t="inlineStr">
        <is>
          <t>5</t>
        </is>
      </c>
      <c r="I1941" t="inlineStr"/>
      <c r="J1941" t="inlineStr"/>
      <c r="K1941" t="inlineStr"/>
      <c r="L1941" t="inlineStr">
        <is>
          <t>1401+</t>
        </is>
      </c>
      <c r="M1941" t="inlineStr">
        <is>
          <t>1201-1400</t>
        </is>
      </c>
      <c r="N1941" t="inlineStr"/>
      <c r="O1941" t="inlineStr">
        <is>
          <t>-</t>
        </is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>
        <is>
          <t>2.8</t>
        </is>
      </c>
      <c r="AK1941" t="inlineStr">
        <is>
          <t>601+</t>
        </is>
      </c>
      <c r="AL1941" t="inlineStr">
        <is>
          <t>3.4</t>
        </is>
      </c>
      <c r="AM1941" t="inlineStr">
        <is>
          <t>601+</t>
        </is>
      </c>
      <c r="AN1941" t="inlineStr">
        <is>
          <t>7.0</t>
        </is>
      </c>
      <c r="AO1941" t="inlineStr">
        <is>
          <t>701+</t>
        </is>
      </c>
      <c r="AP1941" t="inlineStr">
        <is>
          <t>4.3</t>
        </is>
      </c>
      <c r="AQ1941" t="inlineStr">
        <is>
          <t>701+</t>
        </is>
      </c>
      <c r="AR1941" t="inlineStr">
        <is>
          <t>14.5</t>
        </is>
      </c>
      <c r="AS1941" t="inlineStr">
        <is>
          <t>676</t>
        </is>
      </c>
      <c r="AT1941" t="inlineStr">
        <is>
          <t>1.4</t>
        </is>
      </c>
      <c r="AU1941" t="inlineStr">
        <is>
          <t>701+</t>
        </is>
      </c>
      <c r="AV1941" t="inlineStr">
        <is>
          <t>1.0</t>
        </is>
      </c>
      <c r="AW1941" t="inlineStr">
        <is>
          <t>701+</t>
        </is>
      </c>
      <c r="AX1941" t="inlineStr">
        <is>
          <t>7.3</t>
        </is>
      </c>
      <c r="AY1941" t="inlineStr">
        <is>
          <t>701+</t>
        </is>
      </c>
      <c r="AZ1941" t="inlineStr"/>
      <c r="BA1941" t="inlineStr"/>
    </row>
    <row r="1942">
      <c r="A1942" t="inlineStr">
        <is>
          <t xml:space="preserve">Westfälische Wilhelms-Universität Münster </t>
        </is>
      </c>
      <c r="B1942" t="inlineStr">
        <is>
          <t>Germany</t>
        </is>
      </c>
      <c r="C1942" t="inlineStr">
        <is>
          <t>DE</t>
        </is>
      </c>
      <c r="D1942" t="inlineStr"/>
      <c r="E1942" t="inlineStr">
        <is>
          <t>L</t>
        </is>
      </c>
      <c r="F1942" t="inlineStr">
        <is>
          <t>FC</t>
        </is>
      </c>
      <c r="G1942" t="inlineStr">
        <is>
          <t>VH</t>
        </is>
      </c>
      <c r="H1942" t="inlineStr">
        <is>
          <t>5</t>
        </is>
      </c>
      <c r="I1942" t="inlineStr">
        <is>
          <t>A</t>
        </is>
      </c>
      <c r="J1942" t="inlineStr"/>
      <c r="K1942" t="inlineStr"/>
      <c r="L1942">
        <f>384</f>
        <v/>
      </c>
      <c r="M1942" t="inlineStr">
        <is>
          <t>384=</t>
        </is>
      </c>
      <c r="N1942" t="inlineStr"/>
      <c r="O1942" t="inlineStr">
        <is>
          <t>28.6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>
        <is>
          <t>31.5</t>
        </is>
      </c>
      <c r="AK1942" t="inlineStr">
        <is>
          <t>278</t>
        </is>
      </c>
      <c r="AL1942" t="inlineStr">
        <is>
          <t>24.6</t>
        </is>
      </c>
      <c r="AM1942" t="inlineStr">
        <is>
          <t>389</t>
        </is>
      </c>
      <c r="AN1942" t="inlineStr">
        <is>
          <t>55.3</t>
        </is>
      </c>
      <c r="AO1942" t="inlineStr">
        <is>
          <t>271</t>
        </is>
      </c>
      <c r="AP1942" t="inlineStr">
        <is>
          <t>12.5</t>
        </is>
      </c>
      <c r="AQ1942" t="inlineStr">
        <is>
          <t>688</t>
        </is>
      </c>
      <c r="AR1942" t="inlineStr">
        <is>
          <t>30.3</t>
        </is>
      </c>
      <c r="AS1942" t="inlineStr">
        <is>
          <t>489</t>
        </is>
      </c>
      <c r="AT1942" t="inlineStr">
        <is>
          <t>4.9</t>
        </is>
      </c>
      <c r="AU1942" t="inlineStr">
        <is>
          <t>701+</t>
        </is>
      </c>
      <c r="AV1942" t="inlineStr">
        <is>
          <t>59.1</t>
        </is>
      </c>
      <c r="AW1942" t="inlineStr">
        <is>
          <t>252</t>
        </is>
      </c>
      <c r="AX1942" t="inlineStr">
        <is>
          <t>26.1</t>
        </is>
      </c>
      <c r="AY1942" t="inlineStr">
        <is>
          <t>314</t>
        </is>
      </c>
      <c r="AZ1942" t="inlineStr">
        <is>
          <t>27.6</t>
        </is>
      </c>
      <c r="BA1942" t="inlineStr">
        <is>
          <t>471=</t>
        </is>
      </c>
    </row>
    <row r="1943">
      <c r="A1943" t="inlineStr">
        <is>
          <t>William &amp; Mary</t>
        </is>
      </c>
      <c r="B1943" t="inlineStr">
        <is>
          <t>United States</t>
        </is>
      </c>
      <c r="C1943" t="inlineStr"/>
      <c r="D1943" t="inlineStr">
        <is>
          <t>Americas</t>
        </is>
      </c>
      <c r="E1943" t="inlineStr">
        <is>
          <t>M</t>
        </is>
      </c>
      <c r="F1943" t="inlineStr">
        <is>
          <t>CO</t>
        </is>
      </c>
      <c r="G1943" t="inlineStr">
        <is>
          <t>VH</t>
        </is>
      </c>
      <c r="H1943" t="inlineStr"/>
      <c r="I1943" t="inlineStr">
        <is>
          <t>Public</t>
        </is>
      </c>
      <c r="J1943" t="inlineStr">
        <is>
          <t>1001-1200</t>
        </is>
      </c>
      <c r="K1943" t="inlineStr">
        <is>
          <t>1001-1200</t>
        </is>
      </c>
      <c r="L1943" t="inlineStr"/>
      <c r="M1943" t="inlineStr"/>
      <c r="N1943" t="inlineStr">
        <is>
          <t>-</t>
        </is>
      </c>
      <c r="O1943" t="inlineStr"/>
      <c r="P1943" t="n">
        <v>10</v>
      </c>
      <c r="Q1943" t="inlineStr">
        <is>
          <t>701+</t>
        </is>
      </c>
      <c r="R1943" t="n">
        <v>14.9</v>
      </c>
      <c r="S1943" t="inlineStr">
        <is>
          <t>701+</t>
        </is>
      </c>
      <c r="T1943" t="n">
        <v>26.4</v>
      </c>
      <c r="U1943" t="inlineStr">
        <is>
          <t>708</t>
        </is>
      </c>
      <c r="V1943" t="n">
        <v>16.2</v>
      </c>
      <c r="W1943" t="inlineStr">
        <is>
          <t>779</t>
        </is>
      </c>
      <c r="X1943" t="n">
        <v>6</v>
      </c>
      <c r="Y1943" t="inlineStr">
        <is>
          <t>801+</t>
        </is>
      </c>
      <c r="Z1943" t="n">
        <v>9</v>
      </c>
      <c r="AA1943" t="inlineStr">
        <is>
          <t>801+</t>
        </is>
      </c>
      <c r="AB1943" t="n">
        <v>14.7</v>
      </c>
      <c r="AC1943" t="inlineStr">
        <is>
          <t>801+</t>
        </is>
      </c>
      <c r="AD1943" t="n">
        <v>37.9</v>
      </c>
      <c r="AE1943" t="inlineStr">
        <is>
          <t>801+</t>
        </is>
      </c>
      <c r="AF1943" t="n">
        <v>38.6</v>
      </c>
      <c r="AG1943" t="inlineStr">
        <is>
          <t>450</t>
        </is>
      </c>
      <c r="AH1943" t="n">
        <v>44.4</v>
      </c>
      <c r="AI1943" t="inlineStr">
        <is>
          <t>801+</t>
        </is>
      </c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</row>
    <row r="1944">
      <c r="A1944" t="inlineStr">
        <is>
          <t>Worcester Polytechnic Institute</t>
        </is>
      </c>
      <c r="B1944" t="inlineStr">
        <is>
          <t>United States</t>
        </is>
      </c>
      <c r="C1944" t="inlineStr">
        <is>
          <t>US</t>
        </is>
      </c>
      <c r="D1944" t="inlineStr">
        <is>
          <t>Americas</t>
        </is>
      </c>
      <c r="E1944" t="inlineStr">
        <is>
          <t>M</t>
        </is>
      </c>
      <c r="F1944" t="inlineStr">
        <is>
          <t>FO</t>
        </is>
      </c>
      <c r="G1944" t="inlineStr">
        <is>
          <t>VH</t>
        </is>
      </c>
      <c r="H1944" t="inlineStr">
        <is>
          <t>5</t>
        </is>
      </c>
      <c r="I1944" t="inlineStr">
        <is>
          <t>Private not for Profit</t>
        </is>
      </c>
      <c r="J1944" t="inlineStr">
        <is>
          <t>851-900</t>
        </is>
      </c>
      <c r="K1944" t="inlineStr">
        <is>
          <t>901-950</t>
        </is>
      </c>
      <c r="L1944" t="inlineStr">
        <is>
          <t>851-900</t>
        </is>
      </c>
      <c r="M1944" t="inlineStr">
        <is>
          <t>801-1000</t>
        </is>
      </c>
      <c r="N1944" t="inlineStr">
        <is>
          <t>-</t>
        </is>
      </c>
      <c r="O1944" t="inlineStr">
        <is>
          <t>-</t>
        </is>
      </c>
      <c r="P1944" t="n">
        <v>3.7</v>
      </c>
      <c r="Q1944" t="inlineStr">
        <is>
          <t>701+</t>
        </is>
      </c>
      <c r="R1944" t="n">
        <v>15.3</v>
      </c>
      <c r="S1944" t="inlineStr">
        <is>
          <t>701+</t>
        </is>
      </c>
      <c r="T1944" t="n">
        <v>20.5</v>
      </c>
      <c r="U1944" t="inlineStr">
        <is>
          <t>801+</t>
        </is>
      </c>
      <c r="V1944" t="n">
        <v>40.7</v>
      </c>
      <c r="W1944" t="inlineStr">
        <is>
          <t>461</t>
        </is>
      </c>
      <c r="X1944" t="n">
        <v>36.9</v>
      </c>
      <c r="Y1944" t="inlineStr">
        <is>
          <t>522</t>
        </is>
      </c>
      <c r="Z1944" t="n">
        <v>36.6</v>
      </c>
      <c r="AA1944" t="inlineStr">
        <is>
          <t>530</t>
        </is>
      </c>
      <c r="AB1944" t="n">
        <v>27.4</v>
      </c>
      <c r="AC1944" t="inlineStr">
        <is>
          <t>647</t>
        </is>
      </c>
      <c r="AD1944" t="n">
        <v>29.4</v>
      </c>
      <c r="AE1944" t="inlineStr">
        <is>
          <t>801+</t>
        </is>
      </c>
      <c r="AF1944" t="n">
        <v>16.7</v>
      </c>
      <c r="AG1944" t="inlineStr">
        <is>
          <t>791</t>
        </is>
      </c>
      <c r="AH1944" t="n">
        <v>47.3</v>
      </c>
      <c r="AI1944" t="inlineStr">
        <is>
          <t>780=</t>
        </is>
      </c>
      <c r="AJ1944" t="inlineStr">
        <is>
          <t>3.9</t>
        </is>
      </c>
      <c r="AK1944" t="inlineStr">
        <is>
          <t>601+</t>
        </is>
      </c>
      <c r="AL1944" t="inlineStr">
        <is>
          <t>5.7</t>
        </is>
      </c>
      <c r="AM1944" t="inlineStr">
        <is>
          <t>601+</t>
        </is>
      </c>
      <c r="AN1944" t="inlineStr">
        <is>
          <t>17.1</t>
        </is>
      </c>
      <c r="AO1944" t="inlineStr">
        <is>
          <t>701+</t>
        </is>
      </c>
      <c r="AP1944" t="inlineStr">
        <is>
          <t>27.5</t>
        </is>
      </c>
      <c r="AQ1944" t="inlineStr">
        <is>
          <t>457</t>
        </is>
      </c>
      <c r="AR1944" t="inlineStr">
        <is>
          <t>42.7</t>
        </is>
      </c>
      <c r="AS1944" t="inlineStr">
        <is>
          <t>390</t>
        </is>
      </c>
      <c r="AT1944" t="inlineStr">
        <is>
          <t>24.2</t>
        </is>
      </c>
      <c r="AU1944" t="inlineStr">
        <is>
          <t>485</t>
        </is>
      </c>
      <c r="AV1944" t="inlineStr">
        <is>
          <t>1.7</t>
        </is>
      </c>
      <c r="AW1944" t="inlineStr">
        <is>
          <t>701+</t>
        </is>
      </c>
      <c r="AX1944" t="inlineStr">
        <is>
          <t>11.8</t>
        </is>
      </c>
      <c r="AY1944" t="inlineStr">
        <is>
          <t>701+</t>
        </is>
      </c>
      <c r="AZ1944" t="inlineStr">
        <is>
          <t>1.3</t>
        </is>
      </c>
      <c r="BA1944" t="inlineStr">
        <is>
          <t>701+</t>
        </is>
      </c>
    </row>
    <row r="1945">
      <c r="A1945" t="inlineStr">
        <is>
          <t>Wroclaw University of Science and Technology (WRUST)</t>
        </is>
      </c>
      <c r="B1945" t="inlineStr">
        <is>
          <t>Poland</t>
        </is>
      </c>
      <c r="C1945" t="inlineStr">
        <is>
          <t>PL</t>
        </is>
      </c>
      <c r="D1945" t="inlineStr"/>
      <c r="E1945" t="inlineStr">
        <is>
          <t>L</t>
        </is>
      </c>
      <c r="F1945" t="inlineStr">
        <is>
          <t>FO</t>
        </is>
      </c>
      <c r="G1945" t="inlineStr">
        <is>
          <t>VH</t>
        </is>
      </c>
      <c r="H1945" t="inlineStr">
        <is>
          <t>5</t>
        </is>
      </c>
      <c r="I1945" t="inlineStr">
        <is>
          <t>A</t>
        </is>
      </c>
      <c r="J1945" t="inlineStr"/>
      <c r="K1945" t="inlineStr"/>
      <c r="L1945" t="inlineStr">
        <is>
          <t>901-950</t>
        </is>
      </c>
      <c r="M1945" t="inlineStr">
        <is>
          <t>801-1000</t>
        </is>
      </c>
      <c r="N1945" t="inlineStr"/>
      <c r="O1945" t="inlineStr">
        <is>
          <t>-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>
        <is>
          <t>11.9</t>
        </is>
      </c>
      <c r="AK1945" t="inlineStr">
        <is>
          <t>601+</t>
        </is>
      </c>
      <c r="AL1945" t="inlineStr">
        <is>
          <t>17.2</t>
        </is>
      </c>
      <c r="AM1945" t="inlineStr">
        <is>
          <t>505</t>
        </is>
      </c>
      <c r="AN1945" t="inlineStr">
        <is>
          <t>32.7</t>
        </is>
      </c>
      <c r="AO1945" t="inlineStr">
        <is>
          <t>484</t>
        </is>
      </c>
      <c r="AP1945" t="inlineStr">
        <is>
          <t>5.3</t>
        </is>
      </c>
      <c r="AQ1945" t="inlineStr">
        <is>
          <t>701+</t>
        </is>
      </c>
      <c r="AR1945" t="inlineStr">
        <is>
          <t>3.3</t>
        </is>
      </c>
      <c r="AS1945" t="inlineStr">
        <is>
          <t>701+</t>
        </is>
      </c>
      <c r="AT1945" t="inlineStr">
        <is>
          <t>5.3</t>
        </is>
      </c>
      <c r="AU1945" t="inlineStr">
        <is>
          <t>701+</t>
        </is>
      </c>
      <c r="AV1945" t="inlineStr">
        <is>
          <t>8.4</t>
        </is>
      </c>
      <c r="AW1945" t="inlineStr">
        <is>
          <t>701+</t>
        </is>
      </c>
      <c r="AX1945" t="inlineStr">
        <is>
          <t>8.4</t>
        </is>
      </c>
      <c r="AY1945" t="inlineStr">
        <is>
          <t>701+</t>
        </is>
      </c>
      <c r="AZ1945" t="inlineStr">
        <is>
          <t>1.8</t>
        </is>
      </c>
      <c r="BA1945" t="inlineStr">
        <is>
          <t>701+</t>
        </is>
      </c>
    </row>
    <row r="1946">
      <c r="A1946" t="inlineStr">
        <is>
          <t>Wroclaw University of Science and Technology (WUST)</t>
        </is>
      </c>
      <c r="B1946" t="inlineStr">
        <is>
          <t>Poland</t>
        </is>
      </c>
      <c r="C1946" t="inlineStr"/>
      <c r="D1946" t="inlineStr">
        <is>
          <t>Europe</t>
        </is>
      </c>
      <c r="E1946" t="inlineStr">
        <is>
          <t>L</t>
        </is>
      </c>
      <c r="F1946" t="inlineStr">
        <is>
          <t>SP</t>
        </is>
      </c>
      <c r="G1946" t="inlineStr">
        <is>
          <t>VH</t>
        </is>
      </c>
      <c r="H1946" t="inlineStr"/>
      <c r="I1946" t="inlineStr">
        <is>
          <t>Public</t>
        </is>
      </c>
      <c r="J1946" t="inlineStr">
        <is>
          <t>851-900</t>
        </is>
      </c>
      <c r="K1946" t="inlineStr">
        <is>
          <t>901-950</t>
        </is>
      </c>
      <c r="L1946" t="inlineStr"/>
      <c r="M1946" t="inlineStr"/>
      <c r="N1946" t="inlineStr">
        <is>
          <t>-</t>
        </is>
      </c>
      <c r="O1946" t="inlineStr"/>
      <c r="P1946" t="n">
        <v>15</v>
      </c>
      <c r="Q1946" t="inlineStr">
        <is>
          <t>701+</t>
        </is>
      </c>
      <c r="R1946" t="n">
        <v>31</v>
      </c>
      <c r="S1946" t="inlineStr">
        <is>
          <t>461</t>
        </is>
      </c>
      <c r="T1946" t="n">
        <v>45.7</v>
      </c>
      <c r="U1946" t="inlineStr">
        <is>
          <t>429</t>
        </is>
      </c>
      <c r="V1946" t="n">
        <v>10.8</v>
      </c>
      <c r="W1946" t="inlineStr">
        <is>
          <t>801+</t>
        </is>
      </c>
      <c r="X1946" t="n">
        <v>4.7</v>
      </c>
      <c r="Y1946" t="inlineStr">
        <is>
          <t>801+</t>
        </is>
      </c>
      <c r="Z1946" t="n">
        <v>10.6</v>
      </c>
      <c r="AA1946" t="inlineStr">
        <is>
          <t>801+</t>
        </is>
      </c>
      <c r="AB1946" t="n">
        <v>15.9</v>
      </c>
      <c r="AC1946" t="inlineStr">
        <is>
          <t>801+</t>
        </is>
      </c>
      <c r="AD1946" t="n">
        <v>68.8</v>
      </c>
      <c r="AE1946" t="inlineStr">
        <is>
          <t>553</t>
        </is>
      </c>
      <c r="AF1946" t="n">
        <v>4</v>
      </c>
      <c r="AG1946" t="inlineStr">
        <is>
          <t>801+</t>
        </is>
      </c>
      <c r="AH1946" t="n">
        <v>31.2</v>
      </c>
      <c r="AI1946" t="inlineStr">
        <is>
          <t>801+</t>
        </is>
      </c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</row>
    <row r="1947">
      <c r="A1947" t="inlineStr">
        <is>
          <t>Wuhan University</t>
        </is>
      </c>
      <c r="B1947" t="inlineStr">
        <is>
          <t>China (Mainland)</t>
        </is>
      </c>
      <c r="C1947" t="inlineStr">
        <is>
          <t>CN</t>
        </is>
      </c>
      <c r="D1947" t="inlineStr">
        <is>
          <t>Asia</t>
        </is>
      </c>
      <c r="E1947" t="inlineStr">
        <is>
          <t>XL</t>
        </is>
      </c>
      <c r="F1947" t="inlineStr">
        <is>
          <t>FC</t>
        </is>
      </c>
      <c r="G1947" t="inlineStr">
        <is>
          <t>VH</t>
        </is>
      </c>
      <c r="H1947" t="inlineStr">
        <is>
          <t>4</t>
        </is>
      </c>
      <c r="I1947" t="inlineStr">
        <is>
          <t>Public</t>
        </is>
      </c>
      <c r="J1947" t="inlineStr">
        <is>
          <t>186</t>
        </is>
      </c>
      <c r="K1947" t="inlineStr">
        <is>
          <t>194</t>
        </is>
      </c>
      <c r="L1947" t="inlineStr">
        <is>
          <t>194</t>
        </is>
      </c>
      <c r="M1947" t="inlineStr">
        <is>
          <t>194</t>
        </is>
      </c>
      <c r="N1947" t="inlineStr">
        <is>
          <t>57.3</t>
        </is>
      </c>
      <c r="O1947" t="inlineStr">
        <is>
          <t>46.6</t>
        </is>
      </c>
      <c r="P1947" t="n">
        <v>53.6</v>
      </c>
      <c r="Q1947" t="inlineStr">
        <is>
          <t>205</t>
        </is>
      </c>
      <c r="R1947" t="n">
        <v>46.7</v>
      </c>
      <c r="S1947" t="inlineStr">
        <is>
          <t>283</t>
        </is>
      </c>
      <c r="T1947" t="n">
        <v>21.3</v>
      </c>
      <c r="U1947" t="inlineStr">
        <is>
          <t>801+</t>
        </is>
      </c>
      <c r="V1947" t="n">
        <v>98</v>
      </c>
      <c r="W1947" t="inlineStr">
        <is>
          <t>46</t>
        </is>
      </c>
      <c r="X1947" t="n">
        <v>47.1</v>
      </c>
      <c r="Y1947" t="inlineStr">
        <is>
          <t>452</t>
        </is>
      </c>
      <c r="Z1947" t="n">
        <v>10.7</v>
      </c>
      <c r="AA1947" t="inlineStr">
        <is>
          <t>801+</t>
        </is>
      </c>
      <c r="AB1947" t="n">
        <v>8.199999999999999</v>
      </c>
      <c r="AC1947" t="inlineStr">
        <is>
          <t>801+</t>
        </is>
      </c>
      <c r="AD1947" t="n">
        <v>77.8</v>
      </c>
      <c r="AE1947" t="inlineStr">
        <is>
          <t>387</t>
        </is>
      </c>
      <c r="AF1947" t="n">
        <v>58.9</v>
      </c>
      <c r="AG1947" t="inlineStr">
        <is>
          <t>276</t>
        </is>
      </c>
      <c r="AH1947" t="n">
        <v>60.8</v>
      </c>
      <c r="AI1947" t="inlineStr">
        <is>
          <t>491=</t>
        </is>
      </c>
      <c r="AJ1947" t="inlineStr">
        <is>
          <t>40.9</t>
        </is>
      </c>
      <c r="AK1947" t="inlineStr">
        <is>
          <t>204</t>
        </is>
      </c>
      <c r="AL1947" t="inlineStr">
        <is>
          <t>44.0</t>
        </is>
      </c>
      <c r="AM1947" t="inlineStr">
        <is>
          <t>205</t>
        </is>
      </c>
      <c r="AN1947" t="inlineStr">
        <is>
          <t>12.8</t>
        </is>
      </c>
      <c r="AO1947" t="inlineStr">
        <is>
          <t>701+</t>
        </is>
      </c>
      <c r="AP1947" t="inlineStr">
        <is>
          <t>87.4</t>
        </is>
      </c>
      <c r="AQ1947" t="inlineStr">
        <is>
          <t>82</t>
        </is>
      </c>
      <c r="AR1947" t="inlineStr">
        <is>
          <t>40.7</t>
        </is>
      </c>
      <c r="AS1947" t="inlineStr">
        <is>
          <t>405</t>
        </is>
      </c>
      <c r="AT1947" t="inlineStr">
        <is>
          <t>5.0</t>
        </is>
      </c>
      <c r="AU1947" t="inlineStr">
        <is>
          <t>701+</t>
        </is>
      </c>
      <c r="AV1947" t="inlineStr">
        <is>
          <t>48.4</t>
        </is>
      </c>
      <c r="AW1947" t="inlineStr">
        <is>
          <t>324</t>
        </is>
      </c>
      <c r="AX1947" t="inlineStr">
        <is>
          <t>35</t>
        </is>
      </c>
      <c r="AY1947" t="inlineStr">
        <is>
          <t>218</t>
        </is>
      </c>
      <c r="AZ1947" t="inlineStr">
        <is>
          <t>44.4</t>
        </is>
      </c>
      <c r="BA1947" t="inlineStr">
        <is>
          <t>336=</t>
        </is>
      </c>
    </row>
    <row r="1948">
      <c r="A1948" t="inlineStr">
        <is>
          <t>Wuhan University of Technology</t>
        </is>
      </c>
      <c r="B1948" t="inlineStr">
        <is>
          <t>China (Mainland)</t>
        </is>
      </c>
      <c r="C1948" t="inlineStr">
        <is>
          <t>CN</t>
        </is>
      </c>
      <c r="D1948" t="inlineStr">
        <is>
          <t>Asia</t>
        </is>
      </c>
      <c r="E1948" t="inlineStr">
        <is>
          <t>XL</t>
        </is>
      </c>
      <c r="F1948" t="inlineStr">
        <is>
          <t>CO</t>
        </is>
      </c>
      <c r="G1948" t="inlineStr">
        <is>
          <t>VH</t>
        </is>
      </c>
      <c r="H1948" t="inlineStr">
        <is>
          <t>2</t>
        </is>
      </c>
      <c r="I1948" t="inlineStr">
        <is>
          <t>Public</t>
        </is>
      </c>
      <c r="J1948" t="inlineStr">
        <is>
          <t>951-1000</t>
        </is>
      </c>
      <c r="K1948" t="inlineStr">
        <is>
          <t>801-850</t>
        </is>
      </c>
      <c r="L1948" t="inlineStr">
        <is>
          <t>851-900</t>
        </is>
      </c>
      <c r="M1948" t="inlineStr">
        <is>
          <t>801-1000</t>
        </is>
      </c>
      <c r="N1948" t="inlineStr">
        <is>
          <t>-</t>
        </is>
      </c>
      <c r="O1948" t="inlineStr">
        <is>
          <t>-</t>
        </is>
      </c>
      <c r="P1948" t="n">
        <v>7.2</v>
      </c>
      <c r="Q1948" t="inlineStr">
        <is>
          <t>701+</t>
        </is>
      </c>
      <c r="R1948" t="n">
        <v>4.6</v>
      </c>
      <c r="S1948" t="inlineStr">
        <is>
          <t>701+</t>
        </is>
      </c>
      <c r="T1948" t="n">
        <v>24.1</v>
      </c>
      <c r="U1948" t="inlineStr">
        <is>
          <t>751</t>
        </is>
      </c>
      <c r="V1948" t="n">
        <v>41.2</v>
      </c>
      <c r="W1948" t="inlineStr">
        <is>
          <t>457</t>
        </is>
      </c>
      <c r="X1948" t="inlineStr"/>
      <c r="Y1948" t="inlineStr"/>
      <c r="Z1948" t="n">
        <v>4.4</v>
      </c>
      <c r="AA1948" t="inlineStr">
        <is>
          <t>801+</t>
        </is>
      </c>
      <c r="AB1948" t="n">
        <v>3.5</v>
      </c>
      <c r="AC1948" t="inlineStr">
        <is>
          <t>801+</t>
        </is>
      </c>
      <c r="AD1948" t="n">
        <v>64.2</v>
      </c>
      <c r="AE1948" t="inlineStr">
        <is>
          <t>632</t>
        </is>
      </c>
      <c r="AF1948" t="n">
        <v>10.1</v>
      </c>
      <c r="AG1948" t="inlineStr">
        <is>
          <t>801+</t>
        </is>
      </c>
      <c r="AH1948" t="n">
        <v>34.9</v>
      </c>
      <c r="AI1948" t="inlineStr">
        <is>
          <t>801+</t>
        </is>
      </c>
      <c r="AJ1948" t="inlineStr">
        <is>
          <t>6.9</t>
        </is>
      </c>
      <c r="AK1948" t="inlineStr">
        <is>
          <t>601+</t>
        </is>
      </c>
      <c r="AL1948" t="inlineStr">
        <is>
          <t>2.1</t>
        </is>
      </c>
      <c r="AM1948" t="inlineStr">
        <is>
          <t>601+</t>
        </is>
      </c>
      <c r="AN1948" t="inlineStr">
        <is>
          <t>12.1</t>
        </is>
      </c>
      <c r="AO1948" t="inlineStr">
        <is>
          <t>701+</t>
        </is>
      </c>
      <c r="AP1948" t="inlineStr">
        <is>
          <t>41.1</t>
        </is>
      </c>
      <c r="AQ1948" t="inlineStr">
        <is>
          <t>332</t>
        </is>
      </c>
      <c r="AR1948" t="inlineStr"/>
      <c r="AS1948" t="inlineStr"/>
      <c r="AT1948" t="inlineStr">
        <is>
          <t>2.6</t>
        </is>
      </c>
      <c r="AU1948" t="inlineStr">
        <is>
          <t>701+</t>
        </is>
      </c>
      <c r="AV1948" t="inlineStr">
        <is>
          <t>9.7</t>
        </is>
      </c>
      <c r="AW1948" t="inlineStr">
        <is>
          <t>673</t>
        </is>
      </c>
      <c r="AX1948" t="inlineStr">
        <is>
          <t>7</t>
        </is>
      </c>
      <c r="AY1948" t="inlineStr">
        <is>
          <t>701+</t>
        </is>
      </c>
      <c r="AZ1948" t="inlineStr">
        <is>
          <t>2.4</t>
        </is>
      </c>
      <c r="BA1948" t="inlineStr">
        <is>
          <t>701+</t>
        </is>
      </c>
    </row>
    <row r="1949">
      <c r="A1949" t="inlineStr">
        <is>
          <t>Xi'an Jiaotong-Liverpool University</t>
        </is>
      </c>
      <c r="B1949" t="inlineStr">
        <is>
          <t>China (Mainland)</t>
        </is>
      </c>
      <c r="C1949" t="inlineStr">
        <is>
          <t>CN</t>
        </is>
      </c>
      <c r="D1949" t="inlineStr">
        <is>
          <t>Asia</t>
        </is>
      </c>
      <c r="E1949" t="inlineStr">
        <is>
          <t>L</t>
        </is>
      </c>
      <c r="F1949" t="inlineStr">
        <is>
          <t>CO</t>
        </is>
      </c>
      <c r="G1949" t="inlineStr">
        <is>
          <t>HI</t>
        </is>
      </c>
      <c r="H1949" t="inlineStr">
        <is>
          <t>2</t>
        </is>
      </c>
      <c r="I1949" t="inlineStr">
        <is>
          <t>Private not for Profit</t>
        </is>
      </c>
      <c r="J1949" t="inlineStr">
        <is>
          <t>1001-1200</t>
        </is>
      </c>
      <c r="K1949" t="inlineStr">
        <is>
          <t>1001-1200</t>
        </is>
      </c>
      <c r="L1949" t="inlineStr">
        <is>
          <t>1001-1200</t>
        </is>
      </c>
      <c r="M1949" t="inlineStr">
        <is>
          <t>1001-1200</t>
        </is>
      </c>
      <c r="N1949" t="inlineStr">
        <is>
          <t>-</t>
        </is>
      </c>
      <c r="O1949" t="inlineStr">
        <is>
          <t>-</t>
        </is>
      </c>
      <c r="P1949" t="n">
        <v>5.9</v>
      </c>
      <c r="Q1949" t="inlineStr">
        <is>
          <t>701+</t>
        </is>
      </c>
      <c r="R1949" t="n">
        <v>5.4</v>
      </c>
      <c r="S1949" t="inlineStr">
        <is>
          <t>701+</t>
        </is>
      </c>
      <c r="T1949" t="n">
        <v>8.1</v>
      </c>
      <c r="U1949" t="inlineStr">
        <is>
          <t>801+</t>
        </is>
      </c>
      <c r="V1949" t="n">
        <v>12</v>
      </c>
      <c r="W1949" t="inlineStr">
        <is>
          <t>801+</t>
        </is>
      </c>
      <c r="X1949" t="n">
        <v>95.2</v>
      </c>
      <c r="Y1949" t="inlineStr">
        <is>
          <t>177</t>
        </is>
      </c>
      <c r="Z1949" t="n">
        <v>5.2</v>
      </c>
      <c r="AA1949" t="inlineStr">
        <is>
          <t>801+</t>
        </is>
      </c>
      <c r="AB1949" t="n">
        <v>10.2</v>
      </c>
      <c r="AC1949" t="inlineStr">
        <is>
          <t>801+</t>
        </is>
      </c>
      <c r="AD1949" t="n">
        <v>45.9</v>
      </c>
      <c r="AE1949" t="inlineStr">
        <is>
          <t>801+</t>
        </is>
      </c>
      <c r="AF1949" t="n">
        <v>1.3</v>
      </c>
      <c r="AG1949" t="inlineStr">
        <is>
          <t>801+</t>
        </is>
      </c>
      <c r="AH1949" t="n">
        <v>44</v>
      </c>
      <c r="AI1949" t="inlineStr">
        <is>
          <t>801+</t>
        </is>
      </c>
      <c r="AJ1949" t="inlineStr">
        <is>
          <t>4.3</t>
        </is>
      </c>
      <c r="AK1949" t="inlineStr">
        <is>
          <t>601+</t>
        </is>
      </c>
      <c r="AL1949" t="inlineStr">
        <is>
          <t>2.1</t>
        </is>
      </c>
      <c r="AM1949" t="inlineStr">
        <is>
          <t>601+</t>
        </is>
      </c>
      <c r="AN1949" t="inlineStr">
        <is>
          <t>5.7</t>
        </is>
      </c>
      <c r="AO1949" t="inlineStr">
        <is>
          <t>701+</t>
        </is>
      </c>
      <c r="AP1949" t="inlineStr">
        <is>
          <t>5.8</t>
        </is>
      </c>
      <c r="AQ1949" t="inlineStr">
        <is>
          <t>701+</t>
        </is>
      </c>
      <c r="AR1949" t="inlineStr">
        <is>
          <t>97.5</t>
        </is>
      </c>
      <c r="AS1949" t="inlineStr">
        <is>
          <t>122</t>
        </is>
      </c>
      <c r="AT1949" t="inlineStr">
        <is>
          <t>3.1</t>
        </is>
      </c>
      <c r="AU1949" t="inlineStr">
        <is>
          <t>701+</t>
        </is>
      </c>
      <c r="AV1949" t="inlineStr">
        <is>
          <t>1.6</t>
        </is>
      </c>
      <c r="AW1949" t="inlineStr">
        <is>
          <t>701+</t>
        </is>
      </c>
      <c r="AX1949" t="inlineStr">
        <is>
          <t>6.9</t>
        </is>
      </c>
      <c r="AY1949" t="inlineStr">
        <is>
          <t>701+</t>
        </is>
      </c>
      <c r="AZ1949" t="inlineStr">
        <is>
          <t>1.8</t>
        </is>
      </c>
      <c r="BA1949" t="inlineStr">
        <is>
          <t>701+</t>
        </is>
      </c>
    </row>
    <row r="1950">
      <c r="A1950" t="inlineStr">
        <is>
          <t>Xi'an Jiaotong University</t>
        </is>
      </c>
      <c r="B1950" t="inlineStr">
        <is>
          <t>China (Mainland)</t>
        </is>
      </c>
      <c r="C1950" t="inlineStr">
        <is>
          <t>CN</t>
        </is>
      </c>
      <c r="D1950" t="inlineStr">
        <is>
          <t>Asia</t>
        </is>
      </c>
      <c r="E1950" t="inlineStr">
        <is>
          <t>XL</t>
        </is>
      </c>
      <c r="F1950" t="inlineStr">
        <is>
          <t>FC</t>
        </is>
      </c>
      <c r="G1950" t="inlineStr">
        <is>
          <t>VH</t>
        </is>
      </c>
      <c r="H1950" t="inlineStr">
        <is>
          <t>4</t>
        </is>
      </c>
      <c r="I1950" t="inlineStr">
        <is>
          <t>Public</t>
        </is>
      </c>
      <c r="J1950" t="inlineStr">
        <is>
          <t>305</t>
        </is>
      </c>
      <c r="K1950" t="inlineStr">
        <is>
          <t>295</t>
        </is>
      </c>
      <c r="L1950" t="inlineStr">
        <is>
          <t>291</t>
        </is>
      </c>
      <c r="M1950" t="inlineStr">
        <is>
          <t>302</t>
        </is>
      </c>
      <c r="N1950" t="inlineStr">
        <is>
          <t>45</t>
        </is>
      </c>
      <c r="O1950" t="inlineStr">
        <is>
          <t>35.8</t>
        </is>
      </c>
      <c r="P1950" t="n">
        <v>28.5</v>
      </c>
      <c r="Q1950" t="inlineStr">
        <is>
          <t>441</t>
        </is>
      </c>
      <c r="R1950" t="n">
        <v>44.2</v>
      </c>
      <c r="S1950" t="inlineStr">
        <is>
          <t>302</t>
        </is>
      </c>
      <c r="T1950" t="n">
        <v>15.9</v>
      </c>
      <c r="U1950" t="inlineStr">
        <is>
          <t>801+</t>
        </is>
      </c>
      <c r="V1950" t="n">
        <v>97.8</v>
      </c>
      <c r="W1950" t="inlineStr">
        <is>
          <t>49</t>
        </is>
      </c>
      <c r="X1950" t="n">
        <v>5.5</v>
      </c>
      <c r="Y1950" t="inlineStr">
        <is>
          <t>801+</t>
        </is>
      </c>
      <c r="Z1950" t="n">
        <v>6.8</v>
      </c>
      <c r="AA1950" t="inlineStr">
        <is>
          <t>801+</t>
        </is>
      </c>
      <c r="AB1950" t="n">
        <v>5.3</v>
      </c>
      <c r="AC1950" t="inlineStr">
        <is>
          <t>801+</t>
        </is>
      </c>
      <c r="AD1950" t="n">
        <v>82.90000000000001</v>
      </c>
      <c r="AE1950" t="inlineStr">
        <is>
          <t>295</t>
        </is>
      </c>
      <c r="AF1950" t="n">
        <v>34.9</v>
      </c>
      <c r="AG1950" t="inlineStr">
        <is>
          <t>491</t>
        </is>
      </c>
      <c r="AH1950" t="n">
        <v>55.8</v>
      </c>
      <c r="AI1950" t="inlineStr">
        <is>
          <t>581</t>
        </is>
      </c>
      <c r="AJ1950" t="inlineStr">
        <is>
          <t>21.4</t>
        </is>
      </c>
      <c r="AK1950" t="inlineStr">
        <is>
          <t>406</t>
        </is>
      </c>
      <c r="AL1950" t="inlineStr">
        <is>
          <t>42.2</t>
        </is>
      </c>
      <c r="AM1950" t="inlineStr">
        <is>
          <t>222</t>
        </is>
      </c>
      <c r="AN1950" t="inlineStr">
        <is>
          <t>17.4</t>
        </is>
      </c>
      <c r="AO1950" t="inlineStr">
        <is>
          <t>701+</t>
        </is>
      </c>
      <c r="AP1950" t="inlineStr">
        <is>
          <t>80.9</t>
        </is>
      </c>
      <c r="AQ1950" t="inlineStr">
        <is>
          <t>106</t>
        </is>
      </c>
      <c r="AR1950" t="inlineStr">
        <is>
          <t>4.4</t>
        </is>
      </c>
      <c r="AS1950" t="inlineStr">
        <is>
          <t>701+</t>
        </is>
      </c>
      <c r="AT1950" t="inlineStr">
        <is>
          <t>4.1</t>
        </is>
      </c>
      <c r="AU1950" t="inlineStr">
        <is>
          <t>701+</t>
        </is>
      </c>
      <c r="AV1950" t="inlineStr">
        <is>
          <t>36.8</t>
        </is>
      </c>
      <c r="AW1950" t="inlineStr">
        <is>
          <t>403</t>
        </is>
      </c>
      <c r="AX1950" t="inlineStr">
        <is>
          <t>20.8</t>
        </is>
      </c>
      <c r="AY1950" t="inlineStr">
        <is>
          <t>397</t>
        </is>
      </c>
      <c r="AZ1950" t="inlineStr">
        <is>
          <t>34.6</t>
        </is>
      </c>
      <c r="BA1950" t="inlineStr">
        <is>
          <t>403=</t>
        </is>
      </c>
    </row>
    <row r="1951">
      <c r="A1951" t="inlineStr">
        <is>
          <t>Xiamen University</t>
        </is>
      </c>
      <c r="B1951" t="inlineStr">
        <is>
          <t>China (Mainland)</t>
        </is>
      </c>
      <c r="C1951" t="inlineStr">
        <is>
          <t>CN</t>
        </is>
      </c>
      <c r="D1951" t="inlineStr">
        <is>
          <t>Asia</t>
        </is>
      </c>
      <c r="E1951" t="inlineStr">
        <is>
          <t>XL</t>
        </is>
      </c>
      <c r="F1951" t="inlineStr">
        <is>
          <t>FC</t>
        </is>
      </c>
      <c r="G1951" t="inlineStr">
        <is>
          <t>VH</t>
        </is>
      </c>
      <c r="H1951" t="inlineStr">
        <is>
          <t>4</t>
        </is>
      </c>
      <c r="I1951" t="inlineStr">
        <is>
          <t>Public</t>
        </is>
      </c>
      <c r="J1951" t="inlineStr">
        <is>
          <t>341</t>
        </is>
      </c>
      <c r="K1951" t="inlineStr">
        <is>
          <t>362</t>
        </is>
      </c>
      <c r="L1951">
        <f>392</f>
        <v/>
      </c>
      <c r="M1951" t="inlineStr">
        <is>
          <t>422=</t>
        </is>
      </c>
      <c r="N1951" t="inlineStr">
        <is>
          <t>42.1</t>
        </is>
      </c>
      <c r="O1951" t="inlineStr">
        <is>
          <t>28.2</t>
        </is>
      </c>
      <c r="P1951" t="n">
        <v>34.3</v>
      </c>
      <c r="Q1951" t="inlineStr">
        <is>
          <t>354</t>
        </is>
      </c>
      <c r="R1951" t="n">
        <v>24.2</v>
      </c>
      <c r="S1951" t="inlineStr">
        <is>
          <t>556</t>
        </is>
      </c>
      <c r="T1951" t="n">
        <v>25</v>
      </c>
      <c r="U1951" t="inlineStr">
        <is>
          <t>733</t>
        </is>
      </c>
      <c r="V1951" t="n">
        <v>83.90000000000001</v>
      </c>
      <c r="W1951" t="inlineStr">
        <is>
          <t>132</t>
        </is>
      </c>
      <c r="X1951" t="n">
        <v>10.8</v>
      </c>
      <c r="Y1951" t="inlineStr">
        <is>
          <t>801+</t>
        </is>
      </c>
      <c r="Z1951" t="n">
        <v>9.300000000000001</v>
      </c>
      <c r="AA1951" t="inlineStr">
        <is>
          <t>801+</t>
        </is>
      </c>
      <c r="AB1951" t="n">
        <v>7.1</v>
      </c>
      <c r="AC1951" t="inlineStr">
        <is>
          <t>801+</t>
        </is>
      </c>
      <c r="AD1951" t="n">
        <v>64.7</v>
      </c>
      <c r="AE1951" t="inlineStr">
        <is>
          <t>626</t>
        </is>
      </c>
      <c r="AF1951" t="n">
        <v>54.4</v>
      </c>
      <c r="AG1951" t="inlineStr">
        <is>
          <t>308</t>
        </is>
      </c>
      <c r="AH1951" t="n">
        <v>54.1</v>
      </c>
      <c r="AI1951" t="inlineStr">
        <is>
          <t>623</t>
        </is>
      </c>
      <c r="AJ1951" t="inlineStr">
        <is>
          <t>25.9</t>
        </is>
      </c>
      <c r="AK1951" t="inlineStr">
        <is>
          <t>340</t>
        </is>
      </c>
      <c r="AL1951" t="inlineStr">
        <is>
          <t>11.6</t>
        </is>
      </c>
      <c r="AM1951" t="inlineStr">
        <is>
          <t>601+</t>
        </is>
      </c>
      <c r="AN1951" t="inlineStr">
        <is>
          <t>20.0</t>
        </is>
      </c>
      <c r="AO1951" t="inlineStr">
        <is>
          <t>664</t>
        </is>
      </c>
      <c r="AP1951" t="inlineStr">
        <is>
          <t>65.3</t>
        </is>
      </c>
      <c r="AQ1951" t="inlineStr">
        <is>
          <t>170</t>
        </is>
      </c>
      <c r="AR1951" t="inlineStr">
        <is>
          <t>5.4</t>
        </is>
      </c>
      <c r="AS1951" t="inlineStr">
        <is>
          <t>701+</t>
        </is>
      </c>
      <c r="AT1951" t="inlineStr">
        <is>
          <t>3.4</t>
        </is>
      </c>
      <c r="AU1951" t="inlineStr">
        <is>
          <t>701+</t>
        </is>
      </c>
      <c r="AV1951" t="inlineStr">
        <is>
          <t>25.4</t>
        </is>
      </c>
      <c r="AW1951" t="inlineStr">
        <is>
          <t>494</t>
        </is>
      </c>
      <c r="AX1951" t="inlineStr">
        <is>
          <t>21.5</t>
        </is>
      </c>
      <c r="AY1951" t="inlineStr">
        <is>
          <t>387</t>
        </is>
      </c>
      <c r="AZ1951" t="inlineStr">
        <is>
          <t>17.1</t>
        </is>
      </c>
      <c r="BA1951" t="inlineStr">
        <is>
          <t>579=</t>
        </is>
      </c>
    </row>
    <row r="1952">
      <c r="A1952" t="inlineStr">
        <is>
          <t>Yale University</t>
        </is>
      </c>
      <c r="B1952" t="inlineStr">
        <is>
          <t>United States</t>
        </is>
      </c>
      <c r="C1952" t="inlineStr">
        <is>
          <t>US</t>
        </is>
      </c>
      <c r="D1952" t="inlineStr">
        <is>
          <t>Americas</t>
        </is>
      </c>
      <c r="E1952" t="inlineStr">
        <is>
          <t>L</t>
        </is>
      </c>
      <c r="F1952" t="inlineStr">
        <is>
          <t>FC</t>
        </is>
      </c>
      <c r="G1952" t="inlineStr">
        <is>
          <t>VH</t>
        </is>
      </c>
      <c r="H1952" t="inlineStr">
        <is>
          <t>5</t>
        </is>
      </c>
      <c r="I1952" t="inlineStr">
        <is>
          <t>Private not for Profit</t>
        </is>
      </c>
      <c r="J1952" t="inlineStr">
        <is>
          <t>21</t>
        </is>
      </c>
      <c r="K1952" t="inlineStr">
        <is>
          <t>23</t>
        </is>
      </c>
      <c r="L1952" t="inlineStr">
        <is>
          <t>16</t>
        </is>
      </c>
      <c r="M1952" t="inlineStr">
        <is>
          <t>18</t>
        </is>
      </c>
      <c r="N1952" t="inlineStr">
        <is>
          <t>90.4</t>
        </is>
      </c>
      <c r="O1952" t="inlineStr">
        <is>
          <t>87.7</t>
        </is>
      </c>
      <c r="P1952" t="n">
        <v>100</v>
      </c>
      <c r="Q1952" t="inlineStr">
        <is>
          <t>9</t>
        </is>
      </c>
      <c r="R1952" t="n">
        <v>100</v>
      </c>
      <c r="S1952" t="inlineStr">
        <is>
          <t>7</t>
        </is>
      </c>
      <c r="T1952" t="n">
        <v>100</v>
      </c>
      <c r="U1952" t="inlineStr">
        <is>
          <t>12</t>
        </is>
      </c>
      <c r="V1952" t="n">
        <v>64.8</v>
      </c>
      <c r="W1952" t="inlineStr">
        <is>
          <t>250</t>
        </is>
      </c>
      <c r="X1952" t="n">
        <v>86.7</v>
      </c>
      <c r="Y1952" t="inlineStr">
        <is>
          <t>247</t>
        </is>
      </c>
      <c r="Z1952" t="n">
        <v>72.7</v>
      </c>
      <c r="AA1952" t="inlineStr">
        <is>
          <t>262</t>
        </is>
      </c>
      <c r="AB1952" t="n">
        <v>75.40000000000001</v>
      </c>
      <c r="AC1952" t="inlineStr">
        <is>
          <t>232</t>
        </is>
      </c>
      <c r="AD1952" t="n">
        <v>92.90000000000001</v>
      </c>
      <c r="AE1952" t="inlineStr">
        <is>
          <t>131</t>
        </is>
      </c>
      <c r="AF1952" t="n">
        <v>99.8</v>
      </c>
      <c r="AG1952" t="inlineStr">
        <is>
          <t>18</t>
        </is>
      </c>
      <c r="AH1952" t="n">
        <v>82.40000000000001</v>
      </c>
      <c r="AI1952" t="inlineStr">
        <is>
          <t>144=</t>
        </is>
      </c>
      <c r="AJ1952" t="inlineStr">
        <is>
          <t>99.9</t>
        </is>
      </c>
      <c r="AK1952" t="inlineStr">
        <is>
          <t>9</t>
        </is>
      </c>
      <c r="AL1952" t="inlineStr">
        <is>
          <t>99.9</t>
        </is>
      </c>
      <c r="AM1952" t="inlineStr">
        <is>
          <t>7</t>
        </is>
      </c>
      <c r="AN1952" t="inlineStr">
        <is>
          <t>100.0</t>
        </is>
      </c>
      <c r="AO1952" t="inlineStr">
        <is>
          <t>3</t>
        </is>
      </c>
      <c r="AP1952" t="inlineStr">
        <is>
          <t>45.8</t>
        </is>
      </c>
      <c r="AQ1952" t="inlineStr">
        <is>
          <t>293</t>
        </is>
      </c>
      <c r="AR1952" t="inlineStr">
        <is>
          <t>89.8</t>
        </is>
      </c>
      <c r="AS1952" t="inlineStr">
        <is>
          <t>184</t>
        </is>
      </c>
      <c r="AT1952" t="inlineStr">
        <is>
          <t>78.8</t>
        </is>
      </c>
      <c r="AU1952" t="inlineStr">
        <is>
          <t>169</t>
        </is>
      </c>
      <c r="AV1952" t="inlineStr">
        <is>
          <t>85.8</t>
        </is>
      </c>
      <c r="AW1952" t="inlineStr">
        <is>
          <t>112</t>
        </is>
      </c>
      <c r="AX1952" t="inlineStr">
        <is>
          <t>99.9</t>
        </is>
      </c>
      <c r="AY1952" t="inlineStr">
        <is>
          <t>9</t>
        </is>
      </c>
      <c r="AZ1952" t="inlineStr">
        <is>
          <t>99.2</t>
        </is>
      </c>
      <c r="BA1952" t="inlineStr">
        <is>
          <t>13</t>
        </is>
      </c>
    </row>
    <row r="1953">
      <c r="A1953" t="inlineStr">
        <is>
          <t>Yamaguchi University</t>
        </is>
      </c>
      <c r="B1953" t="inlineStr">
        <is>
          <t>Japan</t>
        </is>
      </c>
      <c r="C1953" t="inlineStr">
        <is>
          <t>JP</t>
        </is>
      </c>
      <c r="D1953" t="inlineStr">
        <is>
          <t>Asia</t>
        </is>
      </c>
      <c r="E1953" t="inlineStr">
        <is>
          <t>M</t>
        </is>
      </c>
      <c r="F1953" t="inlineStr">
        <is>
          <t>FC</t>
        </is>
      </c>
      <c r="G1953" t="inlineStr">
        <is>
          <t>HI</t>
        </is>
      </c>
      <c r="H1953" t="inlineStr">
        <is>
          <t>4</t>
        </is>
      </c>
      <c r="I1953" t="inlineStr">
        <is>
          <t>Public</t>
        </is>
      </c>
      <c r="J1953" t="inlineStr">
        <is>
          <t>1401+</t>
        </is>
      </c>
      <c r="K1953" t="inlineStr">
        <is>
          <t>1201-1400</t>
        </is>
      </c>
      <c r="L1953" t="inlineStr">
        <is>
          <t>1001-1200</t>
        </is>
      </c>
      <c r="M1953" t="inlineStr">
        <is>
          <t>801-1000</t>
        </is>
      </c>
      <c r="N1953" t="inlineStr">
        <is>
          <t>-</t>
        </is>
      </c>
      <c r="O1953" t="inlineStr">
        <is>
          <t>-</t>
        </is>
      </c>
      <c r="P1953" t="n">
        <v>4.4</v>
      </c>
      <c r="Q1953" t="inlineStr">
        <is>
          <t>701+</t>
        </is>
      </c>
      <c r="R1953" t="n">
        <v>2.9</v>
      </c>
      <c r="S1953" t="inlineStr">
        <is>
          <t>701+</t>
        </is>
      </c>
      <c r="T1953" t="n">
        <v>46.1</v>
      </c>
      <c r="U1953" t="inlineStr">
        <is>
          <t>425</t>
        </is>
      </c>
      <c r="V1953" t="n">
        <v>8.199999999999999</v>
      </c>
      <c r="W1953" t="inlineStr">
        <is>
          <t>801+</t>
        </is>
      </c>
      <c r="X1953" t="n">
        <v>8</v>
      </c>
      <c r="Y1953" t="inlineStr">
        <is>
          <t>801+</t>
        </is>
      </c>
      <c r="Z1953" t="n">
        <v>4.5</v>
      </c>
      <c r="AA1953" t="inlineStr">
        <is>
          <t>801+</t>
        </is>
      </c>
      <c r="AB1953" t="n">
        <v>8.9</v>
      </c>
      <c r="AC1953" t="inlineStr">
        <is>
          <t>801+</t>
        </is>
      </c>
      <c r="AD1953" t="n">
        <v>15.4</v>
      </c>
      <c r="AE1953" t="inlineStr">
        <is>
          <t>801+</t>
        </is>
      </c>
      <c r="AF1953" t="n">
        <v>1.7</v>
      </c>
      <c r="AG1953" t="inlineStr">
        <is>
          <t>801+</t>
        </is>
      </c>
      <c r="AH1953" t="n">
        <v>22.5</v>
      </c>
      <c r="AI1953" t="inlineStr">
        <is>
          <t>801+</t>
        </is>
      </c>
      <c r="AJ1953" t="inlineStr">
        <is>
          <t>4.0</t>
        </is>
      </c>
      <c r="AK1953" t="inlineStr">
        <is>
          <t>601+</t>
        </is>
      </c>
      <c r="AL1953" t="inlineStr">
        <is>
          <t>1.7</t>
        </is>
      </c>
      <c r="AM1953" t="inlineStr">
        <is>
          <t>601+</t>
        </is>
      </c>
      <c r="AN1953" t="inlineStr">
        <is>
          <t>43.2</t>
        </is>
      </c>
      <c r="AO1953" t="inlineStr">
        <is>
          <t>363</t>
        </is>
      </c>
      <c r="AP1953" t="inlineStr">
        <is>
          <t>4.5</t>
        </is>
      </c>
      <c r="AQ1953" t="inlineStr">
        <is>
          <t>701+</t>
        </is>
      </c>
      <c r="AR1953" t="inlineStr">
        <is>
          <t>7.0</t>
        </is>
      </c>
      <c r="AS1953" t="inlineStr">
        <is>
          <t>701+</t>
        </is>
      </c>
      <c r="AT1953" t="inlineStr">
        <is>
          <t>2.7</t>
        </is>
      </c>
      <c r="AU1953" t="inlineStr">
        <is>
          <t>701+</t>
        </is>
      </c>
      <c r="AV1953" t="inlineStr">
        <is>
          <t>1.2</t>
        </is>
      </c>
      <c r="AW1953" t="inlineStr">
        <is>
          <t>701+</t>
        </is>
      </c>
      <c r="AX1953" t="inlineStr">
        <is>
          <t>8</t>
        </is>
      </c>
      <c r="AY1953" t="inlineStr">
        <is>
          <t>701+</t>
        </is>
      </c>
      <c r="AZ1953" t="inlineStr">
        <is>
          <t>1.1</t>
        </is>
      </c>
      <c r="BA1953" t="inlineStr">
        <is>
          <t>701+</t>
        </is>
      </c>
    </row>
    <row r="1954">
      <c r="A1954" t="inlineStr">
        <is>
          <t>Yarmouk University</t>
        </is>
      </c>
      <c r="B1954" t="inlineStr">
        <is>
          <t>Jordan</t>
        </is>
      </c>
      <c r="C1954" t="inlineStr">
        <is>
          <t>JO</t>
        </is>
      </c>
      <c r="D1954" t="inlineStr">
        <is>
          <t>Asia</t>
        </is>
      </c>
      <c r="E1954" t="inlineStr">
        <is>
          <t>L</t>
        </is>
      </c>
      <c r="F1954" t="inlineStr">
        <is>
          <t>FC</t>
        </is>
      </c>
      <c r="G1954" t="inlineStr">
        <is>
          <t>HI</t>
        </is>
      </c>
      <c r="H1954" t="inlineStr">
        <is>
          <t>3</t>
        </is>
      </c>
      <c r="I1954" t="inlineStr">
        <is>
          <t>Public</t>
        </is>
      </c>
      <c r="J1954" t="inlineStr">
        <is>
          <t>851-900</t>
        </is>
      </c>
      <c r="K1954" t="inlineStr">
        <is>
          <t>951-1000</t>
        </is>
      </c>
      <c r="L1954" t="inlineStr">
        <is>
          <t>1001-1200</t>
        </is>
      </c>
      <c r="M1954" t="inlineStr">
        <is>
          <t>1201-1400</t>
        </is>
      </c>
      <c r="N1954" t="inlineStr">
        <is>
          <t>-</t>
        </is>
      </c>
      <c r="O1954" t="inlineStr">
        <is>
          <t>-</t>
        </is>
      </c>
      <c r="P1954" t="n">
        <v>23.4</v>
      </c>
      <c r="Q1954" t="inlineStr">
        <is>
          <t>541</t>
        </is>
      </c>
      <c r="R1954" t="n">
        <v>32</v>
      </c>
      <c r="S1954" t="inlineStr">
        <is>
          <t>448</t>
        </is>
      </c>
      <c r="T1954" t="n">
        <v>5.3</v>
      </c>
      <c r="U1954" t="inlineStr">
        <is>
          <t>801+</t>
        </is>
      </c>
      <c r="V1954" t="n">
        <v>5.2</v>
      </c>
      <c r="W1954" t="inlineStr">
        <is>
          <t>801+</t>
        </is>
      </c>
      <c r="X1954" t="n">
        <v>7.7</v>
      </c>
      <c r="Y1954" t="inlineStr">
        <is>
          <t>801+</t>
        </is>
      </c>
      <c r="Z1954" t="n">
        <v>25.9</v>
      </c>
      <c r="AA1954" t="inlineStr">
        <is>
          <t>646</t>
        </is>
      </c>
      <c r="AB1954" t="n">
        <v>28.4</v>
      </c>
      <c r="AC1954" t="inlineStr">
        <is>
          <t>634</t>
        </is>
      </c>
      <c r="AD1954" t="n">
        <v>44.6</v>
      </c>
      <c r="AE1954" t="inlineStr">
        <is>
          <t>801+</t>
        </is>
      </c>
      <c r="AF1954" t="n">
        <v>42.3</v>
      </c>
      <c r="AG1954" t="inlineStr">
        <is>
          <t>414</t>
        </is>
      </c>
      <c r="AH1954" t="n">
        <v>45.3</v>
      </c>
      <c r="AI1954" t="inlineStr">
        <is>
          <t>801+</t>
        </is>
      </c>
      <c r="AJ1954" t="inlineStr">
        <is>
          <t>11.9</t>
        </is>
      </c>
      <c r="AK1954" t="inlineStr">
        <is>
          <t>601+</t>
        </is>
      </c>
      <c r="AL1954" t="inlineStr">
        <is>
          <t>14.5</t>
        </is>
      </c>
      <c r="AM1954" t="inlineStr">
        <is>
          <t>564</t>
        </is>
      </c>
      <c r="AN1954" t="inlineStr">
        <is>
          <t>2.8</t>
        </is>
      </c>
      <c r="AO1954" t="inlineStr">
        <is>
          <t>701+</t>
        </is>
      </c>
      <c r="AP1954" t="inlineStr">
        <is>
          <t>2.5</t>
        </is>
      </c>
      <c r="AQ1954" t="inlineStr">
        <is>
          <t>701+</t>
        </is>
      </c>
      <c r="AR1954" t="inlineStr">
        <is>
          <t>7.8</t>
        </is>
      </c>
      <c r="AS1954" t="inlineStr">
        <is>
          <t>701+</t>
        </is>
      </c>
      <c r="AT1954" t="inlineStr">
        <is>
          <t>13.9</t>
        </is>
      </c>
      <c r="AU1954" t="inlineStr">
        <is>
          <t>643</t>
        </is>
      </c>
      <c r="AV1954" t="inlineStr">
        <is>
          <t>3.9</t>
        </is>
      </c>
      <c r="AW1954" t="inlineStr">
        <is>
          <t>701+</t>
        </is>
      </c>
      <c r="AX1954" t="inlineStr">
        <is>
          <t>28.4</t>
        </is>
      </c>
      <c r="AY1954" t="inlineStr">
        <is>
          <t>283</t>
        </is>
      </c>
      <c r="AZ1954" t="inlineStr">
        <is>
          <t>1.1</t>
        </is>
      </c>
      <c r="BA1954" t="inlineStr">
        <is>
          <t>701+</t>
        </is>
      </c>
    </row>
    <row r="1955">
      <c r="A1955" t="inlineStr">
        <is>
          <t>Yerevan State University</t>
        </is>
      </c>
      <c r="B1955" t="inlineStr">
        <is>
          <t>Armenia</t>
        </is>
      </c>
      <c r="C1955" t="inlineStr">
        <is>
          <t>AM</t>
        </is>
      </c>
      <c r="D1955" t="inlineStr">
        <is>
          <t>Asia</t>
        </is>
      </c>
      <c r="E1955" t="inlineStr">
        <is>
          <t>M</t>
        </is>
      </c>
      <c r="F1955" t="inlineStr">
        <is>
          <t>CO</t>
        </is>
      </c>
      <c r="G1955" t="inlineStr">
        <is>
          <t>HI</t>
        </is>
      </c>
      <c r="H1955" t="inlineStr">
        <is>
          <t>5</t>
        </is>
      </c>
      <c r="I1955" t="inlineStr">
        <is>
          <t>Public</t>
        </is>
      </c>
      <c r="J1955" t="inlineStr">
        <is>
          <t>1001-1200</t>
        </is>
      </c>
      <c r="K1955" t="inlineStr">
        <is>
          <t>901-950</t>
        </is>
      </c>
      <c r="L1955" t="inlineStr">
        <is>
          <t>1001-1200</t>
        </is>
      </c>
      <c r="M1955" t="inlineStr">
        <is>
          <t>801-1000</t>
        </is>
      </c>
      <c r="N1955" t="inlineStr">
        <is>
          <t>-</t>
        </is>
      </c>
      <c r="O1955" t="inlineStr">
        <is>
          <t>-</t>
        </is>
      </c>
      <c r="P1955" t="n">
        <v>8.699999999999999</v>
      </c>
      <c r="Q1955" t="inlineStr">
        <is>
          <t>701+</t>
        </is>
      </c>
      <c r="R1955" t="n">
        <v>6</v>
      </c>
      <c r="S1955" t="inlineStr">
        <is>
          <t>701+</t>
        </is>
      </c>
      <c r="T1955" t="n">
        <v>64.8</v>
      </c>
      <c r="U1955" t="inlineStr">
        <is>
          <t>271</t>
        </is>
      </c>
      <c r="V1955" t="n">
        <v>1.9</v>
      </c>
      <c r="W1955" t="inlineStr">
        <is>
          <t>801+</t>
        </is>
      </c>
      <c r="X1955" t="n">
        <v>8.699999999999999</v>
      </c>
      <c r="Y1955" t="inlineStr">
        <is>
          <t>801+</t>
        </is>
      </c>
      <c r="Z1955" t="n">
        <v>3</v>
      </c>
      <c r="AA1955" t="inlineStr">
        <is>
          <t>801+</t>
        </is>
      </c>
      <c r="AB1955" t="n">
        <v>7.2</v>
      </c>
      <c r="AC1955" t="inlineStr">
        <is>
          <t>801+</t>
        </is>
      </c>
      <c r="AD1955" t="n">
        <v>21.2</v>
      </c>
      <c r="AE1955" t="inlineStr">
        <is>
          <t>801+</t>
        </is>
      </c>
      <c r="AF1955" t="n">
        <v>90</v>
      </c>
      <c r="AG1955" t="inlineStr">
        <is>
          <t>106</t>
        </is>
      </c>
      <c r="AH1955" t="n">
        <v>13.3</v>
      </c>
      <c r="AI1955" t="inlineStr">
        <is>
          <t>801+</t>
        </is>
      </c>
      <c r="AJ1955" t="inlineStr">
        <is>
          <t>7.0</t>
        </is>
      </c>
      <c r="AK1955" t="inlineStr">
        <is>
          <t>601+</t>
        </is>
      </c>
      <c r="AL1955" t="inlineStr">
        <is>
          <t>3.0</t>
        </is>
      </c>
      <c r="AM1955" t="inlineStr">
        <is>
          <t>601+</t>
        </is>
      </c>
      <c r="AN1955" t="inlineStr">
        <is>
          <t>45.4</t>
        </is>
      </c>
      <c r="AO1955" t="inlineStr">
        <is>
          <t>347</t>
        </is>
      </c>
      <c r="AP1955" t="inlineStr">
        <is>
          <t>1.4</t>
        </is>
      </c>
      <c r="AQ1955" t="inlineStr">
        <is>
          <t>701+</t>
        </is>
      </c>
      <c r="AR1955" t="inlineStr">
        <is>
          <t>5.2</t>
        </is>
      </c>
      <c r="AS1955" t="inlineStr">
        <is>
          <t>701+</t>
        </is>
      </c>
      <c r="AT1955" t="inlineStr">
        <is>
          <t>1.6</t>
        </is>
      </c>
      <c r="AU1955" t="inlineStr">
        <is>
          <t>701+</t>
        </is>
      </c>
      <c r="AV1955" t="inlineStr">
        <is>
          <t>1.0</t>
        </is>
      </c>
      <c r="AW1955" t="inlineStr">
        <is>
          <t>701+</t>
        </is>
      </c>
      <c r="AX1955" t="inlineStr">
        <is>
          <t>35.2</t>
        </is>
      </c>
      <c r="AY1955" t="inlineStr">
        <is>
          <t>215</t>
        </is>
      </c>
      <c r="AZ1955" t="inlineStr">
        <is>
          <t>1</t>
        </is>
      </c>
      <c r="BA1955" t="inlineStr">
        <is>
          <t>701+</t>
        </is>
      </c>
    </row>
    <row r="1956">
      <c r="A1956" t="inlineStr">
        <is>
          <t>Yeshiva University</t>
        </is>
      </c>
      <c r="B1956" t="inlineStr">
        <is>
          <t>United States</t>
        </is>
      </c>
      <c r="C1956" t="inlineStr">
        <is>
          <t>US</t>
        </is>
      </c>
      <c r="D1956" t="inlineStr">
        <is>
          <t>Americas</t>
        </is>
      </c>
      <c r="E1956" t="inlineStr">
        <is>
          <t>M</t>
        </is>
      </c>
      <c r="F1956" t="inlineStr">
        <is>
          <t>FC</t>
        </is>
      </c>
      <c r="G1956" t="inlineStr">
        <is>
          <t>MD</t>
        </is>
      </c>
      <c r="H1956" t="inlineStr">
        <is>
          <t>5</t>
        </is>
      </c>
      <c r="I1956" t="inlineStr">
        <is>
          <t>Private not for Profit</t>
        </is>
      </c>
      <c r="J1956" t="inlineStr">
        <is>
          <t>624</t>
        </is>
      </c>
      <c r="K1956" t="inlineStr">
        <is>
          <t>413</t>
        </is>
      </c>
      <c r="L1956">
        <f>369</f>
        <v/>
      </c>
      <c r="M1956" t="inlineStr">
        <is>
          <t>246=</t>
        </is>
      </c>
      <c r="N1956" t="inlineStr">
        <is>
          <t>27.5</t>
        </is>
      </c>
      <c r="O1956" t="inlineStr">
        <is>
          <t>30.0</t>
        </is>
      </c>
      <c r="P1956" t="n">
        <v>3.8</v>
      </c>
      <c r="Q1956" t="inlineStr">
        <is>
          <t>701+</t>
        </is>
      </c>
      <c r="R1956" t="n">
        <v>4.6</v>
      </c>
      <c r="S1956" t="inlineStr">
        <is>
          <t>701+</t>
        </is>
      </c>
      <c r="T1956" t="n">
        <v>62.7</v>
      </c>
      <c r="U1956" t="inlineStr">
        <is>
          <t>282</t>
        </is>
      </c>
      <c r="V1956" t="n">
        <v>72.8</v>
      </c>
      <c r="W1956" t="inlineStr">
        <is>
          <t>191</t>
        </is>
      </c>
      <c r="X1956" t="n">
        <v>36.4</v>
      </c>
      <c r="Y1956" t="inlineStr">
        <is>
          <t>527</t>
        </is>
      </c>
      <c r="Z1956" t="n">
        <v>27.7</v>
      </c>
      <c r="AA1956" t="inlineStr">
        <is>
          <t>618</t>
        </is>
      </c>
      <c r="AB1956" t="n">
        <v>30</v>
      </c>
      <c r="AC1956" t="inlineStr">
        <is>
          <t>615</t>
        </is>
      </c>
      <c r="AD1956" t="n">
        <v>15.3</v>
      </c>
      <c r="AE1956" t="inlineStr">
        <is>
          <t>801+</t>
        </is>
      </c>
      <c r="AF1956" t="n">
        <v>4.9</v>
      </c>
      <c r="AG1956" t="inlineStr">
        <is>
          <t>801+</t>
        </is>
      </c>
      <c r="AH1956" t="n">
        <v>36.4</v>
      </c>
      <c r="AI1956" t="inlineStr">
        <is>
          <t>801+</t>
        </is>
      </c>
      <c r="AJ1956" t="inlineStr">
        <is>
          <t>2.8</t>
        </is>
      </c>
      <c r="AK1956" t="inlineStr">
        <is>
          <t>601+</t>
        </is>
      </c>
      <c r="AL1956" t="inlineStr">
        <is>
          <t>3.3</t>
        </is>
      </c>
      <c r="AM1956" t="inlineStr">
        <is>
          <t>601+</t>
        </is>
      </c>
      <c r="AN1956" t="inlineStr">
        <is>
          <t>75.0</t>
        </is>
      </c>
      <c r="AO1956" t="inlineStr">
        <is>
          <t>167</t>
        </is>
      </c>
      <c r="AP1956" t="inlineStr">
        <is>
          <t>99.7</t>
        </is>
      </c>
      <c r="AQ1956" t="inlineStr">
        <is>
          <t>14</t>
        </is>
      </c>
      <c r="AR1956" t="inlineStr"/>
      <c r="AS1956" t="inlineStr"/>
      <c r="AT1956" t="inlineStr">
        <is>
          <t>8.9</t>
        </is>
      </c>
      <c r="AU1956" t="inlineStr">
        <is>
          <t>701+</t>
        </is>
      </c>
      <c r="AV1956" t="inlineStr">
        <is>
          <t>3.6</t>
        </is>
      </c>
      <c r="AW1956" t="inlineStr">
        <is>
          <t>701+</t>
        </is>
      </c>
      <c r="AX1956" t="inlineStr">
        <is>
          <t>10.4</t>
        </is>
      </c>
      <c r="AY1956" t="inlineStr">
        <is>
          <t>701+</t>
        </is>
      </c>
      <c r="AZ1956" t="inlineStr">
        <is>
          <t>1.3</t>
        </is>
      </c>
      <c r="BA1956" t="inlineStr">
        <is>
          <t>701+</t>
        </is>
      </c>
    </row>
    <row r="1957">
      <c r="A1957" t="inlineStr">
        <is>
          <t>Yessenov University</t>
        </is>
      </c>
      <c r="B1957" t="inlineStr">
        <is>
          <t>Kazakhstan</t>
        </is>
      </c>
      <c r="C1957" t="inlineStr"/>
      <c r="D1957" t="inlineStr">
        <is>
          <t>Asia</t>
        </is>
      </c>
      <c r="E1957" t="inlineStr">
        <is>
          <t>M</t>
        </is>
      </c>
      <c r="F1957" t="inlineStr">
        <is>
          <t>CO</t>
        </is>
      </c>
      <c r="G1957" t="inlineStr">
        <is>
          <t>MD</t>
        </is>
      </c>
      <c r="H1957" t="inlineStr"/>
      <c r="I1957" t="inlineStr">
        <is>
          <t>Public</t>
        </is>
      </c>
      <c r="J1957" t="inlineStr">
        <is>
          <t>1201-1400</t>
        </is>
      </c>
      <c r="K1957" t="inlineStr"/>
      <c r="L1957" t="inlineStr"/>
      <c r="M1957" t="inlineStr"/>
      <c r="N1957" t="inlineStr">
        <is>
          <t>-</t>
        </is>
      </c>
      <c r="O1957" t="inlineStr"/>
      <c r="P1957" t="n">
        <v>16.7</v>
      </c>
      <c r="Q1957" t="inlineStr">
        <is>
          <t>701+</t>
        </is>
      </c>
      <c r="R1957" t="n">
        <v>6.9</v>
      </c>
      <c r="S1957" t="inlineStr">
        <is>
          <t>701+</t>
        </is>
      </c>
      <c r="T1957" t="n">
        <v>19.2</v>
      </c>
      <c r="U1957" t="inlineStr">
        <is>
          <t>801+</t>
        </is>
      </c>
      <c r="V1957" t="n">
        <v>1.2</v>
      </c>
      <c r="W1957" t="inlineStr">
        <is>
          <t>801+</t>
        </is>
      </c>
      <c r="X1957" t="n">
        <v>38.4</v>
      </c>
      <c r="Y1957" t="inlineStr">
        <is>
          <t>514</t>
        </is>
      </c>
      <c r="Z1957" t="n">
        <v>28.3</v>
      </c>
      <c r="AA1957" t="inlineStr">
        <is>
          <t>612</t>
        </is>
      </c>
      <c r="AB1957" t="n">
        <v>27.9</v>
      </c>
      <c r="AC1957" t="inlineStr">
        <is>
          <t>642</t>
        </is>
      </c>
      <c r="AD1957" t="n">
        <v>2.7</v>
      </c>
      <c r="AE1957" t="inlineStr">
        <is>
          <t>801+</t>
        </is>
      </c>
      <c r="AF1957" t="n">
        <v>4.3</v>
      </c>
      <c r="AG1957" t="inlineStr">
        <is>
          <t>801+</t>
        </is>
      </c>
      <c r="AH1957" t="n">
        <v>15.9</v>
      </c>
      <c r="AI1957" t="inlineStr">
        <is>
          <t>801+</t>
        </is>
      </c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</row>
    <row r="1958">
      <c r="A1958" t="inlineStr">
        <is>
          <t>Yeungnam University</t>
        </is>
      </c>
      <c r="B1958" t="inlineStr">
        <is>
          <t>Republic of Korea</t>
        </is>
      </c>
      <c r="C1958" t="inlineStr"/>
      <c r="D1958" t="inlineStr">
        <is>
          <t>Asia</t>
        </is>
      </c>
      <c r="E1958" t="inlineStr">
        <is>
          <t>L</t>
        </is>
      </c>
      <c r="F1958" t="inlineStr">
        <is>
          <t>FC</t>
        </is>
      </c>
      <c r="G1958" t="inlineStr">
        <is>
          <t>VH</t>
        </is>
      </c>
      <c r="H1958" t="inlineStr"/>
      <c r="I1958" t="inlineStr">
        <is>
          <t>Private for Profit</t>
        </is>
      </c>
      <c r="J1958" t="inlineStr">
        <is>
          <t>901-950</t>
        </is>
      </c>
      <c r="K1958" t="inlineStr">
        <is>
          <t>951-1000</t>
        </is>
      </c>
      <c r="L1958" t="inlineStr"/>
      <c r="M1958" t="inlineStr"/>
      <c r="N1958" t="inlineStr">
        <is>
          <t>-</t>
        </is>
      </c>
      <c r="O1958" t="inlineStr"/>
      <c r="P1958" t="n">
        <v>5.1</v>
      </c>
      <c r="Q1958" t="inlineStr">
        <is>
          <t>701+</t>
        </is>
      </c>
      <c r="R1958" t="n">
        <v>4.7</v>
      </c>
      <c r="S1958" t="inlineStr">
        <is>
          <t>701+</t>
        </is>
      </c>
      <c r="T1958" t="n">
        <v>18.9</v>
      </c>
      <c r="U1958" t="inlineStr">
        <is>
          <t>801+</t>
        </is>
      </c>
      <c r="V1958" t="n">
        <v>47.5</v>
      </c>
      <c r="W1958" t="inlineStr">
        <is>
          <t>395</t>
        </is>
      </c>
      <c r="X1958" t="n">
        <v>38.6</v>
      </c>
      <c r="Y1958" t="inlineStr">
        <is>
          <t>511</t>
        </is>
      </c>
      <c r="Z1958" t="n">
        <v>17.8</v>
      </c>
      <c r="AA1958" t="inlineStr">
        <is>
          <t>763</t>
        </is>
      </c>
      <c r="AB1958" t="n">
        <v>23.3</v>
      </c>
      <c r="AC1958" t="inlineStr">
        <is>
          <t>716</t>
        </is>
      </c>
      <c r="AD1958" t="n">
        <v>46.7</v>
      </c>
      <c r="AE1958" t="inlineStr">
        <is>
          <t>801+</t>
        </is>
      </c>
      <c r="AF1958" t="n">
        <v>4.9</v>
      </c>
      <c r="AG1958" t="inlineStr">
        <is>
          <t>801+</t>
        </is>
      </c>
      <c r="AH1958" t="n">
        <v>33.5</v>
      </c>
      <c r="AI1958" t="inlineStr">
        <is>
          <t>801+</t>
        </is>
      </c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</row>
    <row r="1959">
      <c r="A1959" t="inlineStr">
        <is>
          <t xml:space="preserve">Yeungnam University </t>
        </is>
      </c>
      <c r="B1959" t="inlineStr">
        <is>
          <t>South Korea</t>
        </is>
      </c>
      <c r="C1959" t="inlineStr">
        <is>
          <t>KR</t>
        </is>
      </c>
      <c r="D1959" t="inlineStr"/>
      <c r="E1959" t="inlineStr">
        <is>
          <t>L</t>
        </is>
      </c>
      <c r="F1959" t="inlineStr">
        <is>
          <t>FC</t>
        </is>
      </c>
      <c r="G1959" t="inlineStr">
        <is>
          <t>HI</t>
        </is>
      </c>
      <c r="H1959" t="inlineStr">
        <is>
          <t>4</t>
        </is>
      </c>
      <c r="I1959" t="inlineStr">
        <is>
          <t>C</t>
        </is>
      </c>
      <c r="J1959" t="inlineStr"/>
      <c r="K1959" t="inlineStr"/>
      <c r="L1959" t="inlineStr">
        <is>
          <t>951-1000</t>
        </is>
      </c>
      <c r="M1959" t="inlineStr">
        <is>
          <t>801-1000</t>
        </is>
      </c>
      <c r="N1959" t="inlineStr"/>
      <c r="O1959" t="inlineStr">
        <is>
          <t>-</t>
        </is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>
        <is>
          <t>5.5</t>
        </is>
      </c>
      <c r="AK1959" t="inlineStr">
        <is>
          <t>601+</t>
        </is>
      </c>
      <c r="AL1959" t="inlineStr">
        <is>
          <t>3.2</t>
        </is>
      </c>
      <c r="AM1959" t="inlineStr">
        <is>
          <t>601+</t>
        </is>
      </c>
      <c r="AN1959" t="inlineStr">
        <is>
          <t>14.3</t>
        </is>
      </c>
      <c r="AO1959" t="inlineStr">
        <is>
          <t>701+</t>
        </is>
      </c>
      <c r="AP1959" t="inlineStr">
        <is>
          <t>23.3</t>
        </is>
      </c>
      <c r="AQ1959" t="inlineStr">
        <is>
          <t>511</t>
        </is>
      </c>
      <c r="AR1959" t="inlineStr">
        <is>
          <t>39.8</t>
        </is>
      </c>
      <c r="AS1959" t="inlineStr">
        <is>
          <t>413</t>
        </is>
      </c>
      <c r="AT1959" t="inlineStr">
        <is>
          <t>6.1</t>
        </is>
      </c>
      <c r="AU1959" t="inlineStr">
        <is>
          <t>701+</t>
        </is>
      </c>
      <c r="AV1959" t="inlineStr">
        <is>
          <t>2.5</t>
        </is>
      </c>
      <c r="AW1959" t="inlineStr">
        <is>
          <t>701+</t>
        </is>
      </c>
      <c r="AX1959" t="inlineStr">
        <is>
          <t>4.5</t>
        </is>
      </c>
      <c r="AY1959" t="inlineStr">
        <is>
          <t>701+</t>
        </is>
      </c>
      <c r="AZ1959" t="inlineStr">
        <is>
          <t>1.3</t>
        </is>
      </c>
      <c r="BA1959" t="inlineStr">
        <is>
          <t>701+</t>
        </is>
      </c>
    </row>
    <row r="1960">
      <c r="A1960" t="inlineStr">
        <is>
          <t>Yildiz Technical University</t>
        </is>
      </c>
      <c r="B1960" t="inlineStr">
        <is>
          <t>Turkey</t>
        </is>
      </c>
      <c r="C1960" t="inlineStr">
        <is>
          <t>TR</t>
        </is>
      </c>
      <c r="D1960" t="inlineStr">
        <is>
          <t>Asia</t>
        </is>
      </c>
      <c r="E1960" t="inlineStr">
        <is>
          <t>L</t>
        </is>
      </c>
      <c r="F1960" t="inlineStr">
        <is>
          <t>CO</t>
        </is>
      </c>
      <c r="G1960" t="inlineStr">
        <is>
          <t>VH</t>
        </is>
      </c>
      <c r="H1960" t="inlineStr">
        <is>
          <t>5</t>
        </is>
      </c>
      <c r="I1960" t="inlineStr">
        <is>
          <t>Public</t>
        </is>
      </c>
      <c r="J1960" t="inlineStr">
        <is>
          <t>731-740</t>
        </is>
      </c>
      <c r="K1960" t="inlineStr">
        <is>
          <t>851-900</t>
        </is>
      </c>
      <c r="L1960" t="inlineStr">
        <is>
          <t>951-1000</t>
        </is>
      </c>
      <c r="M1960" t="inlineStr">
        <is>
          <t>1001-1200</t>
        </is>
      </c>
      <c r="N1960" t="inlineStr">
        <is>
          <t>-</t>
        </is>
      </c>
      <c r="O1960" t="inlineStr">
        <is>
          <t>-</t>
        </is>
      </c>
      <c r="P1960" t="n">
        <v>13.4</v>
      </c>
      <c r="Q1960" t="inlineStr">
        <is>
          <t>701+</t>
        </is>
      </c>
      <c r="R1960" t="n">
        <v>43.2</v>
      </c>
      <c r="S1960" t="inlineStr">
        <is>
          <t>310</t>
        </is>
      </c>
      <c r="T1960" t="n">
        <v>5.6</v>
      </c>
      <c r="U1960" t="inlineStr">
        <is>
          <t>801+</t>
        </is>
      </c>
      <c r="V1960" t="n">
        <v>26</v>
      </c>
      <c r="W1960" t="inlineStr">
        <is>
          <t>624</t>
        </is>
      </c>
      <c r="X1960" t="n">
        <v>9.5</v>
      </c>
      <c r="Y1960" t="inlineStr">
        <is>
          <t>801+</t>
        </is>
      </c>
      <c r="Z1960" t="n">
        <v>27.8</v>
      </c>
      <c r="AA1960" t="inlineStr">
        <is>
          <t>617</t>
        </is>
      </c>
      <c r="AB1960" t="n">
        <v>33.8</v>
      </c>
      <c r="AC1960" t="inlineStr">
        <is>
          <t>566</t>
        </is>
      </c>
      <c r="AD1960" t="n">
        <v>55.4</v>
      </c>
      <c r="AE1960" t="inlineStr">
        <is>
          <t>763</t>
        </is>
      </c>
      <c r="AF1960" t="n">
        <v>26.7</v>
      </c>
      <c r="AG1960" t="inlineStr">
        <is>
          <t>613</t>
        </is>
      </c>
      <c r="AH1960" t="n">
        <v>63.7</v>
      </c>
      <c r="AI1960" t="inlineStr">
        <is>
          <t>429=</t>
        </is>
      </c>
      <c r="AJ1960" t="inlineStr">
        <is>
          <t>8.1</t>
        </is>
      </c>
      <c r="AK1960" t="inlineStr">
        <is>
          <t>601+</t>
        </is>
      </c>
      <c r="AL1960" t="inlineStr">
        <is>
          <t>21.5</t>
        </is>
      </c>
      <c r="AM1960" t="inlineStr">
        <is>
          <t>433</t>
        </is>
      </c>
      <c r="AN1960" t="inlineStr">
        <is>
          <t>5.1</t>
        </is>
      </c>
      <c r="AO1960" t="inlineStr">
        <is>
          <t>701+</t>
        </is>
      </c>
      <c r="AP1960" t="inlineStr">
        <is>
          <t>9.3</t>
        </is>
      </c>
      <c r="AQ1960" t="inlineStr">
        <is>
          <t>701+</t>
        </is>
      </c>
      <c r="AR1960" t="inlineStr">
        <is>
          <t>8.7</t>
        </is>
      </c>
      <c r="AS1960" t="inlineStr">
        <is>
          <t>701+</t>
        </is>
      </c>
      <c r="AT1960" t="inlineStr">
        <is>
          <t>21.6</t>
        </is>
      </c>
      <c r="AU1960" t="inlineStr">
        <is>
          <t>523</t>
        </is>
      </c>
      <c r="AV1960" t="inlineStr">
        <is>
          <t>2.0</t>
        </is>
      </c>
      <c r="AW1960" t="inlineStr">
        <is>
          <t>701+</t>
        </is>
      </c>
      <c r="AX1960" t="inlineStr">
        <is>
          <t>10.6</t>
        </is>
      </c>
      <c r="AY1960" t="inlineStr">
        <is>
          <t>701+</t>
        </is>
      </c>
      <c r="AZ1960" t="inlineStr">
        <is>
          <t>24.4</t>
        </is>
      </c>
      <c r="BA1960" t="inlineStr">
        <is>
          <t>497=</t>
        </is>
      </c>
    </row>
    <row r="1961">
      <c r="A1961" t="inlineStr">
        <is>
          <t>Yogyakarta State University</t>
        </is>
      </c>
      <c r="B1961" t="inlineStr">
        <is>
          <t>Indonesia</t>
        </is>
      </c>
      <c r="C1961" t="inlineStr">
        <is>
          <t>ID</t>
        </is>
      </c>
      <c r="D1961" t="inlineStr"/>
      <c r="E1961" t="inlineStr">
        <is>
          <t>L</t>
        </is>
      </c>
      <c r="F1961" t="inlineStr">
        <is>
          <t>FO</t>
        </is>
      </c>
      <c r="G1961" t="inlineStr">
        <is>
          <t>HI</t>
        </is>
      </c>
      <c r="H1961" t="inlineStr">
        <is>
          <t>2</t>
        </is>
      </c>
      <c r="I1961" t="inlineStr">
        <is>
          <t>A</t>
        </is>
      </c>
      <c r="J1961" t="inlineStr"/>
      <c r="K1961" t="inlineStr"/>
      <c r="L1961" t="inlineStr">
        <is>
          <t>1201-1400</t>
        </is>
      </c>
      <c r="M1961" t="inlineStr"/>
      <c r="N1961" t="inlineStr"/>
      <c r="O1961" t="inlineStr">
        <is>
          <t>-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>
        <is>
          <t>9.6</t>
        </is>
      </c>
      <c r="AK1961" t="inlineStr">
        <is>
          <t>601+</t>
        </is>
      </c>
      <c r="AL1961" t="inlineStr">
        <is>
          <t>2.8</t>
        </is>
      </c>
      <c r="AM1961" t="inlineStr">
        <is>
          <t>601+</t>
        </is>
      </c>
      <c r="AN1961" t="inlineStr">
        <is>
          <t>8.0</t>
        </is>
      </c>
      <c r="AO1961" t="inlineStr">
        <is>
          <t>701+</t>
        </is>
      </c>
      <c r="AP1961" t="inlineStr">
        <is>
          <t>1.4</t>
        </is>
      </c>
      <c r="AQ1961" t="inlineStr">
        <is>
          <t>701+</t>
        </is>
      </c>
      <c r="AR1961" t="inlineStr">
        <is>
          <t>15.4</t>
        </is>
      </c>
      <c r="AS1961" t="inlineStr">
        <is>
          <t>662</t>
        </is>
      </c>
      <c r="AT1961" t="inlineStr">
        <is>
          <t>1.8</t>
        </is>
      </c>
      <c r="AU1961" t="inlineStr">
        <is>
          <t>701+</t>
        </is>
      </c>
      <c r="AV1961" t="inlineStr">
        <is>
          <t>1.0</t>
        </is>
      </c>
      <c r="AW1961" t="inlineStr">
        <is>
          <t>701+</t>
        </is>
      </c>
      <c r="AX1961" t="inlineStr">
        <is>
          <t>7.8</t>
        </is>
      </c>
      <c r="AY1961" t="inlineStr">
        <is>
          <t>701+</t>
        </is>
      </c>
      <c r="AZ1961" t="inlineStr">
        <is>
          <t>1</t>
        </is>
      </c>
      <c r="BA1961" t="inlineStr">
        <is>
          <t>701+</t>
        </is>
      </c>
    </row>
    <row r="1962">
      <c r="A1962" t="inlineStr">
        <is>
          <t>Yokohama City University</t>
        </is>
      </c>
      <c r="B1962" t="inlineStr">
        <is>
          <t>Japan</t>
        </is>
      </c>
      <c r="C1962" t="inlineStr">
        <is>
          <t>JP</t>
        </is>
      </c>
      <c r="D1962" t="inlineStr">
        <is>
          <t>Asia</t>
        </is>
      </c>
      <c r="E1962" t="inlineStr">
        <is>
          <t>M</t>
        </is>
      </c>
      <c r="F1962" t="inlineStr">
        <is>
          <t>FO</t>
        </is>
      </c>
      <c r="G1962" t="inlineStr">
        <is>
          <t>VH</t>
        </is>
      </c>
      <c r="H1962" t="inlineStr">
        <is>
          <t>4</t>
        </is>
      </c>
      <c r="I1962" t="inlineStr">
        <is>
          <t>Public</t>
        </is>
      </c>
      <c r="J1962" t="inlineStr">
        <is>
          <t>1001-1200</t>
        </is>
      </c>
      <c r="K1962" t="inlineStr">
        <is>
          <t>901-950</t>
        </is>
      </c>
      <c r="L1962" t="inlineStr">
        <is>
          <t>801-850</t>
        </is>
      </c>
      <c r="M1962" t="inlineStr">
        <is>
          <t>501-510</t>
        </is>
      </c>
      <c r="N1962" t="inlineStr">
        <is>
          <t>-</t>
        </is>
      </c>
      <c r="O1962" t="inlineStr">
        <is>
          <t>-</t>
        </is>
      </c>
      <c r="P1962" t="n">
        <v>3.3</v>
      </c>
      <c r="Q1962" t="inlineStr">
        <is>
          <t>701+</t>
        </is>
      </c>
      <c r="R1962" t="n">
        <v>3.7</v>
      </c>
      <c r="S1962" t="inlineStr">
        <is>
          <t>701+</t>
        </is>
      </c>
      <c r="T1962" t="n">
        <v>96.7</v>
      </c>
      <c r="U1962" t="inlineStr">
        <is>
          <t>64</t>
        </is>
      </c>
      <c r="V1962" t="n">
        <v>19</v>
      </c>
      <c r="W1962" t="inlineStr">
        <is>
          <t>730</t>
        </is>
      </c>
      <c r="X1962" t="n">
        <v>7.2</v>
      </c>
      <c r="Y1962" t="inlineStr">
        <is>
          <t>801+</t>
        </is>
      </c>
      <c r="Z1962" t="n">
        <v>6</v>
      </c>
      <c r="AA1962" t="inlineStr">
        <is>
          <t>801+</t>
        </is>
      </c>
      <c r="AB1962" t="n">
        <v>10</v>
      </c>
      <c r="AC1962" t="inlineStr">
        <is>
          <t>801+</t>
        </is>
      </c>
      <c r="AD1962" t="n">
        <v>15</v>
      </c>
      <c r="AE1962" t="inlineStr">
        <is>
          <t>801+</t>
        </is>
      </c>
      <c r="AF1962" t="n">
        <v>3.5</v>
      </c>
      <c r="AG1962" t="inlineStr">
        <is>
          <t>801+</t>
        </is>
      </c>
      <c r="AH1962" t="n">
        <v>14.5</v>
      </c>
      <c r="AI1962" t="inlineStr">
        <is>
          <t>801+</t>
        </is>
      </c>
      <c r="AJ1962" t="inlineStr">
        <is>
          <t>3.3</t>
        </is>
      </c>
      <c r="AK1962" t="inlineStr">
        <is>
          <t>601+</t>
        </is>
      </c>
      <c r="AL1962" t="inlineStr">
        <is>
          <t>2.6</t>
        </is>
      </c>
      <c r="AM1962" t="inlineStr">
        <is>
          <t>601+</t>
        </is>
      </c>
      <c r="AN1962" t="inlineStr">
        <is>
          <t>97.7</t>
        </is>
      </c>
      <c r="AO1962" t="inlineStr">
        <is>
          <t>49</t>
        </is>
      </c>
      <c r="AP1962" t="inlineStr">
        <is>
          <t>10.3</t>
        </is>
      </c>
      <c r="AQ1962" t="inlineStr">
        <is>
          <t>701+</t>
        </is>
      </c>
      <c r="AR1962" t="inlineStr">
        <is>
          <t>4.1</t>
        </is>
      </c>
      <c r="AS1962" t="inlineStr">
        <is>
          <t>701+</t>
        </is>
      </c>
      <c r="AT1962" t="inlineStr">
        <is>
          <t>2.4</t>
        </is>
      </c>
      <c r="AU1962" t="inlineStr">
        <is>
          <t>701+</t>
        </is>
      </c>
      <c r="AV1962" t="inlineStr">
        <is>
          <t>1.1</t>
        </is>
      </c>
      <c r="AW1962" t="inlineStr">
        <is>
          <t>701+</t>
        </is>
      </c>
      <c r="AX1962" t="inlineStr">
        <is>
          <t>8.5</t>
        </is>
      </c>
      <c r="AY1962" t="inlineStr">
        <is>
          <t>701+</t>
        </is>
      </c>
      <c r="AZ1962" t="inlineStr">
        <is>
          <t>1</t>
        </is>
      </c>
      <c r="BA1962" t="inlineStr">
        <is>
          <t>701+</t>
        </is>
      </c>
    </row>
    <row r="1963">
      <c r="A1963" t="inlineStr">
        <is>
          <t>Yokohama National University</t>
        </is>
      </c>
      <c r="B1963" t="inlineStr">
        <is>
          <t>Japan</t>
        </is>
      </c>
      <c r="C1963" t="inlineStr">
        <is>
          <t>JP</t>
        </is>
      </c>
      <c r="D1963" t="inlineStr">
        <is>
          <t>Asia</t>
        </is>
      </c>
      <c r="E1963" t="inlineStr">
        <is>
          <t>M</t>
        </is>
      </c>
      <c r="F1963" t="inlineStr">
        <is>
          <t>CO</t>
        </is>
      </c>
      <c r="G1963" t="inlineStr">
        <is>
          <t>VH</t>
        </is>
      </c>
      <c r="H1963" t="inlineStr">
        <is>
          <t>4</t>
        </is>
      </c>
      <c r="I1963" t="inlineStr">
        <is>
          <t>Public</t>
        </is>
      </c>
      <c r="J1963" t="inlineStr">
        <is>
          <t>1001-1200</t>
        </is>
      </c>
      <c r="K1963" t="inlineStr">
        <is>
          <t>1001-1200</t>
        </is>
      </c>
      <c r="L1963" t="inlineStr">
        <is>
          <t>951-1000</t>
        </is>
      </c>
      <c r="M1963" t="inlineStr">
        <is>
          <t>801-1000</t>
        </is>
      </c>
      <c r="N1963" t="inlineStr">
        <is>
          <t>-</t>
        </is>
      </c>
      <c r="O1963" t="inlineStr">
        <is>
          <t>-</t>
        </is>
      </c>
      <c r="P1963" t="n">
        <v>11.6</v>
      </c>
      <c r="Q1963" t="inlineStr">
        <is>
          <t>701+</t>
        </is>
      </c>
      <c r="R1963" t="n">
        <v>24.5</v>
      </c>
      <c r="S1963" t="inlineStr">
        <is>
          <t>548</t>
        </is>
      </c>
      <c r="T1963" t="n">
        <v>22.9</v>
      </c>
      <c r="U1963" t="inlineStr">
        <is>
          <t>777</t>
        </is>
      </c>
      <c r="V1963" t="n">
        <v>11.3</v>
      </c>
      <c r="W1963" t="inlineStr">
        <is>
          <t>801+</t>
        </is>
      </c>
      <c r="X1963" t="n">
        <v>17.2</v>
      </c>
      <c r="Y1963" t="inlineStr">
        <is>
          <t>762</t>
        </is>
      </c>
      <c r="Z1963" t="n">
        <v>12.5</v>
      </c>
      <c r="AA1963" t="inlineStr">
        <is>
          <t>801+</t>
        </is>
      </c>
      <c r="AB1963" t="n">
        <v>18.2</v>
      </c>
      <c r="AC1963" t="inlineStr">
        <is>
          <t>792</t>
        </is>
      </c>
      <c r="AD1963" t="n">
        <v>28.1</v>
      </c>
      <c r="AE1963" t="inlineStr">
        <is>
          <t>801+</t>
        </is>
      </c>
      <c r="AF1963" t="n">
        <v>22.5</v>
      </c>
      <c r="AG1963" t="inlineStr">
        <is>
          <t>684</t>
        </is>
      </c>
      <c r="AH1963" t="n">
        <v>41.2</v>
      </c>
      <c r="AI1963" t="inlineStr">
        <is>
          <t>801+</t>
        </is>
      </c>
      <c r="AJ1963" t="inlineStr">
        <is>
          <t>9.6</t>
        </is>
      </c>
      <c r="AK1963" t="inlineStr">
        <is>
          <t>601+</t>
        </is>
      </c>
      <c r="AL1963" t="inlineStr">
        <is>
          <t>18.3</t>
        </is>
      </c>
      <c r="AM1963" t="inlineStr">
        <is>
          <t>480</t>
        </is>
      </c>
      <c r="AN1963" t="inlineStr">
        <is>
          <t>16.7</t>
        </is>
      </c>
      <c r="AO1963" t="inlineStr">
        <is>
          <t>701+</t>
        </is>
      </c>
      <c r="AP1963" t="inlineStr">
        <is>
          <t>8.3</t>
        </is>
      </c>
      <c r="AQ1963" t="inlineStr">
        <is>
          <t>701+</t>
        </is>
      </c>
      <c r="AR1963" t="inlineStr">
        <is>
          <t>8.8</t>
        </is>
      </c>
      <c r="AS1963" t="inlineStr">
        <is>
          <t>701+</t>
        </is>
      </c>
      <c r="AT1963" t="inlineStr">
        <is>
          <t>9.4</t>
        </is>
      </c>
      <c r="AU1963" t="inlineStr">
        <is>
          <t>701+</t>
        </is>
      </c>
      <c r="AV1963" t="inlineStr">
        <is>
          <t>2.0</t>
        </is>
      </c>
      <c r="AW1963" t="inlineStr">
        <is>
          <t>701+</t>
        </is>
      </c>
      <c r="AX1963" t="inlineStr">
        <is>
          <t>16.2</t>
        </is>
      </c>
      <c r="AY1963" t="inlineStr">
        <is>
          <t>517</t>
        </is>
      </c>
      <c r="AZ1963" t="inlineStr">
        <is>
          <t>12.7</t>
        </is>
      </c>
      <c r="BA1963" t="inlineStr">
        <is>
          <t>636=</t>
        </is>
      </c>
    </row>
    <row r="1964">
      <c r="A1964" t="inlineStr">
        <is>
          <t>Yonsei University</t>
        </is>
      </c>
      <c r="B1964" t="inlineStr">
        <is>
          <t>Republic of Korea</t>
        </is>
      </c>
      <c r="C1964" t="inlineStr"/>
      <c r="D1964" t="inlineStr">
        <is>
          <t>Asia</t>
        </is>
      </c>
      <c r="E1964" t="inlineStr">
        <is>
          <t>L</t>
        </is>
      </c>
      <c r="F1964" t="inlineStr">
        <is>
          <t>FC</t>
        </is>
      </c>
      <c r="G1964" t="inlineStr">
        <is>
          <t>VH</t>
        </is>
      </c>
      <c r="H1964" t="inlineStr"/>
      <c r="I1964" t="inlineStr">
        <is>
          <t>Private not for Profit</t>
        </is>
      </c>
      <c r="J1964" t="inlineStr">
        <is>
          <t>50</t>
        </is>
      </c>
      <c r="K1964" t="inlineStr">
        <is>
          <t>56</t>
        </is>
      </c>
      <c r="L1964" t="inlineStr"/>
      <c r="M1964" t="inlineStr"/>
      <c r="N1964" t="inlineStr">
        <is>
          <t>82.9</t>
        </is>
      </c>
      <c r="O1964" t="inlineStr"/>
      <c r="P1964" t="n">
        <v>91.59999999999999</v>
      </c>
      <c r="Q1964" t="inlineStr">
        <is>
          <t>64</t>
        </is>
      </c>
      <c r="R1964" t="n">
        <v>97.8</v>
      </c>
      <c r="S1964" t="inlineStr">
        <is>
          <t>34</t>
        </is>
      </c>
      <c r="T1964" t="n">
        <v>84.3</v>
      </c>
      <c r="U1964" t="inlineStr">
        <is>
          <t>142</t>
        </is>
      </c>
      <c r="V1964" t="n">
        <v>67.90000000000001</v>
      </c>
      <c r="W1964" t="inlineStr">
        <is>
          <t>231</t>
        </is>
      </c>
      <c r="X1964" t="n">
        <v>30.5</v>
      </c>
      <c r="Y1964" t="inlineStr">
        <is>
          <t>582</t>
        </is>
      </c>
      <c r="Z1964" t="n">
        <v>74.3</v>
      </c>
      <c r="AA1964" t="inlineStr">
        <is>
          <t>258</t>
        </is>
      </c>
      <c r="AB1964" t="n">
        <v>76.7</v>
      </c>
      <c r="AC1964" t="inlineStr">
        <is>
          <t>227</t>
        </is>
      </c>
      <c r="AD1964" t="n">
        <v>78</v>
      </c>
      <c r="AE1964" t="inlineStr">
        <is>
          <t>382</t>
        </is>
      </c>
      <c r="AF1964" t="n">
        <v>94.40000000000001</v>
      </c>
      <c r="AG1964" t="inlineStr">
        <is>
          <t>78</t>
        </is>
      </c>
      <c r="AH1964" t="n">
        <v>87.7</v>
      </c>
      <c r="AI1964" t="inlineStr">
        <is>
          <t>86</t>
        </is>
      </c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</row>
    <row r="1965">
      <c r="A1965" t="inlineStr">
        <is>
          <t>Yonsei University</t>
        </is>
      </c>
      <c r="B1965" t="inlineStr">
        <is>
          <t>South Korea</t>
        </is>
      </c>
      <c r="C1965" t="inlineStr">
        <is>
          <t>KR</t>
        </is>
      </c>
      <c r="D1965" t="inlineStr"/>
      <c r="E1965" t="inlineStr">
        <is>
          <t>L</t>
        </is>
      </c>
      <c r="F1965" t="inlineStr">
        <is>
          <t>FC</t>
        </is>
      </c>
      <c r="G1965" t="inlineStr">
        <is>
          <t>VH</t>
        </is>
      </c>
      <c r="H1965" t="inlineStr">
        <is>
          <t>4</t>
        </is>
      </c>
      <c r="I1965" t="inlineStr">
        <is>
          <t>B</t>
        </is>
      </c>
      <c r="J1965" t="inlineStr"/>
      <c r="K1965" t="inlineStr"/>
      <c r="L1965">
        <f>76</f>
        <v/>
      </c>
      <c r="M1965" t="inlineStr">
        <is>
          <t>73</t>
        </is>
      </c>
      <c r="N1965" t="inlineStr"/>
      <c r="O1965" t="inlineStr">
        <is>
          <t>65.2</t>
        </is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>
        <is>
          <t>80.0</t>
        </is>
      </c>
      <c r="AK1965" t="inlineStr">
        <is>
          <t>72</t>
        </is>
      </c>
      <c r="AL1965" t="inlineStr">
        <is>
          <t>96.3</t>
        </is>
      </c>
      <c r="AM1965" t="inlineStr">
        <is>
          <t>31</t>
        </is>
      </c>
      <c r="AN1965" t="inlineStr">
        <is>
          <t>87.4</t>
        </is>
      </c>
      <c r="AO1965" t="inlineStr">
        <is>
          <t>97</t>
        </is>
      </c>
      <c r="AP1965" t="inlineStr">
        <is>
          <t>36.2</t>
        </is>
      </c>
      <c r="AQ1965" t="inlineStr">
        <is>
          <t>385</t>
        </is>
      </c>
      <c r="AR1965" t="inlineStr">
        <is>
          <t>19.6</t>
        </is>
      </c>
      <c r="AS1965" t="inlineStr">
        <is>
          <t>594</t>
        </is>
      </c>
      <c r="AT1965" t="inlineStr">
        <is>
          <t>49.7</t>
        </is>
      </c>
      <c r="AU1965" t="inlineStr">
        <is>
          <t>298</t>
        </is>
      </c>
      <c r="AV1965" t="inlineStr">
        <is>
          <t>25.0</t>
        </is>
      </c>
      <c r="AW1965" t="inlineStr">
        <is>
          <t>498</t>
        </is>
      </c>
      <c r="AX1965" t="inlineStr">
        <is>
          <t>70.9</t>
        </is>
      </c>
      <c r="AY1965" t="inlineStr">
        <is>
          <t>69</t>
        </is>
      </c>
      <c r="AZ1965" t="inlineStr">
        <is>
          <t>38.1</t>
        </is>
      </c>
      <c r="BA1965" t="inlineStr">
        <is>
          <t>377=</t>
        </is>
      </c>
    </row>
    <row r="1966">
      <c r="A1966" t="inlineStr">
        <is>
          <t>York University</t>
        </is>
      </c>
      <c r="B1966" t="inlineStr">
        <is>
          <t>Canada</t>
        </is>
      </c>
      <c r="C1966" t="inlineStr">
        <is>
          <t>CA</t>
        </is>
      </c>
      <c r="D1966" t="inlineStr">
        <is>
          <t>Americas</t>
        </is>
      </c>
      <c r="E1966" t="inlineStr">
        <is>
          <t>XL</t>
        </is>
      </c>
      <c r="F1966" t="inlineStr">
        <is>
          <t>CO</t>
        </is>
      </c>
      <c r="G1966" t="inlineStr">
        <is>
          <t>VH</t>
        </is>
      </c>
      <c r="H1966" t="inlineStr">
        <is>
          <t>4</t>
        </is>
      </c>
      <c r="I1966" t="inlineStr">
        <is>
          <t>Public</t>
        </is>
      </c>
      <c r="J1966" t="inlineStr">
        <is>
          <t>333</t>
        </is>
      </c>
      <c r="K1966" t="inlineStr">
        <is>
          <t>362</t>
        </is>
      </c>
      <c r="L1966" t="inlineStr">
        <is>
          <t>353</t>
        </is>
      </c>
      <c r="M1966" t="inlineStr">
        <is>
          <t>456</t>
        </is>
      </c>
      <c r="N1966" t="inlineStr">
        <is>
          <t>42.4</t>
        </is>
      </c>
      <c r="O1966" t="inlineStr">
        <is>
          <t>31.1</t>
        </is>
      </c>
      <c r="P1966" t="n">
        <v>33.4</v>
      </c>
      <c r="Q1966" t="inlineStr">
        <is>
          <t>366</t>
        </is>
      </c>
      <c r="R1966" t="n">
        <v>31.7</v>
      </c>
      <c r="S1966" t="inlineStr">
        <is>
          <t>451</t>
        </is>
      </c>
      <c r="T1966" t="n">
        <v>5</v>
      </c>
      <c r="U1966" t="inlineStr">
        <is>
          <t>801+</t>
        </is>
      </c>
      <c r="V1966" t="n">
        <v>37.8</v>
      </c>
      <c r="W1966" t="inlineStr">
        <is>
          <t>493</t>
        </is>
      </c>
      <c r="X1966" t="n">
        <v>87.3</v>
      </c>
      <c r="Y1966" t="inlineStr">
        <is>
          <t>242</t>
        </is>
      </c>
      <c r="Z1966" t="n">
        <v>78.90000000000001</v>
      </c>
      <c r="AA1966" t="inlineStr">
        <is>
          <t>227</t>
        </is>
      </c>
      <c r="AB1966" t="n">
        <v>80.90000000000001</v>
      </c>
      <c r="AC1966" t="inlineStr">
        <is>
          <t>197</t>
        </is>
      </c>
      <c r="AD1966" t="n">
        <v>73.5</v>
      </c>
      <c r="AE1966" t="inlineStr">
        <is>
          <t>482</t>
        </is>
      </c>
      <c r="AF1966" t="n">
        <v>82.2</v>
      </c>
      <c r="AG1966" t="inlineStr">
        <is>
          <t>149</t>
        </is>
      </c>
      <c r="AH1966" t="n">
        <v>84.5</v>
      </c>
      <c r="AI1966" t="inlineStr">
        <is>
          <t>119=</t>
        </is>
      </c>
      <c r="AJ1966" t="inlineStr">
        <is>
          <t>23.0</t>
        </is>
      </c>
      <c r="AK1966" t="inlineStr">
        <is>
          <t>377</t>
        </is>
      </c>
      <c r="AL1966" t="inlineStr">
        <is>
          <t>21.0</t>
        </is>
      </c>
      <c r="AM1966" t="inlineStr">
        <is>
          <t>441</t>
        </is>
      </c>
      <c r="AN1966" t="inlineStr">
        <is>
          <t>4.6</t>
        </is>
      </c>
      <c r="AO1966" t="inlineStr">
        <is>
          <t>701+</t>
        </is>
      </c>
      <c r="AP1966" t="inlineStr">
        <is>
          <t>29.2</t>
        </is>
      </c>
      <c r="AQ1966" t="inlineStr">
        <is>
          <t>440</t>
        </is>
      </c>
      <c r="AR1966" t="inlineStr">
        <is>
          <t>50.6</t>
        </is>
      </c>
      <c r="AS1966" t="inlineStr">
        <is>
          <t>356</t>
        </is>
      </c>
      <c r="AT1966" t="inlineStr">
        <is>
          <t>81.2</t>
        </is>
      </c>
      <c r="AU1966" t="inlineStr">
        <is>
          <t>157</t>
        </is>
      </c>
      <c r="AV1966" t="inlineStr">
        <is>
          <t>28.0</t>
        </is>
      </c>
      <c r="AW1966" t="inlineStr">
        <is>
          <t>471</t>
        </is>
      </c>
      <c r="AX1966" t="inlineStr">
        <is>
          <t>53.2</t>
        </is>
      </c>
      <c r="AY1966" t="inlineStr">
        <is>
          <t>119</t>
        </is>
      </c>
      <c r="AZ1966" t="inlineStr">
        <is>
          <t>80.8</t>
        </is>
      </c>
      <c r="BA1966" t="inlineStr">
        <is>
          <t>144</t>
        </is>
      </c>
    </row>
    <row r="1967">
      <c r="A1967" t="inlineStr">
        <is>
          <t>Youngsan University</t>
        </is>
      </c>
      <c r="B1967" t="inlineStr">
        <is>
          <t>Republic of Korea</t>
        </is>
      </c>
      <c r="C1967" t="inlineStr"/>
      <c r="D1967" t="inlineStr">
        <is>
          <t>Asia</t>
        </is>
      </c>
      <c r="E1967" t="inlineStr">
        <is>
          <t>M</t>
        </is>
      </c>
      <c r="F1967" t="inlineStr">
        <is>
          <t>SP</t>
        </is>
      </c>
      <c r="G1967" t="inlineStr">
        <is>
          <t>MD</t>
        </is>
      </c>
      <c r="H1967" t="inlineStr"/>
      <c r="I1967" t="inlineStr">
        <is>
          <t>Private for Profit</t>
        </is>
      </c>
      <c r="J1967" t="inlineStr">
        <is>
          <t>1401+</t>
        </is>
      </c>
      <c r="K1967" t="inlineStr">
        <is>
          <t>1201-1400</t>
        </is>
      </c>
      <c r="L1967" t="inlineStr"/>
      <c r="M1967" t="inlineStr"/>
      <c r="N1967" t="inlineStr">
        <is>
          <t>-</t>
        </is>
      </c>
      <c r="O1967" t="inlineStr"/>
      <c r="P1967" t="n">
        <v>6.5</v>
      </c>
      <c r="Q1967" t="inlineStr">
        <is>
          <t>701+</t>
        </is>
      </c>
      <c r="R1967" t="n">
        <v>11.9</v>
      </c>
      <c r="S1967" t="inlineStr">
        <is>
          <t>701+</t>
        </is>
      </c>
      <c r="T1967" t="n">
        <v>25.6</v>
      </c>
      <c r="U1967" t="inlineStr">
        <is>
          <t>726</t>
        </is>
      </c>
      <c r="V1967" t="n">
        <v>2</v>
      </c>
      <c r="W1967" t="inlineStr">
        <is>
          <t>801+</t>
        </is>
      </c>
      <c r="X1967" t="n">
        <v>3.5</v>
      </c>
      <c r="Y1967" t="inlineStr">
        <is>
          <t>801+</t>
        </is>
      </c>
      <c r="Z1967" t="n">
        <v>25.3</v>
      </c>
      <c r="AA1967" t="inlineStr">
        <is>
          <t>658</t>
        </is>
      </c>
      <c r="AB1967" t="n">
        <v>24.7</v>
      </c>
      <c r="AC1967" t="inlineStr">
        <is>
          <t>689</t>
        </is>
      </c>
      <c r="AD1967" t="n">
        <v>2.5</v>
      </c>
      <c r="AE1967" t="inlineStr">
        <is>
          <t>801+</t>
        </is>
      </c>
      <c r="AF1967" t="n">
        <v>1.9</v>
      </c>
      <c r="AG1967" t="inlineStr">
        <is>
          <t>801+</t>
        </is>
      </c>
      <c r="AH1967" t="n">
        <v>11.5</v>
      </c>
      <c r="AI1967" t="inlineStr">
        <is>
          <t>801+</t>
        </is>
      </c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</row>
    <row r="1968">
      <c r="A1968" t="inlineStr">
        <is>
          <t>Youngsan University</t>
        </is>
      </c>
      <c r="B1968" t="inlineStr">
        <is>
          <t>South Korea</t>
        </is>
      </c>
      <c r="C1968" t="inlineStr">
        <is>
          <t>KR</t>
        </is>
      </c>
      <c r="D1968" t="inlineStr"/>
      <c r="E1968" t="inlineStr">
        <is>
          <t>M</t>
        </is>
      </c>
      <c r="F1968" t="inlineStr">
        <is>
          <t>FO</t>
        </is>
      </c>
      <c r="G1968" t="inlineStr">
        <is>
          <t>MD</t>
        </is>
      </c>
      <c r="H1968" t="inlineStr">
        <is>
          <t>3</t>
        </is>
      </c>
      <c r="I1968" t="inlineStr">
        <is>
          <t>C</t>
        </is>
      </c>
      <c r="J1968" t="inlineStr"/>
      <c r="K1968" t="inlineStr"/>
      <c r="L1968" t="inlineStr">
        <is>
          <t>1201-1400</t>
        </is>
      </c>
      <c r="M1968" t="inlineStr">
        <is>
          <t>1201-1400</t>
        </is>
      </c>
      <c r="N1968" t="inlineStr"/>
      <c r="O1968" t="inlineStr">
        <is>
          <t>-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>
        <is>
          <t>5.7</t>
        </is>
      </c>
      <c r="AK1968" t="inlineStr">
        <is>
          <t>601+</t>
        </is>
      </c>
      <c r="AL1968" t="inlineStr">
        <is>
          <t>10.6</t>
        </is>
      </c>
      <c r="AM1968" t="inlineStr">
        <is>
          <t>601+</t>
        </is>
      </c>
      <c r="AN1968" t="inlineStr">
        <is>
          <t>17.5</t>
        </is>
      </c>
      <c r="AO1968" t="inlineStr">
        <is>
          <t>701+</t>
        </is>
      </c>
      <c r="AP1968" t="inlineStr">
        <is>
          <t>1.3</t>
        </is>
      </c>
      <c r="AQ1968" t="inlineStr">
        <is>
          <t>701+</t>
        </is>
      </c>
      <c r="AR1968" t="inlineStr">
        <is>
          <t>2.8</t>
        </is>
      </c>
      <c r="AS1968" t="inlineStr">
        <is>
          <t>701+</t>
        </is>
      </c>
      <c r="AT1968" t="inlineStr">
        <is>
          <t>5.9</t>
        </is>
      </c>
      <c r="AU1968" t="inlineStr">
        <is>
          <t>701+</t>
        </is>
      </c>
      <c r="AV1968" t="inlineStr">
        <is>
          <t>1.0</t>
        </is>
      </c>
      <c r="AW1968" t="inlineStr">
        <is>
          <t>701+</t>
        </is>
      </c>
      <c r="AX1968" t="inlineStr">
        <is>
          <t>6.6</t>
        </is>
      </c>
      <c r="AY1968" t="inlineStr">
        <is>
          <t>701+</t>
        </is>
      </c>
      <c r="AZ1968" t="inlineStr"/>
      <c r="BA1968" t="inlineStr"/>
    </row>
    <row r="1969">
      <c r="A1969" t="inlineStr">
        <is>
          <t>Yuan Ze University</t>
        </is>
      </c>
      <c r="B1969" t="inlineStr">
        <is>
          <t>Taiwan</t>
        </is>
      </c>
      <c r="C1969" t="inlineStr">
        <is>
          <t>TW</t>
        </is>
      </c>
      <c r="D1969" t="inlineStr">
        <is>
          <t>Asia</t>
        </is>
      </c>
      <c r="E1969" t="inlineStr">
        <is>
          <t>M</t>
        </is>
      </c>
      <c r="F1969" t="inlineStr">
        <is>
          <t>CO</t>
        </is>
      </c>
      <c r="G1969" t="inlineStr">
        <is>
          <t>VH</t>
        </is>
      </c>
      <c r="H1969" t="inlineStr">
        <is>
          <t>3</t>
        </is>
      </c>
      <c r="I1969" t="inlineStr">
        <is>
          <t>Private for Profit</t>
        </is>
      </c>
      <c r="J1969" t="inlineStr">
        <is>
          <t>1001-1200</t>
        </is>
      </c>
      <c r="K1969" t="inlineStr">
        <is>
          <t>1201-1400</t>
        </is>
      </c>
      <c r="L1969" t="inlineStr">
        <is>
          <t>1201-1400</t>
        </is>
      </c>
      <c r="M1969" t="inlineStr">
        <is>
          <t>1201-1400</t>
        </is>
      </c>
      <c r="N1969" t="inlineStr">
        <is>
          <t>-</t>
        </is>
      </c>
      <c r="O1969" t="inlineStr">
        <is>
          <t>-</t>
        </is>
      </c>
      <c r="P1969" t="n">
        <v>8.6</v>
      </c>
      <c r="Q1969" t="inlineStr">
        <is>
          <t>701+</t>
        </is>
      </c>
      <c r="R1969" t="n">
        <v>9.699999999999999</v>
      </c>
      <c r="S1969" t="inlineStr">
        <is>
          <t>701+</t>
        </is>
      </c>
      <c r="T1969" t="n">
        <v>13.7</v>
      </c>
      <c r="U1969" t="inlineStr">
        <is>
          <t>801+</t>
        </is>
      </c>
      <c r="V1969" t="n">
        <v>19.7</v>
      </c>
      <c r="W1969" t="inlineStr">
        <is>
          <t>716</t>
        </is>
      </c>
      <c r="X1969" t="n">
        <v>22.2</v>
      </c>
      <c r="Y1969" t="inlineStr">
        <is>
          <t>684</t>
        </is>
      </c>
      <c r="Z1969" t="n">
        <v>23</v>
      </c>
      <c r="AA1969" t="inlineStr">
        <is>
          <t>689</t>
        </is>
      </c>
      <c r="AB1969" t="n">
        <v>25.9</v>
      </c>
      <c r="AC1969" t="inlineStr">
        <is>
          <t>671</t>
        </is>
      </c>
      <c r="AD1969" t="n">
        <v>38.9</v>
      </c>
      <c r="AE1969" t="inlineStr">
        <is>
          <t>801+</t>
        </is>
      </c>
      <c r="AF1969" t="n">
        <v>2.1</v>
      </c>
      <c r="AG1969" t="inlineStr">
        <is>
          <t>801+</t>
        </is>
      </c>
      <c r="AH1969" t="n">
        <v>42.9</v>
      </c>
      <c r="AI1969" t="inlineStr">
        <is>
          <t>801+</t>
        </is>
      </c>
      <c r="AJ1969" t="inlineStr">
        <is>
          <t>5.4</t>
        </is>
      </c>
      <c r="AK1969" t="inlineStr">
        <is>
          <t>601+</t>
        </is>
      </c>
      <c r="AL1969" t="inlineStr">
        <is>
          <t>5.4</t>
        </is>
      </c>
      <c r="AM1969" t="inlineStr">
        <is>
          <t>601+</t>
        </is>
      </c>
      <c r="AN1969" t="inlineStr">
        <is>
          <t>7.4</t>
        </is>
      </c>
      <c r="AO1969" t="inlineStr">
        <is>
          <t>701+</t>
        </is>
      </c>
      <c r="AP1969" t="inlineStr">
        <is>
          <t>10.6</t>
        </is>
      </c>
      <c r="AQ1969" t="inlineStr">
        <is>
          <t>701+</t>
        </is>
      </c>
      <c r="AR1969" t="inlineStr">
        <is>
          <t>7.0</t>
        </is>
      </c>
      <c r="AS1969" t="inlineStr">
        <is>
          <t>701+</t>
        </is>
      </c>
      <c r="AT1969" t="inlineStr">
        <is>
          <t>9.6</t>
        </is>
      </c>
      <c r="AU1969" t="inlineStr">
        <is>
          <t>701+</t>
        </is>
      </c>
      <c r="AV1969" t="inlineStr">
        <is>
          <t>1.0</t>
        </is>
      </c>
      <c r="AW1969" t="inlineStr">
        <is>
          <t>701+</t>
        </is>
      </c>
      <c r="AX1969" t="inlineStr">
        <is>
          <t>7.9</t>
        </is>
      </c>
      <c r="AY1969" t="inlineStr">
        <is>
          <t>701+</t>
        </is>
      </c>
      <c r="AZ1969" t="inlineStr">
        <is>
          <t>1</t>
        </is>
      </c>
      <c r="BA1969" t="inlineStr">
        <is>
          <t>701+</t>
        </is>
      </c>
    </row>
    <row r="1970">
      <c r="A1970" t="inlineStr">
        <is>
          <t>Zagazig University</t>
        </is>
      </c>
      <c r="B1970" t="inlineStr">
        <is>
          <t>Egypt</t>
        </is>
      </c>
      <c r="C1970" t="inlineStr">
        <is>
          <t>EG</t>
        </is>
      </c>
      <c r="D1970" t="inlineStr">
        <is>
          <t>Africa</t>
        </is>
      </c>
      <c r="E1970" t="inlineStr">
        <is>
          <t>XL</t>
        </is>
      </c>
      <c r="F1970" t="inlineStr">
        <is>
          <t>FC</t>
        </is>
      </c>
      <c r="G1970" t="inlineStr">
        <is>
          <t>VH</t>
        </is>
      </c>
      <c r="H1970" t="inlineStr">
        <is>
          <t>3</t>
        </is>
      </c>
      <c r="I1970" t="inlineStr">
        <is>
          <t>Public</t>
        </is>
      </c>
      <c r="J1970" t="inlineStr">
        <is>
          <t>1201-1400</t>
        </is>
      </c>
      <c r="K1970" t="inlineStr">
        <is>
          <t>1201-1400</t>
        </is>
      </c>
      <c r="L1970" t="inlineStr">
        <is>
          <t>1201-1400</t>
        </is>
      </c>
      <c r="M1970" t="inlineStr">
        <is>
          <t>1201-1400</t>
        </is>
      </c>
      <c r="N1970" t="inlineStr">
        <is>
          <t>-</t>
        </is>
      </c>
      <c r="O1970" t="inlineStr">
        <is>
          <t>-</t>
        </is>
      </c>
      <c r="P1970" t="n">
        <v>11.3</v>
      </c>
      <c r="Q1970" t="inlineStr">
        <is>
          <t>701+</t>
        </is>
      </c>
      <c r="R1970" t="n">
        <v>9.1</v>
      </c>
      <c r="S1970" t="inlineStr">
        <is>
          <t>701+</t>
        </is>
      </c>
      <c r="T1970" t="n">
        <v>4.5</v>
      </c>
      <c r="U1970" t="inlineStr">
        <is>
          <t>801+</t>
        </is>
      </c>
      <c r="V1970" t="n">
        <v>5.1</v>
      </c>
      <c r="W1970" t="inlineStr">
        <is>
          <t>801+</t>
        </is>
      </c>
      <c r="X1970" t="n">
        <v>1.3</v>
      </c>
      <c r="Y1970" t="inlineStr">
        <is>
          <t>801+</t>
        </is>
      </c>
      <c r="Z1970" t="n">
        <v>8.1</v>
      </c>
      <c r="AA1970" t="inlineStr">
        <is>
          <t>801+</t>
        </is>
      </c>
      <c r="AB1970" t="n">
        <v>12</v>
      </c>
      <c r="AC1970" t="inlineStr">
        <is>
          <t>801+</t>
        </is>
      </c>
      <c r="AD1970" t="n">
        <v>69.8</v>
      </c>
      <c r="AE1970" t="inlineStr">
        <is>
          <t>535</t>
        </is>
      </c>
      <c r="AF1970" t="n">
        <v>5.2</v>
      </c>
      <c r="AG1970" t="inlineStr">
        <is>
          <t>801+</t>
        </is>
      </c>
      <c r="AH1970" t="n">
        <v>53</v>
      </c>
      <c r="AI1970" t="inlineStr">
        <is>
          <t>646=</t>
        </is>
      </c>
      <c r="AJ1970" t="inlineStr">
        <is>
          <t>6.6</t>
        </is>
      </c>
      <c r="AK1970" t="inlineStr">
        <is>
          <t>601+</t>
        </is>
      </c>
      <c r="AL1970" t="inlineStr">
        <is>
          <t>3.8</t>
        </is>
      </c>
      <c r="AM1970" t="inlineStr">
        <is>
          <t>601+</t>
        </is>
      </c>
      <c r="AN1970" t="inlineStr">
        <is>
          <t>2.9</t>
        </is>
      </c>
      <c r="AO1970" t="inlineStr">
        <is>
          <t>701+</t>
        </is>
      </c>
      <c r="AP1970" t="inlineStr">
        <is>
          <t>2.4</t>
        </is>
      </c>
      <c r="AQ1970" t="inlineStr">
        <is>
          <t>701+</t>
        </is>
      </c>
      <c r="AR1970" t="inlineStr">
        <is>
          <t>1.2</t>
        </is>
      </c>
      <c r="AS1970" t="inlineStr">
        <is>
          <t>701+</t>
        </is>
      </c>
      <c r="AT1970" t="inlineStr">
        <is>
          <t>2.4</t>
        </is>
      </c>
      <c r="AU1970" t="inlineStr">
        <is>
          <t>701+</t>
        </is>
      </c>
      <c r="AV1970" t="inlineStr">
        <is>
          <t>15.3</t>
        </is>
      </c>
      <c r="AW1970" t="inlineStr">
        <is>
          <t>593</t>
        </is>
      </c>
      <c r="AX1970" t="inlineStr">
        <is>
          <t>2.8</t>
        </is>
      </c>
      <c r="AY1970" t="inlineStr">
        <is>
          <t>701+</t>
        </is>
      </c>
      <c r="AZ1970" t="inlineStr">
        <is>
          <t>7.7</t>
        </is>
      </c>
      <c r="BA1970" t="inlineStr">
        <is>
          <t>701+</t>
        </is>
      </c>
    </row>
    <row r="1971">
      <c r="A1971" t="inlineStr">
        <is>
          <t>Zarqa University</t>
        </is>
      </c>
      <c r="B1971" t="inlineStr">
        <is>
          <t>Jordan</t>
        </is>
      </c>
      <c r="C1971" t="inlineStr"/>
      <c r="D1971" t="inlineStr">
        <is>
          <t>Asia</t>
        </is>
      </c>
      <c r="E1971" t="inlineStr">
        <is>
          <t>M</t>
        </is>
      </c>
      <c r="F1971" t="inlineStr">
        <is>
          <t>FC</t>
        </is>
      </c>
      <c r="G1971" t="inlineStr">
        <is>
          <t>HI</t>
        </is>
      </c>
      <c r="H1971" t="inlineStr"/>
      <c r="I1971" t="inlineStr">
        <is>
          <t>Private not for Profit</t>
        </is>
      </c>
      <c r="J1971" t="inlineStr">
        <is>
          <t>1201-1400</t>
        </is>
      </c>
      <c r="K1971" t="inlineStr"/>
      <c r="L1971" t="inlineStr"/>
      <c r="M1971" t="inlineStr"/>
      <c r="N1971" t="inlineStr">
        <is>
          <t>-</t>
        </is>
      </c>
      <c r="O1971" t="inlineStr"/>
      <c r="P1971" t="n">
        <v>7.9</v>
      </c>
      <c r="Q1971" t="inlineStr">
        <is>
          <t>701+</t>
        </is>
      </c>
      <c r="R1971" t="n">
        <v>4.1</v>
      </c>
      <c r="S1971" t="inlineStr">
        <is>
          <t>701+</t>
        </is>
      </c>
      <c r="T1971" t="n">
        <v>9</v>
      </c>
      <c r="U1971" t="inlineStr">
        <is>
          <t>801+</t>
        </is>
      </c>
      <c r="V1971" t="n">
        <v>3.8</v>
      </c>
      <c r="W1971" t="inlineStr">
        <is>
          <t>801+</t>
        </is>
      </c>
      <c r="X1971" t="n">
        <v>24.9</v>
      </c>
      <c r="Y1971" t="inlineStr">
        <is>
          <t>652</t>
        </is>
      </c>
      <c r="Z1971" t="n">
        <v>63.5</v>
      </c>
      <c r="AA1971" t="inlineStr">
        <is>
          <t>314</t>
        </is>
      </c>
      <c r="AB1971" t="n">
        <v>58.1</v>
      </c>
      <c r="AC1971" t="inlineStr">
        <is>
          <t>351</t>
        </is>
      </c>
      <c r="AD1971" t="n">
        <v>15</v>
      </c>
      <c r="AE1971" t="inlineStr">
        <is>
          <t>801+</t>
        </is>
      </c>
      <c r="AF1971" t="n">
        <v>5.4</v>
      </c>
      <c r="AG1971" t="inlineStr">
        <is>
          <t>801+</t>
        </is>
      </c>
      <c r="AH1971" t="n">
        <v>12.1</v>
      </c>
      <c r="AI1971" t="inlineStr">
        <is>
          <t>801+</t>
        </is>
      </c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</row>
    <row r="1972">
      <c r="A1972" t="inlineStr">
        <is>
          <t>Zayed University</t>
        </is>
      </c>
      <c r="B1972" t="inlineStr">
        <is>
          <t>United Arab Emirates</t>
        </is>
      </c>
      <c r="C1972" t="inlineStr">
        <is>
          <t>AE</t>
        </is>
      </c>
      <c r="D1972" t="inlineStr">
        <is>
          <t>Asia</t>
        </is>
      </c>
      <c r="E1972" t="inlineStr">
        <is>
          <t>M</t>
        </is>
      </c>
      <c r="F1972" t="inlineStr">
        <is>
          <t>SP</t>
        </is>
      </c>
      <c r="G1972" t="inlineStr">
        <is>
          <t>VH</t>
        </is>
      </c>
      <c r="H1972" t="inlineStr">
        <is>
          <t>3</t>
        </is>
      </c>
      <c r="I1972" t="inlineStr">
        <is>
          <t>Public</t>
        </is>
      </c>
      <c r="J1972" t="inlineStr">
        <is>
          <t>595</t>
        </is>
      </c>
      <c r="K1972" t="inlineStr">
        <is>
          <t>621-630</t>
        </is>
      </c>
      <c r="L1972" t="inlineStr">
        <is>
          <t>701-710</t>
        </is>
      </c>
      <c r="M1972" t="inlineStr">
        <is>
          <t>701-750</t>
        </is>
      </c>
      <c r="N1972" t="inlineStr">
        <is>
          <t>28.4</t>
        </is>
      </c>
      <c r="O1972" t="inlineStr">
        <is>
          <t>-</t>
        </is>
      </c>
      <c r="P1972" t="n">
        <v>19.8</v>
      </c>
      <c r="Q1972" t="inlineStr">
        <is>
          <t>625</t>
        </is>
      </c>
      <c r="R1972" t="n">
        <v>31.7</v>
      </c>
      <c r="S1972" t="inlineStr">
        <is>
          <t>452</t>
        </is>
      </c>
      <c r="T1972" t="n">
        <v>34.7</v>
      </c>
      <c r="U1972" t="inlineStr">
        <is>
          <t>567</t>
        </is>
      </c>
      <c r="V1972" t="n">
        <v>21.8</v>
      </c>
      <c r="W1972" t="inlineStr">
        <is>
          <t>688</t>
        </is>
      </c>
      <c r="X1972" t="n">
        <v>100</v>
      </c>
      <c r="Y1972" t="inlineStr">
        <is>
          <t>17</t>
        </is>
      </c>
      <c r="Z1972" t="n">
        <v>2.8</v>
      </c>
      <c r="AA1972" t="inlineStr">
        <is>
          <t>801+</t>
        </is>
      </c>
      <c r="AB1972" t="n">
        <v>7.1</v>
      </c>
      <c r="AC1972" t="inlineStr">
        <is>
          <t>801+</t>
        </is>
      </c>
      <c r="AD1972" t="n">
        <v>48.5</v>
      </c>
      <c r="AE1972" t="inlineStr">
        <is>
          <t>801+</t>
        </is>
      </c>
      <c r="AF1972" t="n">
        <v>29.3</v>
      </c>
      <c r="AG1972" t="inlineStr">
        <is>
          <t>561</t>
        </is>
      </c>
      <c r="AH1972" t="n">
        <v>41.1</v>
      </c>
      <c r="AI1972" t="inlineStr">
        <is>
          <t>801+</t>
        </is>
      </c>
      <c r="AJ1972" t="inlineStr">
        <is>
          <t>14.5</t>
        </is>
      </c>
      <c r="AK1972" t="inlineStr">
        <is>
          <t>597</t>
        </is>
      </c>
      <c r="AL1972" t="inlineStr">
        <is>
          <t>17.3</t>
        </is>
      </c>
      <c r="AM1972" t="inlineStr">
        <is>
          <t>503</t>
        </is>
      </c>
      <c r="AN1972" t="inlineStr">
        <is>
          <t>22.0</t>
        </is>
      </c>
      <c r="AO1972" t="inlineStr">
        <is>
          <t>628</t>
        </is>
      </c>
      <c r="AP1972" t="inlineStr">
        <is>
          <t>6.3</t>
        </is>
      </c>
      <c r="AQ1972" t="inlineStr">
        <is>
          <t>701+</t>
        </is>
      </c>
      <c r="AR1972" t="inlineStr">
        <is>
          <t>100.0</t>
        </is>
      </c>
      <c r="AS1972" t="inlineStr">
        <is>
          <t>13</t>
        </is>
      </c>
      <c r="AT1972" t="inlineStr">
        <is>
          <t>2.0</t>
        </is>
      </c>
      <c r="AU1972" t="inlineStr">
        <is>
          <t>701+</t>
        </is>
      </c>
      <c r="AV1972" t="inlineStr">
        <is>
          <t>8.3</t>
        </is>
      </c>
      <c r="AW1972" t="inlineStr">
        <is>
          <t>701+</t>
        </is>
      </c>
      <c r="AX1972" t="inlineStr">
        <is>
          <t>17</t>
        </is>
      </c>
      <c r="AY1972" t="inlineStr">
        <is>
          <t>499</t>
        </is>
      </c>
      <c r="AZ1972" t="inlineStr">
        <is>
          <t>2.8</t>
        </is>
      </c>
      <c r="BA1972" t="inlineStr">
        <is>
          <t>701+</t>
        </is>
      </c>
    </row>
    <row r="1973">
      <c r="A1973" t="inlineStr">
        <is>
          <t>Zhejiang University</t>
        </is>
      </c>
      <c r="B1973" t="inlineStr">
        <is>
          <t>China (Mainland)</t>
        </is>
      </c>
      <c r="C1973" t="inlineStr">
        <is>
          <t>CN</t>
        </is>
      </c>
      <c r="D1973" t="inlineStr">
        <is>
          <t>Asia</t>
        </is>
      </c>
      <c r="E1973" t="inlineStr">
        <is>
          <t>XL</t>
        </is>
      </c>
      <c r="F1973" t="inlineStr">
        <is>
          <t>FC</t>
        </is>
      </c>
      <c r="G1973" t="inlineStr">
        <is>
          <t>VH</t>
        </is>
      </c>
      <c r="H1973" t="inlineStr">
        <is>
          <t>4</t>
        </is>
      </c>
      <c r="I1973" t="inlineStr">
        <is>
          <t>Public</t>
        </is>
      </c>
      <c r="J1973" t="inlineStr">
        <is>
          <t>49</t>
        </is>
      </c>
      <c r="K1973" t="inlineStr">
        <is>
          <t>47</t>
        </is>
      </c>
      <c r="L1973">
        <f>44</f>
        <v/>
      </c>
      <c r="M1973" t="inlineStr">
        <is>
          <t>42=</t>
        </is>
      </c>
      <c r="N1973" t="inlineStr">
        <is>
          <t>84</t>
        </is>
      </c>
      <c r="O1973" t="inlineStr">
        <is>
          <t>77.8</t>
        </is>
      </c>
      <c r="P1973" t="n">
        <v>87</v>
      </c>
      <c r="Q1973" t="inlineStr">
        <is>
          <t>75</t>
        </is>
      </c>
      <c r="R1973" t="n">
        <v>97.2</v>
      </c>
      <c r="S1973" t="inlineStr">
        <is>
          <t>36</t>
        </is>
      </c>
      <c r="T1973" t="n">
        <v>53</v>
      </c>
      <c r="U1973" t="inlineStr">
        <is>
          <t>355</t>
        </is>
      </c>
      <c r="V1973" t="n">
        <v>100</v>
      </c>
      <c r="W1973" t="inlineStr">
        <is>
          <t>11</t>
        </is>
      </c>
      <c r="X1973" t="n">
        <v>94.09999999999999</v>
      </c>
      <c r="Y1973" t="inlineStr">
        <is>
          <t>189</t>
        </is>
      </c>
      <c r="Z1973" t="n">
        <v>23.5</v>
      </c>
      <c r="AA1973" t="inlineStr">
        <is>
          <t>683</t>
        </is>
      </c>
      <c r="AB1973" t="n">
        <v>17.7</v>
      </c>
      <c r="AC1973" t="inlineStr">
        <is>
          <t>801+</t>
        </is>
      </c>
      <c r="AD1973" t="n">
        <v>94</v>
      </c>
      <c r="AE1973" t="inlineStr">
        <is>
          <t>100</t>
        </is>
      </c>
      <c r="AF1973" t="n">
        <v>74.40000000000001</v>
      </c>
      <c r="AG1973" t="inlineStr">
        <is>
          <t>185</t>
        </is>
      </c>
      <c r="AH1973" t="n">
        <v>63</v>
      </c>
      <c r="AI1973" t="inlineStr">
        <is>
          <t>441=</t>
        </is>
      </c>
      <c r="AJ1973" t="inlineStr">
        <is>
          <t>73.8</t>
        </is>
      </c>
      <c r="AK1973" t="inlineStr">
        <is>
          <t>81</t>
        </is>
      </c>
      <c r="AL1973" t="inlineStr">
        <is>
          <t>95.7</t>
        </is>
      </c>
      <c r="AM1973" t="inlineStr">
        <is>
          <t>36</t>
        </is>
      </c>
      <c r="AN1973" t="inlineStr">
        <is>
          <t>66.5</t>
        </is>
      </c>
      <c r="AO1973" t="inlineStr">
        <is>
          <t>198</t>
        </is>
      </c>
      <c r="AP1973" t="inlineStr">
        <is>
          <t>97.6</t>
        </is>
      </c>
      <c r="AQ1973" t="inlineStr">
        <is>
          <t>37</t>
        </is>
      </c>
      <c r="AR1973" t="inlineStr">
        <is>
          <t>97.7</t>
        </is>
      </c>
      <c r="AS1973" t="inlineStr">
        <is>
          <t>120</t>
        </is>
      </c>
      <c r="AT1973" t="inlineStr">
        <is>
          <t>26.5</t>
        </is>
      </c>
      <c r="AU1973" t="inlineStr">
        <is>
          <t>456</t>
        </is>
      </c>
      <c r="AV1973" t="inlineStr">
        <is>
          <t>74.7</t>
        </is>
      </c>
      <c r="AW1973" t="inlineStr">
        <is>
          <t>174</t>
        </is>
      </c>
      <c r="AX1973" t="inlineStr">
        <is>
          <t>37.7</t>
        </is>
      </c>
      <c r="AY1973" t="inlineStr">
        <is>
          <t>194</t>
        </is>
      </c>
      <c r="AZ1973" t="inlineStr">
        <is>
          <t>51.5</t>
        </is>
      </c>
      <c r="BA1973" t="inlineStr">
        <is>
          <t>297=</t>
        </is>
      </c>
    </row>
    <row r="1974">
      <c r="A1974" t="inlineStr">
        <is>
          <t>Zhengzhou University</t>
        </is>
      </c>
      <c r="B1974" t="inlineStr">
        <is>
          <t>China (Mainland)</t>
        </is>
      </c>
      <c r="C1974" t="inlineStr">
        <is>
          <t>CN</t>
        </is>
      </c>
      <c r="D1974" t="inlineStr">
        <is>
          <t>Asia</t>
        </is>
      </c>
      <c r="E1974" t="inlineStr">
        <is>
          <t>XL</t>
        </is>
      </c>
      <c r="F1974" t="inlineStr">
        <is>
          <t>FC</t>
        </is>
      </c>
      <c r="G1974" t="inlineStr">
        <is>
          <t>VH</t>
        </is>
      </c>
      <c r="H1974" t="inlineStr">
        <is>
          <t>4</t>
        </is>
      </c>
      <c r="I1974" t="inlineStr">
        <is>
          <t>Public</t>
        </is>
      </c>
      <c r="J1974" t="inlineStr">
        <is>
          <t>618</t>
        </is>
      </c>
      <c r="K1974" t="inlineStr">
        <is>
          <t>511</t>
        </is>
      </c>
      <c r="L1974" t="inlineStr">
        <is>
          <t>621-630</t>
        </is>
      </c>
      <c r="M1974" t="inlineStr">
        <is>
          <t>801-1000</t>
        </is>
      </c>
      <c r="N1974" t="inlineStr">
        <is>
          <t>27.7</t>
        </is>
      </c>
      <c r="O1974" t="inlineStr">
        <is>
          <t>-</t>
        </is>
      </c>
      <c r="P1974" t="n">
        <v>7.1</v>
      </c>
      <c r="Q1974" t="inlineStr">
        <is>
          <t>701+</t>
        </is>
      </c>
      <c r="R1974" t="n">
        <v>23.8</v>
      </c>
      <c r="S1974" t="inlineStr">
        <is>
          <t>564</t>
        </is>
      </c>
      <c r="T1974" t="n">
        <v>7</v>
      </c>
      <c r="U1974" t="inlineStr">
        <is>
          <t>801+</t>
        </is>
      </c>
      <c r="V1974" t="n">
        <v>82.7</v>
      </c>
      <c r="W1974" t="inlineStr">
        <is>
          <t>137</t>
        </is>
      </c>
      <c r="X1974" t="inlineStr"/>
      <c r="Y1974" t="inlineStr"/>
      <c r="Z1974" t="n">
        <v>4.1</v>
      </c>
      <c r="AA1974" t="inlineStr">
        <is>
          <t>801+</t>
        </is>
      </c>
      <c r="AB1974" t="n">
        <v>3.3</v>
      </c>
      <c r="AC1974" t="inlineStr">
        <is>
          <t>801+</t>
        </is>
      </c>
      <c r="AD1974" t="n">
        <v>62.3</v>
      </c>
      <c r="AE1974" t="inlineStr">
        <is>
          <t>661</t>
        </is>
      </c>
      <c r="AF1974" t="n">
        <v>11.4</v>
      </c>
      <c r="AG1974" t="inlineStr">
        <is>
          <t>801+</t>
        </is>
      </c>
      <c r="AH1974" t="n">
        <v>42.3</v>
      </c>
      <c r="AI1974" t="inlineStr">
        <is>
          <t>801+</t>
        </is>
      </c>
      <c r="AJ1974" t="inlineStr">
        <is>
          <t>5.4</t>
        </is>
      </c>
      <c r="AK1974" t="inlineStr">
        <is>
          <t>601+</t>
        </is>
      </c>
      <c r="AL1974" t="inlineStr">
        <is>
          <t>19.7</t>
        </is>
      </c>
      <c r="AM1974" t="inlineStr">
        <is>
          <t>461</t>
        </is>
      </c>
      <c r="AN1974" t="inlineStr">
        <is>
          <t>4.7</t>
        </is>
      </c>
      <c r="AO1974" t="inlineStr">
        <is>
          <t>701+</t>
        </is>
      </c>
      <c r="AP1974" t="inlineStr">
        <is>
          <t>65.6</t>
        </is>
      </c>
      <c r="AQ1974" t="inlineStr">
        <is>
          <t>168</t>
        </is>
      </c>
      <c r="AR1974" t="inlineStr"/>
      <c r="AS1974" t="inlineStr"/>
      <c r="AT1974" t="inlineStr">
        <is>
          <t>2.5</t>
        </is>
      </c>
      <c r="AU1974" t="inlineStr">
        <is>
          <t>701+</t>
        </is>
      </c>
      <c r="AV1974" t="inlineStr">
        <is>
          <t>4.4</t>
        </is>
      </c>
      <c r="AW1974" t="inlineStr">
        <is>
          <t>701+</t>
        </is>
      </c>
      <c r="AX1974" t="inlineStr">
        <is>
          <t>6.7</t>
        </is>
      </c>
      <c r="AY1974" t="inlineStr">
        <is>
          <t>701+</t>
        </is>
      </c>
      <c r="AZ1974" t="inlineStr">
        <is>
          <t>3.2</t>
        </is>
      </c>
      <c r="BA1974" t="inlineStr">
        <is>
          <t>701+</t>
        </is>
      </c>
    </row>
    <row r="1975">
      <c r="A1975" t="inlineStr">
        <is>
          <t>Zurich University of Applied Sciences (ZHAW)</t>
        </is>
      </c>
      <c r="B1975" t="inlineStr">
        <is>
          <t>Switzerland</t>
        </is>
      </c>
      <c r="C1975" t="inlineStr"/>
      <c r="D1975" t="inlineStr">
        <is>
          <t>Europe</t>
        </is>
      </c>
      <c r="E1975" t="inlineStr">
        <is>
          <t>M</t>
        </is>
      </c>
      <c r="F1975" t="inlineStr">
        <is>
          <t>CO</t>
        </is>
      </c>
      <c r="G1975" t="inlineStr">
        <is>
          <t>VH</t>
        </is>
      </c>
      <c r="H1975" t="inlineStr"/>
      <c r="I1975" t="inlineStr"/>
      <c r="J1975" t="inlineStr">
        <is>
          <t>801-850</t>
        </is>
      </c>
      <c r="K1975" t="inlineStr">
        <is>
          <t>781-790</t>
        </is>
      </c>
      <c r="L1975" t="inlineStr"/>
      <c r="M1975" t="inlineStr"/>
      <c r="N1975" t="inlineStr">
        <is>
          <t>-</t>
        </is>
      </c>
      <c r="O1975" t="inlineStr"/>
      <c r="P1975" t="n">
        <v>7.2</v>
      </c>
      <c r="Q1975" t="inlineStr">
        <is>
          <t>701+</t>
        </is>
      </c>
      <c r="R1975" t="n">
        <v>12.5</v>
      </c>
      <c r="S1975" t="inlineStr">
        <is>
          <t>701+</t>
        </is>
      </c>
      <c r="T1975" t="n">
        <v>81.09999999999999</v>
      </c>
      <c r="U1975" t="inlineStr">
        <is>
          <t>164</t>
        </is>
      </c>
      <c r="V1975" t="n">
        <v>5</v>
      </c>
      <c r="W1975" t="inlineStr">
        <is>
          <t>801+</t>
        </is>
      </c>
      <c r="X1975" t="n">
        <v>73.90000000000001</v>
      </c>
      <c r="Y1975" t="inlineStr">
        <is>
          <t>319</t>
        </is>
      </c>
      <c r="Z1975" t="n">
        <v>25.1</v>
      </c>
      <c r="AA1975" t="inlineStr">
        <is>
          <t>659</t>
        </is>
      </c>
      <c r="AB1975" t="n">
        <v>31.2</v>
      </c>
      <c r="AC1975" t="inlineStr">
        <is>
          <t>597</t>
        </is>
      </c>
      <c r="AD1975" t="n">
        <v>43.1</v>
      </c>
      <c r="AE1975" t="inlineStr">
        <is>
          <t>801+</t>
        </is>
      </c>
      <c r="AF1975" t="n">
        <v>7.4</v>
      </c>
      <c r="AG1975" t="inlineStr">
        <is>
          <t>801+</t>
        </is>
      </c>
      <c r="AH1975" t="n">
        <v>55.1</v>
      </c>
      <c r="AI1975" t="inlineStr">
        <is>
          <t>602=</t>
        </is>
      </c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</row>
    <row r="1976">
      <c r="A1976" t="inlineStr">
        <is>
          <t>Zürcher Hochschule Winterthur</t>
        </is>
      </c>
      <c r="B1976" t="inlineStr">
        <is>
          <t>Switzerland</t>
        </is>
      </c>
      <c r="C1976" t="inlineStr">
        <is>
          <t>CH</t>
        </is>
      </c>
      <c r="D1976" t="inlineStr"/>
      <c r="E1976" t="inlineStr"/>
      <c r="F1976" t="inlineStr">
        <is>
          <t>CO</t>
        </is>
      </c>
      <c r="G1976" t="inlineStr"/>
      <c r="H1976" t="inlineStr"/>
      <c r="I1976" t="inlineStr"/>
      <c r="J1976" t="inlineStr"/>
      <c r="K1976" t="inlineStr"/>
      <c r="L1976" t="inlineStr">
        <is>
          <t>1401+</t>
        </is>
      </c>
      <c r="M1976" t="inlineStr"/>
      <c r="N1976" t="inlineStr"/>
      <c r="O1976" t="inlineStr">
        <is>
          <t>-</t>
        </is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>
        <is>
          <t>5.7</t>
        </is>
      </c>
      <c r="AK1976" t="inlineStr">
        <is>
          <t>601+</t>
        </is>
      </c>
      <c r="AL1976" t="inlineStr">
        <is>
          <t>6.7</t>
        </is>
      </c>
      <c r="AM1976" t="inlineStr">
        <is>
          <t>601+</t>
        </is>
      </c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>
        <is>
          <t>1.7</t>
        </is>
      </c>
      <c r="AW1976" t="inlineStr">
        <is>
          <t>701+</t>
        </is>
      </c>
      <c r="AX1976" t="inlineStr"/>
      <c r="AY1976" t="inlineStr"/>
      <c r="AZ1976" t="inlineStr"/>
      <c r="BA1976" t="inlineStr"/>
    </row>
    <row r="1977">
      <c r="A1977" t="inlineStr">
        <is>
          <t>École Normale Supérieure de Lyon</t>
        </is>
      </c>
      <c r="B1977" t="inlineStr">
        <is>
          <t>France</t>
        </is>
      </c>
      <c r="C1977" t="inlineStr">
        <is>
          <t>FR</t>
        </is>
      </c>
      <c r="D1977" t="inlineStr"/>
      <c r="E1977" t="inlineStr">
        <is>
          <t>S</t>
        </is>
      </c>
      <c r="F1977" t="inlineStr">
        <is>
          <t>CO</t>
        </is>
      </c>
      <c r="G1977" t="inlineStr">
        <is>
          <t>VH</t>
        </is>
      </c>
      <c r="H1977" t="inlineStr">
        <is>
          <t>5</t>
        </is>
      </c>
      <c r="I1977" t="inlineStr">
        <is>
          <t>A</t>
        </is>
      </c>
      <c r="J1977" t="inlineStr"/>
      <c r="K1977" t="inlineStr"/>
      <c r="L1977">
        <f>184</f>
        <v/>
      </c>
      <c r="M1977" t="inlineStr">
        <is>
          <t>111</t>
        </is>
      </c>
      <c r="N1977" t="inlineStr"/>
      <c r="O1977" t="inlineStr">
        <is>
          <t>47.6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>
        <is>
          <t>30.5</t>
        </is>
      </c>
      <c r="AK1977" t="inlineStr">
        <is>
          <t>285</t>
        </is>
      </c>
      <c r="AL1977" t="inlineStr">
        <is>
          <t>14.4</t>
        </is>
      </c>
      <c r="AM1977" t="inlineStr">
        <is>
          <t>570</t>
        </is>
      </c>
      <c r="AN1977" t="inlineStr">
        <is>
          <t>95.7</t>
        </is>
      </c>
      <c r="AO1977" t="inlineStr">
        <is>
          <t>59</t>
        </is>
      </c>
      <c r="AP1977" t="inlineStr">
        <is>
          <t>98.4</t>
        </is>
      </c>
      <c r="AQ1977" t="inlineStr">
        <is>
          <t>27</t>
        </is>
      </c>
      <c r="AR1977" t="inlineStr">
        <is>
          <t>70.8</t>
        </is>
      </c>
      <c r="AS1977" t="inlineStr">
        <is>
          <t>272</t>
        </is>
      </c>
      <c r="AT1977" t="inlineStr">
        <is>
          <t>14.6</t>
        </is>
      </c>
      <c r="AU1977" t="inlineStr">
        <is>
          <t>628</t>
        </is>
      </c>
      <c r="AV1977" t="inlineStr">
        <is>
          <t>34.3</t>
        </is>
      </c>
      <c r="AW1977" t="inlineStr">
        <is>
          <t>425</t>
        </is>
      </c>
      <c r="AX1977" t="inlineStr">
        <is>
          <t>10</t>
        </is>
      </c>
      <c r="AY1977" t="inlineStr">
        <is>
          <t>701+</t>
        </is>
      </c>
      <c r="AZ1977" t="inlineStr">
        <is>
          <t>5.9</t>
        </is>
      </c>
      <c r="BA1977" t="inlineStr">
        <is>
          <t>701+</t>
        </is>
      </c>
    </row>
    <row r="1978">
      <c r="A1978" t="inlineStr">
        <is>
          <t>École Polytechnique Fédérale de Lausanne</t>
        </is>
      </c>
      <c r="B1978" t="inlineStr">
        <is>
          <t>Switzerland</t>
        </is>
      </c>
      <c r="C1978" t="inlineStr"/>
      <c r="D1978" t="inlineStr">
        <is>
          <t>Europe</t>
        </is>
      </c>
      <c r="E1978" t="inlineStr">
        <is>
          <t>M</t>
        </is>
      </c>
      <c r="F1978" t="inlineStr">
        <is>
          <t>FO</t>
        </is>
      </c>
      <c r="G1978" t="inlineStr">
        <is>
          <t>VH</t>
        </is>
      </c>
      <c r="H1978" t="inlineStr"/>
      <c r="I1978" t="inlineStr">
        <is>
          <t>Public</t>
        </is>
      </c>
      <c r="J1978" t="inlineStr">
        <is>
          <t>22</t>
        </is>
      </c>
      <c r="K1978" t="inlineStr">
        <is>
          <t>26</t>
        </is>
      </c>
      <c r="L1978" t="inlineStr"/>
      <c r="M1978" t="inlineStr"/>
      <c r="N1978" t="inlineStr">
        <is>
          <t>90.2</t>
        </is>
      </c>
      <c r="O1978" t="inlineStr"/>
      <c r="P1978" t="n">
        <v>92.7</v>
      </c>
      <c r="Q1978" t="inlineStr">
        <is>
          <t>55</t>
        </is>
      </c>
      <c r="R1978" t="n">
        <v>88</v>
      </c>
      <c r="S1978" t="inlineStr">
        <is>
          <t>79</t>
        </is>
      </c>
      <c r="T1978" t="n">
        <v>90</v>
      </c>
      <c r="U1978" t="inlineStr">
        <is>
          <t>103</t>
        </is>
      </c>
      <c r="V1978" t="n">
        <v>93.09999999999999</v>
      </c>
      <c r="W1978" t="inlineStr">
        <is>
          <t>87</t>
        </is>
      </c>
      <c r="X1978" t="n">
        <v>100</v>
      </c>
      <c r="Y1978" t="inlineStr">
        <is>
          <t>12</t>
        </is>
      </c>
      <c r="Z1978" t="n">
        <v>100</v>
      </c>
      <c r="AA1978" t="inlineStr">
        <is>
          <t>17</t>
        </is>
      </c>
      <c r="AB1978" t="n">
        <v>100</v>
      </c>
      <c r="AC1978" t="inlineStr">
        <is>
          <t>11</t>
        </is>
      </c>
      <c r="AD1978" t="n">
        <v>83.59999999999999</v>
      </c>
      <c r="AE1978" t="inlineStr">
        <is>
          <t>281</t>
        </is>
      </c>
      <c r="AF1978" t="n">
        <v>47.3</v>
      </c>
      <c r="AG1978" t="inlineStr">
        <is>
          <t>371</t>
        </is>
      </c>
      <c r="AH1978" t="n">
        <v>85.3</v>
      </c>
      <c r="AI1978" t="inlineStr">
        <is>
          <t>107=</t>
        </is>
      </c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</row>
    <row r="1979">
      <c r="A1979" t="inlineStr">
        <is>
          <t>Óbuda University</t>
        </is>
      </c>
      <c r="B1979" t="inlineStr">
        <is>
          <t>Hungary</t>
        </is>
      </c>
      <c r="C1979" t="inlineStr">
        <is>
          <t>HU</t>
        </is>
      </c>
      <c r="D1979" t="inlineStr"/>
      <c r="E1979" t="inlineStr">
        <is>
          <t>M</t>
        </is>
      </c>
      <c r="F1979" t="inlineStr">
        <is>
          <t>FO</t>
        </is>
      </c>
      <c r="G1979" t="inlineStr">
        <is>
          <t>VH</t>
        </is>
      </c>
      <c r="H1979" t="inlineStr">
        <is>
          <t>2</t>
        </is>
      </c>
      <c r="I1979" t="inlineStr">
        <is>
          <t>A</t>
        </is>
      </c>
      <c r="J1979" t="inlineStr"/>
      <c r="K1979" t="inlineStr"/>
      <c r="L1979" t="inlineStr">
        <is>
          <t>1201-1400</t>
        </is>
      </c>
      <c r="M1979" t="inlineStr">
        <is>
          <t>1201-1400</t>
        </is>
      </c>
      <c r="N1979" t="inlineStr"/>
      <c r="O1979" t="inlineStr">
        <is>
          <t>-</t>
        </is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>
        <is>
          <t>4.5</t>
        </is>
      </c>
      <c r="AK1979" t="inlineStr">
        <is>
          <t>601+</t>
        </is>
      </c>
      <c r="AL1979" t="inlineStr">
        <is>
          <t>3.9</t>
        </is>
      </c>
      <c r="AM1979" t="inlineStr">
        <is>
          <t>601+</t>
        </is>
      </c>
      <c r="AN1979" t="inlineStr">
        <is>
          <t>2.1</t>
        </is>
      </c>
      <c r="AO1979" t="inlineStr">
        <is>
          <t>701+</t>
        </is>
      </c>
      <c r="AP1979" t="inlineStr">
        <is>
          <t>6.6</t>
        </is>
      </c>
      <c r="AQ1979" t="inlineStr">
        <is>
          <t>701+</t>
        </is>
      </c>
      <c r="AR1979" t="inlineStr">
        <is>
          <t>13.6</t>
        </is>
      </c>
      <c r="AS1979" t="inlineStr">
        <is>
          <t>693</t>
        </is>
      </c>
      <c r="AT1979" t="inlineStr">
        <is>
          <t>7.6</t>
        </is>
      </c>
      <c r="AU1979" t="inlineStr">
        <is>
          <t>701+</t>
        </is>
      </c>
      <c r="AV1979" t="inlineStr">
        <is>
          <t>1.3</t>
        </is>
      </c>
      <c r="AW1979" t="inlineStr">
        <is>
          <t>701+</t>
        </is>
      </c>
      <c r="AX1979" t="inlineStr">
        <is>
          <t>5.6</t>
        </is>
      </c>
      <c r="AY1979" t="inlineStr">
        <is>
          <t>701+</t>
        </is>
      </c>
      <c r="AZ1979" t="inlineStr">
        <is>
          <t>1</t>
        </is>
      </c>
      <c r="BA1979" t="inlineStr">
        <is>
          <t>701+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2026-08-12T14:43:47Z</dcterms:created>
  <dcterms:modified xsi:type="dcterms:W3CDTF">2026-08-12T14:43:47Z</dcterms:modified>
</cp:coreProperties>
</file>